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erivation" sheetId="2" state="visible" r:id="rId2"/>
    <sheet name="Checks" sheetId="3" state="visible" r:id="rId3"/>
    <sheet name="CSo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CSoIO Cement Share of Industry 239 Output</t>
        </is>
      </c>
    </row>
    <row r="3">
      <c r="A3" t="inlineStr">
        <is>
          <t>Sources:</t>
        </is>
      </c>
      <c r="B3" t="inlineStr">
        <is>
          <t>Cement value of shipments</t>
        </is>
      </c>
    </row>
    <row r="4">
      <c r="B4" t="inlineStr">
        <is>
          <t>USGS Mineral Commodity Summaries, Cement chapter</t>
        </is>
      </c>
    </row>
    <row r="5">
      <c r="B5" t="inlineStr">
        <is>
          <t>2023 value of shipments, ~$15.5-16 billion</t>
        </is>
      </c>
    </row>
    <row r="6">
      <c r="B6" t="n">
        <v>2026</v>
      </c>
    </row>
    <row r="7">
      <c r="B7" t="inlineStr">
        <is>
          <t>https://www.usgs.gov/centers/national-minerals-information-center/cement-statistics-and-information</t>
        </is>
      </c>
    </row>
    <row r="8">
      <c r="B8" t="inlineStr">
        <is>
          <t>[UNVERIFIED - value recalled from prior research passes; pull the exact figure from MCS 2026 before release]</t>
        </is>
      </c>
    </row>
    <row r="10">
      <c r="A10" t="inlineStr">
        <is>
          <t>Source (denominator):</t>
        </is>
      </c>
      <c r="B10" t="inlineStr">
        <is>
          <t>BEA gross output by industry, Nonmetallic mineral products (NAICS 327)</t>
        </is>
      </c>
    </row>
    <row r="11">
      <c r="B11" t="inlineStr">
        <is>
          <t>2023 gross output, ~$75 billion</t>
        </is>
      </c>
    </row>
    <row r="12">
      <c r="B12" t="inlineStr">
        <is>
          <t>https://www.bea.gov/data/industries/gross-output-by-industry</t>
        </is>
      </c>
    </row>
    <row r="13">
      <c r="B13" t="inlineStr">
        <is>
          <t>[UNVERIFIED - value recalled; pull the exact figure before release]</t>
        </is>
      </c>
    </row>
    <row r="15">
      <c r="A15" t="inlineStr">
        <is>
          <t>Notes:</t>
        </is>
      </c>
    </row>
    <row r="16">
      <c r="A16" t="inlineStr">
        <is>
          <t>Purpose</t>
        </is>
      </c>
      <c r="B16" t="inlineStr">
        <is>
          <t>Scales the cement-content-of-concrete lever's tonnage cut into 239-product-value terms for the IO dollar booking: the lever is injected into the Material Efficiency Improvement matrix's ISIC 239 source row as lever x CSoIO (2026-08-27). The lever cuts cement purchases only; lime, concrete products, glass wool, and ceramics sales are untouched, so buyers' requirements for 239 product fall by only the cement share of that product's value.</t>
        </is>
      </c>
    </row>
    <row r="17">
      <c r="A17" t="inlineStr">
        <is>
          <t>Approximation</t>
        </is>
      </c>
      <c r="B17" t="inlineStr">
        <is>
          <t>Applied uniformly across buying industries: buyer heterogeneity beyond the value share is not modeled (construction dominates 239's sales in the TIOT).</t>
        </is>
      </c>
    </row>
    <row r="18">
      <c r="A18" t="inlineStr">
        <is>
          <t>DRAFT status</t>
        </is>
      </c>
      <c r="B18" t="inlineStr">
        <is>
          <t>DRAFT - EI judgment pending primary-source verification. This workbook is an input for staff review, not a finished or approved EI position.</t>
        </is>
      </c>
    </row>
    <row r="20">
      <c r="A20" t="inlineStr">
        <is>
          <t>Correction (2026-08-27)</t>
        </is>
      </c>
      <c r="B20" t="inlineStr">
        <is>
          <t>Denominator switched from an external BEA NAICS-327 aggregate (~$75B) to the model's own BAU Output[ISIC 239] = $103.978B (InputData/io-model/BObIC.csv): NAICS 327 includes Glass, which EPS carries separately (ISIC 231), and the share must be consistent with the IO row it scales (adversarial review finding B2). Share 0.21 -&gt; 0.154. USGS numerator still needs primary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share of 239 output by value</t>
        </is>
      </c>
    </row>
    <row r="3">
      <c r="A3" t="inlineStr">
        <is>
          <t>Quantity</t>
        </is>
      </c>
      <c r="B3" t="inlineStr">
        <is>
          <t>Value</t>
        </is>
      </c>
      <c r="C3" t="inlineStr">
        <is>
          <t>Basis</t>
        </is>
      </c>
    </row>
    <row r="4">
      <c r="A4" t="inlineStr">
        <is>
          <t>Cement value of shipments ($B, 2023)</t>
        </is>
      </c>
      <c r="B4" t="n">
        <v>16</v>
      </c>
      <c r="C4" t="inlineStr">
        <is>
          <t>USGS MCS cement value of shipments ~$16B 2023 [UNVERIFIED - pull exact from MCS 2026]</t>
        </is>
      </c>
    </row>
    <row r="5">
      <c r="A5" t="inlineStr">
        <is>
          <t>Model BAU Output[ISIC 239] ($B, from InputData/io-model/BObIC.csv)</t>
        </is>
      </c>
      <c r="B5" t="n">
        <v>103.978</v>
      </c>
      <c r="C5" t="inlineStr">
        <is>
          <t>Model-internal denominator (review finding B2: BEA NAICS-327 includes Glass, which EPS carries separately as ISIC 231)</t>
        </is>
      </c>
    </row>
    <row r="6">
      <c r="A6" t="inlineStr">
        <is>
          <t>Share</t>
        </is>
      </c>
      <c r="B6">
        <f>ROUND(B4/B5,3)</f>
        <v/>
      </c>
      <c r="C6" t="inlineStr">
        <is>
          <t>0.154 (was 0.21 on the external-BEA basis - corrected 2026-08-27)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Cross-check: export tab literal vs Derivation formula</t>
        </is>
      </c>
    </row>
    <row r="3">
      <c r="A3" t="inlineStr">
        <is>
          <t>Quantity</t>
        </is>
      </c>
      <c r="B3" t="inlineStr">
        <is>
          <t>Export</t>
        </is>
      </c>
      <c r="C3" t="inlineStr">
        <is>
          <t>Derivation</t>
        </is>
      </c>
      <c r="D3" t="inlineStr">
        <is>
          <t>Result</t>
        </is>
      </c>
    </row>
    <row r="4">
      <c r="A4" t="inlineStr">
        <is>
          <t>cement share of 239 output</t>
        </is>
      </c>
      <c r="B4">
        <f>CSoIO!B2</f>
        <v/>
      </c>
      <c r="C4">
        <f>Derivation!B6</f>
        <v/>
      </c>
      <c r="D4">
        <f>IF(ABS(B4-C4)&lt;0.005,"PASS","FAIL")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(DRAFT 0.154 = USGS cement value of shipments ~$16B / model BAU Output[ISIC 239] $103.98B per BObIC.csv - verify numerator before release)</t>
        </is>
      </c>
      <c r="B1" t="inlineStr">
        <is>
          <t>Share</t>
        </is>
      </c>
    </row>
    <row r="2">
      <c r="A2" t="inlineStr">
        <is>
          <t>cement share of 239 output</t>
        </is>
      </c>
      <c r="B2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2026-08-27T12:41:54Z</dcterms:created>
  <dcterms:modified xsi:type="dcterms:W3CDTF">2026-10-01T18:01:33Z</dcterms:modified>
</cp:coreProperties>
</file>