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Regions" sheetId="2" state="visible" r:id="rId2"/>
    <sheet name="Derivation" sheetId="3" state="visible" r:id="rId3"/>
    <sheet name="Checks" sheetId="4" state="visible" r:id="rId4"/>
    <sheet name="MACtC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0563C1"/>
      <u val="single"/>
    </font>
    <font>
      <b val="1"/>
      <color rgb="00C00000"/>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pivotButton="0" quotePrefix="0" xfId="0"/>
    <xf numFmtId="0" fontId="1"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ment.org/a-sustainable-future/roadmap-to-carbon-neutrality/" TargetMode="External" Id="rId1" /><Relationship Type="http://schemas.openxmlformats.org/officeDocument/2006/relationships/hyperlink" Target="https://gccassociation.org/concretefuture/" TargetMode="External" Id="rId2" /></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4" customWidth="1" min="1" max="1"/>
    <col width="110" customWidth="1" min="2" max="2"/>
  </cols>
  <sheetData>
    <row r="1">
      <c r="A1" s="1" t="inlineStr">
        <is>
          <t>MACtCR Minimum Achievable Clinker to Cement Ratio</t>
        </is>
      </c>
    </row>
    <row r="2"/>
    <row r="3">
      <c r="A3" s="1" t="inlineStr">
        <is>
          <t>Sources:</t>
        </is>
      </c>
      <c r="B3" s="2" t="inlineStr">
        <is>
          <t>US achievable clinker ratio under aggressive SCM blending (context for the 0.65 judgment)</t>
        </is>
      </c>
    </row>
    <row r="4">
      <c r="B4" s="3" t="inlineStr">
        <is>
          <t>Portland Cement Association (PCA)</t>
        </is>
      </c>
    </row>
    <row r="5">
      <c r="B5" s="3" t="inlineStr">
        <is>
          <t>Roadmap to Carbon Neutrality</t>
        </is>
      </c>
    </row>
    <row r="6">
      <c r="B6" s="3" t="n">
        <v>2021</v>
      </c>
    </row>
    <row r="7">
      <c r="B7" s="4" t="inlineStr">
        <is>
          <t>https://www.cement.org/a-sustainable-future/roadmap-to-carbon-neutrality/</t>
        </is>
      </c>
    </row>
    <row r="8">
      <c r="B8" s="3" t="inlineStr">
        <is>
          <t>Cites a near-term US ratio around 0.75 trending lower with Type IL; SCM content rising. The 0.65 floor is EI judgment: aggressive calcined-clay/LC3, slag, and ternary-blend deployment beyond the BAU Type IL transition, deliberately conservative vs the GCCA global roadmap.</t>
        </is>
      </c>
    </row>
    <row r="9"/>
    <row r="10">
      <c r="B10" s="2" t="inlineStr">
        <is>
          <t>Global roadmap clinker-to-binder ratio targets (reference for other regions)</t>
        </is>
      </c>
    </row>
    <row r="11">
      <c r="B11" s="3" t="inlineStr">
        <is>
          <t>Global Cement and Concrete Association (GCCA)</t>
        </is>
      </c>
    </row>
    <row r="12">
      <c r="B12" s="3" t="inlineStr">
        <is>
          <t>Concrete Future: 2050 Cement and Concrete Industry Roadmap for Net Zero Concrete</t>
        </is>
      </c>
    </row>
    <row r="13">
      <c r="B13" s="3" t="n">
        <v>2021</v>
      </c>
    </row>
    <row r="14">
      <c r="B14" s="4" t="inlineStr">
        <is>
          <t>https://gccassociation.org/concretefuture/</t>
        </is>
      </c>
    </row>
    <row r="15">
      <c r="B15" s="3" t="inlineStr">
        <is>
          <t>Global clinker-to-binder ratio 0.63 (2020) -&gt; 0.58 (2030) -&gt; 0.52 (2050) (SNIPPET-level, primary PDF not opened). A GLOBAL figure - regional roadmaps (CEMBUREAU, GCCA India, CCA China, SNIC) should replace it row by row.</t>
        </is>
      </c>
    </row>
    <row r="16"/>
    <row r="17"/>
    <row r="18">
      <c r="A18" s="1" t="inlineStr">
        <is>
          <t>Notes:</t>
        </is>
      </c>
    </row>
    <row r="19">
      <c r="A19" s="1" t="inlineStr">
        <is>
          <t>DRAFT status</t>
        </is>
      </c>
      <c r="B19" s="3" t="inlineStr">
        <is>
          <t>This is an input for staff review, not a finished or approved EI position; treat as a starting point pending team sign-off. Verify all cited figures against the primary sources before use.</t>
        </is>
      </c>
    </row>
    <row r="20">
      <c r="A20" s="1" t="inlineStr">
        <is>
          <t>Definition</t>
        </is>
      </c>
      <c r="B20" s="3" t="inlineStr">
        <is>
          <t>The clinker-to-cement ratio reachable at full deployment of the clinker-substitution lever. The model's lever potential each year = MAX(0, BCtCR - MACtCR), so the same lever works where BAU ratios differ. Replaces PACS (potential in ratio points, 0.13) and MASCM (an SCM tonnage cap that never bound in the US build and needed country-specific fly-ash/slag data) on 2026-09-28; SCM supply limits now inform this value instead of acting as a separate cap.</t>
        </is>
      </c>
    </row>
    <row r="21">
      <c r="A21" s="1" t="inlineStr">
        <is>
          <t>US value</t>
        </is>
      </c>
      <c r="B21" s="3" t="inlineStr">
        <is>
          <t>0.65 (judgment; BAU 2035+ ratio 0.79 - 0.65 = 0.14 points of potential, vs 0.13 in the retired PACS file).</t>
        </is>
      </c>
    </row>
    <row r="22">
      <c r="A22" s="1" t="inlineStr">
        <is>
          <t>Region selector</t>
        </is>
      </c>
      <c r="B22" s="3" t="inlineStr">
        <is>
          <t>Regions!B1 picks the row. Blank = TO FILL (Derivation then shows the GCCA global 0.52 as a flagged fallback). Export literal is the US value; re-export after switching.</t>
        </is>
      </c>
    </row>
    <row r="23">
      <c r="A23" s="1" t="inlineStr">
        <is>
          <t>Provenance</t>
        </is>
      </c>
      <c r="B23" s="3" t="inlineStr">
        <is>
          <t>Built by Claude Code (Fable 5.1 session), cement section-1 demand restructure, worktree cement-calculation-flow-89da5b, 2026-09-28. Reviewed by: (pending).</t>
        </is>
      </c>
    </row>
    <row r="24">
      <c r="A24" s="1" t="inlineStr">
        <is>
          <t>Regional rows loaded 2026-10-01</t>
        </is>
      </c>
      <c r="B24" s="3" t="inlineStr">
        <is>
          <t>Non-US rows of the Regions tab loaded from Cement_Regional_Data_Draft.md (cement-calculation-flow-89da5b worktree root), passes 1 and 2; pass 2 (primary sources) wins on conflict and the conflict is kept in the row note. Flags: DIRECT = read in the primary document; SNIPPET = secondary/trade-press summary or an unopened primary; JUDGMENT = own arithmetic or estimate (written as a visible formula where computed); blank = TO FILL. Supersedes any placeholder description in the Sources block above. The US row, Derivation and export tab are unchanged. Verify every non-US value against its cited primary source before use. Loader: Cement_Regional_Rows_Loading/load_regional_rows.py.</t>
        </is>
      </c>
    </row>
  </sheetData>
  <hyperlinks>
    <hyperlink xmlns:r="http://schemas.openxmlformats.org/officeDocument/2006/relationships" ref="B7" r:id="rId1"/>
    <hyperlink xmlns:r="http://schemas.openxmlformats.org/officeDocument/2006/relationships" ref="B14"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6" customWidth="1" min="2" max="2"/>
    <col width="10" customWidth="1" min="3" max="3"/>
    <col width="70" customWidth="1" min="4" max="4"/>
  </cols>
  <sheetData>
    <row r="1">
      <c r="A1" s="1" t="inlineStr">
        <is>
          <t>Selected region (drop-down):</t>
        </is>
      </c>
      <c r="B1" s="5" t="inlineStr">
        <is>
          <t>United States</t>
        </is>
      </c>
    </row>
    <row r="2">
      <c r="A2" s="3" t="inlineStr">
        <is>
          <t>Change B1 to switch the Derivation to another region's row; the export tab holds literal values, so re-export the CSV (CSV Export Tool) after switching. Blank cells = TO FILL (no sourced value yet).</t>
        </is>
      </c>
    </row>
    <row r="4">
      <c r="A4" s="6" t="inlineStr">
        <is>
          <t>Region</t>
        </is>
      </c>
      <c r="B4" s="6" t="inlineStr">
        <is>
          <t>Minimum achievable ratio</t>
        </is>
      </c>
      <c r="C4" s="6" t="inlineStr">
        <is>
          <t>Flag</t>
        </is>
      </c>
      <c r="D4" s="6" t="inlineStr">
        <is>
          <t>Roadmap / source</t>
        </is>
      </c>
    </row>
    <row r="5">
      <c r="A5" t="inlineStr">
        <is>
          <t>United States</t>
        </is>
      </c>
      <c r="B5" t="n">
        <v>0.65</v>
      </c>
      <c r="C5" t="inlineStr">
        <is>
          <t>JUDGMENT</t>
        </is>
      </c>
      <c r="D5" t="inlineStr">
        <is>
          <t>PCA roadmap context + GCCA global; conservative EI judgment</t>
        </is>
      </c>
    </row>
    <row r="6">
      <c r="A6" t="inlineStr">
        <is>
          <t>China</t>
        </is>
      </c>
      <c r="D6" t="inlineStr">
        <is>
          <t>TO FILL - CCA / RMI net-zero roadmap</t>
        </is>
      </c>
    </row>
    <row r="7">
      <c r="A7" t="inlineStr">
        <is>
          <t>India</t>
        </is>
      </c>
      <c r="B7" t="n">
        <v>0.62</v>
      </c>
      <c r="C7" t="inlineStr">
        <is>
          <t>SNIPPET</t>
        </is>
      </c>
      <c r="D7" t="inlineStr">
        <is>
          <t>(2070) NITI Aayog Jan-2026 roadmap ~67.5% -&gt; ~62% by 2070 (SNIPPET). Range 0.56-0.675: GCCA India/TERI 0.56 by 2070 (SNIPPET); ACEEE ~65% by 2030 (SNIPPET).</t>
        </is>
      </c>
    </row>
    <row r="8">
      <c r="A8" t="inlineStr">
        <is>
          <t>EU-27</t>
        </is>
      </c>
      <c r="B8" t="n">
        <v>0.6</v>
      </c>
      <c r="C8" t="inlineStr">
        <is>
          <t>DIRECT</t>
        </is>
      </c>
      <c r="D8" t="inlineStr">
        <is>
          <t>(2050) CEMBUREAU 'From Ambition to Deployment' net-zero roadmap: 60% by 2050, revised down from 65% (DIRECT).</t>
        </is>
      </c>
    </row>
    <row r="9">
      <c r="A9" t="inlineStr">
        <is>
          <t>Japan</t>
        </is>
      </c>
      <c r="D9" t="inlineStr">
        <is>
          <t>TO FILL</t>
        </is>
      </c>
    </row>
    <row r="10">
      <c r="A10" t="inlineStr">
        <is>
          <t>Brazil</t>
        </is>
      </c>
      <c r="B10" t="n">
        <v>0.52</v>
      </c>
      <c r="C10" t="inlineStr">
        <is>
          <t>DIRECT</t>
        </is>
      </c>
      <c r="D10" t="inlineStr">
        <is>
          <t>(2050) SNIC/IEA/WBCSD 2019 roadmap: 52% in 2050, 59% in 2030 (DIRECT). 2025 Net Zero Roadmap (COP30): 51% (SNIPPET).</t>
        </is>
      </c>
    </row>
    <row r="11">
      <c r="A11" t="inlineStr">
        <is>
          <t>Mexico</t>
        </is>
      </c>
      <c r="B11" t="n">
        <v>0.66</v>
      </c>
      <c r="C11" t="inlineStr">
        <is>
          <t>DIRECT</t>
        </is>
      </c>
      <c r="D11" t="inlineStr">
        <is>
          <t>(2030) FICEM roadmap: 66% by 2030 from 75% in 2016 (DIRECT). A 2030 figure, NOT a 2050 floor - the 2050 value is TO FILL (FICEM scenario annexes).</t>
        </is>
      </c>
    </row>
    <row r="12">
      <c r="A12" t="inlineStr">
        <is>
          <t>Canada</t>
        </is>
      </c>
      <c r="B12" t="n">
        <v>0.6</v>
      </c>
      <c r="C12" t="inlineStr">
        <is>
          <t>DIRECT</t>
        </is>
      </c>
      <c r="D12" t="inlineStr">
        <is>
          <t>(2050) CAC Concrete Zero: 60% in 2050 (75% 2030, 68% 2040) (DIRECT). A snippet quotes 890 -&gt; 630 kg/t - check the ISED roadmap figure.</t>
        </is>
      </c>
    </row>
    <row r="13">
      <c r="A13" t="inlineStr">
        <is>
          <t>Indonesia</t>
        </is>
      </c>
      <c r="D13" t="inlineStr">
        <is>
          <t>TO FILL</t>
        </is>
      </c>
    </row>
    <row r="14">
      <c r="A14" t="inlineStr">
        <is>
          <t>Australia</t>
        </is>
      </c>
      <c r="D14" t="inlineStr">
        <is>
          <t>TO FILL</t>
        </is>
      </c>
    </row>
  </sheetData>
  <dataValidations count="1">
    <dataValidation sqref="B1" showDropDown="0" showInputMessage="0" showErrorMessage="0" allowBlank="0" type="list">
      <formula1>=$A$5:$A$14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s>
  <sheetData>
    <row r="1">
      <c r="A1" t="inlineStr">
        <is>
          <t>Selected region</t>
        </is>
      </c>
      <c r="B1">
        <f>Regions!B1</f>
        <v/>
      </c>
    </row>
    <row r="2">
      <c r="A2" t="inlineStr">
        <is>
          <t>GCCA global 2050 clinker-to-binder ratio (fallback, flagged)</t>
        </is>
      </c>
      <c r="B2" t="n">
        <v>0.52</v>
      </c>
    </row>
    <row r="3">
      <c r="A3" t="inlineStr">
        <is>
          <t>Minimum Achievable Clinker to Cement Ratio</t>
        </is>
      </c>
      <c r="B3">
        <f>IF(ISNUMBER(INDEX(Regions!$B$5:$B$14,MATCH(Regions!$B$1,Regions!$A$5:$A$14,0))),INDEX(Regions!$B$5:$B$14,MATCH(Regions!$B$1,Regions!$A$5:$A$14,0)),B2)</f>
        <v/>
      </c>
    </row>
    <row r="4">
      <c r="A4" t="inlineStr">
        <is>
          <t>Status</t>
        </is>
      </c>
      <c r="B4">
        <f>IF(ISNUMBER(INDEX(Regions!$B$5:$B$14,MATCH(Regions!$B$1,Regions!$A$5:$A$14,0))),"region value","WARN - global fallback in use")</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8" customWidth="1" min="1" max="1"/>
  </cols>
  <sheetData>
    <row r="1">
      <c r="A1" t="inlineStr">
        <is>
          <t>Cross-check: 'MACtCR' export-tab literal value vs. Derivation</t>
        </is>
      </c>
    </row>
    <row r="3">
      <c r="A3" t="inlineStr">
        <is>
          <t>Export literal</t>
        </is>
      </c>
      <c r="B3" t="n">
        <v>0.65</v>
      </c>
    </row>
    <row r="4">
      <c r="A4" t="inlineStr">
        <is>
          <t>Derivation formula</t>
        </is>
      </c>
      <c r="B4">
        <f>Derivation!B3</f>
        <v/>
      </c>
    </row>
    <row r="5">
      <c r="A5" t="inlineStr">
        <is>
          <t>ABS(Export - Derivation)</t>
        </is>
      </c>
      <c r="B5">
        <f>ABS(B3-B4)</f>
        <v/>
      </c>
    </row>
    <row r="6">
      <c r="A6" t="inlineStr">
        <is>
          <t>Result</t>
        </is>
      </c>
      <c r="B6">
        <f>IF(B5&lt;1e-06,"PASS","FAIL")</f>
        <v/>
      </c>
    </row>
    <row r="7">
      <c r="A7" t="inlineStr">
        <is>
          <t>Range check: 0.4 &lt; value &lt; BAU 2025 ratio 0.83</t>
        </is>
      </c>
      <c r="B7">
        <f>IF(AND(B3&gt;0.4,B3&lt;0.83),"PASS","FAIL")</f>
        <v/>
      </c>
    </row>
  </sheetData>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B2"/>
  <sheetViews>
    <sheetView workbookViewId="0">
      <selection activeCell="A1" sqref="A1"/>
    </sheetView>
  </sheetViews>
  <sheetFormatPr baseColWidth="8" defaultRowHeight="15"/>
  <sheetData>
    <row r="1">
      <c r="A1" t="inlineStr">
        <is>
          <t>Unit: dimensionless (DRAFT 0.65 = achievable US clinker-to-cement ratio at full SCM deployment; PCA/GCCA roadmap judgment, replaces PACS+MASCM 2026-09-28 - verify before release)</t>
        </is>
      </c>
      <c r="B1" t="inlineStr">
        <is>
          <t>Value</t>
        </is>
      </c>
    </row>
    <row r="2">
      <c r="A2" t="inlineStr">
        <is>
          <t>Minimum Achievable Clinker to Cement Ratio</t>
        </is>
      </c>
      <c r="B2"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2026-09-28T13:54:44Z</dcterms:created>
  <dcterms:modified xsi:type="dcterms:W3CDTF">2026-10-01T20:23:34Z</dcterms:modified>
</cp:coreProperties>
</file>