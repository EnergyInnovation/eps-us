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WHRCC\"/>
    </mc:Choice>
  </mc:AlternateContent>
  <xr:revisionPtr revIDLastSave="0" documentId="13_ncr:1_{2CC4D6F5-61F2-491E-A4DB-A0A0685598D4}" xr6:coauthVersionLast="47" xr6:coauthVersionMax="47" xr10:uidLastSave="{00000000-0000-0000-0000-000000000000}"/>
  <bookViews>
    <workbookView xWindow="-120" yWindow="-120" windowWidth="29040" windowHeight="17520" tabRatio="770" activeTab="3" xr2:uid="{7D5963C0-FA73-4A20-914D-C5C19178119F}"/>
  </bookViews>
  <sheets>
    <sheet name="About" sheetId="1" r:id="rId1"/>
    <sheet name="Kermeli Data" sheetId="150" r:id="rId2"/>
    <sheet name="Calcs" sheetId="151" r:id="rId3"/>
    <sheet name="WHRCC" sheetId="148" r:id="rId4"/>
  </sheets>
  <externalReferences>
    <externalReference r:id="rId5"/>
    <externalReference r:id="rId6"/>
    <externalReference r:id="rId7"/>
    <externalReference r:id="rId8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[3]About!$A$31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2O_to_CO2e">'[1]Cross-Page Data'!$C$13</definedName>
    <definedName name="unit_conv">[4]About!$A$123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48" l="1"/>
  <c r="E24" i="151"/>
  <c r="F24" i="151"/>
  <c r="L25" i="151"/>
  <c r="H24" i="151" l="1"/>
  <c r="G24" i="151"/>
  <c r="H23" i="151"/>
  <c r="G23" i="151"/>
  <c r="F23" i="151"/>
  <c r="H22" i="151"/>
  <c r="G22" i="151"/>
  <c r="F22" i="151"/>
  <c r="H21" i="151"/>
  <c r="G21" i="151"/>
  <c r="F21" i="151"/>
  <c r="H20" i="151"/>
  <c r="G20" i="151"/>
  <c r="F20" i="151"/>
  <c r="H19" i="151"/>
  <c r="G19" i="151"/>
  <c r="F19" i="151"/>
  <c r="H18" i="151"/>
  <c r="G18" i="151"/>
  <c r="F18" i="151"/>
  <c r="H17" i="151"/>
  <c r="G17" i="151"/>
  <c r="F17" i="151"/>
  <c r="H16" i="151"/>
  <c r="G16" i="151"/>
  <c r="F16" i="151"/>
  <c r="H15" i="151"/>
  <c r="G15" i="151"/>
  <c r="F15" i="151"/>
  <c r="H14" i="151"/>
  <c r="G14" i="151"/>
  <c r="F14" i="151"/>
  <c r="H13" i="151"/>
  <c r="G13" i="151"/>
  <c r="F13" i="151"/>
  <c r="H12" i="151"/>
  <c r="G12" i="151"/>
  <c r="F12" i="151"/>
  <c r="H11" i="151"/>
  <c r="G11" i="151"/>
  <c r="F11" i="151"/>
  <c r="H10" i="151"/>
  <c r="G10" i="151"/>
  <c r="F10" i="151"/>
  <c r="H9" i="151"/>
  <c r="G9" i="151"/>
  <c r="F9" i="151"/>
  <c r="H8" i="151"/>
  <c r="G8" i="151"/>
  <c r="F8" i="151"/>
  <c r="H7" i="151"/>
  <c r="G7" i="151"/>
  <c r="F7" i="151"/>
  <c r="H6" i="151"/>
  <c r="G6" i="151"/>
  <c r="F6" i="151"/>
  <c r="H5" i="151"/>
  <c r="G5" i="151"/>
  <c r="F5" i="151"/>
  <c r="H4" i="151"/>
  <c r="G4" i="151"/>
  <c r="F4" i="151"/>
  <c r="D24" i="151"/>
  <c r="E23" i="151"/>
  <c r="D23" i="151"/>
  <c r="E22" i="151"/>
  <c r="D22" i="151"/>
  <c r="E21" i="151"/>
  <c r="D21" i="151"/>
  <c r="E20" i="151"/>
  <c r="D20" i="151"/>
  <c r="E19" i="151"/>
  <c r="D19" i="151"/>
  <c r="E18" i="151"/>
  <c r="D18" i="151"/>
  <c r="E17" i="151"/>
  <c r="D17" i="151"/>
  <c r="E16" i="151"/>
  <c r="D16" i="151"/>
  <c r="E15" i="151"/>
  <c r="E14" i="151"/>
  <c r="D14" i="151"/>
  <c r="E13" i="151"/>
  <c r="D13" i="151"/>
  <c r="E12" i="151"/>
  <c r="D12" i="151"/>
  <c r="E11" i="151"/>
  <c r="D11" i="151"/>
  <c r="E10" i="151"/>
  <c r="D10" i="151"/>
  <c r="I10" i="151" s="1"/>
  <c r="J10" i="151" s="1"/>
  <c r="E9" i="151"/>
  <c r="D9" i="151"/>
  <c r="E8" i="151"/>
  <c r="D8" i="151"/>
  <c r="I8" i="151" s="1"/>
  <c r="J8" i="151" s="1"/>
  <c r="E7" i="151"/>
  <c r="D7" i="151"/>
  <c r="E6" i="151"/>
  <c r="D6" i="151"/>
  <c r="E5" i="151"/>
  <c r="D5" i="151"/>
  <c r="I5" i="151" s="1"/>
  <c r="J5" i="151" s="1"/>
  <c r="E4" i="151"/>
  <c r="D4" i="151"/>
  <c r="I7" i="151" l="1"/>
  <c r="J7" i="151" s="1"/>
  <c r="I9" i="151"/>
  <c r="J9" i="151" s="1"/>
  <c r="I14" i="151"/>
  <c r="J14" i="151" s="1"/>
  <c r="I6" i="151"/>
  <c r="J6" i="151" s="1"/>
  <c r="I17" i="151"/>
  <c r="J17" i="151" s="1"/>
  <c r="I19" i="151"/>
  <c r="J19" i="151" s="1"/>
  <c r="I20" i="151"/>
  <c r="J20" i="151" s="1"/>
  <c r="I16" i="151"/>
  <c r="J16" i="151" s="1"/>
  <c r="I4" i="151"/>
  <c r="J4" i="151" s="1"/>
  <c r="I11" i="151"/>
  <c r="J11" i="151" s="1"/>
  <c r="I22" i="151"/>
  <c r="J22" i="151" s="1"/>
  <c r="I15" i="151"/>
  <c r="J15" i="151" s="1"/>
  <c r="I18" i="151"/>
  <c r="J18" i="151" s="1"/>
  <c r="I12" i="151"/>
  <c r="J12" i="151" s="1"/>
  <c r="I23" i="151"/>
  <c r="J23" i="151" s="1"/>
  <c r="I21" i="151"/>
  <c r="J21" i="151" s="1"/>
  <c r="I13" i="151"/>
  <c r="J13" i="151" s="1"/>
  <c r="I24" i="151"/>
  <c r="I26" i="151" l="1"/>
  <c r="J24" i="151"/>
  <c r="I27" i="151"/>
  <c r="J27" i="151" l="1"/>
  <c r="J26" i="151"/>
</calcChain>
</file>

<file path=xl/sharedStrings.xml><?xml version="1.0" encoding="utf-8"?>
<sst xmlns="http://schemas.openxmlformats.org/spreadsheetml/2006/main" count="422" uniqueCount="201">
  <si>
    <t>Sources:</t>
  </si>
  <si>
    <t>Notes:</t>
  </si>
  <si>
    <t>Calculations</t>
  </si>
  <si>
    <t>Data from Kermeli et al. (SM)</t>
  </si>
  <si>
    <t>https://link.springer.com/article/10.1007/s12053-022-10071-8#Sec10</t>
  </si>
  <si>
    <r>
      <t>NPV =CF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CF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/(1+r)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CF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/(1+r)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… + CF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/(1+r)</t>
    </r>
    <r>
      <rPr>
        <vertAlign val="superscript"/>
        <sz val="11"/>
        <color theme="1"/>
        <rFont val="Calibri"/>
        <family val="2"/>
        <scheme val="minor"/>
      </rPr>
      <t>n</t>
    </r>
  </si>
  <si>
    <t>r = hurdle rate = WACC + risk premium</t>
  </si>
  <si>
    <t>https://capitalgains.thediff.co/p/hurdle-rates</t>
  </si>
  <si>
    <t>Energy Savings &amp; Cost of Measures from Kermeli et al.</t>
  </si>
  <si>
    <t>Product / Process</t>
  </si>
  <si>
    <t>Technology / Measure</t>
  </si>
  <si>
    <t>2015 Diffusion</t>
  </si>
  <si>
    <t>2030 Implementation</t>
  </si>
  <si>
    <t>2050 Implementation</t>
  </si>
  <si>
    <t>Fuel Savings (GJ/t)</t>
  </si>
  <si>
    <t>Elec. Savings (GJ/t)</t>
  </si>
  <si>
    <t>H2 Savings (GJ/t)</t>
  </si>
  <si>
    <t>Investment (€/t)</t>
  </si>
  <si>
    <t>Technical lifetime (years)</t>
  </si>
  <si>
    <t>Annual O&amp;M Costs (€/t)</t>
  </si>
  <si>
    <t>Primary aluminum</t>
  </si>
  <si>
    <r>
      <t>PFPB</t>
    </r>
    <r>
      <rPr>
        <vertAlign val="superscript"/>
        <sz val="9"/>
        <color rgb="FF000000"/>
        <rFont val="Calibri"/>
        <family val="2"/>
      </rPr>
      <t>a</t>
    </r>
  </si>
  <si>
    <r>
      <t>Optimization electrolysis control</t>
    </r>
    <r>
      <rPr>
        <vertAlign val="superscript"/>
        <sz val="9"/>
        <color rgb="FF000000"/>
        <rFont val="Calibri"/>
        <family val="2"/>
      </rPr>
      <t>c</t>
    </r>
  </si>
  <si>
    <r>
      <t>Optimization cell design</t>
    </r>
    <r>
      <rPr>
        <vertAlign val="superscript"/>
        <sz val="9"/>
        <color rgb="FF000000"/>
        <rFont val="Calibri"/>
        <family val="2"/>
      </rPr>
      <t>c</t>
    </r>
  </si>
  <si>
    <t>Secondary aluminum</t>
  </si>
  <si>
    <r>
      <t>Regenerative or recuperative burner</t>
    </r>
    <r>
      <rPr>
        <vertAlign val="superscript"/>
        <sz val="9"/>
        <color theme="1"/>
        <rFont val="Calibri"/>
        <family val="2"/>
      </rPr>
      <t>d</t>
    </r>
  </si>
  <si>
    <r>
      <t>New decoating equipment</t>
    </r>
    <r>
      <rPr>
        <vertAlign val="superscript"/>
        <sz val="9"/>
        <color theme="1"/>
        <rFont val="Calibri"/>
        <family val="2"/>
      </rPr>
      <t>d</t>
    </r>
  </si>
  <si>
    <t>Aluminum foundries</t>
  </si>
  <si>
    <r>
      <t>Improved process scheduling</t>
    </r>
    <r>
      <rPr>
        <vertAlign val="superscript"/>
        <sz val="9"/>
        <color theme="1"/>
        <rFont val="Calibri"/>
        <family val="2"/>
      </rPr>
      <t>e</t>
    </r>
  </si>
  <si>
    <r>
      <t>Regenerative or recuperative burner</t>
    </r>
    <r>
      <rPr>
        <vertAlign val="superscript"/>
        <sz val="9"/>
        <color theme="1"/>
        <rFont val="Calibri"/>
        <family val="2"/>
      </rPr>
      <t>e</t>
    </r>
  </si>
  <si>
    <r>
      <t>Liquid metal as feedstock</t>
    </r>
    <r>
      <rPr>
        <vertAlign val="superscript"/>
        <sz val="9"/>
        <color theme="1"/>
        <rFont val="Calibri"/>
        <family val="2"/>
      </rPr>
      <t>e</t>
    </r>
  </si>
  <si>
    <t>Coke oven</t>
  </si>
  <si>
    <r>
      <t>Programmed heating</t>
    </r>
    <r>
      <rPr>
        <vertAlign val="superscript"/>
        <sz val="9"/>
        <color rgb="FF000000"/>
        <rFont val="Calibri"/>
        <family val="2"/>
      </rPr>
      <t>a</t>
    </r>
  </si>
  <si>
    <r>
      <t>Variable speed drive on compressors</t>
    </r>
    <r>
      <rPr>
        <vertAlign val="superscript"/>
        <sz val="9"/>
        <color rgb="FF000000"/>
        <rFont val="Calibri"/>
        <family val="2"/>
      </rPr>
      <t>a</t>
    </r>
  </si>
  <si>
    <r>
      <t>Coal moisture control</t>
    </r>
    <r>
      <rPr>
        <vertAlign val="superscript"/>
        <sz val="9"/>
        <color rgb="FF000000"/>
        <rFont val="Calibri"/>
        <family val="2"/>
      </rPr>
      <t>a</t>
    </r>
  </si>
  <si>
    <t>Pig iron</t>
  </si>
  <si>
    <r>
      <t>Waste heat recovery blast furnace slag</t>
    </r>
    <r>
      <rPr>
        <vertAlign val="superscript"/>
        <sz val="9"/>
        <color rgb="FF000000"/>
        <rFont val="Calibri"/>
        <family val="2"/>
      </rPr>
      <t>b</t>
    </r>
  </si>
  <si>
    <r>
      <t>Top gas recovery turbine</t>
    </r>
    <r>
      <rPr>
        <vertAlign val="superscript"/>
        <sz val="9"/>
        <color rgb="FF000000"/>
        <rFont val="Calibri"/>
        <family val="2"/>
      </rPr>
      <t>b</t>
    </r>
  </si>
  <si>
    <r>
      <t>Moisture Removing Blowing Technique in Blast Furnace</t>
    </r>
    <r>
      <rPr>
        <vertAlign val="superscript"/>
        <sz val="9"/>
        <color rgb="FF000000"/>
        <rFont val="Calibri"/>
        <family val="2"/>
      </rPr>
      <t>c</t>
    </r>
  </si>
  <si>
    <r>
      <t>Injection of pulverized coal in BF</t>
    </r>
    <r>
      <rPr>
        <vertAlign val="superscript"/>
        <sz val="9"/>
        <color rgb="FF000000"/>
        <rFont val="Calibri"/>
        <family val="2"/>
      </rPr>
      <t>c</t>
    </r>
    <r>
      <rPr>
        <sz val="9"/>
        <color rgb="FF000000"/>
        <rFont val="Calibri"/>
        <family val="2"/>
      </rPr>
      <t xml:space="preserve"> </t>
    </r>
  </si>
  <si>
    <r>
      <t>Cogeneration (for the use of untapped coke oven gas, blast furnace gas, and basic oxygen furnace-gas in integrated steel mills)</t>
    </r>
    <r>
      <rPr>
        <vertAlign val="superscript"/>
        <sz val="9"/>
        <color rgb="FF000000"/>
        <rFont val="Calibri"/>
        <family val="2"/>
      </rPr>
      <t>c</t>
    </r>
  </si>
  <si>
    <t>Recovery of blast furnace gas</t>
  </si>
  <si>
    <r>
      <t>Improved hot blast stove control</t>
    </r>
    <r>
      <rPr>
        <vertAlign val="superscript"/>
        <sz val="9"/>
        <color rgb="FF000000"/>
        <rFont val="Calibri"/>
        <family val="2"/>
      </rPr>
      <t>c</t>
    </r>
  </si>
  <si>
    <r>
      <t>Improved blast furnace control</t>
    </r>
    <r>
      <rPr>
        <vertAlign val="superscript"/>
        <sz val="9"/>
        <color rgb="FF000000"/>
        <rFont val="Calibri"/>
        <family val="2"/>
      </rPr>
      <t>c</t>
    </r>
  </si>
  <si>
    <t>BF/BOF steel</t>
  </si>
  <si>
    <r>
      <t>Recovery of BOF and sensible heat</t>
    </r>
    <r>
      <rPr>
        <vertAlign val="superscript"/>
        <sz val="9"/>
        <color rgb="FF000000"/>
        <rFont val="Calibri"/>
        <family val="2"/>
      </rPr>
      <t>c</t>
    </r>
  </si>
  <si>
    <r>
      <t>Scrap preheating</t>
    </r>
    <r>
      <rPr>
        <vertAlign val="superscript"/>
        <sz val="9"/>
        <color rgb="FF000000"/>
        <rFont val="Calibri"/>
        <family val="2"/>
      </rPr>
      <t>c</t>
    </r>
  </si>
  <si>
    <r>
      <t>Variable speed drives for flue gas control, pumps, fans in integrated steel mills</t>
    </r>
    <r>
      <rPr>
        <vertAlign val="superscript"/>
        <sz val="9"/>
        <color rgb="FF000000"/>
        <rFont val="Calibri"/>
        <family val="2"/>
      </rPr>
      <t>c</t>
    </r>
  </si>
  <si>
    <r>
      <t>Energy monitoring and management systems</t>
    </r>
    <r>
      <rPr>
        <vertAlign val="superscript"/>
        <sz val="9"/>
        <color rgb="FF000000"/>
        <rFont val="Calibri"/>
        <family val="2"/>
      </rPr>
      <t>c</t>
    </r>
  </si>
  <si>
    <t>EAF steel</t>
  </si>
  <si>
    <r>
      <t>Ultra-high power (UHP)</t>
    </r>
    <r>
      <rPr>
        <vertAlign val="superscript"/>
        <sz val="9"/>
        <color rgb="FF000000"/>
        <rFont val="Calibri"/>
        <family val="2"/>
      </rPr>
      <t>c</t>
    </r>
  </si>
  <si>
    <r>
      <t>Improving process control</t>
    </r>
    <r>
      <rPr>
        <vertAlign val="superscript"/>
        <sz val="9"/>
        <color rgb="FF000000"/>
        <rFont val="Calibri"/>
        <family val="2"/>
      </rPr>
      <t>c</t>
    </r>
  </si>
  <si>
    <t>Rolled steel</t>
  </si>
  <si>
    <r>
      <t>Recuperative or regenerative burner</t>
    </r>
    <r>
      <rPr>
        <vertAlign val="superscript"/>
        <sz val="9"/>
        <color rgb="FF000000"/>
        <rFont val="Calibri"/>
        <family val="2"/>
      </rPr>
      <t>c</t>
    </r>
  </si>
  <si>
    <r>
      <t>Endless Hot Rolling of Steel Sheets</t>
    </r>
    <r>
      <rPr>
        <vertAlign val="superscript"/>
        <sz val="9"/>
        <color rgb="FF000000"/>
        <rFont val="Calibri"/>
        <family val="2"/>
      </rPr>
      <t>c</t>
    </r>
    <r>
      <rPr>
        <sz val="9"/>
        <color rgb="FF000000"/>
        <rFont val="Calibri"/>
        <family val="2"/>
      </rPr>
      <t xml:space="preserve"> </t>
    </r>
  </si>
  <si>
    <r>
      <t>Process control in hot rolling</t>
    </r>
    <r>
      <rPr>
        <vertAlign val="superscript"/>
        <sz val="9"/>
        <color rgb="FF000000"/>
        <rFont val="Calibri"/>
        <family val="2"/>
      </rPr>
      <t>c</t>
    </r>
  </si>
  <si>
    <t>Container glass</t>
  </si>
  <si>
    <r>
      <t>Batch/cullet preheating</t>
    </r>
    <r>
      <rPr>
        <vertAlign val="superscript"/>
        <sz val="9"/>
        <color rgb="FF000000"/>
        <rFont val="Calibri"/>
        <family val="2"/>
      </rPr>
      <t>a</t>
    </r>
  </si>
  <si>
    <r>
      <t>Increase of cullets</t>
    </r>
    <r>
      <rPr>
        <vertAlign val="superscript"/>
        <sz val="9"/>
        <color rgb="FF000000"/>
        <rFont val="Calibri"/>
        <family val="2"/>
      </rPr>
      <t>b</t>
    </r>
  </si>
  <si>
    <r>
      <t>Low NOx burners</t>
    </r>
    <r>
      <rPr>
        <vertAlign val="superscript"/>
        <sz val="9"/>
        <color rgb="FF000000"/>
        <rFont val="Calibri"/>
        <family val="2"/>
      </rPr>
      <t>a</t>
    </r>
  </si>
  <si>
    <r>
      <t>Optimized burning</t>
    </r>
    <r>
      <rPr>
        <vertAlign val="superscript"/>
        <sz val="9"/>
        <color rgb="FF000000"/>
        <rFont val="Calibri"/>
        <family val="2"/>
      </rPr>
      <t>c</t>
    </r>
  </si>
  <si>
    <r>
      <t>Process Control-Software and Image based control</t>
    </r>
    <r>
      <rPr>
        <vertAlign val="superscript"/>
        <sz val="9"/>
        <color rgb="FF000000"/>
        <rFont val="Calibri"/>
        <family val="2"/>
      </rPr>
      <t>a</t>
    </r>
  </si>
  <si>
    <t>Flat glass</t>
  </si>
  <si>
    <r>
      <t>Waste heat recovery</t>
    </r>
    <r>
      <rPr>
        <vertAlign val="superscript"/>
        <sz val="9"/>
        <color rgb="FF000000"/>
        <rFont val="Calibri"/>
        <family val="2"/>
      </rPr>
      <t>d</t>
    </r>
  </si>
  <si>
    <r>
      <t>Batch/cullet preheating</t>
    </r>
    <r>
      <rPr>
        <vertAlign val="superscript"/>
        <sz val="9"/>
        <color rgb="FF000000"/>
        <rFont val="Calibri"/>
        <family val="2"/>
      </rPr>
      <t>e</t>
    </r>
  </si>
  <si>
    <t>Mechanical pulp</t>
  </si>
  <si>
    <r>
      <t>Heat recovery (TMP, GW)</t>
    </r>
    <r>
      <rPr>
        <vertAlign val="superscript"/>
        <sz val="9"/>
        <color theme="1"/>
        <rFont val="Calibri"/>
        <family val="2"/>
      </rPr>
      <t>a</t>
    </r>
  </si>
  <si>
    <r>
      <t>Efficient refiner and pretreatment (TMP)</t>
    </r>
    <r>
      <rPr>
        <vertAlign val="superscript"/>
        <sz val="9"/>
        <color theme="1"/>
        <rFont val="Calibri"/>
        <family val="2"/>
      </rPr>
      <t>a</t>
    </r>
  </si>
  <si>
    <t>Recovered fibre pulp</t>
  </si>
  <si>
    <r>
      <t>High consistency pulping</t>
    </r>
    <r>
      <rPr>
        <vertAlign val="superscript"/>
        <sz val="9"/>
        <color theme="1"/>
        <rFont val="Calibri"/>
        <family val="2"/>
      </rPr>
      <t>b</t>
    </r>
  </si>
  <si>
    <r>
      <t>Efficient screening</t>
    </r>
    <r>
      <rPr>
        <vertAlign val="superscript"/>
        <sz val="9"/>
        <color theme="1"/>
        <rFont val="Calibri"/>
        <family val="2"/>
      </rPr>
      <t>b</t>
    </r>
  </si>
  <si>
    <r>
      <t>Heat recovery from bleaching</t>
    </r>
    <r>
      <rPr>
        <vertAlign val="superscript"/>
        <sz val="9"/>
        <color theme="1"/>
        <rFont val="Calibri"/>
        <family val="2"/>
      </rPr>
      <t>b</t>
    </r>
  </si>
  <si>
    <r>
      <t>Efficient disperser</t>
    </r>
    <r>
      <rPr>
        <vertAlign val="superscript"/>
        <sz val="9"/>
        <color theme="1"/>
        <rFont val="Calibri"/>
        <family val="2"/>
      </rPr>
      <t>b</t>
    </r>
  </si>
  <si>
    <t>Tissue paper</t>
  </si>
  <si>
    <r>
      <t>Efficient refiners</t>
    </r>
    <r>
      <rPr>
        <vertAlign val="superscript"/>
        <sz val="9"/>
        <color theme="1"/>
        <rFont val="Calibri"/>
        <family val="2"/>
      </rPr>
      <t>a</t>
    </r>
  </si>
  <si>
    <r>
      <t>Optimization of refining</t>
    </r>
    <r>
      <rPr>
        <vertAlign val="superscript"/>
        <sz val="9"/>
        <color theme="1"/>
        <rFont val="Calibri"/>
        <family val="2"/>
      </rPr>
      <t>a</t>
    </r>
  </si>
  <si>
    <r>
      <t>Steambox</t>
    </r>
    <r>
      <rPr>
        <vertAlign val="superscript"/>
        <sz val="9"/>
        <color theme="1"/>
        <rFont val="Calibri"/>
        <family val="2"/>
      </rPr>
      <t>a</t>
    </r>
  </si>
  <si>
    <r>
      <t>Shoepress</t>
    </r>
    <r>
      <rPr>
        <vertAlign val="superscript"/>
        <sz val="9"/>
        <color theme="1"/>
        <rFont val="Calibri"/>
        <family val="2"/>
      </rPr>
      <t>a</t>
    </r>
  </si>
  <si>
    <r>
      <t>Heat recovery and integration</t>
    </r>
    <r>
      <rPr>
        <vertAlign val="superscript"/>
        <sz val="9"/>
        <color theme="1"/>
        <rFont val="Calibri"/>
        <family val="2"/>
      </rPr>
      <t>a</t>
    </r>
  </si>
  <si>
    <t>Graphic paper</t>
  </si>
  <si>
    <t>Optimization of refining</t>
  </si>
  <si>
    <t>Board and packaging paper</t>
  </si>
  <si>
    <t>Ethylene</t>
  </si>
  <si>
    <r>
      <t>Advanced furnace materials</t>
    </r>
    <r>
      <rPr>
        <vertAlign val="superscript"/>
        <sz val="9"/>
        <color rgb="FF000000"/>
        <rFont val="Calibri"/>
        <family val="2"/>
      </rPr>
      <t>a</t>
    </r>
  </si>
  <si>
    <r>
      <t>Improving compression and separation section</t>
    </r>
    <r>
      <rPr>
        <vertAlign val="superscript"/>
        <sz val="9"/>
        <color rgb="FF000000"/>
        <rFont val="Calibri"/>
        <family val="2"/>
      </rPr>
      <t>b</t>
    </r>
  </si>
  <si>
    <r>
      <t>Integration of a gas turbine</t>
    </r>
    <r>
      <rPr>
        <vertAlign val="superscript"/>
        <sz val="9"/>
        <color rgb="FF000000"/>
        <rFont val="Calibri"/>
        <family val="2"/>
      </rPr>
      <t>c</t>
    </r>
  </si>
  <si>
    <r>
      <t>Improved compressors</t>
    </r>
    <r>
      <rPr>
        <vertAlign val="superscript"/>
        <sz val="9"/>
        <color rgb="FF000000"/>
        <rFont val="Calibri"/>
        <family val="2"/>
      </rPr>
      <t>d</t>
    </r>
  </si>
  <si>
    <r>
      <t>Utilization of flare gas</t>
    </r>
    <r>
      <rPr>
        <vertAlign val="superscript"/>
        <sz val="9"/>
        <color rgb="FF000000"/>
        <rFont val="Calibri"/>
        <family val="2"/>
      </rPr>
      <t>e</t>
    </r>
  </si>
  <si>
    <r>
      <t>Modern control system</t>
    </r>
    <r>
      <rPr>
        <vertAlign val="superscript"/>
        <sz val="9"/>
        <color rgb="FF000000"/>
        <rFont val="Calibri"/>
        <family val="2"/>
      </rPr>
      <t>e</t>
    </r>
  </si>
  <si>
    <t>Soda ash</t>
  </si>
  <si>
    <r>
      <t>Integrated design and operation</t>
    </r>
    <r>
      <rPr>
        <vertAlign val="superscript"/>
        <sz val="9"/>
        <color rgb="FF000000"/>
        <rFont val="Calibri"/>
        <family val="2"/>
      </rPr>
      <t>f</t>
    </r>
  </si>
  <si>
    <r>
      <t>Vertical shaft kiln for concentrated CO</t>
    </r>
    <r>
      <rPr>
        <vertAlign val="subscript"/>
        <sz val="9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 xml:space="preserve"> gas and reactive lime</t>
    </r>
    <r>
      <rPr>
        <vertAlign val="superscript"/>
        <sz val="9"/>
        <color rgb="FF000000"/>
        <rFont val="Calibri"/>
        <family val="2"/>
      </rPr>
      <t>f</t>
    </r>
  </si>
  <si>
    <r>
      <t>Heat integration</t>
    </r>
    <r>
      <rPr>
        <vertAlign val="superscript"/>
        <sz val="9"/>
        <color rgb="FF000000"/>
        <rFont val="Calibri"/>
        <family val="2"/>
      </rPr>
      <t>e</t>
    </r>
  </si>
  <si>
    <r>
      <t>Usage of CHP</t>
    </r>
    <r>
      <rPr>
        <vertAlign val="superscript"/>
        <sz val="9"/>
        <color rgb="FF000000"/>
        <rFont val="Calibri"/>
        <family val="2"/>
      </rPr>
      <t>e</t>
    </r>
  </si>
  <si>
    <r>
      <t>Efficiency package</t>
    </r>
    <r>
      <rPr>
        <vertAlign val="superscript"/>
        <sz val="9"/>
        <color rgb="FF000000"/>
        <rFont val="Calibri"/>
        <family val="2"/>
      </rPr>
      <t>e</t>
    </r>
  </si>
  <si>
    <r>
      <t>Usage of purer feed</t>
    </r>
    <r>
      <rPr>
        <vertAlign val="superscript"/>
        <sz val="9"/>
        <color rgb="FF000000"/>
        <rFont val="Calibri"/>
        <family val="2"/>
      </rPr>
      <t>e</t>
    </r>
  </si>
  <si>
    <t>Carbon black</t>
  </si>
  <si>
    <r>
      <t>Optimization of black carbon separation</t>
    </r>
    <r>
      <rPr>
        <vertAlign val="superscript"/>
        <sz val="9"/>
        <color rgb="FF000000"/>
        <rFont val="Calibri"/>
        <family val="2"/>
      </rPr>
      <t>e</t>
    </r>
  </si>
  <si>
    <t>Methanol</t>
  </si>
  <si>
    <r>
      <t>Efficiency package, synthesis gas section</t>
    </r>
    <r>
      <rPr>
        <vertAlign val="superscript"/>
        <sz val="9"/>
        <color rgb="FF000000"/>
        <rFont val="Calibri"/>
        <family val="2"/>
      </rPr>
      <t xml:space="preserve">e </t>
    </r>
  </si>
  <si>
    <r>
      <t>Efficiency package, methanol synthesis section</t>
    </r>
    <r>
      <rPr>
        <vertAlign val="superscript"/>
        <sz val="9"/>
        <color rgb="FF000000"/>
        <rFont val="Calibri"/>
        <family val="2"/>
      </rPr>
      <t>e</t>
    </r>
  </si>
  <si>
    <t>Ammonia</t>
  </si>
  <si>
    <r>
      <t>Improved CO</t>
    </r>
    <r>
      <rPr>
        <vertAlign val="subscript"/>
        <sz val="9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 xml:space="preserve"> removal section</t>
    </r>
    <r>
      <rPr>
        <vertAlign val="superscript"/>
        <sz val="9"/>
        <color rgb="FF000000"/>
        <rFont val="Calibri"/>
        <family val="2"/>
      </rPr>
      <t>f</t>
    </r>
  </si>
  <si>
    <r>
      <t>Indirect cooling of the ammonia synthesis reactor</t>
    </r>
    <r>
      <rPr>
        <vertAlign val="superscript"/>
        <sz val="9"/>
        <color rgb="FF000000"/>
        <rFont val="Calibri"/>
        <family val="2"/>
      </rPr>
      <t>f</t>
    </r>
  </si>
  <si>
    <r>
      <t>Increasing the air preheat with waste heat</t>
    </r>
    <r>
      <rPr>
        <vertAlign val="superscript"/>
        <sz val="9"/>
        <color rgb="FF000000"/>
        <rFont val="Calibri"/>
        <family val="2"/>
      </rPr>
      <t>f</t>
    </r>
  </si>
  <si>
    <t>Hydrogen recovery (such as PSA)</t>
  </si>
  <si>
    <t>Pre-reforming</t>
  </si>
  <si>
    <t>Advanced process control</t>
  </si>
  <si>
    <t>Clinker</t>
  </si>
  <si>
    <r>
      <t>Improved raw Mill Blending</t>
    </r>
    <r>
      <rPr>
        <vertAlign val="superscript"/>
        <sz val="9"/>
        <color theme="1"/>
        <rFont val="Calibri"/>
        <family val="2"/>
      </rPr>
      <t>a</t>
    </r>
  </si>
  <si>
    <r>
      <t>Use of High-Pressure Roller Presses</t>
    </r>
    <r>
      <rPr>
        <vertAlign val="superscript"/>
        <sz val="9"/>
        <color theme="1"/>
        <rFont val="Calibri"/>
        <family val="2"/>
      </rPr>
      <t>a</t>
    </r>
  </si>
  <si>
    <r>
      <t>High Efficiency Classifiers</t>
    </r>
    <r>
      <rPr>
        <vertAlign val="superscript"/>
        <sz val="9"/>
        <color theme="1"/>
        <rFont val="Calibri"/>
        <family val="2"/>
      </rPr>
      <t>b</t>
    </r>
  </si>
  <si>
    <r>
      <t>Raw Meal Process Control</t>
    </r>
    <r>
      <rPr>
        <vertAlign val="superscript"/>
        <sz val="9"/>
        <color theme="1"/>
        <rFont val="Calibri"/>
        <family val="2"/>
      </rPr>
      <t>b</t>
    </r>
  </si>
  <si>
    <r>
      <t>Energy Management and Control Systems</t>
    </r>
    <r>
      <rPr>
        <vertAlign val="superscript"/>
        <sz val="9"/>
        <color theme="1"/>
        <rFont val="Calibri"/>
        <family val="2"/>
      </rPr>
      <t>c</t>
    </r>
  </si>
  <si>
    <r>
      <t>Kiln Combustion System Improvements</t>
    </r>
    <r>
      <rPr>
        <vertAlign val="superscript"/>
        <sz val="9"/>
        <color theme="1"/>
        <rFont val="Calibri"/>
        <family val="2"/>
      </rPr>
      <t>c</t>
    </r>
  </si>
  <si>
    <r>
      <t>Indirect Firing</t>
    </r>
    <r>
      <rPr>
        <vertAlign val="superscript"/>
        <sz val="9"/>
        <color theme="1"/>
        <rFont val="Calibri"/>
        <family val="2"/>
      </rPr>
      <t>c</t>
    </r>
  </si>
  <si>
    <r>
      <t>Oxygen Enrichment technology</t>
    </r>
    <r>
      <rPr>
        <vertAlign val="superscript"/>
        <sz val="9"/>
        <color theme="1"/>
        <rFont val="Calibri"/>
        <family val="2"/>
      </rPr>
      <t>c</t>
    </r>
  </si>
  <si>
    <r>
      <t>Preheater Shell Heat Loss Reduction</t>
    </r>
    <r>
      <rPr>
        <vertAlign val="superscript"/>
        <sz val="9"/>
        <color theme="1"/>
        <rFont val="Calibri"/>
        <family val="2"/>
      </rPr>
      <t>c</t>
    </r>
  </si>
  <si>
    <r>
      <t>Conversion to Grate Cooler</t>
    </r>
    <r>
      <rPr>
        <vertAlign val="superscript"/>
        <sz val="9"/>
        <color theme="1"/>
        <rFont val="Calibri"/>
        <family val="2"/>
      </rPr>
      <t>c</t>
    </r>
  </si>
  <si>
    <r>
      <t>Optimize Grate Cooler</t>
    </r>
    <r>
      <rPr>
        <vertAlign val="superscript"/>
        <sz val="9"/>
        <color theme="1"/>
        <rFont val="Calibri"/>
        <family val="2"/>
      </rPr>
      <t>c</t>
    </r>
  </si>
  <si>
    <r>
      <t>Low-Pressure Drop Suspension Preheaters</t>
    </r>
    <r>
      <rPr>
        <vertAlign val="superscript"/>
        <sz val="9"/>
        <color theme="1"/>
        <rFont val="Calibri"/>
        <family val="2"/>
      </rPr>
      <t>c</t>
    </r>
  </si>
  <si>
    <r>
      <t>Heat Recovery for Power Generation (ORC)</t>
    </r>
    <r>
      <rPr>
        <vertAlign val="superscript"/>
        <sz val="9"/>
        <color theme="1"/>
        <rFont val="Calibri"/>
        <family val="2"/>
      </rPr>
      <t>d</t>
    </r>
  </si>
  <si>
    <r>
      <t>Increase Preheater Stages (from 5 to 6)</t>
    </r>
    <r>
      <rPr>
        <vertAlign val="superscript"/>
        <sz val="9"/>
        <color theme="1"/>
        <rFont val="Calibri"/>
        <family val="2"/>
      </rPr>
      <t>c</t>
    </r>
  </si>
  <si>
    <r>
      <t>Addition of Precalciner or Upgrade</t>
    </r>
    <r>
      <rPr>
        <vertAlign val="superscript"/>
        <sz val="9"/>
        <color theme="1"/>
        <rFont val="Calibri"/>
        <family val="2"/>
      </rPr>
      <t>b</t>
    </r>
  </si>
  <si>
    <r>
      <t>Conversion of Long Dry Kiln to Preheater Precalciner</t>
    </r>
    <r>
      <rPr>
        <vertAlign val="superscript"/>
        <sz val="9"/>
        <color theme="1"/>
        <rFont val="Calibri"/>
        <family val="2"/>
      </rPr>
      <t>b</t>
    </r>
  </si>
  <si>
    <r>
      <t>Use of Fly Ash, Blast Furnace Slag in Clinker (15% substitution)</t>
    </r>
    <r>
      <rPr>
        <vertAlign val="superscript"/>
        <sz val="9"/>
        <color theme="1"/>
        <rFont val="Calibri"/>
        <family val="2"/>
      </rPr>
      <t>a</t>
    </r>
  </si>
  <si>
    <t>Cement</t>
  </si>
  <si>
    <r>
      <t>Biomass and Waste</t>
    </r>
    <r>
      <rPr>
        <vertAlign val="superscript"/>
        <sz val="9"/>
        <color theme="1"/>
        <rFont val="Calibri"/>
        <family val="2"/>
      </rPr>
      <t>e</t>
    </r>
  </si>
  <si>
    <r>
      <t>Energy Management and Process Control</t>
    </r>
    <r>
      <rPr>
        <vertAlign val="superscript"/>
        <sz val="9"/>
        <color theme="1"/>
        <rFont val="Calibri"/>
        <family val="2"/>
      </rPr>
      <t>b</t>
    </r>
  </si>
  <si>
    <r>
      <t>Replace ball mills with VRMs</t>
    </r>
    <r>
      <rPr>
        <vertAlign val="superscript"/>
        <sz val="9"/>
        <color theme="1"/>
        <rFont val="Calibri"/>
        <family val="2"/>
      </rPr>
      <t>a</t>
    </r>
  </si>
  <si>
    <r>
      <t>High-Efficiency Classifiers</t>
    </r>
    <r>
      <rPr>
        <vertAlign val="superscript"/>
        <sz val="9"/>
        <color theme="1"/>
        <rFont val="Calibri"/>
        <family val="2"/>
      </rPr>
      <t>b</t>
    </r>
  </si>
  <si>
    <r>
      <t>High efficiency motors</t>
    </r>
    <r>
      <rPr>
        <vertAlign val="superscript"/>
        <sz val="9"/>
        <color theme="1"/>
        <rFont val="Calibri"/>
        <family val="2"/>
      </rPr>
      <t>f</t>
    </r>
  </si>
  <si>
    <t>Adjustable speed drives</t>
  </si>
  <si>
    <r>
      <t>Induction furnaces</t>
    </r>
    <r>
      <rPr>
        <vertAlign val="superscript"/>
        <sz val="9"/>
        <color rgb="FF000000"/>
        <rFont val="Calibri"/>
        <family val="2"/>
      </rPr>
      <t>a</t>
    </r>
  </si>
  <si>
    <r>
      <t>Induction furnaces</t>
    </r>
    <r>
      <rPr>
        <vertAlign val="superscript"/>
        <sz val="9"/>
        <color rgb="FF000000"/>
        <rFont val="Calibri"/>
        <family val="2"/>
      </rPr>
      <t>a,b</t>
    </r>
  </si>
  <si>
    <r>
      <t>Inert Anodes</t>
    </r>
    <r>
      <rPr>
        <vertAlign val="superscript"/>
        <sz val="9"/>
        <color rgb="FF000000"/>
        <rFont val="Calibri"/>
        <family val="2"/>
      </rPr>
      <t>c</t>
    </r>
  </si>
  <si>
    <r>
      <t>Wetted Cathode</t>
    </r>
    <r>
      <rPr>
        <vertAlign val="superscript"/>
        <sz val="9"/>
        <color rgb="FF000000"/>
        <rFont val="Calibri"/>
        <family val="2"/>
      </rPr>
      <t>c</t>
    </r>
  </si>
  <si>
    <r>
      <t>Lower the electrolysis temperature</t>
    </r>
    <r>
      <rPr>
        <vertAlign val="superscript"/>
        <sz val="9"/>
        <color rgb="FF000000"/>
        <rFont val="Calibri"/>
        <family val="2"/>
      </rPr>
      <t>d</t>
    </r>
  </si>
  <si>
    <r>
      <t>Integration of casting and rolling (thin slab strip casting)</t>
    </r>
    <r>
      <rPr>
        <vertAlign val="superscript"/>
        <sz val="9"/>
        <color rgb="FF000000"/>
        <rFont val="Calibri"/>
        <family val="2"/>
      </rPr>
      <t>a</t>
    </r>
  </si>
  <si>
    <r>
      <t>DR electrolysis (Ulcowin, Siderwin, Ulcolysis)</t>
    </r>
    <r>
      <rPr>
        <vertAlign val="superscript"/>
        <sz val="9"/>
        <color rgb="FF000000"/>
        <rFont val="Calibri"/>
        <family val="2"/>
      </rPr>
      <t>b</t>
    </r>
  </si>
  <si>
    <r>
      <t>DR RES H2+EAF</t>
    </r>
    <r>
      <rPr>
        <vertAlign val="superscript"/>
        <sz val="9"/>
        <color rgb="FF000000"/>
        <rFont val="Calibri"/>
        <family val="2"/>
      </rPr>
      <t>b</t>
    </r>
  </si>
  <si>
    <r>
      <t>Coke dry quenching</t>
    </r>
    <r>
      <rPr>
        <vertAlign val="superscript"/>
        <sz val="9"/>
        <color rgb="FF000000"/>
        <rFont val="Calibri"/>
        <family val="2"/>
      </rPr>
      <t>c</t>
    </r>
  </si>
  <si>
    <r>
      <t>Top gas recycling</t>
    </r>
    <r>
      <rPr>
        <vertAlign val="superscript"/>
        <sz val="9"/>
        <color rgb="FF000000"/>
        <rFont val="Calibri"/>
        <family val="2"/>
      </rPr>
      <t>c</t>
    </r>
  </si>
  <si>
    <r>
      <t>Electric melters</t>
    </r>
    <r>
      <rPr>
        <vertAlign val="superscript"/>
        <sz val="9"/>
        <color rgb="FF000000"/>
        <rFont val="Calibri"/>
        <family val="2"/>
      </rPr>
      <t>a</t>
    </r>
  </si>
  <si>
    <t>Fast response</t>
  </si>
  <si>
    <t>Chemical pulp</t>
  </si>
  <si>
    <r>
      <t>Black liquor gasification</t>
    </r>
    <r>
      <rPr>
        <vertAlign val="superscript"/>
        <sz val="9"/>
        <color theme="1"/>
        <rFont val="Calibri"/>
        <family val="2"/>
      </rPr>
      <t>a</t>
    </r>
  </si>
  <si>
    <r>
      <t>H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boilers</t>
    </r>
  </si>
  <si>
    <t>High temperature heat pump</t>
  </si>
  <si>
    <r>
      <t>Enzymatic pre-treatment</t>
    </r>
    <r>
      <rPr>
        <vertAlign val="superscript"/>
        <sz val="9"/>
        <color theme="1"/>
        <rFont val="Calibri"/>
        <family val="2"/>
      </rPr>
      <t>b</t>
    </r>
  </si>
  <si>
    <r>
      <t>High efficiency grinding GW</t>
    </r>
    <r>
      <rPr>
        <vertAlign val="superscript"/>
        <sz val="9"/>
        <color theme="1"/>
        <rFont val="Calibri"/>
        <family val="2"/>
      </rPr>
      <t>b</t>
    </r>
  </si>
  <si>
    <r>
      <t>De-Inking flotation optimization</t>
    </r>
    <r>
      <rPr>
        <vertAlign val="superscript"/>
        <sz val="9"/>
        <color theme="1"/>
        <rFont val="Calibri"/>
        <family val="2"/>
      </rPr>
      <t>b</t>
    </r>
  </si>
  <si>
    <r>
      <t>Chemical modification of fibres</t>
    </r>
    <r>
      <rPr>
        <vertAlign val="superscript"/>
        <sz val="9"/>
        <color theme="1"/>
        <rFont val="Calibri"/>
        <family val="2"/>
      </rPr>
      <t>a</t>
    </r>
  </si>
  <si>
    <r>
      <t>New drying techniques</t>
    </r>
    <r>
      <rPr>
        <vertAlign val="superscript"/>
        <sz val="9"/>
        <color theme="1"/>
        <rFont val="Calibri"/>
        <family val="2"/>
      </rPr>
      <t>b</t>
    </r>
  </si>
  <si>
    <t>Electric boilers</t>
  </si>
  <si>
    <t>Industrial mechanical vapor recompression (MVR)</t>
  </si>
  <si>
    <t>Chemical modification of fibres</t>
  </si>
  <si>
    <r>
      <t>Thermal plasma torches</t>
    </r>
    <r>
      <rPr>
        <vertAlign val="superscript"/>
        <sz val="9"/>
        <color rgb="FF000000"/>
        <rFont val="Calibri"/>
        <family val="2"/>
      </rPr>
      <t>a,c</t>
    </r>
  </si>
  <si>
    <r>
      <t>Hydrogen</t>
    </r>
    <r>
      <rPr>
        <vertAlign val="superscript"/>
        <sz val="9"/>
        <color theme="1"/>
        <rFont val="Calibri"/>
        <family val="2"/>
      </rPr>
      <t>b,c</t>
    </r>
  </si>
  <si>
    <r>
      <t>Blended Cement (70% BFS)</t>
    </r>
    <r>
      <rPr>
        <vertAlign val="superscript"/>
        <sz val="9"/>
        <color theme="1"/>
        <rFont val="Calibri"/>
        <family val="2"/>
      </rPr>
      <t>d</t>
    </r>
  </si>
  <si>
    <r>
      <t>Low carbon ammonia (H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as feedstock)</t>
    </r>
  </si>
  <si>
    <r>
      <t>Low carbon ethylene (H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as feedstock)</t>
    </r>
  </si>
  <si>
    <r>
      <t>Low carbon methanol (H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as feedstock)</t>
    </r>
  </si>
  <si>
    <t>High temperature heat pumps</t>
  </si>
  <si>
    <t>WHRPbI Waste Heat Recovery Capital Costs</t>
  </si>
  <si>
    <t>Recovery Costs</t>
  </si>
  <si>
    <t>Energy efficiency potentials in the EU industry: impacts of deep decarbonization technologies</t>
  </si>
  <si>
    <t>https://link.springer.com/article/10.1007/s12053-022-10071-8#Sec15</t>
  </si>
  <si>
    <t>Kermeli et al.</t>
  </si>
  <si>
    <t>Supplementary Information</t>
  </si>
  <si>
    <t>Waste heat recoveryd</t>
  </si>
  <si>
    <t>Waste heat recovery blast furnace slagb</t>
  </si>
  <si>
    <t>Recovery of BOF and sensible heatc</t>
  </si>
  <si>
    <t>Batch/cullet preheatinga</t>
  </si>
  <si>
    <t>Batch/cullet preheatinge</t>
  </si>
  <si>
    <t>Liquid metal as feedstocke</t>
  </si>
  <si>
    <t>Regenerative or recuperative burnere</t>
  </si>
  <si>
    <t>Regenerative or recuperative burnerd</t>
  </si>
  <si>
    <t>Scrap preheatingc</t>
  </si>
  <si>
    <t>Recuperative or regenerative burnerc</t>
  </si>
  <si>
    <t>Heat recovery (TMP, GW)a</t>
  </si>
  <si>
    <t>Heat recovery from bleachingb</t>
  </si>
  <si>
    <t>Heat recovery and integrationa</t>
  </si>
  <si>
    <t>Heat integratione</t>
  </si>
  <si>
    <t>Usage of CHPe</t>
  </si>
  <si>
    <t>Indirect cooling of the ammonia synthesis reactorf</t>
  </si>
  <si>
    <t>Increasing the air preheat with waste heatf</t>
  </si>
  <si>
    <t>Heat Recovery for Power Generation (ORC)d</t>
  </si>
  <si>
    <t>*assume 2021EUR/t</t>
  </si>
  <si>
    <t>€/energy savings</t>
  </si>
  <si>
    <t>2012USD/BTU</t>
  </si>
  <si>
    <t>Conversions:</t>
  </si>
  <si>
    <t>2021 EUR to 2021 USD</t>
  </si>
  <si>
    <t>2021 USD to 2012 USD</t>
  </si>
  <si>
    <t>Average:</t>
  </si>
  <si>
    <t>Standard Deviation:</t>
  </si>
  <si>
    <t>GJ to BTU</t>
  </si>
  <si>
    <t>^manual from source data</t>
  </si>
  <si>
    <t>$/BTU</t>
  </si>
  <si>
    <t>cost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</si>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</sst>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name val="Verdana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sz val="9"/>
      <color theme="1"/>
      <name val="Calibri"/>
      <family val="2"/>
    </font>
    <font>
      <vertAlign val="superscript"/>
      <sz val="9"/>
      <color theme="1"/>
      <name val="Calibri"/>
      <family val="2"/>
    </font>
    <font>
      <vertAlign val="subscript"/>
      <sz val="9"/>
      <color rgb="FF000000"/>
      <name val="Calibri"/>
      <family val="2"/>
    </font>
    <font>
      <vertAlign val="subscript"/>
      <sz val="9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indexed="64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indexed="64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7F7F7F"/>
      </top>
      <bottom style="thick">
        <color indexed="64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rgb="FFFFFFFF"/>
      </bottom>
      <diagonal/>
    </border>
  </borders>
  <cellStyleXfs count="107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0" fontId="11" fillId="0" borderId="0" applyNumberFormat="0" applyFill="0" applyBorder="0" applyAlignment="0" applyProtection="0"/>
    <xf numFmtId="0" fontId="9" fillId="0" borderId="10" applyNumberFormat="0" applyProtection="0">
      <alignment wrapText="1"/>
    </xf>
    <xf numFmtId="0" fontId="12" fillId="0" borderId="0" applyNumberFormat="0" applyProtection="0">
      <alignment horizontal="left"/>
    </xf>
    <xf numFmtId="0" fontId="9" fillId="0" borderId="9" applyNumberFormat="0" applyProtection="0">
      <alignment wrapText="1"/>
    </xf>
    <xf numFmtId="0" fontId="11" fillId="0" borderId="8" applyNumberFormat="0" applyFont="0" applyProtection="0">
      <alignment wrapText="1"/>
    </xf>
    <xf numFmtId="0" fontId="11" fillId="0" borderId="11" applyNumberFormat="0" applyProtection="0">
      <alignment wrapText="1"/>
    </xf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14" applyNumberFormat="0" applyAlignment="0" applyProtection="0"/>
    <xf numFmtId="0" fontId="20" fillId="7" borderId="15" applyNumberFormat="0" applyAlignment="0" applyProtection="0"/>
    <xf numFmtId="0" fontId="21" fillId="7" borderId="14" applyNumberFormat="0" applyAlignment="0" applyProtection="0"/>
    <xf numFmtId="0" fontId="22" fillId="0" borderId="16" applyNumberFormat="0" applyFill="0" applyAlignment="0" applyProtection="0"/>
    <xf numFmtId="0" fontId="23" fillId="8" borderId="17" applyNumberFormat="0" applyAlignment="0" applyProtection="0"/>
    <xf numFmtId="0" fontId="10" fillId="0" borderId="0" applyNumberFormat="0" applyFill="0" applyBorder="0" applyAlignment="0" applyProtection="0"/>
    <xf numFmtId="0" fontId="7" fillId="9" borderId="18" applyNumberFormat="0" applyFont="0" applyAlignment="0" applyProtection="0"/>
    <xf numFmtId="0" fontId="24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5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5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5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5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5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5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6" fillId="5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7" fillId="9" borderId="18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7" fillId="0" borderId="0"/>
    <xf numFmtId="0" fontId="7" fillId="0" borderId="0"/>
    <xf numFmtId="0" fontId="7" fillId="0" borderId="0"/>
    <xf numFmtId="43" fontId="27" fillId="0" borderId="0" applyFont="0" applyFill="0" applyBorder="0" applyAlignment="0" applyProtection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7" fillId="0" borderId="0"/>
    <xf numFmtId="0" fontId="11" fillId="0" borderId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7" fillId="0" borderId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28" fillId="0" borderId="0"/>
    <xf numFmtId="0" fontId="29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1" fillId="2" borderId="0" xfId="0" applyFont="1" applyFill="1"/>
    <xf numFmtId="0" fontId="9" fillId="0" borderId="9" xfId="23">
      <alignment wrapText="1"/>
    </xf>
    <xf numFmtId="0" fontId="0" fillId="0" borderId="8" xfId="24" applyFont="1">
      <alignment wrapText="1"/>
    </xf>
    <xf numFmtId="0" fontId="0" fillId="0" borderId="0" xfId="0" applyAlignment="1">
      <alignment horizontal="left"/>
    </xf>
    <xf numFmtId="0" fontId="0" fillId="34" borderId="0" xfId="0" applyFill="1"/>
    <xf numFmtId="0" fontId="1" fillId="35" borderId="0" xfId="0" applyFont="1" applyFill="1"/>
    <xf numFmtId="0" fontId="29" fillId="0" borderId="0" xfId="106"/>
    <xf numFmtId="2" fontId="0" fillId="0" borderId="0" xfId="0" applyNumberFormat="1"/>
    <xf numFmtId="0" fontId="32" fillId="0" borderId="21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25" xfId="0" applyFont="1" applyBorder="1" applyAlignment="1">
      <alignment vertical="center"/>
    </xf>
    <xf numFmtId="9" fontId="33" fillId="0" borderId="25" xfId="0" applyNumberFormat="1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3" fontId="33" fillId="0" borderId="25" xfId="0" applyNumberFormat="1" applyFont="1" applyBorder="1" applyAlignment="1">
      <alignment horizontal="center" vertical="center"/>
    </xf>
    <xf numFmtId="1" fontId="0" fillId="0" borderId="0" xfId="0" applyNumberFormat="1"/>
    <xf numFmtId="0" fontId="33" fillId="0" borderId="0" xfId="0" applyFont="1" applyAlignment="1">
      <alignment vertical="center"/>
    </xf>
    <xf numFmtId="9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26" xfId="0" applyFont="1" applyBorder="1" applyAlignment="1">
      <alignment vertical="center"/>
    </xf>
    <xf numFmtId="9" fontId="33" fillId="0" borderId="26" xfId="0" applyNumberFormat="1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5" fillId="0" borderId="24" xfId="0" applyFont="1" applyBorder="1" applyAlignment="1">
      <alignment vertical="center"/>
    </xf>
    <xf numFmtId="9" fontId="35" fillId="0" borderId="24" xfId="0" applyNumberFormat="1" applyFont="1" applyBorder="1" applyAlignment="1">
      <alignment horizontal="center" vertical="center"/>
    </xf>
    <xf numFmtId="9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4" xfId="0" applyFont="1" applyBorder="1" applyAlignment="1">
      <alignment vertical="center"/>
    </xf>
    <xf numFmtId="0" fontId="35" fillId="0" borderId="27" xfId="0" applyFont="1" applyBorder="1" applyAlignment="1">
      <alignment vertical="center"/>
    </xf>
    <xf numFmtId="9" fontId="35" fillId="0" borderId="27" xfId="0" applyNumberFormat="1" applyFont="1" applyBorder="1" applyAlignment="1">
      <alignment horizontal="center" vertical="center"/>
    </xf>
    <xf numFmtId="9" fontId="33" fillId="0" borderId="27" xfId="0" applyNumberFormat="1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5" fillId="0" borderId="28" xfId="0" applyFont="1" applyBorder="1" applyAlignment="1">
      <alignment vertical="center"/>
    </xf>
    <xf numFmtId="9" fontId="35" fillId="0" borderId="28" xfId="0" applyNumberFormat="1" applyFont="1" applyBorder="1" applyAlignment="1">
      <alignment horizontal="center" vertical="center"/>
    </xf>
    <xf numFmtId="9" fontId="33" fillId="0" borderId="28" xfId="0" applyNumberFormat="1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7" xfId="0" applyFont="1" applyBorder="1" applyAlignment="1">
      <alignment vertical="center"/>
    </xf>
    <xf numFmtId="0" fontId="33" fillId="0" borderId="29" xfId="0" applyFont="1" applyBorder="1" applyAlignment="1">
      <alignment vertical="center"/>
    </xf>
    <xf numFmtId="9" fontId="33" fillId="0" borderId="29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vertical="center"/>
    </xf>
    <xf numFmtId="0" fontId="33" fillId="0" borderId="30" xfId="0" applyFont="1" applyBorder="1" applyAlignment="1">
      <alignment vertical="center"/>
    </xf>
    <xf numFmtId="9" fontId="33" fillId="0" borderId="30" xfId="0" applyNumberFormat="1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0" borderId="26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0" fontId="35" fillId="0" borderId="24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 wrapText="1"/>
    </xf>
    <xf numFmtId="0" fontId="33" fillId="0" borderId="31" xfId="0" applyFont="1" applyBorder="1" applyAlignment="1">
      <alignment vertical="center"/>
    </xf>
    <xf numFmtId="9" fontId="33" fillId="0" borderId="31" xfId="0" applyNumberFormat="1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5" fillId="0" borderId="27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0" fontId="35" fillId="0" borderId="32" xfId="0" applyFont="1" applyBorder="1" applyAlignment="1">
      <alignment vertical="center"/>
    </xf>
    <xf numFmtId="9" fontId="33" fillId="0" borderId="32" xfId="0" applyNumberFormat="1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36" borderId="0" xfId="0" applyFont="1" applyFill="1" applyAlignment="1">
      <alignment vertical="center"/>
    </xf>
    <xf numFmtId="0" fontId="33" fillId="36" borderId="29" xfId="0" applyFont="1" applyFill="1" applyBorder="1" applyAlignment="1">
      <alignment vertical="center"/>
    </xf>
    <xf numFmtId="0" fontId="33" fillId="37" borderId="20" xfId="0" applyFont="1" applyFill="1" applyBorder="1" applyAlignment="1">
      <alignment vertical="center"/>
    </xf>
    <xf numFmtId="9" fontId="33" fillId="37" borderId="20" xfId="0" applyNumberFormat="1" applyFont="1" applyFill="1" applyBorder="1" applyAlignment="1">
      <alignment horizontal="center" vertical="center"/>
    </xf>
    <xf numFmtId="0" fontId="33" fillId="37" borderId="20" xfId="0" applyFont="1" applyFill="1" applyBorder="1" applyAlignment="1">
      <alignment horizontal="center" vertical="center"/>
    </xf>
    <xf numFmtId="0" fontId="33" fillId="37" borderId="29" xfId="0" applyFont="1" applyFill="1" applyBorder="1" applyAlignment="1">
      <alignment vertical="center"/>
    </xf>
    <xf numFmtId="9" fontId="33" fillId="37" borderId="29" xfId="0" applyNumberFormat="1" applyFont="1" applyFill="1" applyBorder="1" applyAlignment="1">
      <alignment horizontal="center" vertical="center"/>
    </xf>
    <xf numFmtId="0" fontId="33" fillId="37" borderId="29" xfId="0" applyFont="1" applyFill="1" applyBorder="1" applyAlignment="1">
      <alignment horizontal="center" vertical="center"/>
    </xf>
    <xf numFmtId="0" fontId="33" fillId="37" borderId="0" xfId="0" applyFont="1" applyFill="1" applyAlignment="1">
      <alignment vertical="center"/>
    </xf>
    <xf numFmtId="9" fontId="33" fillId="37" borderId="0" xfId="0" applyNumberFormat="1" applyFont="1" applyFill="1" applyAlignment="1">
      <alignment horizontal="center" vertical="center"/>
    </xf>
    <xf numFmtId="0" fontId="33" fillId="37" borderId="0" xfId="0" applyFont="1" applyFill="1" applyAlignment="1">
      <alignment horizontal="center" vertical="center"/>
    </xf>
    <xf numFmtId="0" fontId="33" fillId="37" borderId="28" xfId="0" applyFont="1" applyFill="1" applyBorder="1" applyAlignment="1">
      <alignment vertical="center"/>
    </xf>
    <xf numFmtId="9" fontId="33" fillId="37" borderId="28" xfId="0" applyNumberFormat="1" applyFont="1" applyFill="1" applyBorder="1" applyAlignment="1">
      <alignment horizontal="center" vertical="center"/>
    </xf>
    <xf numFmtId="0" fontId="33" fillId="37" borderId="28" xfId="0" applyFont="1" applyFill="1" applyBorder="1" applyAlignment="1">
      <alignment horizontal="center" vertical="center"/>
    </xf>
    <xf numFmtId="0" fontId="35" fillId="36" borderId="0" xfId="0" applyFont="1" applyFill="1" applyAlignment="1">
      <alignment vertical="center"/>
    </xf>
    <xf numFmtId="0" fontId="35" fillId="36" borderId="29" xfId="0" applyFont="1" applyFill="1" applyBorder="1" applyAlignment="1">
      <alignment vertical="center"/>
    </xf>
    <xf numFmtId="9" fontId="35" fillId="0" borderId="29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5" fillId="36" borderId="28" xfId="0" applyFont="1" applyFill="1" applyBorder="1" applyAlignment="1">
      <alignment vertical="center"/>
    </xf>
    <xf numFmtId="0" fontId="35" fillId="0" borderId="28" xfId="0" applyFont="1" applyBorder="1" applyAlignment="1">
      <alignment horizontal="center" vertical="center"/>
    </xf>
    <xf numFmtId="0" fontId="35" fillId="36" borderId="0" xfId="0" applyFont="1" applyFill="1" applyAlignment="1">
      <alignment horizontal="center" vertical="center"/>
    </xf>
    <xf numFmtId="0" fontId="35" fillId="36" borderId="29" xfId="0" applyFont="1" applyFill="1" applyBorder="1" applyAlignment="1">
      <alignment horizontal="center" vertical="center"/>
    </xf>
    <xf numFmtId="0" fontId="35" fillId="0" borderId="33" xfId="0" applyFont="1" applyBorder="1" applyAlignment="1">
      <alignment vertical="center"/>
    </xf>
    <xf numFmtId="9" fontId="35" fillId="0" borderId="33" xfId="0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0" fillId="38" borderId="0" xfId="0" applyFill="1"/>
    <xf numFmtId="11" fontId="0" fillId="0" borderId="0" xfId="0" applyNumberFormat="1"/>
    <xf numFmtId="0" fontId="0" fillId="39" borderId="0" xfId="0" applyFill="1"/>
    <xf numFmtId="11" fontId="0" fillId="0" borderId="0" xfId="18" applyNumberFormat="1" applyFont="1"/>
  </cellXfs>
  <cellStyles count="107">
    <cellStyle name="20% - Accent1" xfId="43" builtinId="30" customBuiltin="1"/>
    <cellStyle name="20% - Accent1 2" xfId="68" xr:uid="{00000000-0005-0000-0000-000001000000}"/>
    <cellStyle name="20% - Accent2" xfId="46" builtinId="34" customBuiltin="1"/>
    <cellStyle name="20% - Accent2 2" xfId="70" xr:uid="{00000000-0005-0000-0000-000003000000}"/>
    <cellStyle name="20% - Accent3" xfId="49" builtinId="38" customBuiltin="1"/>
    <cellStyle name="20% - Accent3 2" xfId="72" xr:uid="{00000000-0005-0000-0000-000005000000}"/>
    <cellStyle name="20% - Accent4" xfId="52" builtinId="42" customBuiltin="1"/>
    <cellStyle name="20% - Accent4 2" xfId="74" xr:uid="{00000000-0005-0000-0000-000007000000}"/>
    <cellStyle name="20% - Accent5" xfId="55" builtinId="46" customBuiltin="1"/>
    <cellStyle name="20% - Accent5 2" xfId="76" xr:uid="{00000000-0005-0000-0000-000009000000}"/>
    <cellStyle name="20% - Accent6" xfId="58" builtinId="50" customBuiltin="1"/>
    <cellStyle name="20% - Accent6 2" xfId="78" xr:uid="{00000000-0005-0000-0000-00000B000000}"/>
    <cellStyle name="40% - Accent1" xfId="44" builtinId="31" customBuiltin="1"/>
    <cellStyle name="40% - Accent1 2" xfId="69" xr:uid="{00000000-0005-0000-0000-00000D000000}"/>
    <cellStyle name="40% - Accent2" xfId="47" builtinId="35" customBuiltin="1"/>
    <cellStyle name="40% - Accent2 2" xfId="71" xr:uid="{00000000-0005-0000-0000-00000F000000}"/>
    <cellStyle name="40% - Accent3" xfId="50" builtinId="39" customBuiltin="1"/>
    <cellStyle name="40% - Accent3 2" xfId="73" xr:uid="{00000000-0005-0000-0000-000011000000}"/>
    <cellStyle name="40% - Accent4" xfId="53" builtinId="43" customBuiltin="1"/>
    <cellStyle name="40% - Accent4 2" xfId="75" xr:uid="{00000000-0005-0000-0000-000013000000}"/>
    <cellStyle name="40% - Accent5" xfId="56" builtinId="47" customBuiltin="1"/>
    <cellStyle name="40% - Accent5 2" xfId="77" xr:uid="{00000000-0005-0000-0000-000015000000}"/>
    <cellStyle name="40% - Accent6" xfId="59" builtinId="51" customBuiltin="1"/>
    <cellStyle name="40% - Accent6 2" xfId="79" xr:uid="{00000000-0005-0000-0000-000017000000}"/>
    <cellStyle name="60% - Accent1 2" xfId="61" xr:uid="{00000000-0005-0000-0000-000018000000}"/>
    <cellStyle name="60% - Accent2 2" xfId="62" xr:uid="{00000000-0005-0000-0000-000019000000}"/>
    <cellStyle name="60% - Accent3 2" xfId="63" xr:uid="{00000000-0005-0000-0000-00001A000000}"/>
    <cellStyle name="60% - Accent4 2" xfId="64" xr:uid="{00000000-0005-0000-0000-00001B000000}"/>
    <cellStyle name="60% - Accent5 2" xfId="65" xr:uid="{00000000-0005-0000-0000-00001C000000}"/>
    <cellStyle name="60% - Accent6 2" xfId="66" xr:uid="{00000000-0005-0000-0000-00001D000000}"/>
    <cellStyle name="Accent1" xfId="42" builtinId="29" customBuiltin="1"/>
    <cellStyle name="Accent2" xfId="45" builtinId="33" customBuiltin="1"/>
    <cellStyle name="Accent3" xfId="48" builtinId="37" customBuiltin="1"/>
    <cellStyle name="Accent4" xfId="51" builtinId="41" customBuiltin="1"/>
    <cellStyle name="Accent5" xfId="54" builtinId="45" customBuiltin="1"/>
    <cellStyle name="Accent6" xfId="57" builtinId="49" customBuiltin="1"/>
    <cellStyle name="Bad" xfId="32" builtinId="27" customBuiltin="1"/>
    <cellStyle name="Body: normal cell" xfId="2" xr:uid="{00000000-0005-0000-0000-000025000000}"/>
    <cellStyle name="Body: normal cell 2" xfId="24" xr:uid="{00000000-0005-0000-0000-000026000000}"/>
    <cellStyle name="Body: normal cell 2 2" xfId="99" xr:uid="{F9FD22FD-A8AD-4FDF-A2F8-00447604C49E}"/>
    <cellStyle name="Body: normal cell 3" xfId="92" xr:uid="{BCD0E873-A543-467A-9A49-B4333F53A44A}"/>
    <cellStyle name="Body: normal cell 4" xfId="84" xr:uid="{E9DA1D56-D392-4FDD-9AB9-AFD697ADE56D}"/>
    <cellStyle name="Calculation" xfId="35" builtinId="22" customBuiltin="1"/>
    <cellStyle name="Check Cell" xfId="37" builtinId="23" customBuiltin="1"/>
    <cellStyle name="Comma 2" xfId="83" xr:uid="{B0EABCB8-8FF6-4E8E-9CBF-73B9F155E41F}"/>
    <cellStyle name="Explanatory Text" xfId="40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20" xr:uid="{00000000-0005-0000-0000-00002C000000}"/>
    <cellStyle name="Font: Calibri, 9pt regular 2 2" xfId="100" xr:uid="{B45A806B-4A6D-4EC3-B426-2C89AA8B79A9}"/>
    <cellStyle name="Font: Calibri, 9pt regular 3" xfId="93" xr:uid="{BA946337-1538-435C-8E51-43B0AD91BF5A}"/>
    <cellStyle name="Font: Calibri, 9pt regular 4" xfId="85" xr:uid="{C0C14341-A837-4ACD-830F-CFF774233564}"/>
    <cellStyle name="Footnotes: all except top row" xfId="11" xr:uid="{00000000-0005-0000-0000-00002D000000}"/>
    <cellStyle name="Footnotes: top row" xfId="6" xr:uid="{00000000-0005-0000-0000-00002E000000}"/>
    <cellStyle name="Footnotes: top row 2" xfId="25" xr:uid="{00000000-0005-0000-0000-00002F000000}"/>
    <cellStyle name="Footnotes: top row 2 2" xfId="101" xr:uid="{C7EE84B0-8C49-4B63-9BD7-34489D085E46}"/>
    <cellStyle name="Footnotes: top row 3" xfId="94" xr:uid="{E3E59C82-1234-429D-A303-A098EFBA290B}"/>
    <cellStyle name="Footnotes: top row 4" xfId="86" xr:uid="{CBF38FF4-CA2B-4979-BAFC-2FFC5E5B1247}"/>
    <cellStyle name="Good" xfId="31" builtinId="26" customBuiltin="1"/>
    <cellStyle name="Header: bottom row" xfId="1" xr:uid="{00000000-0005-0000-0000-000031000000}"/>
    <cellStyle name="Header: bottom row 2" xfId="21" xr:uid="{00000000-0005-0000-0000-000032000000}"/>
    <cellStyle name="Header: bottom row 2 2" xfId="102" xr:uid="{C73D1EBF-7DC1-46CB-A671-492692A5A459}"/>
    <cellStyle name="Header: bottom row 3" xfId="95" xr:uid="{912610F7-0778-467E-9676-43060E7D57E0}"/>
    <cellStyle name="Header: bottom row 4" xfId="87" xr:uid="{7CFDEFF3-E240-4C16-B4FF-E452E1A33A89}"/>
    <cellStyle name="Header: top rows" xfId="3" xr:uid="{00000000-0005-0000-0000-000033000000}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Hyperlink" xfId="9" builtinId="8" customBuiltin="1"/>
    <cellStyle name="Hyperlink 2" xfId="106" xr:uid="{2AC1CE62-18A9-4B46-9556-4D78635EA2D3}"/>
    <cellStyle name="Input" xfId="33" builtinId="20" customBuiltin="1"/>
    <cellStyle name="Linked Cell" xfId="36" builtinId="24" customBuiltin="1"/>
    <cellStyle name="Neutral 2" xfId="60" xr:uid="{00000000-0005-0000-0000-00003B000000}"/>
    <cellStyle name="Normal" xfId="0" builtinId="0"/>
    <cellStyle name="Normal 2" xfId="19" xr:uid="{00000000-0005-0000-0000-00003D000000}"/>
    <cellStyle name="Normal 2 2" xfId="81" xr:uid="{82E402D6-1DF0-4E6A-9068-58786E0D42A2}"/>
    <cellStyle name="Normal 3" xfId="13" xr:uid="{00000000-0005-0000-0000-00003E000000}"/>
    <cellStyle name="Normal 3 2" xfId="80" xr:uid="{B36BF01F-9627-47E6-A0B3-E5842EE99611}"/>
    <cellStyle name="Normal 3 3" xfId="98" xr:uid="{F0C73D6E-A8BF-448C-9446-33B6D604CC21}"/>
    <cellStyle name="Normal 4" xfId="14" xr:uid="{00000000-0005-0000-0000-00003F000000}"/>
    <cellStyle name="Normal 4 2" xfId="91" xr:uid="{BCB90021-FF8C-42F7-ADA2-B9BDFF66101D}"/>
    <cellStyle name="Normal 4 2 2" xfId="82" xr:uid="{EA7BF279-956F-47C2-9A73-0954A56A37C4}"/>
    <cellStyle name="Normal 5" xfId="15" xr:uid="{00000000-0005-0000-0000-000040000000}"/>
    <cellStyle name="Normal 5 2" xfId="90" xr:uid="{74ACA4FB-164B-4107-894D-BF7311D394C2}"/>
    <cellStyle name="Normal 58" xfId="17" xr:uid="{00000000-0005-0000-0000-000041000000}"/>
    <cellStyle name="Normal 6" xfId="16" xr:uid="{00000000-0005-0000-0000-000042000000}"/>
    <cellStyle name="Normal 7" xfId="105" xr:uid="{35BE7235-CAC0-40FA-9182-826A605313D0}"/>
    <cellStyle name="Note" xfId="39" builtinId="10" customBuiltin="1"/>
    <cellStyle name="Note 2" xfId="67" xr:uid="{00000000-0005-0000-0000-000044000000}"/>
    <cellStyle name="Output" xfId="34" builtinId="21" customBuiltin="1"/>
    <cellStyle name="Parent row" xfId="5" xr:uid="{00000000-0005-0000-0000-000046000000}"/>
    <cellStyle name="Parent row 2" xfId="23" xr:uid="{00000000-0005-0000-0000-000047000000}"/>
    <cellStyle name="Parent row 2 2" xfId="103" xr:uid="{EF0020EF-F33F-4704-88B1-D5A04CF8DC57}"/>
    <cellStyle name="Parent row 3" xfId="96" xr:uid="{C835EB3A-4936-4519-9DBE-CDE5CF793B46}"/>
    <cellStyle name="Parent row 4" xfId="88" xr:uid="{335202ED-D721-43A9-8167-8FF1E1325660}"/>
    <cellStyle name="Percent" xfId="18" builtinId="5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2" xr:uid="{00000000-0005-0000-0000-00004C000000}"/>
    <cellStyle name="Table title 2 2" xfId="104" xr:uid="{DC566D5F-CC97-4643-A661-EAD010A341CF}"/>
    <cellStyle name="Table title 3" xfId="97" xr:uid="{F228EAD7-26BA-4DDB-A128-195B3D3E1B50}"/>
    <cellStyle name="Table title 4" xfId="89" xr:uid="{2C10D0B8-A63F-4CB3-A438-90EC30484F3F}"/>
    <cellStyle name="Title" xfId="26" builtinId="15" customBuiltin="1"/>
    <cellStyle name="Total" xfId="41" builtinId="25" customBuiltin="1"/>
    <cellStyle name="Warning Text" xfId="3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FFC1C1"/>
      <color rgb="FFAC0000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.sharepoint.com/sites/EUEPSModeling/Shared%20Documents/Fit%20for%2055%20scenario/Calcs%20for%20policy%20implementation/ETS_Calculations.xlsx" TargetMode="External"/><Relationship Id="rId1" Type="http://schemas.openxmlformats.org/officeDocument/2006/relationships/externalLinkPath" Target="https://energyinnovation.sharepoint.com/sites/EUEPSModeling/Shared%20Documents/Fit%20for%2055%20scenario/Calcs%20for%20policy%20implementation/ETS_Calculation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Efficiency &amp; Innovation"/>
      <sheetName val="Heat Electrification"/>
      <sheetName val="Assumptions --&gt;"/>
      <sheetName val="Heat Pump Assumptions"/>
      <sheetName val="Ref Tech Assumptions"/>
      <sheetName val="Production Assumptions"/>
      <sheetName val="WACC Assumptions"/>
      <sheetName val="Effective Tax Rates"/>
      <sheetName val="Production Aggregation"/>
      <sheetName val="ISI"/>
      <sheetName val="NMM"/>
      <sheetName val="NFM"/>
      <sheetName val="CHI"/>
      <sheetName val="PPA"/>
      <sheetName val="EPS Data --&gt;"/>
      <sheetName val="datadrop"/>
      <sheetName val="ETS Emissions"/>
      <sheetName val="Fuel Costs"/>
      <sheetName val="Key Outputs"/>
      <sheetName val="ETS Coverage by ISIC"/>
      <sheetName val="FoICStCT"/>
      <sheetName val="Heat Demand by 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007/s12053-022-10071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A20" sqref="A20"/>
    </sheetView>
  </sheetViews>
  <sheetFormatPr defaultColWidth="8.85546875" defaultRowHeight="15" x14ac:dyDescent="0.25"/>
  <cols>
    <col min="2" max="2" width="76.5703125" customWidth="1"/>
    <col min="3" max="3" width="5.140625" customWidth="1"/>
    <col min="4" max="4" width="57.85546875" bestFit="1" customWidth="1"/>
    <col min="5" max="5" width="60.42578125" customWidth="1"/>
  </cols>
  <sheetData>
    <row r="1" spans="1:4" x14ac:dyDescent="0.25">
      <c r="A1" s="1" t="s">
        <v>164</v>
      </c>
    </row>
    <row r="2" spans="1:4" x14ac:dyDescent="0.25">
      <c r="A2" s="1"/>
    </row>
    <row r="4" spans="1:4" x14ac:dyDescent="0.25">
      <c r="A4" s="1" t="s">
        <v>0</v>
      </c>
      <c r="B4" s="2" t="s">
        <v>165</v>
      </c>
    </row>
    <row r="5" spans="1:4" x14ac:dyDescent="0.25">
      <c r="B5" t="s">
        <v>168</v>
      </c>
    </row>
    <row r="6" spans="1:4" x14ac:dyDescent="0.25">
      <c r="B6" s="5">
        <v>2022</v>
      </c>
    </row>
    <row r="7" spans="1:4" x14ac:dyDescent="0.25">
      <c r="B7" t="s">
        <v>166</v>
      </c>
    </row>
    <row r="8" spans="1:4" x14ac:dyDescent="0.25">
      <c r="B8" t="s">
        <v>167</v>
      </c>
    </row>
    <row r="9" spans="1:4" x14ac:dyDescent="0.25">
      <c r="B9" t="s">
        <v>169</v>
      </c>
    </row>
    <row r="11" spans="1:4" x14ac:dyDescent="0.25">
      <c r="A11" s="1" t="s">
        <v>1</v>
      </c>
    </row>
    <row r="12" spans="1:4" x14ac:dyDescent="0.25">
      <c r="D12" s="4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  <row r="16" spans="1:4" x14ac:dyDescent="0.25">
      <c r="A16" s="1" t="s">
        <v>191</v>
      </c>
      <c r="D16" s="4"/>
    </row>
    <row r="17" spans="1:4" x14ac:dyDescent="0.25">
      <c r="A17">
        <v>0.8458</v>
      </c>
      <c r="B17" t="s">
        <v>192</v>
      </c>
      <c r="D17" s="4"/>
    </row>
    <row r="18" spans="1:4" x14ac:dyDescent="0.25">
      <c r="A18">
        <v>0.84699999999999998</v>
      </c>
      <c r="B18" t="s">
        <v>193</v>
      </c>
      <c r="D18" s="3"/>
    </row>
    <row r="19" spans="1:4" x14ac:dyDescent="0.25">
      <c r="A19">
        <v>947817</v>
      </c>
      <c r="B19" t="s">
        <v>196</v>
      </c>
      <c r="D19" s="4"/>
    </row>
    <row r="20" spans="1:4" x14ac:dyDescent="0.25">
      <c r="D20" s="3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F4D2-D057-4207-8480-0B3BD6F59A32}">
  <dimension ref="A1:K175"/>
  <sheetViews>
    <sheetView topLeftCell="A39" zoomScaleNormal="100" workbookViewId="0">
      <selection activeCell="I51" sqref="I51"/>
    </sheetView>
  </sheetViews>
  <sheetFormatPr defaultRowHeight="15" x14ac:dyDescent="0.25"/>
  <cols>
    <col min="1" max="1" width="23.42578125" customWidth="1"/>
    <col min="2" max="2" width="41.140625" customWidth="1"/>
    <col min="3" max="11" width="12.5703125" customWidth="1"/>
  </cols>
  <sheetData>
    <row r="1" spans="1:11" x14ac:dyDescent="0.25">
      <c r="A1" s="7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t="s">
        <v>3</v>
      </c>
      <c r="B2" s="8" t="s">
        <v>4</v>
      </c>
    </row>
    <row r="3" spans="1:11" ht="18.75" x14ac:dyDescent="0.35">
      <c r="A3" t="s">
        <v>5</v>
      </c>
    </row>
    <row r="4" spans="1:11" x14ac:dyDescent="0.25">
      <c r="A4" t="s">
        <v>6</v>
      </c>
    </row>
    <row r="5" spans="1:11" x14ac:dyDescent="0.25">
      <c r="A5" t="s">
        <v>7</v>
      </c>
    </row>
    <row r="6" spans="1:11" ht="15.75" thickBot="1" x14ac:dyDescent="0.3"/>
    <row r="7" spans="1:11" ht="15.75" thickBot="1" x14ac:dyDescent="0.3">
      <c r="A7" s="10" t="s">
        <v>8</v>
      </c>
      <c r="B7" s="11"/>
      <c r="C7" s="11"/>
      <c r="D7" s="11"/>
      <c r="E7" s="11"/>
      <c r="F7" s="11"/>
      <c r="G7" s="11"/>
      <c r="H7" s="11"/>
      <c r="I7" s="11"/>
      <c r="J7" s="11"/>
      <c r="K7" s="12"/>
    </row>
    <row r="8" spans="1:11" ht="36.75" thickBot="1" x14ac:dyDescent="0.3">
      <c r="A8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3" t="s">
        <v>14</v>
      </c>
      <c r="G8" s="13" t="s">
        <v>15</v>
      </c>
      <c r="H8" s="13" t="s">
        <v>16</v>
      </c>
      <c r="I8" s="14" t="s">
        <v>17</v>
      </c>
      <c r="J8" s="14" t="s">
        <v>18</v>
      </c>
      <c r="K8" s="14" t="s">
        <v>19</v>
      </c>
    </row>
    <row r="9" spans="1:11" ht="15.75" thickBot="1" x14ac:dyDescent="0.3">
      <c r="A9" s="15" t="s">
        <v>20</v>
      </c>
      <c r="B9" s="15" t="s">
        <v>21</v>
      </c>
      <c r="C9" s="16">
        <v>0.9</v>
      </c>
      <c r="D9" s="16">
        <v>0.1</v>
      </c>
      <c r="E9" s="16">
        <v>0.1</v>
      </c>
      <c r="F9" s="17">
        <v>0</v>
      </c>
      <c r="G9" s="17">
        <v>2.8</v>
      </c>
      <c r="H9" s="17">
        <v>0</v>
      </c>
      <c r="I9" s="18">
        <v>2340</v>
      </c>
      <c r="J9" s="17">
        <v>20</v>
      </c>
      <c r="K9" s="17">
        <v>0</v>
      </c>
    </row>
    <row r="10" spans="1:11" ht="15.75" thickBot="1" x14ac:dyDescent="0.3">
      <c r="A10" s="20" t="s">
        <v>20</v>
      </c>
      <c r="B10" s="20" t="s">
        <v>22</v>
      </c>
      <c r="C10" s="21">
        <v>0.55000000000000004</v>
      </c>
      <c r="D10" s="21">
        <v>0.35</v>
      </c>
      <c r="E10" s="21">
        <v>0.45</v>
      </c>
      <c r="F10" s="22">
        <v>0</v>
      </c>
      <c r="G10" s="22">
        <v>3.6</v>
      </c>
      <c r="H10" s="22">
        <v>0</v>
      </c>
      <c r="I10" s="22">
        <v>188</v>
      </c>
      <c r="J10" s="22">
        <v>5</v>
      </c>
      <c r="K10" s="22">
        <v>-65</v>
      </c>
    </row>
    <row r="11" spans="1:11" ht="15.75" thickBot="1" x14ac:dyDescent="0.3">
      <c r="A11" s="23" t="s">
        <v>20</v>
      </c>
      <c r="B11" s="23" t="s">
        <v>23</v>
      </c>
      <c r="C11" s="24">
        <v>0.55000000000000004</v>
      </c>
      <c r="D11" s="24">
        <v>0.35</v>
      </c>
      <c r="E11" s="24">
        <v>0.45</v>
      </c>
      <c r="F11" s="25">
        <v>0</v>
      </c>
      <c r="G11" s="25">
        <v>2.5</v>
      </c>
      <c r="H11" s="25">
        <v>0</v>
      </c>
      <c r="I11" s="25">
        <v>236</v>
      </c>
      <c r="J11" s="25">
        <v>6</v>
      </c>
      <c r="K11" s="25">
        <v>0</v>
      </c>
    </row>
    <row r="12" spans="1:11" ht="15.75" thickBot="1" x14ac:dyDescent="0.3">
      <c r="A12" s="26" t="s">
        <v>24</v>
      </c>
      <c r="B12" s="26" t="s">
        <v>25</v>
      </c>
      <c r="C12" s="27">
        <v>0.3</v>
      </c>
      <c r="D12" s="28">
        <v>0.25</v>
      </c>
      <c r="E12" s="28">
        <v>0.5</v>
      </c>
      <c r="F12" s="29">
        <v>2</v>
      </c>
      <c r="G12" s="29">
        <v>0</v>
      </c>
      <c r="H12" s="29">
        <v>0</v>
      </c>
      <c r="I12" s="29">
        <v>14</v>
      </c>
      <c r="J12" s="29">
        <v>20</v>
      </c>
      <c r="K12" s="29">
        <v>0.4</v>
      </c>
    </row>
    <row r="13" spans="1:11" ht="15.75" thickBot="1" x14ac:dyDescent="0.3">
      <c r="A13" s="23" t="s">
        <v>24</v>
      </c>
      <c r="B13" s="23" t="s">
        <v>26</v>
      </c>
      <c r="C13" s="24">
        <v>0</v>
      </c>
      <c r="D13" s="24">
        <v>0.15</v>
      </c>
      <c r="E13" s="24">
        <v>0.6</v>
      </c>
      <c r="F13" s="25">
        <v>0.4</v>
      </c>
      <c r="G13" s="25">
        <v>0</v>
      </c>
      <c r="H13" s="25">
        <v>0</v>
      </c>
      <c r="I13" s="25">
        <v>40</v>
      </c>
      <c r="J13" s="25">
        <v>10</v>
      </c>
      <c r="K13" s="25">
        <v>40</v>
      </c>
    </row>
    <row r="14" spans="1:11" ht="15.75" thickBot="1" x14ac:dyDescent="0.3">
      <c r="A14" s="30" t="s">
        <v>27</v>
      </c>
      <c r="B14" s="30" t="s">
        <v>28</v>
      </c>
      <c r="C14" s="28">
        <v>0.6</v>
      </c>
      <c r="D14" s="28">
        <v>0.39</v>
      </c>
      <c r="E14" s="28">
        <v>0.4</v>
      </c>
      <c r="F14" s="29">
        <v>1.8</v>
      </c>
      <c r="G14" s="29">
        <v>0</v>
      </c>
      <c r="H14" s="29">
        <v>0</v>
      </c>
      <c r="I14" s="29">
        <v>25</v>
      </c>
      <c r="J14" s="29">
        <v>20</v>
      </c>
      <c r="K14" s="29">
        <v>0</v>
      </c>
    </row>
    <row r="15" spans="1:11" ht="15.75" thickBot="1" x14ac:dyDescent="0.3">
      <c r="A15" s="31" t="s">
        <v>27</v>
      </c>
      <c r="B15" s="31" t="s">
        <v>29</v>
      </c>
      <c r="C15" s="32">
        <v>0.5</v>
      </c>
      <c r="D15" s="33">
        <v>0.05</v>
      </c>
      <c r="E15" s="33">
        <v>0.3</v>
      </c>
      <c r="F15" s="34">
        <v>4.8</v>
      </c>
      <c r="G15" s="34">
        <v>0</v>
      </c>
      <c r="H15" s="34">
        <v>0</v>
      </c>
      <c r="I15" s="34">
        <v>10</v>
      </c>
      <c r="J15" s="34">
        <v>20</v>
      </c>
      <c r="K15" s="34">
        <v>0.7</v>
      </c>
    </row>
    <row r="16" spans="1:11" ht="15.75" thickBot="1" x14ac:dyDescent="0.3">
      <c r="A16" s="35" t="s">
        <v>27</v>
      </c>
      <c r="B16" s="35" t="s">
        <v>30</v>
      </c>
      <c r="C16" s="36">
        <v>0.05</v>
      </c>
      <c r="D16" s="37">
        <v>0.2</v>
      </c>
      <c r="E16" s="37">
        <v>0.45</v>
      </c>
      <c r="F16" s="38">
        <v>8.6999999999999993</v>
      </c>
      <c r="G16" s="38">
        <v>0</v>
      </c>
      <c r="H16" s="38">
        <v>0</v>
      </c>
      <c r="I16" s="38">
        <v>25</v>
      </c>
      <c r="J16" s="38">
        <v>20</v>
      </c>
      <c r="K16" s="38">
        <v>0</v>
      </c>
    </row>
    <row r="17" spans="1:11" ht="16.5" thickTop="1" thickBot="1" x14ac:dyDescent="0.3">
      <c r="A17" s="30" t="s">
        <v>31</v>
      </c>
      <c r="B17" s="30" t="s">
        <v>32</v>
      </c>
      <c r="C17" s="28">
        <v>0.3</v>
      </c>
      <c r="D17" s="28">
        <v>0.5</v>
      </c>
      <c r="E17" s="28">
        <v>0.7</v>
      </c>
      <c r="F17" s="29">
        <v>0.2</v>
      </c>
      <c r="G17" s="29">
        <v>0</v>
      </c>
      <c r="H17" s="29">
        <v>0</v>
      </c>
      <c r="I17" s="29">
        <v>0.2</v>
      </c>
      <c r="J17" s="29">
        <v>10</v>
      </c>
      <c r="K17" s="29">
        <v>0</v>
      </c>
    </row>
    <row r="18" spans="1:11" ht="15.75" thickBot="1" x14ac:dyDescent="0.3">
      <c r="A18" s="20" t="s">
        <v>31</v>
      </c>
      <c r="B18" s="20" t="s">
        <v>33</v>
      </c>
      <c r="C18" s="21">
        <v>0.3</v>
      </c>
      <c r="D18" s="21">
        <v>0.5</v>
      </c>
      <c r="E18" s="21">
        <v>0.7</v>
      </c>
      <c r="F18" s="22">
        <v>0</v>
      </c>
      <c r="G18" s="22">
        <v>0</v>
      </c>
      <c r="H18" s="22">
        <v>0</v>
      </c>
      <c r="I18" s="22">
        <v>0.3</v>
      </c>
      <c r="J18" s="22">
        <v>15</v>
      </c>
      <c r="K18" s="22">
        <v>0</v>
      </c>
    </row>
    <row r="19" spans="1:11" ht="15.75" thickBot="1" x14ac:dyDescent="0.3">
      <c r="A19" s="23" t="s">
        <v>31</v>
      </c>
      <c r="B19" s="23" t="s">
        <v>34</v>
      </c>
      <c r="C19" s="24">
        <v>0.3</v>
      </c>
      <c r="D19" s="24">
        <v>0.5</v>
      </c>
      <c r="E19" s="24">
        <v>0.7</v>
      </c>
      <c r="F19" s="25">
        <v>0.3</v>
      </c>
      <c r="G19" s="25">
        <v>0</v>
      </c>
      <c r="H19" s="25">
        <v>0</v>
      </c>
      <c r="I19" s="25">
        <v>6.5</v>
      </c>
      <c r="J19" s="25">
        <v>10</v>
      </c>
      <c r="K19" s="25">
        <v>0</v>
      </c>
    </row>
    <row r="20" spans="1:11" ht="15.75" thickBot="1" x14ac:dyDescent="0.3">
      <c r="A20" s="30" t="s">
        <v>35</v>
      </c>
      <c r="B20" s="30" t="s">
        <v>36</v>
      </c>
      <c r="C20" s="28">
        <v>0</v>
      </c>
      <c r="D20" s="28">
        <v>0.43</v>
      </c>
      <c r="E20" s="28">
        <v>0.8</v>
      </c>
      <c r="F20" s="29">
        <v>0.4</v>
      </c>
      <c r="G20" s="29">
        <v>0</v>
      </c>
      <c r="H20" s="29">
        <v>0</v>
      </c>
      <c r="I20" s="29">
        <v>54.5</v>
      </c>
      <c r="J20" s="29">
        <v>20</v>
      </c>
      <c r="K20" s="29">
        <v>0</v>
      </c>
    </row>
    <row r="21" spans="1:11" ht="15.75" thickBot="1" x14ac:dyDescent="0.3">
      <c r="A21" s="20" t="s">
        <v>35</v>
      </c>
      <c r="B21" s="20" t="s">
        <v>37</v>
      </c>
      <c r="C21" s="21">
        <v>0.7</v>
      </c>
      <c r="D21" s="21">
        <v>0.21</v>
      </c>
      <c r="E21" s="21">
        <v>0.28999999999999998</v>
      </c>
      <c r="F21" s="22">
        <v>0</v>
      </c>
      <c r="G21" s="22">
        <v>0.1</v>
      </c>
      <c r="H21" s="22">
        <v>0</v>
      </c>
      <c r="I21" s="22">
        <v>3.3</v>
      </c>
      <c r="J21" s="22">
        <v>15</v>
      </c>
      <c r="K21" s="22">
        <v>0.5</v>
      </c>
    </row>
    <row r="22" spans="1:11" ht="15.75" thickBot="1" x14ac:dyDescent="0.3">
      <c r="A22" s="39" t="s">
        <v>35</v>
      </c>
      <c r="B22" s="39" t="s">
        <v>38</v>
      </c>
      <c r="C22" s="33">
        <v>0.05</v>
      </c>
      <c r="D22" s="33">
        <v>0.65</v>
      </c>
      <c r="E22" s="33">
        <v>0.75</v>
      </c>
      <c r="F22" s="34">
        <v>0.2</v>
      </c>
      <c r="G22" s="34">
        <v>0</v>
      </c>
      <c r="H22" s="34">
        <v>0</v>
      </c>
      <c r="I22" s="34">
        <v>2</v>
      </c>
      <c r="J22" s="34">
        <v>15</v>
      </c>
      <c r="K22" s="34">
        <v>0</v>
      </c>
    </row>
    <row r="23" spans="1:11" ht="15.75" thickBot="1" x14ac:dyDescent="0.3">
      <c r="A23" s="20" t="s">
        <v>35</v>
      </c>
      <c r="B23" s="20" t="s">
        <v>39</v>
      </c>
      <c r="C23" s="21">
        <v>0.05</v>
      </c>
      <c r="D23" s="21">
        <v>0.45</v>
      </c>
      <c r="E23" s="21">
        <v>0.95</v>
      </c>
      <c r="F23" s="22">
        <v>0.6</v>
      </c>
      <c r="G23" s="22">
        <v>0</v>
      </c>
      <c r="H23" s="22">
        <v>0</v>
      </c>
      <c r="I23" s="22">
        <v>5.4</v>
      </c>
      <c r="J23" s="22">
        <v>20</v>
      </c>
      <c r="K23" s="22">
        <v>1.6</v>
      </c>
    </row>
    <row r="24" spans="1:11" ht="15.75" thickBot="1" x14ac:dyDescent="0.3">
      <c r="A24" s="39" t="s">
        <v>35</v>
      </c>
      <c r="B24" s="39" t="s">
        <v>40</v>
      </c>
      <c r="C24" s="33">
        <v>0.05</v>
      </c>
      <c r="D24" s="33">
        <v>0.2</v>
      </c>
      <c r="E24" s="33">
        <v>0.5</v>
      </c>
      <c r="F24" s="34">
        <v>0.2</v>
      </c>
      <c r="G24" s="34">
        <v>0</v>
      </c>
      <c r="H24" s="34">
        <v>0</v>
      </c>
      <c r="I24" s="34">
        <v>2.8</v>
      </c>
      <c r="J24" s="34">
        <v>20</v>
      </c>
      <c r="K24" s="34">
        <v>0</v>
      </c>
    </row>
    <row r="25" spans="1:11" ht="15.75" thickBot="1" x14ac:dyDescent="0.3">
      <c r="A25" s="20" t="s">
        <v>35</v>
      </c>
      <c r="B25" s="20" t="s">
        <v>41</v>
      </c>
      <c r="C25" s="21">
        <v>0.05</v>
      </c>
      <c r="D25" s="21">
        <v>0.03</v>
      </c>
      <c r="E25" s="21">
        <v>0.05</v>
      </c>
      <c r="F25" s="22">
        <v>0.1</v>
      </c>
      <c r="G25" s="22">
        <v>0</v>
      </c>
      <c r="H25" s="22">
        <v>0</v>
      </c>
      <c r="I25" s="22">
        <v>1.3</v>
      </c>
      <c r="J25" s="22">
        <v>15</v>
      </c>
      <c r="K25" s="22">
        <v>0</v>
      </c>
    </row>
    <row r="26" spans="1:11" ht="15.75" thickBot="1" x14ac:dyDescent="0.3">
      <c r="A26" s="39" t="s">
        <v>35</v>
      </c>
      <c r="B26" s="39" t="s">
        <v>42</v>
      </c>
      <c r="C26" s="33">
        <v>0.25</v>
      </c>
      <c r="D26" s="33">
        <v>0.3</v>
      </c>
      <c r="E26" s="33">
        <v>0.45</v>
      </c>
      <c r="F26" s="34">
        <v>0.3</v>
      </c>
      <c r="G26" s="34">
        <v>0</v>
      </c>
      <c r="H26" s="34">
        <v>0</v>
      </c>
      <c r="I26" s="34">
        <v>0.3</v>
      </c>
      <c r="J26" s="34">
        <v>5</v>
      </c>
      <c r="K26" s="34">
        <v>0</v>
      </c>
    </row>
    <row r="27" spans="1:11" ht="15.75" thickBot="1" x14ac:dyDescent="0.3">
      <c r="A27" s="40" t="s">
        <v>35</v>
      </c>
      <c r="B27" s="40" t="s">
        <v>43</v>
      </c>
      <c r="C27" s="41">
        <v>0.5</v>
      </c>
      <c r="D27" s="41">
        <v>0.25</v>
      </c>
      <c r="E27" s="41">
        <v>0.5</v>
      </c>
      <c r="F27" s="42">
        <v>0.3</v>
      </c>
      <c r="G27" s="42">
        <v>0</v>
      </c>
      <c r="H27" s="42">
        <v>0</v>
      </c>
      <c r="I27" s="42">
        <v>0.6</v>
      </c>
      <c r="J27" s="42">
        <v>5</v>
      </c>
      <c r="K27" s="42">
        <v>0</v>
      </c>
    </row>
    <row r="28" spans="1:11" ht="15.75" thickBot="1" x14ac:dyDescent="0.3">
      <c r="A28" s="20" t="s">
        <v>44</v>
      </c>
      <c r="B28" s="20" t="s">
        <v>45</v>
      </c>
      <c r="C28" s="21">
        <v>0.7</v>
      </c>
      <c r="D28" s="21">
        <v>0.1</v>
      </c>
      <c r="E28" s="21">
        <v>0.2</v>
      </c>
      <c r="F28" s="22">
        <v>0.6</v>
      </c>
      <c r="G28" s="22">
        <v>0</v>
      </c>
      <c r="H28" s="22">
        <v>0</v>
      </c>
      <c r="I28" s="22">
        <v>25.6</v>
      </c>
      <c r="J28" s="22">
        <v>10</v>
      </c>
      <c r="K28" s="22">
        <v>0</v>
      </c>
    </row>
    <row r="29" spans="1:11" ht="15.75" thickBot="1" x14ac:dyDescent="0.3">
      <c r="A29" s="39" t="s">
        <v>44</v>
      </c>
      <c r="B29" s="39" t="s">
        <v>46</v>
      </c>
      <c r="C29" s="32">
        <v>0.3</v>
      </c>
      <c r="D29" s="33">
        <v>0.25</v>
      </c>
      <c r="E29" s="33">
        <v>0.7</v>
      </c>
      <c r="F29" s="34">
        <v>0.2</v>
      </c>
      <c r="G29" s="34">
        <v>0.4</v>
      </c>
      <c r="H29" s="34">
        <v>0</v>
      </c>
      <c r="I29" s="34">
        <v>17.399999999999999</v>
      </c>
      <c r="J29" s="34">
        <v>30</v>
      </c>
      <c r="K29" s="34">
        <v>0</v>
      </c>
    </row>
    <row r="30" spans="1:11" ht="15.75" thickBot="1" x14ac:dyDescent="0.3">
      <c r="A30" s="20" t="s">
        <v>44</v>
      </c>
      <c r="B30" s="20" t="s">
        <v>47</v>
      </c>
      <c r="C30" s="21">
        <v>0.85</v>
      </c>
      <c r="D30" s="21">
        <v>0.15</v>
      </c>
      <c r="E30" s="21">
        <v>0.15</v>
      </c>
      <c r="F30" s="22">
        <v>0</v>
      </c>
      <c r="G30" s="22">
        <v>0.03</v>
      </c>
      <c r="H30" s="22">
        <v>0</v>
      </c>
      <c r="I30" s="22">
        <v>1.5</v>
      </c>
      <c r="J30" s="22">
        <v>10</v>
      </c>
      <c r="K30" s="22">
        <v>0</v>
      </c>
    </row>
    <row r="31" spans="1:11" ht="15.75" thickBot="1" x14ac:dyDescent="0.3">
      <c r="A31" s="23" t="s">
        <v>44</v>
      </c>
      <c r="B31" s="23" t="s">
        <v>48</v>
      </c>
      <c r="C31" s="24">
        <v>0.5</v>
      </c>
      <c r="D31" s="24">
        <v>0.25</v>
      </c>
      <c r="E31" s="24">
        <v>0.5</v>
      </c>
      <c r="F31" s="25">
        <v>0.1</v>
      </c>
      <c r="G31" s="25">
        <v>0.01</v>
      </c>
      <c r="H31" s="25">
        <v>0</v>
      </c>
      <c r="I31" s="25">
        <v>0.2</v>
      </c>
      <c r="J31" s="25">
        <v>5</v>
      </c>
      <c r="K31" s="25">
        <v>0</v>
      </c>
    </row>
    <row r="32" spans="1:11" ht="15.75" thickBot="1" x14ac:dyDescent="0.3">
      <c r="A32" s="30" t="s">
        <v>49</v>
      </c>
      <c r="B32" s="30" t="s">
        <v>50</v>
      </c>
      <c r="C32" s="28">
        <v>0.3</v>
      </c>
      <c r="D32" s="28">
        <v>0.45</v>
      </c>
      <c r="E32" s="28">
        <v>0.7</v>
      </c>
      <c r="F32" s="29">
        <v>0.1</v>
      </c>
      <c r="G32" s="29">
        <v>0</v>
      </c>
      <c r="H32" s="29">
        <v>0</v>
      </c>
      <c r="I32" s="29">
        <v>9.6999999999999993</v>
      </c>
      <c r="J32" s="29">
        <v>15</v>
      </c>
      <c r="K32" s="29">
        <v>0</v>
      </c>
    </row>
    <row r="33" spans="1:11" ht="15.75" thickBot="1" x14ac:dyDescent="0.3">
      <c r="A33" s="40" t="s">
        <v>49</v>
      </c>
      <c r="B33" s="40" t="s">
        <v>51</v>
      </c>
      <c r="C33" s="41">
        <v>0.5</v>
      </c>
      <c r="D33" s="41">
        <v>0.4</v>
      </c>
      <c r="E33" s="41">
        <v>0.5</v>
      </c>
      <c r="F33" s="42">
        <v>0.2</v>
      </c>
      <c r="G33" s="42">
        <v>0.1</v>
      </c>
      <c r="H33" s="42">
        <v>0</v>
      </c>
      <c r="I33" s="42">
        <v>1.4</v>
      </c>
      <c r="J33" s="42">
        <v>10</v>
      </c>
      <c r="K33" s="42">
        <v>-0.9</v>
      </c>
    </row>
    <row r="34" spans="1:11" ht="15.75" thickBot="1" x14ac:dyDescent="0.3">
      <c r="A34" s="20" t="s">
        <v>52</v>
      </c>
      <c r="B34" s="20" t="s">
        <v>53</v>
      </c>
      <c r="C34" s="21">
        <v>0.4</v>
      </c>
      <c r="D34" s="21">
        <v>0.5</v>
      </c>
      <c r="E34" s="21">
        <v>0.6</v>
      </c>
      <c r="F34" s="22">
        <v>0.6</v>
      </c>
      <c r="G34" s="22">
        <v>0</v>
      </c>
      <c r="H34" s="22">
        <v>0</v>
      </c>
      <c r="I34" s="22">
        <v>2.9</v>
      </c>
      <c r="J34" s="22">
        <v>10</v>
      </c>
      <c r="K34" s="22">
        <v>0</v>
      </c>
    </row>
    <row r="35" spans="1:11" ht="15.75" thickBot="1" x14ac:dyDescent="0.3">
      <c r="A35" s="39" t="s">
        <v>52</v>
      </c>
      <c r="B35" s="39" t="s">
        <v>54</v>
      </c>
      <c r="C35" s="33">
        <v>0.01</v>
      </c>
      <c r="D35" s="33">
        <v>0.14000000000000001</v>
      </c>
      <c r="E35" s="33">
        <v>0.19</v>
      </c>
      <c r="F35" s="34">
        <v>0.4</v>
      </c>
      <c r="G35" s="34">
        <v>0</v>
      </c>
      <c r="H35" s="34">
        <v>0</v>
      </c>
      <c r="I35" s="34">
        <v>7.3</v>
      </c>
      <c r="J35" s="34">
        <v>20</v>
      </c>
      <c r="K35" s="34">
        <v>0</v>
      </c>
    </row>
    <row r="36" spans="1:11" ht="15.75" thickBot="1" x14ac:dyDescent="0.3">
      <c r="A36" s="43" t="s">
        <v>52</v>
      </c>
      <c r="B36" s="43" t="s">
        <v>55</v>
      </c>
      <c r="C36" s="37">
        <v>0.3</v>
      </c>
      <c r="D36" s="37">
        <v>0.5</v>
      </c>
      <c r="E36" s="37">
        <v>0.7</v>
      </c>
      <c r="F36" s="38">
        <v>0.3</v>
      </c>
      <c r="G36" s="38">
        <v>0</v>
      </c>
      <c r="H36" s="38">
        <v>0</v>
      </c>
      <c r="I36" s="38">
        <v>0.8</v>
      </c>
      <c r="J36" s="38">
        <v>10</v>
      </c>
      <c r="K36" s="38">
        <v>0</v>
      </c>
    </row>
    <row r="37" spans="1:11" ht="16.5" thickTop="1" thickBot="1" x14ac:dyDescent="0.3">
      <c r="A37" s="30" t="s">
        <v>56</v>
      </c>
      <c r="B37" s="30" t="s">
        <v>57</v>
      </c>
      <c r="C37" s="28">
        <v>0.4</v>
      </c>
      <c r="D37" s="28">
        <v>0.2</v>
      </c>
      <c r="E37" s="28">
        <v>0.38</v>
      </c>
      <c r="F37" s="29">
        <v>0.7</v>
      </c>
      <c r="G37" s="29">
        <v>0</v>
      </c>
      <c r="H37" s="29">
        <v>0</v>
      </c>
      <c r="I37" s="29">
        <v>20</v>
      </c>
      <c r="J37" s="29">
        <v>20</v>
      </c>
      <c r="K37" s="29">
        <v>0</v>
      </c>
    </row>
    <row r="38" spans="1:11" ht="15.75" thickBot="1" x14ac:dyDescent="0.3">
      <c r="A38" s="20" t="s">
        <v>56</v>
      </c>
      <c r="B38" s="20" t="s">
        <v>58</v>
      </c>
      <c r="C38" s="21">
        <v>0.55000000000000004</v>
      </c>
      <c r="D38" s="21">
        <v>0.27</v>
      </c>
      <c r="E38" s="21">
        <v>0.3</v>
      </c>
      <c r="F38" s="22">
        <v>1.2</v>
      </c>
      <c r="G38" s="22">
        <v>0</v>
      </c>
      <c r="H38" s="22">
        <v>0</v>
      </c>
      <c r="I38" s="22">
        <v>28</v>
      </c>
      <c r="J38" s="22">
        <v>20</v>
      </c>
      <c r="K38" s="22">
        <v>0.8</v>
      </c>
    </row>
    <row r="39" spans="1:11" ht="15.75" thickBot="1" x14ac:dyDescent="0.3">
      <c r="A39" s="39" t="s">
        <v>56</v>
      </c>
      <c r="B39" s="39" t="s">
        <v>59</v>
      </c>
      <c r="C39" s="33">
        <v>0.25</v>
      </c>
      <c r="D39" s="33">
        <v>0.21</v>
      </c>
      <c r="E39" s="33">
        <v>0.37</v>
      </c>
      <c r="F39" s="34">
        <v>0.3</v>
      </c>
      <c r="G39" s="34">
        <v>0</v>
      </c>
      <c r="H39" s="34">
        <v>0</v>
      </c>
      <c r="I39" s="34">
        <v>3</v>
      </c>
      <c r="J39" s="34">
        <v>20</v>
      </c>
      <c r="K39" s="34">
        <v>0</v>
      </c>
    </row>
    <row r="40" spans="1:11" ht="15.75" thickBot="1" x14ac:dyDescent="0.3">
      <c r="A40" s="20" t="s">
        <v>56</v>
      </c>
      <c r="B40" s="20" t="s">
        <v>60</v>
      </c>
      <c r="C40" s="21">
        <v>0.3</v>
      </c>
      <c r="D40" s="21">
        <v>0.39</v>
      </c>
      <c r="E40" s="21">
        <v>0.65</v>
      </c>
      <c r="F40" s="22">
        <v>0.5</v>
      </c>
      <c r="G40" s="22">
        <v>0</v>
      </c>
      <c r="H40" s="22">
        <v>0</v>
      </c>
      <c r="I40" s="22">
        <v>10</v>
      </c>
      <c r="J40" s="22">
        <v>20</v>
      </c>
      <c r="K40" s="22">
        <v>0</v>
      </c>
    </row>
    <row r="41" spans="1:11" ht="15.75" thickBot="1" x14ac:dyDescent="0.3">
      <c r="A41" s="23" t="s">
        <v>56</v>
      </c>
      <c r="B41" s="23" t="s">
        <v>61</v>
      </c>
      <c r="C41" s="24">
        <v>0.5</v>
      </c>
      <c r="D41" s="24">
        <v>0.3</v>
      </c>
      <c r="E41" s="24">
        <v>0.5</v>
      </c>
      <c r="F41" s="25">
        <v>0.2</v>
      </c>
      <c r="G41" s="25">
        <v>0</v>
      </c>
      <c r="H41" s="25">
        <v>0</v>
      </c>
      <c r="I41" s="25">
        <v>3</v>
      </c>
      <c r="J41" s="25">
        <v>10</v>
      </c>
      <c r="K41" s="25">
        <v>0</v>
      </c>
    </row>
    <row r="42" spans="1:11" ht="15.75" thickBot="1" x14ac:dyDescent="0.3">
      <c r="A42" s="30" t="s">
        <v>62</v>
      </c>
      <c r="B42" s="30" t="s">
        <v>63</v>
      </c>
      <c r="C42" s="28">
        <v>0.7</v>
      </c>
      <c r="D42" s="28">
        <v>0.05</v>
      </c>
      <c r="E42" s="28">
        <v>0.25</v>
      </c>
      <c r="F42" s="29">
        <v>0</v>
      </c>
      <c r="G42" s="29">
        <v>0.3</v>
      </c>
      <c r="H42" s="29">
        <v>0</v>
      </c>
      <c r="I42" s="29">
        <v>10</v>
      </c>
      <c r="J42" s="29">
        <v>20</v>
      </c>
      <c r="K42" s="29">
        <v>0</v>
      </c>
    </row>
    <row r="43" spans="1:11" ht="15.75" thickBot="1" x14ac:dyDescent="0.3">
      <c r="A43" s="20" t="s">
        <v>62</v>
      </c>
      <c r="B43" s="20" t="s">
        <v>64</v>
      </c>
      <c r="C43" s="21">
        <v>0</v>
      </c>
      <c r="D43" s="21">
        <v>0.2</v>
      </c>
      <c r="E43" s="21">
        <v>0.5</v>
      </c>
      <c r="F43" s="22">
        <v>1.1000000000000001</v>
      </c>
      <c r="G43" s="22">
        <v>0</v>
      </c>
      <c r="H43" s="22">
        <v>0</v>
      </c>
      <c r="I43" s="22">
        <v>20</v>
      </c>
      <c r="J43" s="22">
        <v>20</v>
      </c>
      <c r="K43" s="22">
        <v>0</v>
      </c>
    </row>
    <row r="44" spans="1:11" ht="15.75" thickBot="1" x14ac:dyDescent="0.3">
      <c r="A44" s="39" t="s">
        <v>62</v>
      </c>
      <c r="B44" s="39" t="s">
        <v>59</v>
      </c>
      <c r="C44" s="33">
        <v>0.25</v>
      </c>
      <c r="D44" s="33">
        <v>0.21</v>
      </c>
      <c r="E44" s="33">
        <v>0.37</v>
      </c>
      <c r="F44" s="34">
        <v>0.4</v>
      </c>
      <c r="G44" s="34">
        <v>0</v>
      </c>
      <c r="H44" s="34">
        <v>0</v>
      </c>
      <c r="I44" s="34">
        <v>3</v>
      </c>
      <c r="J44" s="34">
        <v>20</v>
      </c>
      <c r="K44" s="34">
        <v>0</v>
      </c>
    </row>
    <row r="45" spans="1:11" ht="15.75" thickBot="1" x14ac:dyDescent="0.3">
      <c r="A45" s="20" t="s">
        <v>62</v>
      </c>
      <c r="B45" s="20" t="s">
        <v>60</v>
      </c>
      <c r="C45" s="21">
        <v>0.3</v>
      </c>
      <c r="D45" s="21">
        <v>0.41</v>
      </c>
      <c r="E45" s="21">
        <v>0.66</v>
      </c>
      <c r="F45" s="22">
        <v>1</v>
      </c>
      <c r="G45" s="22">
        <v>0</v>
      </c>
      <c r="H45" s="22">
        <v>0</v>
      </c>
      <c r="I45" s="22">
        <v>10</v>
      </c>
      <c r="J45" s="22">
        <v>20</v>
      </c>
      <c r="K45" s="22">
        <v>0</v>
      </c>
    </row>
    <row r="46" spans="1:11" ht="15.75" thickBot="1" x14ac:dyDescent="0.3">
      <c r="A46" s="44" t="s">
        <v>62</v>
      </c>
      <c r="B46" s="44" t="s">
        <v>61</v>
      </c>
      <c r="C46" s="45">
        <v>0.5</v>
      </c>
      <c r="D46" s="45">
        <v>0.3</v>
      </c>
      <c r="E46" s="45">
        <v>0.5</v>
      </c>
      <c r="F46" s="46">
        <v>0.4</v>
      </c>
      <c r="G46" s="46">
        <v>0</v>
      </c>
      <c r="H46" s="46">
        <v>0</v>
      </c>
      <c r="I46" s="46">
        <v>3</v>
      </c>
      <c r="J46" s="46">
        <v>10</v>
      </c>
      <c r="K46" s="46">
        <v>0</v>
      </c>
    </row>
    <row r="47" spans="1:11" ht="16.5" thickTop="1" thickBot="1" x14ac:dyDescent="0.3">
      <c r="A47" s="26" t="s">
        <v>65</v>
      </c>
      <c r="B47" s="26" t="s">
        <v>66</v>
      </c>
      <c r="C47" s="28">
        <v>0.95</v>
      </c>
      <c r="D47" s="28">
        <v>0.05</v>
      </c>
      <c r="E47" s="28">
        <v>0.05</v>
      </c>
      <c r="F47" s="29">
        <v>3.5</v>
      </c>
      <c r="G47" s="29">
        <v>0</v>
      </c>
      <c r="H47" s="29">
        <v>0</v>
      </c>
      <c r="I47" s="29">
        <v>41</v>
      </c>
      <c r="J47" s="29">
        <v>20</v>
      </c>
      <c r="K47" s="29">
        <v>0</v>
      </c>
    </row>
    <row r="48" spans="1:11" ht="15.75" thickBot="1" x14ac:dyDescent="0.3">
      <c r="A48" s="47" t="s">
        <v>65</v>
      </c>
      <c r="B48" s="47" t="s">
        <v>67</v>
      </c>
      <c r="C48" s="41">
        <v>0.15</v>
      </c>
      <c r="D48" s="41">
        <v>0.13</v>
      </c>
      <c r="E48" s="41">
        <v>0.65</v>
      </c>
      <c r="F48" s="42">
        <v>0</v>
      </c>
      <c r="G48" s="42">
        <v>1.6</v>
      </c>
      <c r="H48" s="42">
        <v>0</v>
      </c>
      <c r="I48" s="42">
        <v>122</v>
      </c>
      <c r="J48" s="42">
        <v>20</v>
      </c>
      <c r="K48" s="42">
        <v>0</v>
      </c>
    </row>
    <row r="49" spans="1:11" ht="15.75" thickBot="1" x14ac:dyDescent="0.3">
      <c r="A49" s="48" t="s">
        <v>68</v>
      </c>
      <c r="B49" s="48" t="s">
        <v>69</v>
      </c>
      <c r="C49" s="21">
        <v>0.6</v>
      </c>
      <c r="D49" s="21">
        <v>0.25</v>
      </c>
      <c r="E49" s="21">
        <v>0.4</v>
      </c>
      <c r="F49" s="22">
        <v>0</v>
      </c>
      <c r="G49" s="22">
        <v>0</v>
      </c>
      <c r="H49" s="22">
        <v>0</v>
      </c>
      <c r="I49" s="22">
        <v>3</v>
      </c>
      <c r="J49" s="22">
        <v>20</v>
      </c>
      <c r="K49" s="22">
        <v>0</v>
      </c>
    </row>
    <row r="50" spans="1:11" ht="15.75" thickBot="1" x14ac:dyDescent="0.3">
      <c r="A50" s="31" t="s">
        <v>68</v>
      </c>
      <c r="B50" s="31" t="s">
        <v>70</v>
      </c>
      <c r="C50" s="33">
        <v>0.7</v>
      </c>
      <c r="D50" s="33">
        <v>0.08</v>
      </c>
      <c r="E50" s="33">
        <v>0.3</v>
      </c>
      <c r="F50" s="34">
        <v>0</v>
      </c>
      <c r="G50" s="34">
        <v>0.1</v>
      </c>
      <c r="H50" s="34">
        <v>0</v>
      </c>
      <c r="I50" s="34">
        <v>6</v>
      </c>
      <c r="J50" s="34">
        <v>20</v>
      </c>
      <c r="K50" s="34">
        <v>0</v>
      </c>
    </row>
    <row r="51" spans="1:11" ht="15.75" thickBot="1" x14ac:dyDescent="0.3">
      <c r="A51" s="48" t="s">
        <v>68</v>
      </c>
      <c r="B51" s="48" t="s">
        <v>71</v>
      </c>
      <c r="C51" s="21">
        <v>0.7</v>
      </c>
      <c r="D51" s="21">
        <v>0.08</v>
      </c>
      <c r="E51" s="21">
        <v>0.3</v>
      </c>
      <c r="F51" s="22">
        <v>0</v>
      </c>
      <c r="G51" s="22">
        <v>0</v>
      </c>
      <c r="H51" s="22">
        <v>0</v>
      </c>
      <c r="I51" s="22">
        <v>2</v>
      </c>
      <c r="J51" s="22">
        <v>20</v>
      </c>
      <c r="K51" s="22">
        <v>0</v>
      </c>
    </row>
    <row r="52" spans="1:11" ht="15.75" thickBot="1" x14ac:dyDescent="0.3">
      <c r="A52" s="49" t="s">
        <v>68</v>
      </c>
      <c r="B52" s="49" t="s">
        <v>72</v>
      </c>
      <c r="C52" s="24">
        <v>0.7</v>
      </c>
      <c r="D52" s="24">
        <v>0.22</v>
      </c>
      <c r="E52" s="24">
        <v>0.3</v>
      </c>
      <c r="F52" s="25">
        <v>0</v>
      </c>
      <c r="G52" s="25">
        <v>0</v>
      </c>
      <c r="H52" s="25">
        <v>0</v>
      </c>
      <c r="I52" s="25">
        <v>1</v>
      </c>
      <c r="J52" s="25">
        <v>15</v>
      </c>
      <c r="K52" s="25">
        <v>0</v>
      </c>
    </row>
    <row r="53" spans="1:11" ht="15.75" thickBot="1" x14ac:dyDescent="0.3">
      <c r="A53" s="26" t="s">
        <v>73</v>
      </c>
      <c r="B53" s="26" t="s">
        <v>74</v>
      </c>
      <c r="C53" s="28">
        <v>0.1</v>
      </c>
      <c r="D53" s="28">
        <v>0.18</v>
      </c>
      <c r="E53" s="28">
        <v>0.23</v>
      </c>
      <c r="F53" s="29">
        <v>0</v>
      </c>
      <c r="G53" s="29">
        <v>0.1</v>
      </c>
      <c r="H53" s="29">
        <v>0</v>
      </c>
      <c r="I53" s="29">
        <v>16</v>
      </c>
      <c r="J53" s="29">
        <v>20</v>
      </c>
      <c r="K53" s="29">
        <v>0</v>
      </c>
    </row>
    <row r="54" spans="1:11" ht="15.75" thickBot="1" x14ac:dyDescent="0.3">
      <c r="A54" s="48" t="s">
        <v>73</v>
      </c>
      <c r="B54" s="48" t="s">
        <v>75</v>
      </c>
      <c r="C54" s="21">
        <v>0.4</v>
      </c>
      <c r="D54" s="21">
        <v>0.5</v>
      </c>
      <c r="E54" s="21">
        <v>0.6</v>
      </c>
      <c r="F54" s="22">
        <v>0</v>
      </c>
      <c r="G54" s="22">
        <v>0.1</v>
      </c>
      <c r="H54" s="22">
        <v>0</v>
      </c>
      <c r="I54" s="22">
        <v>1</v>
      </c>
      <c r="J54" s="22">
        <v>20</v>
      </c>
      <c r="K54" s="22">
        <v>0</v>
      </c>
    </row>
    <row r="55" spans="1:11" ht="15.75" thickBot="1" x14ac:dyDescent="0.3">
      <c r="A55" s="31" t="s">
        <v>73</v>
      </c>
      <c r="B55" s="31" t="s">
        <v>76</v>
      </c>
      <c r="C55" s="33">
        <v>0.75</v>
      </c>
      <c r="D55" s="33">
        <v>0.02</v>
      </c>
      <c r="E55" s="33">
        <v>0.05</v>
      </c>
      <c r="F55" s="34">
        <v>0.2</v>
      </c>
      <c r="G55" s="34">
        <v>0</v>
      </c>
      <c r="H55" s="34">
        <v>0</v>
      </c>
      <c r="I55" s="34">
        <v>5</v>
      </c>
      <c r="J55" s="34">
        <v>15</v>
      </c>
      <c r="K55" s="34">
        <v>0</v>
      </c>
    </row>
    <row r="56" spans="1:11" ht="15.75" thickBot="1" x14ac:dyDescent="0.3">
      <c r="A56" s="48" t="s">
        <v>73</v>
      </c>
      <c r="B56" s="48" t="s">
        <v>77</v>
      </c>
      <c r="C56" s="21">
        <v>0.7</v>
      </c>
      <c r="D56" s="21">
        <v>0.06</v>
      </c>
      <c r="E56" s="21">
        <v>0.1</v>
      </c>
      <c r="F56" s="22">
        <v>0.5</v>
      </c>
      <c r="G56" s="22">
        <v>0</v>
      </c>
      <c r="H56" s="22">
        <v>0</v>
      </c>
      <c r="I56" s="22">
        <v>32</v>
      </c>
      <c r="J56" s="22">
        <v>20</v>
      </c>
      <c r="K56" s="22">
        <v>0</v>
      </c>
    </row>
    <row r="57" spans="1:11" ht="15.75" thickBot="1" x14ac:dyDescent="0.3">
      <c r="A57" s="49" t="s">
        <v>73</v>
      </c>
      <c r="B57" s="49" t="s">
        <v>78</v>
      </c>
      <c r="C57" s="24">
        <v>0.65</v>
      </c>
      <c r="D57" s="24">
        <v>0.18</v>
      </c>
      <c r="E57" s="24">
        <v>0.32</v>
      </c>
      <c r="F57" s="25">
        <v>0</v>
      </c>
      <c r="G57" s="25">
        <v>1.1000000000000001</v>
      </c>
      <c r="H57" s="25">
        <v>0</v>
      </c>
      <c r="I57" s="25">
        <v>16</v>
      </c>
      <c r="J57" s="25">
        <v>20</v>
      </c>
      <c r="K57" s="25">
        <v>0</v>
      </c>
    </row>
    <row r="58" spans="1:11" ht="15.75" thickBot="1" x14ac:dyDescent="0.3">
      <c r="A58" s="26" t="s">
        <v>79</v>
      </c>
      <c r="B58" s="26" t="s">
        <v>74</v>
      </c>
      <c r="C58" s="28">
        <v>0.1</v>
      </c>
      <c r="D58" s="28">
        <v>0.18</v>
      </c>
      <c r="E58" s="28">
        <v>0.23</v>
      </c>
      <c r="F58" s="29">
        <v>0</v>
      </c>
      <c r="G58" s="29">
        <v>0.1</v>
      </c>
      <c r="H58" s="29">
        <v>0</v>
      </c>
      <c r="I58" s="29">
        <v>16</v>
      </c>
      <c r="J58" s="29">
        <v>20</v>
      </c>
      <c r="K58" s="29">
        <v>0</v>
      </c>
    </row>
    <row r="59" spans="1:11" ht="15.75" thickBot="1" x14ac:dyDescent="0.3">
      <c r="A59" s="48" t="s">
        <v>79</v>
      </c>
      <c r="B59" s="48" t="s">
        <v>80</v>
      </c>
      <c r="C59" s="21">
        <v>0.4</v>
      </c>
      <c r="D59" s="21">
        <v>0.5</v>
      </c>
      <c r="E59" s="21">
        <v>0.6</v>
      </c>
      <c r="F59" s="22">
        <v>0</v>
      </c>
      <c r="G59" s="22">
        <v>0.1</v>
      </c>
      <c r="H59" s="22">
        <v>0</v>
      </c>
      <c r="I59" s="22">
        <v>1</v>
      </c>
      <c r="J59" s="22">
        <v>20</v>
      </c>
      <c r="K59" s="22">
        <v>0</v>
      </c>
    </row>
    <row r="60" spans="1:11" ht="15.75" thickBot="1" x14ac:dyDescent="0.3">
      <c r="A60" s="31" t="s">
        <v>79</v>
      </c>
      <c r="B60" s="31" t="s">
        <v>76</v>
      </c>
      <c r="C60" s="33">
        <v>0.75</v>
      </c>
      <c r="D60" s="33">
        <v>0.02</v>
      </c>
      <c r="E60" s="33">
        <v>0.05</v>
      </c>
      <c r="F60" s="34">
        <v>0.2</v>
      </c>
      <c r="G60" s="34">
        <v>0</v>
      </c>
      <c r="H60" s="34">
        <v>0</v>
      </c>
      <c r="I60" s="34">
        <v>5</v>
      </c>
      <c r="J60" s="34">
        <v>15</v>
      </c>
      <c r="K60" s="34">
        <v>0</v>
      </c>
    </row>
    <row r="61" spans="1:11" ht="15.75" thickBot="1" x14ac:dyDescent="0.3">
      <c r="A61" s="48" t="s">
        <v>79</v>
      </c>
      <c r="B61" s="48" t="s">
        <v>77</v>
      </c>
      <c r="C61" s="21">
        <v>0.7</v>
      </c>
      <c r="D61" s="21">
        <v>0.06</v>
      </c>
      <c r="E61" s="21">
        <v>0.1</v>
      </c>
      <c r="F61" s="22">
        <v>0.5</v>
      </c>
      <c r="G61" s="22">
        <v>0</v>
      </c>
      <c r="H61" s="22">
        <v>0</v>
      </c>
      <c r="I61" s="22">
        <v>32</v>
      </c>
      <c r="J61" s="22">
        <v>20</v>
      </c>
      <c r="K61" s="22">
        <v>0</v>
      </c>
    </row>
    <row r="62" spans="1:11" ht="15.75" thickBot="1" x14ac:dyDescent="0.3">
      <c r="A62" s="49" t="s">
        <v>79</v>
      </c>
      <c r="B62" s="49" t="s">
        <v>78</v>
      </c>
      <c r="C62" s="24">
        <v>0.65</v>
      </c>
      <c r="D62" s="24">
        <v>0.18</v>
      </c>
      <c r="E62" s="24">
        <v>0.32</v>
      </c>
      <c r="F62" s="25">
        <v>0</v>
      </c>
      <c r="G62" s="25">
        <v>1.1000000000000001</v>
      </c>
      <c r="H62" s="25">
        <v>0</v>
      </c>
      <c r="I62" s="25">
        <v>16</v>
      </c>
      <c r="J62" s="25">
        <v>20</v>
      </c>
      <c r="K62" s="25">
        <v>0</v>
      </c>
    </row>
    <row r="63" spans="1:11" ht="15.75" thickBot="1" x14ac:dyDescent="0.3">
      <c r="A63" s="26" t="s">
        <v>81</v>
      </c>
      <c r="B63" s="26" t="s">
        <v>74</v>
      </c>
      <c r="C63" s="28">
        <v>0.1</v>
      </c>
      <c r="D63" s="28">
        <v>0.18</v>
      </c>
      <c r="E63" s="28">
        <v>0.23</v>
      </c>
      <c r="F63" s="29">
        <v>0</v>
      </c>
      <c r="G63" s="29">
        <v>0.1</v>
      </c>
      <c r="H63" s="29">
        <v>0</v>
      </c>
      <c r="I63" s="29">
        <v>16</v>
      </c>
      <c r="J63" s="29">
        <v>20</v>
      </c>
      <c r="K63" s="29">
        <v>0</v>
      </c>
    </row>
    <row r="64" spans="1:11" ht="15.75" thickBot="1" x14ac:dyDescent="0.3">
      <c r="A64" s="48" t="s">
        <v>81</v>
      </c>
      <c r="B64" s="48" t="s">
        <v>75</v>
      </c>
      <c r="C64" s="21">
        <v>0.4</v>
      </c>
      <c r="D64" s="21">
        <v>0.5</v>
      </c>
      <c r="E64" s="21">
        <v>0.6</v>
      </c>
      <c r="F64" s="22">
        <v>0</v>
      </c>
      <c r="G64" s="22">
        <v>0.1</v>
      </c>
      <c r="H64" s="22">
        <v>0</v>
      </c>
      <c r="I64" s="22">
        <v>1</v>
      </c>
      <c r="J64" s="22">
        <v>20</v>
      </c>
      <c r="K64" s="22">
        <v>0</v>
      </c>
    </row>
    <row r="65" spans="1:11" ht="15.75" thickBot="1" x14ac:dyDescent="0.3">
      <c r="A65" s="31" t="s">
        <v>81</v>
      </c>
      <c r="B65" s="31" t="s">
        <v>76</v>
      </c>
      <c r="C65" s="33">
        <v>0.75</v>
      </c>
      <c r="D65" s="33">
        <v>0.02</v>
      </c>
      <c r="E65" s="33">
        <v>0.05</v>
      </c>
      <c r="F65" s="34">
        <v>0.2</v>
      </c>
      <c r="G65" s="34">
        <v>0</v>
      </c>
      <c r="H65" s="34">
        <v>0</v>
      </c>
      <c r="I65" s="34">
        <v>5</v>
      </c>
      <c r="J65" s="34">
        <v>15</v>
      </c>
      <c r="K65" s="34">
        <v>0</v>
      </c>
    </row>
    <row r="66" spans="1:11" ht="15.75" thickBot="1" x14ac:dyDescent="0.3">
      <c r="A66" s="48" t="s">
        <v>81</v>
      </c>
      <c r="B66" s="48" t="s">
        <v>77</v>
      </c>
      <c r="C66" s="21">
        <v>0.7</v>
      </c>
      <c r="D66" s="21">
        <v>0.06</v>
      </c>
      <c r="E66" s="21">
        <v>0.1</v>
      </c>
      <c r="F66" s="22">
        <v>0.5</v>
      </c>
      <c r="G66" s="22">
        <v>0</v>
      </c>
      <c r="H66" s="22">
        <v>0</v>
      </c>
      <c r="I66" s="22">
        <v>32</v>
      </c>
      <c r="J66" s="22">
        <v>20</v>
      </c>
      <c r="K66" s="22">
        <v>0</v>
      </c>
    </row>
    <row r="67" spans="1:11" ht="15.75" thickBot="1" x14ac:dyDescent="0.3">
      <c r="A67" s="50" t="s">
        <v>81</v>
      </c>
      <c r="B67" s="50" t="s">
        <v>78</v>
      </c>
      <c r="C67" s="45">
        <v>0.65</v>
      </c>
      <c r="D67" s="45">
        <v>0.18</v>
      </c>
      <c r="E67" s="45">
        <v>0.32</v>
      </c>
      <c r="F67" s="46">
        <v>0</v>
      </c>
      <c r="G67" s="46">
        <v>1.1000000000000001</v>
      </c>
      <c r="H67" s="46">
        <v>0</v>
      </c>
      <c r="I67" s="46">
        <v>16</v>
      </c>
      <c r="J67" s="46">
        <v>20</v>
      </c>
      <c r="K67" s="46">
        <v>0</v>
      </c>
    </row>
    <row r="68" spans="1:11" ht="16.5" thickTop="1" thickBot="1" x14ac:dyDescent="0.3">
      <c r="A68" s="30" t="s">
        <v>82</v>
      </c>
      <c r="B68" s="30" t="s">
        <v>83</v>
      </c>
      <c r="C68" s="28">
        <v>0.2</v>
      </c>
      <c r="D68" s="28">
        <v>0.3</v>
      </c>
      <c r="E68" s="28">
        <v>0.55000000000000004</v>
      </c>
      <c r="F68" s="29">
        <v>1.7</v>
      </c>
      <c r="G68" s="29">
        <v>0</v>
      </c>
      <c r="H68" s="29">
        <v>0</v>
      </c>
      <c r="I68" s="51">
        <v>2</v>
      </c>
      <c r="J68" s="52">
        <v>20</v>
      </c>
      <c r="K68" s="52">
        <v>0</v>
      </c>
    </row>
    <row r="69" spans="1:11" ht="15.75" thickBot="1" x14ac:dyDescent="0.3">
      <c r="A69" s="53" t="s">
        <v>82</v>
      </c>
      <c r="B69" s="53" t="s">
        <v>84</v>
      </c>
      <c r="C69" s="54">
        <v>0.2</v>
      </c>
      <c r="D69" s="54">
        <v>0.18</v>
      </c>
      <c r="E69" s="54">
        <v>0.28000000000000003</v>
      </c>
      <c r="F69" s="55">
        <v>1</v>
      </c>
      <c r="G69" s="55">
        <v>0</v>
      </c>
      <c r="H69" s="55">
        <v>0</v>
      </c>
      <c r="I69" s="56">
        <v>1</v>
      </c>
      <c r="J69" s="57">
        <v>20</v>
      </c>
      <c r="K69" s="57">
        <v>0</v>
      </c>
    </row>
    <row r="70" spans="1:11" ht="15.75" thickBot="1" x14ac:dyDescent="0.3">
      <c r="A70" s="39" t="s">
        <v>82</v>
      </c>
      <c r="B70" s="39" t="s">
        <v>85</v>
      </c>
      <c r="C70" s="33">
        <v>0.05</v>
      </c>
      <c r="D70" s="33">
        <v>0.12</v>
      </c>
      <c r="E70" s="33">
        <v>0.15</v>
      </c>
      <c r="F70" s="34">
        <v>2.6</v>
      </c>
      <c r="G70" s="34">
        <v>0</v>
      </c>
      <c r="H70" s="34">
        <v>0</v>
      </c>
      <c r="I70" s="58">
        <v>58</v>
      </c>
      <c r="J70" s="59">
        <v>20</v>
      </c>
      <c r="K70" s="59">
        <v>0</v>
      </c>
    </row>
    <row r="71" spans="1:11" ht="15.75" thickBot="1" x14ac:dyDescent="0.3">
      <c r="A71" s="20" t="s">
        <v>82</v>
      </c>
      <c r="B71" s="20" t="s">
        <v>86</v>
      </c>
      <c r="C71" s="21">
        <v>0.85</v>
      </c>
      <c r="D71" s="21">
        <v>0.08</v>
      </c>
      <c r="E71" s="21">
        <v>0.1</v>
      </c>
      <c r="F71" s="22">
        <v>0.8</v>
      </c>
      <c r="G71" s="22">
        <v>0</v>
      </c>
      <c r="H71" s="22">
        <v>0</v>
      </c>
      <c r="I71" s="22">
        <v>22</v>
      </c>
      <c r="J71" s="14">
        <v>20</v>
      </c>
      <c r="K71" s="14">
        <v>0</v>
      </c>
    </row>
    <row r="72" spans="1:11" ht="15.75" thickBot="1" x14ac:dyDescent="0.3">
      <c r="A72" s="39" t="s">
        <v>82</v>
      </c>
      <c r="B72" s="39" t="s">
        <v>87</v>
      </c>
      <c r="C72" s="33">
        <v>0.85</v>
      </c>
      <c r="D72" s="33">
        <v>0.09</v>
      </c>
      <c r="E72" s="33">
        <v>0.1</v>
      </c>
      <c r="F72" s="34">
        <v>2</v>
      </c>
      <c r="G72" s="34">
        <v>0</v>
      </c>
      <c r="H72" s="34">
        <v>0</v>
      </c>
      <c r="I72" s="34">
        <v>60</v>
      </c>
      <c r="J72" s="60">
        <v>20</v>
      </c>
      <c r="K72" s="60">
        <v>0</v>
      </c>
    </row>
    <row r="73" spans="1:11" ht="15.75" thickBot="1" x14ac:dyDescent="0.3">
      <c r="A73" s="40" t="s">
        <v>82</v>
      </c>
      <c r="B73" s="40" t="s">
        <v>88</v>
      </c>
      <c r="C73" s="41">
        <v>0.85</v>
      </c>
      <c r="D73" s="41">
        <v>0.09</v>
      </c>
      <c r="E73" s="41">
        <v>0.1</v>
      </c>
      <c r="F73" s="42">
        <v>1.5</v>
      </c>
      <c r="G73" s="42">
        <v>0</v>
      </c>
      <c r="H73" s="42">
        <v>0</v>
      </c>
      <c r="I73" s="42">
        <v>29</v>
      </c>
      <c r="J73" s="61">
        <v>20</v>
      </c>
      <c r="K73" s="61">
        <v>0</v>
      </c>
    </row>
    <row r="74" spans="1:11" ht="15.75" thickBot="1" x14ac:dyDescent="0.3">
      <c r="A74" s="20" t="s">
        <v>89</v>
      </c>
      <c r="B74" s="20" t="s">
        <v>90</v>
      </c>
      <c r="C74" s="21">
        <v>0.5</v>
      </c>
      <c r="D74" s="21">
        <v>0.25</v>
      </c>
      <c r="E74" s="21">
        <v>0.4</v>
      </c>
      <c r="F74" s="22">
        <v>2</v>
      </c>
      <c r="G74" s="22">
        <v>0.1</v>
      </c>
      <c r="H74" s="22">
        <v>0</v>
      </c>
      <c r="I74" s="22">
        <v>40</v>
      </c>
      <c r="J74" s="14">
        <v>20</v>
      </c>
      <c r="K74" s="14">
        <v>0</v>
      </c>
    </row>
    <row r="75" spans="1:11" ht="15.75" thickBot="1" x14ac:dyDescent="0.3">
      <c r="A75" s="39" t="s">
        <v>89</v>
      </c>
      <c r="B75" s="39" t="s">
        <v>91</v>
      </c>
      <c r="C75" s="33">
        <v>0.7</v>
      </c>
      <c r="D75" s="33">
        <v>0.2</v>
      </c>
      <c r="E75" s="33">
        <v>0.3</v>
      </c>
      <c r="F75" s="34">
        <v>0.3</v>
      </c>
      <c r="G75" s="34">
        <v>0</v>
      </c>
      <c r="H75" s="34">
        <v>0</v>
      </c>
      <c r="I75" s="34">
        <v>16</v>
      </c>
      <c r="J75" s="60">
        <v>20</v>
      </c>
      <c r="K75" s="60">
        <v>0</v>
      </c>
    </row>
    <row r="76" spans="1:11" ht="15.75" thickBot="1" x14ac:dyDescent="0.3">
      <c r="A76" s="20" t="s">
        <v>89</v>
      </c>
      <c r="B76" s="20" t="s">
        <v>92</v>
      </c>
      <c r="C76" s="21">
        <v>0.65</v>
      </c>
      <c r="D76" s="21">
        <v>0.15</v>
      </c>
      <c r="E76" s="21">
        <v>0.19</v>
      </c>
      <c r="F76" s="22">
        <v>1</v>
      </c>
      <c r="G76" s="22">
        <v>0</v>
      </c>
      <c r="H76" s="22">
        <v>0</v>
      </c>
      <c r="I76" s="22">
        <v>20</v>
      </c>
      <c r="J76" s="14">
        <v>20</v>
      </c>
      <c r="K76" s="14">
        <v>0</v>
      </c>
    </row>
    <row r="77" spans="1:11" ht="15.75" thickBot="1" x14ac:dyDescent="0.3">
      <c r="A77" s="39" t="s">
        <v>89</v>
      </c>
      <c r="B77" s="39" t="s">
        <v>88</v>
      </c>
      <c r="C77" s="33">
        <v>0.65</v>
      </c>
      <c r="D77" s="33">
        <v>0.16</v>
      </c>
      <c r="E77" s="33">
        <v>0.19</v>
      </c>
      <c r="F77" s="34">
        <v>0.4</v>
      </c>
      <c r="G77" s="34">
        <v>0</v>
      </c>
      <c r="H77" s="34">
        <v>0</v>
      </c>
      <c r="I77" s="34">
        <v>10</v>
      </c>
      <c r="J77" s="60">
        <v>20</v>
      </c>
      <c r="K77" s="60">
        <v>0</v>
      </c>
    </row>
    <row r="78" spans="1:11" ht="15.75" thickBot="1" x14ac:dyDescent="0.3">
      <c r="A78" s="20" t="s">
        <v>89</v>
      </c>
      <c r="B78" s="20" t="s">
        <v>93</v>
      </c>
      <c r="C78" s="21">
        <v>0.7</v>
      </c>
      <c r="D78" s="21">
        <v>0.27</v>
      </c>
      <c r="E78" s="21">
        <v>0.3</v>
      </c>
      <c r="F78" s="22">
        <v>1.8</v>
      </c>
      <c r="G78" s="22">
        <v>0</v>
      </c>
      <c r="H78" s="22">
        <v>0</v>
      </c>
      <c r="I78" s="22">
        <v>36</v>
      </c>
      <c r="J78" s="14">
        <v>30</v>
      </c>
      <c r="K78" s="14">
        <v>0</v>
      </c>
    </row>
    <row r="79" spans="1:11" ht="15.75" thickBot="1" x14ac:dyDescent="0.3">
      <c r="A79" s="39" t="s">
        <v>89</v>
      </c>
      <c r="B79" s="39" t="s">
        <v>94</v>
      </c>
      <c r="C79" s="33">
        <v>0.55000000000000004</v>
      </c>
      <c r="D79" s="33">
        <v>0.23</v>
      </c>
      <c r="E79" s="33">
        <v>0.28999999999999998</v>
      </c>
      <c r="F79" s="34">
        <v>1</v>
      </c>
      <c r="G79" s="34">
        <v>0</v>
      </c>
      <c r="H79" s="34">
        <v>0</v>
      </c>
      <c r="I79" s="34">
        <v>22</v>
      </c>
      <c r="J79" s="60">
        <v>20</v>
      </c>
      <c r="K79" s="60">
        <v>0</v>
      </c>
    </row>
    <row r="80" spans="1:11" ht="15.75" thickBot="1" x14ac:dyDescent="0.3">
      <c r="A80" s="40" t="s">
        <v>89</v>
      </c>
      <c r="B80" s="40" t="s">
        <v>95</v>
      </c>
      <c r="C80" s="41">
        <v>0.55000000000000004</v>
      </c>
      <c r="D80" s="41">
        <v>0.27</v>
      </c>
      <c r="E80" s="41">
        <v>0.3</v>
      </c>
      <c r="F80" s="42">
        <v>0.3</v>
      </c>
      <c r="G80" s="42">
        <v>0</v>
      </c>
      <c r="H80" s="42">
        <v>0</v>
      </c>
      <c r="I80" s="42">
        <v>1</v>
      </c>
      <c r="J80" s="61">
        <v>10</v>
      </c>
      <c r="K80" s="61">
        <v>0</v>
      </c>
    </row>
    <row r="81" spans="1:11" ht="15.75" thickBot="1" x14ac:dyDescent="0.3">
      <c r="A81" s="20" t="s">
        <v>96</v>
      </c>
      <c r="B81" s="20" t="s">
        <v>93</v>
      </c>
      <c r="C81" s="21">
        <v>0.9</v>
      </c>
      <c r="D81" s="21">
        <v>0.1</v>
      </c>
      <c r="E81" s="21">
        <v>0.1</v>
      </c>
      <c r="F81" s="22">
        <v>6.5</v>
      </c>
      <c r="G81" s="22">
        <v>0</v>
      </c>
      <c r="H81" s="22">
        <v>0</v>
      </c>
      <c r="I81" s="22">
        <v>130</v>
      </c>
      <c r="J81" s="14">
        <v>20</v>
      </c>
      <c r="K81" s="14">
        <v>0</v>
      </c>
    </row>
    <row r="82" spans="1:11" ht="15.75" thickBot="1" x14ac:dyDescent="0.3">
      <c r="A82" s="39" t="s">
        <v>96</v>
      </c>
      <c r="B82" s="39" t="s">
        <v>88</v>
      </c>
      <c r="C82" s="33">
        <v>0.8</v>
      </c>
      <c r="D82" s="33">
        <v>0.08</v>
      </c>
      <c r="E82" s="33">
        <v>0.14000000000000001</v>
      </c>
      <c r="F82" s="34">
        <v>6.5</v>
      </c>
      <c r="G82" s="34">
        <v>0.2</v>
      </c>
      <c r="H82" s="34">
        <v>0</v>
      </c>
      <c r="I82" s="34">
        <v>139</v>
      </c>
      <c r="J82" s="60">
        <v>10</v>
      </c>
      <c r="K82" s="60">
        <v>0</v>
      </c>
    </row>
    <row r="83" spans="1:11" ht="15.75" thickBot="1" x14ac:dyDescent="0.3">
      <c r="A83" s="40" t="s">
        <v>96</v>
      </c>
      <c r="B83" s="40" t="s">
        <v>97</v>
      </c>
      <c r="C83" s="41">
        <v>0.7</v>
      </c>
      <c r="D83" s="41">
        <v>0.14000000000000001</v>
      </c>
      <c r="E83" s="41">
        <v>0.23</v>
      </c>
      <c r="F83" s="42">
        <v>6.5</v>
      </c>
      <c r="G83" s="42">
        <v>0.3</v>
      </c>
      <c r="H83" s="42">
        <v>0</v>
      </c>
      <c r="I83" s="42">
        <v>142</v>
      </c>
      <c r="J83" s="61">
        <v>20</v>
      </c>
      <c r="K83" s="61">
        <v>0</v>
      </c>
    </row>
    <row r="84" spans="1:11" ht="15.75" thickBot="1" x14ac:dyDescent="0.3">
      <c r="A84" s="20" t="s">
        <v>98</v>
      </c>
      <c r="B84" s="20" t="s">
        <v>99</v>
      </c>
      <c r="C84" s="21">
        <v>0.5</v>
      </c>
      <c r="D84" s="21">
        <v>0.21</v>
      </c>
      <c r="E84" s="21">
        <v>0.3</v>
      </c>
      <c r="F84" s="22">
        <v>1.8</v>
      </c>
      <c r="G84" s="22">
        <v>0.1</v>
      </c>
      <c r="H84" s="22">
        <v>0</v>
      </c>
      <c r="I84" s="22">
        <v>39</v>
      </c>
      <c r="J84" s="14">
        <v>20</v>
      </c>
      <c r="K84" s="14">
        <v>0</v>
      </c>
    </row>
    <row r="85" spans="1:11" ht="15.75" thickBot="1" x14ac:dyDescent="0.3">
      <c r="A85" s="23" t="s">
        <v>98</v>
      </c>
      <c r="B85" s="23" t="s">
        <v>100</v>
      </c>
      <c r="C85" s="24">
        <v>0.5</v>
      </c>
      <c r="D85" s="24">
        <v>0.27</v>
      </c>
      <c r="E85" s="24">
        <v>0.37</v>
      </c>
      <c r="F85" s="25">
        <v>1.1000000000000001</v>
      </c>
      <c r="G85" s="25">
        <v>0</v>
      </c>
      <c r="H85" s="25">
        <v>0</v>
      </c>
      <c r="I85" s="25">
        <v>24</v>
      </c>
      <c r="J85" s="62">
        <v>20</v>
      </c>
      <c r="K85" s="62">
        <v>0</v>
      </c>
    </row>
    <row r="86" spans="1:11" ht="15.75" thickBot="1" x14ac:dyDescent="0.3">
      <c r="A86" s="30" t="s">
        <v>101</v>
      </c>
      <c r="B86" s="30" t="s">
        <v>102</v>
      </c>
      <c r="C86" s="28">
        <v>0.55000000000000004</v>
      </c>
      <c r="D86" s="28">
        <v>0.2</v>
      </c>
      <c r="E86" s="28">
        <v>0.31</v>
      </c>
      <c r="F86" s="29">
        <v>1</v>
      </c>
      <c r="G86" s="29">
        <v>0</v>
      </c>
      <c r="H86" s="29">
        <v>0</v>
      </c>
      <c r="I86" s="29">
        <v>15</v>
      </c>
      <c r="J86" s="13">
        <v>20</v>
      </c>
      <c r="K86" s="13">
        <v>0</v>
      </c>
    </row>
    <row r="87" spans="1:11" ht="15.75" thickBot="1" x14ac:dyDescent="0.3">
      <c r="A87" s="20" t="s">
        <v>101</v>
      </c>
      <c r="B87" s="20" t="s">
        <v>103</v>
      </c>
      <c r="C87" s="21">
        <v>0.55000000000000004</v>
      </c>
      <c r="D87" s="21">
        <v>0.2</v>
      </c>
      <c r="E87" s="21">
        <v>0.31</v>
      </c>
      <c r="F87" s="22">
        <v>0.6</v>
      </c>
      <c r="G87" s="22">
        <v>0</v>
      </c>
      <c r="H87" s="22">
        <v>0</v>
      </c>
      <c r="I87" s="22">
        <v>7</v>
      </c>
      <c r="J87" s="14">
        <v>20</v>
      </c>
      <c r="K87" s="14">
        <v>0</v>
      </c>
    </row>
    <row r="88" spans="1:11" ht="15.75" thickBot="1" x14ac:dyDescent="0.3">
      <c r="A88" s="39" t="s">
        <v>101</v>
      </c>
      <c r="B88" s="39" t="s">
        <v>104</v>
      </c>
      <c r="C88" s="33">
        <v>0.55000000000000004</v>
      </c>
      <c r="D88" s="33">
        <v>0.2</v>
      </c>
      <c r="E88" s="33">
        <v>0.31</v>
      </c>
      <c r="F88" s="34">
        <v>0.9</v>
      </c>
      <c r="G88" s="34">
        <v>0</v>
      </c>
      <c r="H88" s="34">
        <v>0</v>
      </c>
      <c r="I88" s="34">
        <v>7</v>
      </c>
      <c r="J88" s="60">
        <v>20</v>
      </c>
      <c r="K88" s="60">
        <v>0</v>
      </c>
    </row>
    <row r="89" spans="1:11" ht="15.75" thickBot="1" x14ac:dyDescent="0.3">
      <c r="A89" s="20" t="s">
        <v>101</v>
      </c>
      <c r="B89" s="20" t="s">
        <v>105</v>
      </c>
      <c r="C89" s="21">
        <v>0.55000000000000004</v>
      </c>
      <c r="D89" s="21">
        <v>0.2</v>
      </c>
      <c r="E89" s="21">
        <v>0.31</v>
      </c>
      <c r="F89" s="22">
        <v>0.8</v>
      </c>
      <c r="G89" s="22">
        <v>0</v>
      </c>
      <c r="H89" s="22">
        <v>0</v>
      </c>
      <c r="I89" s="22">
        <v>2</v>
      </c>
      <c r="J89" s="14">
        <v>20</v>
      </c>
      <c r="K89" s="14">
        <v>0</v>
      </c>
    </row>
    <row r="90" spans="1:11" ht="15.75" thickBot="1" x14ac:dyDescent="0.3">
      <c r="A90" s="39" t="s">
        <v>101</v>
      </c>
      <c r="B90" s="39" t="s">
        <v>106</v>
      </c>
      <c r="C90" s="33">
        <v>0.55000000000000004</v>
      </c>
      <c r="D90" s="33">
        <v>0.2</v>
      </c>
      <c r="E90" s="33">
        <v>0.31</v>
      </c>
      <c r="F90" s="34">
        <v>2.2999999999999998</v>
      </c>
      <c r="G90" s="34">
        <v>0</v>
      </c>
      <c r="H90" s="34">
        <v>0</v>
      </c>
      <c r="I90" s="34">
        <v>16</v>
      </c>
      <c r="J90" s="60">
        <v>20</v>
      </c>
      <c r="K90" s="60">
        <v>0</v>
      </c>
    </row>
    <row r="91" spans="1:11" ht="15.75" thickBot="1" x14ac:dyDescent="0.3">
      <c r="A91" s="43" t="s">
        <v>101</v>
      </c>
      <c r="B91" s="43" t="s">
        <v>107</v>
      </c>
      <c r="C91" s="37">
        <v>0.3</v>
      </c>
      <c r="D91" s="37">
        <v>0.3</v>
      </c>
      <c r="E91" s="37">
        <v>0.55000000000000004</v>
      </c>
      <c r="F91" s="38">
        <v>0.7</v>
      </c>
      <c r="G91" s="38">
        <v>0</v>
      </c>
      <c r="H91" s="38">
        <v>0</v>
      </c>
      <c r="I91" s="38">
        <v>6</v>
      </c>
      <c r="J91" s="63">
        <v>10</v>
      </c>
      <c r="K91" s="63">
        <v>0</v>
      </c>
    </row>
    <row r="92" spans="1:11" ht="16.5" thickTop="1" thickBot="1" x14ac:dyDescent="0.3">
      <c r="A92" s="26" t="s">
        <v>108</v>
      </c>
      <c r="B92" s="26" t="s">
        <v>109</v>
      </c>
      <c r="C92" s="28">
        <v>0.3</v>
      </c>
      <c r="D92" s="28">
        <v>0.4</v>
      </c>
      <c r="E92" s="28">
        <v>0.7</v>
      </c>
      <c r="F92" s="29">
        <v>0</v>
      </c>
      <c r="G92" s="29">
        <v>0</v>
      </c>
      <c r="H92" s="29">
        <v>0</v>
      </c>
      <c r="I92" s="51">
        <v>4</v>
      </c>
      <c r="J92" s="29">
        <v>20</v>
      </c>
      <c r="K92" s="29">
        <v>0</v>
      </c>
    </row>
    <row r="93" spans="1:11" ht="15.75" thickBot="1" x14ac:dyDescent="0.3">
      <c r="A93" s="48" t="s">
        <v>108</v>
      </c>
      <c r="B93" s="48" t="s">
        <v>110</v>
      </c>
      <c r="C93" s="21">
        <v>0.3</v>
      </c>
      <c r="D93" s="21">
        <v>0.4</v>
      </c>
      <c r="E93" s="21">
        <v>0.7</v>
      </c>
      <c r="F93" s="22">
        <v>0</v>
      </c>
      <c r="G93" s="22">
        <v>0.1</v>
      </c>
      <c r="H93" s="22">
        <v>0</v>
      </c>
      <c r="I93" s="64">
        <v>11</v>
      </c>
      <c r="J93" s="22">
        <v>20</v>
      </c>
      <c r="K93" s="22">
        <v>0</v>
      </c>
    </row>
    <row r="94" spans="1:11" ht="15.75" thickBot="1" x14ac:dyDescent="0.3">
      <c r="A94" s="31" t="s">
        <v>108</v>
      </c>
      <c r="B94" s="31" t="s">
        <v>111</v>
      </c>
      <c r="C94" s="33">
        <v>0.5</v>
      </c>
      <c r="D94" s="33">
        <v>0.3</v>
      </c>
      <c r="E94" s="33">
        <v>0.5</v>
      </c>
      <c r="F94" s="34">
        <v>0</v>
      </c>
      <c r="G94" s="58">
        <v>0</v>
      </c>
      <c r="H94" s="58">
        <v>0</v>
      </c>
      <c r="I94" s="58">
        <v>4</v>
      </c>
      <c r="J94" s="34">
        <v>20</v>
      </c>
      <c r="K94" s="34">
        <v>0</v>
      </c>
    </row>
    <row r="95" spans="1:11" ht="15.75" thickBot="1" x14ac:dyDescent="0.3">
      <c r="A95" s="48" t="s">
        <v>108</v>
      </c>
      <c r="B95" s="48" t="s">
        <v>112</v>
      </c>
      <c r="C95" s="21">
        <v>0.5</v>
      </c>
      <c r="D95" s="21">
        <v>0.3</v>
      </c>
      <c r="E95" s="21">
        <v>0.5</v>
      </c>
      <c r="F95" s="22">
        <v>0</v>
      </c>
      <c r="G95" s="64">
        <v>0</v>
      </c>
      <c r="H95" s="64">
        <v>0</v>
      </c>
      <c r="I95" s="64">
        <v>0</v>
      </c>
      <c r="J95" s="22">
        <v>20</v>
      </c>
      <c r="K95" s="22">
        <v>0.1</v>
      </c>
    </row>
    <row r="96" spans="1:11" ht="15.75" thickBot="1" x14ac:dyDescent="0.3">
      <c r="A96" s="31" t="s">
        <v>108</v>
      </c>
      <c r="B96" s="31" t="s">
        <v>113</v>
      </c>
      <c r="C96" s="33">
        <v>0.8</v>
      </c>
      <c r="D96" s="33">
        <v>0.15</v>
      </c>
      <c r="E96" s="33">
        <v>0.2</v>
      </c>
      <c r="F96" s="34">
        <v>0.2</v>
      </c>
      <c r="G96" s="34">
        <v>0</v>
      </c>
      <c r="H96" s="34">
        <v>0</v>
      </c>
      <c r="I96" s="58">
        <v>0</v>
      </c>
      <c r="J96" s="34">
        <v>10</v>
      </c>
      <c r="K96" s="34">
        <v>0</v>
      </c>
    </row>
    <row r="97" spans="1:11" ht="15.75" thickBot="1" x14ac:dyDescent="0.3">
      <c r="A97" s="48" t="s">
        <v>108</v>
      </c>
      <c r="B97" s="48" t="s">
        <v>114</v>
      </c>
      <c r="C97" s="21">
        <v>0.95</v>
      </c>
      <c r="D97" s="21">
        <v>0.05</v>
      </c>
      <c r="E97" s="21">
        <v>0.05</v>
      </c>
      <c r="F97" s="22">
        <v>0.4</v>
      </c>
      <c r="G97" s="22">
        <v>0</v>
      </c>
      <c r="H97" s="22">
        <v>0</v>
      </c>
      <c r="I97" s="64">
        <v>0</v>
      </c>
      <c r="J97" s="22">
        <v>30</v>
      </c>
      <c r="K97" s="22">
        <v>0</v>
      </c>
    </row>
    <row r="98" spans="1:11" ht="15.75" thickBot="1" x14ac:dyDescent="0.3">
      <c r="A98" s="31" t="s">
        <v>108</v>
      </c>
      <c r="B98" s="31" t="s">
        <v>115</v>
      </c>
      <c r="C98" s="33">
        <v>0.95</v>
      </c>
      <c r="D98" s="33">
        <v>0.05</v>
      </c>
      <c r="E98" s="33">
        <v>0.05</v>
      </c>
      <c r="F98" s="34">
        <v>0.2</v>
      </c>
      <c r="G98" s="34">
        <v>0</v>
      </c>
      <c r="H98" s="34">
        <v>0</v>
      </c>
      <c r="I98" s="58">
        <v>10</v>
      </c>
      <c r="J98" s="34">
        <v>20</v>
      </c>
      <c r="K98" s="34">
        <v>0</v>
      </c>
    </row>
    <row r="99" spans="1:11" ht="15.75" thickBot="1" x14ac:dyDescent="0.3">
      <c r="A99" s="48" t="s">
        <v>108</v>
      </c>
      <c r="B99" s="48" t="s">
        <v>116</v>
      </c>
      <c r="C99" s="21">
        <v>0.95</v>
      </c>
      <c r="D99" s="21">
        <v>0.05</v>
      </c>
      <c r="E99" s="21">
        <v>0.05</v>
      </c>
      <c r="F99" s="22">
        <v>0.2</v>
      </c>
      <c r="G99" s="22">
        <v>-0.1</v>
      </c>
      <c r="H99" s="22">
        <v>0</v>
      </c>
      <c r="I99" s="64">
        <v>6</v>
      </c>
      <c r="J99" s="22">
        <v>20</v>
      </c>
      <c r="K99" s="22">
        <v>0</v>
      </c>
    </row>
    <row r="100" spans="1:11" ht="15.75" thickBot="1" x14ac:dyDescent="0.3">
      <c r="A100" s="31" t="s">
        <v>108</v>
      </c>
      <c r="B100" s="31" t="s">
        <v>117</v>
      </c>
      <c r="C100" s="33">
        <v>0.95</v>
      </c>
      <c r="D100" s="33">
        <v>0.05</v>
      </c>
      <c r="E100" s="33">
        <v>0.05</v>
      </c>
      <c r="F100" s="34">
        <v>0.4</v>
      </c>
      <c r="G100" s="34">
        <v>0</v>
      </c>
      <c r="H100" s="34">
        <v>0</v>
      </c>
      <c r="I100" s="58">
        <v>0</v>
      </c>
      <c r="J100" s="34">
        <v>5</v>
      </c>
      <c r="K100" s="34">
        <v>0</v>
      </c>
    </row>
    <row r="101" spans="1:11" ht="15.75" thickBot="1" x14ac:dyDescent="0.3">
      <c r="A101" s="48" t="s">
        <v>108</v>
      </c>
      <c r="B101" s="48" t="s">
        <v>118</v>
      </c>
      <c r="C101" s="21">
        <v>0.8</v>
      </c>
      <c r="D101" s="21">
        <v>0.15</v>
      </c>
      <c r="E101" s="21">
        <v>0.2</v>
      </c>
      <c r="F101" s="22">
        <v>0.3</v>
      </c>
      <c r="G101" s="22">
        <v>0</v>
      </c>
      <c r="H101" s="22">
        <v>0</v>
      </c>
      <c r="I101" s="64">
        <v>15</v>
      </c>
      <c r="J101" s="22">
        <v>30</v>
      </c>
      <c r="K101" s="22">
        <v>0.1</v>
      </c>
    </row>
    <row r="102" spans="1:11" ht="15.75" thickBot="1" x14ac:dyDescent="0.3">
      <c r="A102" s="31" t="s">
        <v>108</v>
      </c>
      <c r="B102" s="31" t="s">
        <v>119</v>
      </c>
      <c r="C102" s="33">
        <v>0.7</v>
      </c>
      <c r="D102" s="33">
        <v>0.3</v>
      </c>
      <c r="E102" s="33">
        <v>0.3</v>
      </c>
      <c r="F102" s="34">
        <v>0.1</v>
      </c>
      <c r="G102" s="34">
        <v>0</v>
      </c>
      <c r="H102" s="34">
        <v>0</v>
      </c>
      <c r="I102" s="58">
        <v>2</v>
      </c>
      <c r="J102" s="34">
        <v>30</v>
      </c>
      <c r="K102" s="34">
        <v>0.1</v>
      </c>
    </row>
    <row r="103" spans="1:11" ht="15.75" thickBot="1" x14ac:dyDescent="0.3">
      <c r="A103" s="48" t="s">
        <v>108</v>
      </c>
      <c r="B103" s="48" t="s">
        <v>120</v>
      </c>
      <c r="C103" s="21">
        <v>0.75</v>
      </c>
      <c r="D103" s="21">
        <v>0.2</v>
      </c>
      <c r="E103" s="21">
        <v>0.25</v>
      </c>
      <c r="F103" s="22">
        <v>0</v>
      </c>
      <c r="G103" s="22">
        <v>0</v>
      </c>
      <c r="H103" s="22">
        <v>0</v>
      </c>
      <c r="I103" s="64">
        <v>6</v>
      </c>
      <c r="J103" s="22">
        <v>30</v>
      </c>
      <c r="K103" s="22">
        <v>0</v>
      </c>
    </row>
    <row r="104" spans="1:11" ht="15.75" thickBot="1" x14ac:dyDescent="0.3">
      <c r="A104" s="31" t="s">
        <v>108</v>
      </c>
      <c r="B104" s="31" t="s">
        <v>121</v>
      </c>
      <c r="C104" s="33">
        <v>0</v>
      </c>
      <c r="D104" s="33">
        <v>0.57999999999999996</v>
      </c>
      <c r="E104" s="33">
        <v>1</v>
      </c>
      <c r="F104" s="34">
        <v>0</v>
      </c>
      <c r="G104" s="34">
        <v>0.1</v>
      </c>
      <c r="H104" s="34">
        <v>0</v>
      </c>
      <c r="I104" s="58">
        <v>20</v>
      </c>
      <c r="J104" s="34">
        <v>20</v>
      </c>
      <c r="K104" s="34">
        <v>1</v>
      </c>
    </row>
    <row r="105" spans="1:11" ht="15.75" thickBot="1" x14ac:dyDescent="0.3">
      <c r="A105" s="48" t="s">
        <v>108</v>
      </c>
      <c r="B105" s="48" t="s">
        <v>122</v>
      </c>
      <c r="C105" s="21">
        <v>0.9</v>
      </c>
      <c r="D105" s="21">
        <v>0.08</v>
      </c>
      <c r="E105" s="21">
        <v>0.1</v>
      </c>
      <c r="F105" s="22">
        <v>0.1</v>
      </c>
      <c r="G105" s="22">
        <v>0</v>
      </c>
      <c r="H105" s="22">
        <v>0</v>
      </c>
      <c r="I105" s="64">
        <v>11</v>
      </c>
      <c r="J105" s="22">
        <v>30</v>
      </c>
      <c r="K105" s="22">
        <v>0</v>
      </c>
    </row>
    <row r="106" spans="1:11" ht="15.75" thickBot="1" x14ac:dyDescent="0.3">
      <c r="A106" s="31" t="s">
        <v>108</v>
      </c>
      <c r="B106" s="31" t="s">
        <v>123</v>
      </c>
      <c r="C106" s="33">
        <v>0.49</v>
      </c>
      <c r="D106" s="33">
        <v>0.17</v>
      </c>
      <c r="E106" s="33">
        <v>0.33</v>
      </c>
      <c r="F106" s="34">
        <v>0.6</v>
      </c>
      <c r="G106" s="34">
        <v>0</v>
      </c>
      <c r="H106" s="34">
        <v>0</v>
      </c>
      <c r="I106" s="58">
        <v>93</v>
      </c>
      <c r="J106" s="34">
        <v>40</v>
      </c>
      <c r="K106" s="34">
        <v>-1.2</v>
      </c>
    </row>
    <row r="107" spans="1:11" ht="15.75" thickBot="1" x14ac:dyDescent="0.3">
      <c r="A107" s="48" t="s">
        <v>108</v>
      </c>
      <c r="B107" s="48" t="s">
        <v>124</v>
      </c>
      <c r="C107" s="21">
        <v>0</v>
      </c>
      <c r="D107" s="21">
        <v>0.03</v>
      </c>
      <c r="E107" s="21">
        <v>0.05</v>
      </c>
      <c r="F107" s="22">
        <v>1.2</v>
      </c>
      <c r="G107" s="22">
        <v>0</v>
      </c>
      <c r="H107" s="22">
        <v>0</v>
      </c>
      <c r="I107" s="64">
        <v>93</v>
      </c>
      <c r="J107" s="22">
        <v>40</v>
      </c>
      <c r="K107" s="22">
        <v>0</v>
      </c>
    </row>
    <row r="108" spans="1:11" ht="15.75" thickBot="1" x14ac:dyDescent="0.3">
      <c r="A108" s="49" t="s">
        <v>108</v>
      </c>
      <c r="B108" s="49" t="s">
        <v>125</v>
      </c>
      <c r="C108" s="24">
        <v>0.03</v>
      </c>
      <c r="D108" s="24">
        <v>0.02</v>
      </c>
      <c r="E108" s="24">
        <v>0.92</v>
      </c>
      <c r="F108" s="25">
        <v>0.3</v>
      </c>
      <c r="G108" s="25">
        <v>0</v>
      </c>
      <c r="H108" s="25">
        <v>0</v>
      </c>
      <c r="I108" s="65">
        <v>3</v>
      </c>
      <c r="J108" s="25">
        <v>30</v>
      </c>
      <c r="K108" s="25">
        <v>0</v>
      </c>
    </row>
    <row r="109" spans="1:11" ht="15.75" thickBot="1" x14ac:dyDescent="0.3">
      <c r="A109" s="26" t="s">
        <v>126</v>
      </c>
      <c r="B109" s="26" t="s">
        <v>127</v>
      </c>
      <c r="C109" s="28">
        <v>0.43</v>
      </c>
      <c r="D109" s="28">
        <v>0.11</v>
      </c>
      <c r="E109" s="28">
        <v>0.22</v>
      </c>
      <c r="F109" s="29">
        <v>-0.2</v>
      </c>
      <c r="G109" s="29">
        <v>0</v>
      </c>
      <c r="H109" s="29">
        <v>0</v>
      </c>
      <c r="I109" s="51">
        <v>4</v>
      </c>
      <c r="J109" s="29">
        <v>30</v>
      </c>
      <c r="K109" s="29">
        <v>0</v>
      </c>
    </row>
    <row r="110" spans="1:11" ht="15.75" thickBot="1" x14ac:dyDescent="0.3">
      <c r="A110" s="48" t="s">
        <v>126</v>
      </c>
      <c r="B110" s="48" t="s">
        <v>128</v>
      </c>
      <c r="C110" s="21">
        <v>0.8</v>
      </c>
      <c r="D110" s="21">
        <v>0.2</v>
      </c>
      <c r="E110" s="21">
        <v>0.2</v>
      </c>
      <c r="F110" s="22">
        <v>0</v>
      </c>
      <c r="G110" s="22">
        <v>0</v>
      </c>
      <c r="H110" s="22">
        <v>0</v>
      </c>
      <c r="I110" s="64">
        <v>1</v>
      </c>
      <c r="J110" s="22">
        <v>10</v>
      </c>
      <c r="K110" s="22">
        <v>0</v>
      </c>
    </row>
    <row r="111" spans="1:11" ht="15.75" thickBot="1" x14ac:dyDescent="0.3">
      <c r="A111" s="31" t="s">
        <v>126</v>
      </c>
      <c r="B111" s="31" t="s">
        <v>129</v>
      </c>
      <c r="C111" s="33">
        <v>0.3</v>
      </c>
      <c r="D111" s="33">
        <v>0.35</v>
      </c>
      <c r="E111" s="33">
        <v>0.68</v>
      </c>
      <c r="F111" s="34">
        <v>0</v>
      </c>
      <c r="G111" s="34">
        <v>0.1</v>
      </c>
      <c r="H111" s="34">
        <v>0</v>
      </c>
      <c r="I111" s="58">
        <v>17</v>
      </c>
      <c r="J111" s="34">
        <v>20</v>
      </c>
      <c r="K111" s="34">
        <v>0.2</v>
      </c>
    </row>
    <row r="112" spans="1:11" ht="15.75" thickBot="1" x14ac:dyDescent="0.3">
      <c r="A112" s="48" t="s">
        <v>126</v>
      </c>
      <c r="B112" s="48" t="s">
        <v>130</v>
      </c>
      <c r="C112" s="66">
        <v>0.7</v>
      </c>
      <c r="D112" s="21">
        <v>0.3</v>
      </c>
      <c r="E112" s="21">
        <v>0.3</v>
      </c>
      <c r="F112" s="22">
        <v>0</v>
      </c>
      <c r="G112" s="22">
        <v>0</v>
      </c>
      <c r="H112" s="22">
        <v>0</v>
      </c>
      <c r="I112" s="64">
        <v>3</v>
      </c>
      <c r="J112" s="22">
        <v>20</v>
      </c>
      <c r="K112" s="22">
        <v>0</v>
      </c>
    </row>
    <row r="113" spans="1:11" ht="15.75" thickBot="1" x14ac:dyDescent="0.3">
      <c r="A113" s="31" t="s">
        <v>126</v>
      </c>
      <c r="B113" s="31" t="s">
        <v>131</v>
      </c>
      <c r="C113" s="33">
        <v>0.5</v>
      </c>
      <c r="D113" s="33">
        <v>0.3</v>
      </c>
      <c r="E113" s="33">
        <v>0.5</v>
      </c>
      <c r="F113" s="34">
        <v>0</v>
      </c>
      <c r="G113" s="34">
        <v>0</v>
      </c>
      <c r="H113" s="34">
        <v>0</v>
      </c>
      <c r="I113" s="58">
        <v>0</v>
      </c>
      <c r="J113" s="34">
        <v>10</v>
      </c>
      <c r="K113" s="34">
        <v>0</v>
      </c>
    </row>
    <row r="114" spans="1:11" ht="15.75" thickBot="1" x14ac:dyDescent="0.3">
      <c r="A114" s="67" t="s">
        <v>126</v>
      </c>
      <c r="B114" s="67" t="s">
        <v>132</v>
      </c>
      <c r="C114" s="68">
        <v>0.4</v>
      </c>
      <c r="D114" s="68">
        <v>0.4</v>
      </c>
      <c r="E114" s="68">
        <v>0.6</v>
      </c>
      <c r="F114" s="69">
        <v>0</v>
      </c>
      <c r="G114" s="69">
        <v>0</v>
      </c>
      <c r="H114" s="69">
        <v>0</v>
      </c>
      <c r="I114" s="69">
        <v>0</v>
      </c>
      <c r="J114" s="69">
        <v>10</v>
      </c>
      <c r="K114" s="69">
        <v>0</v>
      </c>
    </row>
    <row r="115" spans="1:11" ht="16.5" thickTop="1" thickBot="1" x14ac:dyDescent="0.3">
      <c r="A115" s="40" t="s">
        <v>24</v>
      </c>
      <c r="B115" s="40" t="s">
        <v>133</v>
      </c>
      <c r="C115" s="41">
        <v>0.1</v>
      </c>
      <c r="D115" s="41">
        <v>0.2</v>
      </c>
      <c r="E115" s="41">
        <v>0.9</v>
      </c>
      <c r="F115" s="42">
        <v>3.3</v>
      </c>
      <c r="G115" s="42">
        <v>-2.1</v>
      </c>
      <c r="H115" s="42">
        <v>0</v>
      </c>
      <c r="I115" s="42">
        <v>165</v>
      </c>
      <c r="J115" s="42">
        <v>20</v>
      </c>
      <c r="K115" s="42">
        <v>0</v>
      </c>
    </row>
    <row r="116" spans="1:11" ht="15.75" thickBot="1" x14ac:dyDescent="0.3">
      <c r="A116" s="40" t="s">
        <v>27</v>
      </c>
      <c r="B116" s="40" t="s">
        <v>134</v>
      </c>
      <c r="C116" s="41">
        <v>0.1</v>
      </c>
      <c r="D116" s="41">
        <v>0.2</v>
      </c>
      <c r="E116" s="41">
        <v>0.9</v>
      </c>
      <c r="F116" s="42">
        <v>5.7</v>
      </c>
      <c r="G116" s="42">
        <v>-3.6</v>
      </c>
      <c r="H116" s="42">
        <v>0</v>
      </c>
      <c r="I116" s="42">
        <v>165</v>
      </c>
      <c r="J116" s="42">
        <v>20</v>
      </c>
      <c r="K116" s="42">
        <v>0</v>
      </c>
    </row>
    <row r="117" spans="1:11" ht="15.75" thickBot="1" x14ac:dyDescent="0.3">
      <c r="A117" s="30" t="s">
        <v>20</v>
      </c>
      <c r="B117" s="30" t="s">
        <v>135</v>
      </c>
      <c r="C117" s="28">
        <v>0</v>
      </c>
      <c r="D117" s="28">
        <v>0.05</v>
      </c>
      <c r="E117" s="28">
        <v>0.9</v>
      </c>
      <c r="F117" s="29">
        <v>0</v>
      </c>
      <c r="G117" s="29">
        <v>3.6</v>
      </c>
      <c r="H117" s="29">
        <v>0</v>
      </c>
      <c r="I117" s="29">
        <v>86</v>
      </c>
      <c r="J117" s="29">
        <v>20</v>
      </c>
      <c r="K117" s="29">
        <v>0</v>
      </c>
    </row>
    <row r="118" spans="1:11" ht="15.75" thickBot="1" x14ac:dyDescent="0.3">
      <c r="A118" s="20" t="s">
        <v>20</v>
      </c>
      <c r="B118" s="20" t="s">
        <v>136</v>
      </c>
      <c r="C118" s="21">
        <v>0</v>
      </c>
      <c r="D118" s="21">
        <v>0.05</v>
      </c>
      <c r="E118" s="21">
        <v>0.9</v>
      </c>
      <c r="F118" s="22">
        <v>0</v>
      </c>
      <c r="G118" s="22">
        <v>7.3</v>
      </c>
      <c r="H118" s="22">
        <v>0</v>
      </c>
      <c r="I118" s="22">
        <v>524</v>
      </c>
      <c r="J118" s="22">
        <v>20</v>
      </c>
      <c r="K118" s="22">
        <v>0</v>
      </c>
    </row>
    <row r="119" spans="1:11" ht="15.75" thickBot="1" x14ac:dyDescent="0.3">
      <c r="A119" s="44" t="s">
        <v>20</v>
      </c>
      <c r="B119" s="44" t="s">
        <v>137</v>
      </c>
      <c r="C119" s="45">
        <v>0</v>
      </c>
      <c r="D119" s="45">
        <v>0.05</v>
      </c>
      <c r="E119" s="45">
        <v>1</v>
      </c>
      <c r="F119" s="46">
        <v>0</v>
      </c>
      <c r="G119" s="46">
        <v>4.5</v>
      </c>
      <c r="H119" s="46">
        <v>0</v>
      </c>
      <c r="I119" s="46">
        <v>0</v>
      </c>
      <c r="J119" s="46">
        <v>10</v>
      </c>
      <c r="K119" s="46">
        <v>75</v>
      </c>
    </row>
    <row r="120" spans="1:11" ht="16.5" thickTop="1" thickBot="1" x14ac:dyDescent="0.3">
      <c r="A120" s="40" t="s">
        <v>52</v>
      </c>
      <c r="B120" s="40" t="s">
        <v>138</v>
      </c>
      <c r="C120" s="41">
        <v>0.15</v>
      </c>
      <c r="D120" s="41">
        <v>0.65</v>
      </c>
      <c r="E120" s="41">
        <v>0.75</v>
      </c>
      <c r="F120" s="42">
        <v>0.7</v>
      </c>
      <c r="G120" s="42">
        <v>0</v>
      </c>
      <c r="H120" s="42">
        <v>0</v>
      </c>
      <c r="I120" s="42">
        <v>7</v>
      </c>
      <c r="J120" s="42">
        <v>20</v>
      </c>
      <c r="K120" s="42">
        <v>0</v>
      </c>
    </row>
    <row r="121" spans="1:11" x14ac:dyDescent="0.25">
      <c r="A121" s="20" t="s">
        <v>44</v>
      </c>
      <c r="B121" s="70" t="s">
        <v>139</v>
      </c>
      <c r="C121" s="21">
        <v>0</v>
      </c>
      <c r="D121" s="21">
        <v>0</v>
      </c>
      <c r="E121" s="21">
        <v>1</v>
      </c>
      <c r="F121" s="22">
        <v>18.899999999999999</v>
      </c>
      <c r="G121" s="22">
        <v>-12.7</v>
      </c>
      <c r="H121" s="22">
        <v>0</v>
      </c>
      <c r="I121" s="22">
        <v>464</v>
      </c>
      <c r="J121" s="22">
        <v>20</v>
      </c>
      <c r="K121" s="22">
        <v>0</v>
      </c>
    </row>
    <row r="122" spans="1:11" ht="15.75" thickBot="1" x14ac:dyDescent="0.3">
      <c r="A122" s="40" t="s">
        <v>44</v>
      </c>
      <c r="B122" s="71" t="s">
        <v>140</v>
      </c>
      <c r="C122" s="41">
        <v>0</v>
      </c>
      <c r="D122" s="41">
        <v>0</v>
      </c>
      <c r="E122" s="41">
        <v>1</v>
      </c>
      <c r="F122" s="42">
        <v>15.2</v>
      </c>
      <c r="G122" s="42">
        <v>0.8</v>
      </c>
      <c r="H122" s="42">
        <v>-6.9</v>
      </c>
      <c r="I122" s="42">
        <v>266</v>
      </c>
      <c r="J122" s="42">
        <v>20</v>
      </c>
      <c r="K122" s="42">
        <v>0</v>
      </c>
    </row>
    <row r="123" spans="1:11" ht="15.75" thickBot="1" x14ac:dyDescent="0.3">
      <c r="A123" s="40" t="s">
        <v>31</v>
      </c>
      <c r="B123" s="40" t="s">
        <v>141</v>
      </c>
      <c r="C123" s="41">
        <v>0</v>
      </c>
      <c r="D123" s="41">
        <v>0.03</v>
      </c>
      <c r="E123" s="41">
        <v>1</v>
      </c>
      <c r="F123" s="42">
        <v>1.4</v>
      </c>
      <c r="G123" s="42">
        <v>0</v>
      </c>
      <c r="H123" s="42">
        <v>0</v>
      </c>
      <c r="I123" s="42">
        <v>44</v>
      </c>
      <c r="J123" s="42">
        <v>18</v>
      </c>
      <c r="K123" s="42">
        <v>0</v>
      </c>
    </row>
    <row r="124" spans="1:11" ht="15.75" thickBot="1" x14ac:dyDescent="0.3">
      <c r="A124" s="43" t="s">
        <v>35</v>
      </c>
      <c r="B124" s="43" t="s">
        <v>142</v>
      </c>
      <c r="C124" s="37">
        <v>0</v>
      </c>
      <c r="D124" s="37">
        <v>0.09</v>
      </c>
      <c r="E124" s="37">
        <v>0.99</v>
      </c>
      <c r="F124" s="38">
        <v>1.2</v>
      </c>
      <c r="G124" s="38">
        <v>0</v>
      </c>
      <c r="H124" s="38">
        <v>0</v>
      </c>
      <c r="I124" s="38">
        <v>87</v>
      </c>
      <c r="J124" s="38">
        <v>20</v>
      </c>
      <c r="K124" s="38">
        <v>0</v>
      </c>
    </row>
    <row r="125" spans="1:11" ht="15.75" thickTop="1" x14ac:dyDescent="0.25">
      <c r="A125" s="72" t="s">
        <v>56</v>
      </c>
      <c r="B125" s="72" t="s">
        <v>143</v>
      </c>
      <c r="C125" s="73">
        <v>0.01</v>
      </c>
      <c r="D125" s="73">
        <v>0.09</v>
      </c>
      <c r="E125" s="73">
        <v>0.79</v>
      </c>
      <c r="F125" s="74">
        <v>5.2</v>
      </c>
      <c r="G125" s="74">
        <v>-2.9</v>
      </c>
      <c r="H125" s="74">
        <v>0</v>
      </c>
      <c r="I125" s="74">
        <v>300</v>
      </c>
      <c r="J125" s="74">
        <v>20</v>
      </c>
      <c r="K125" s="74">
        <v>0</v>
      </c>
    </row>
    <row r="126" spans="1:11" ht="15.75" thickBot="1" x14ac:dyDescent="0.3">
      <c r="A126" s="75" t="s">
        <v>56</v>
      </c>
      <c r="B126" s="75" t="s">
        <v>144</v>
      </c>
      <c r="C126" s="76">
        <v>0</v>
      </c>
      <c r="D126" s="76">
        <v>0.18</v>
      </c>
      <c r="E126" s="76">
        <v>0.48</v>
      </c>
      <c r="F126" s="77">
        <v>0.45</v>
      </c>
      <c r="G126" s="77">
        <v>0.1</v>
      </c>
      <c r="H126" s="77">
        <v>0</v>
      </c>
      <c r="I126" s="77">
        <v>10</v>
      </c>
      <c r="J126" s="77">
        <v>10</v>
      </c>
      <c r="K126" s="77">
        <v>0</v>
      </c>
    </row>
    <row r="127" spans="1:11" x14ac:dyDescent="0.25">
      <c r="A127" s="78" t="s">
        <v>62</v>
      </c>
      <c r="B127" s="78" t="s">
        <v>143</v>
      </c>
      <c r="C127" s="79">
        <v>0.01</v>
      </c>
      <c r="D127" s="79">
        <v>0.09</v>
      </c>
      <c r="E127" s="79">
        <v>0.79</v>
      </c>
      <c r="F127" s="80">
        <v>7.5</v>
      </c>
      <c r="G127" s="80">
        <v>-2.9</v>
      </c>
      <c r="H127" s="80">
        <v>0</v>
      </c>
      <c r="I127" s="80">
        <v>300</v>
      </c>
      <c r="J127" s="80">
        <v>20</v>
      </c>
      <c r="K127" s="80">
        <v>0</v>
      </c>
    </row>
    <row r="128" spans="1:11" ht="15.75" thickBot="1" x14ac:dyDescent="0.3">
      <c r="A128" s="81" t="s">
        <v>62</v>
      </c>
      <c r="B128" s="81" t="s">
        <v>144</v>
      </c>
      <c r="C128" s="82">
        <v>0</v>
      </c>
      <c r="D128" s="82">
        <v>0.18</v>
      </c>
      <c r="E128" s="82">
        <v>0.48</v>
      </c>
      <c r="F128" s="83">
        <v>0.86</v>
      </c>
      <c r="G128" s="83">
        <v>-0.1</v>
      </c>
      <c r="H128" s="83">
        <v>0</v>
      </c>
      <c r="I128" s="83">
        <v>10</v>
      </c>
      <c r="J128" s="83">
        <v>10</v>
      </c>
      <c r="K128" s="83">
        <v>0</v>
      </c>
    </row>
    <row r="129" spans="1:11" ht="15.75" thickTop="1" x14ac:dyDescent="0.25">
      <c r="A129" s="48" t="s">
        <v>145</v>
      </c>
      <c r="B129" s="48" t="s">
        <v>146</v>
      </c>
      <c r="C129" s="66">
        <v>0</v>
      </c>
      <c r="D129" s="66">
        <v>0.09</v>
      </c>
      <c r="E129" s="66">
        <v>0.79</v>
      </c>
      <c r="F129" s="64">
        <v>0</v>
      </c>
      <c r="G129" s="22">
        <v>2</v>
      </c>
      <c r="H129" s="22">
        <v>0</v>
      </c>
      <c r="I129" s="22">
        <v>508</v>
      </c>
      <c r="J129" s="22">
        <v>20</v>
      </c>
      <c r="K129" s="22">
        <v>5.4</v>
      </c>
    </row>
    <row r="130" spans="1:11" x14ac:dyDescent="0.25">
      <c r="A130" s="48" t="s">
        <v>145</v>
      </c>
      <c r="B130" s="84" t="s">
        <v>147</v>
      </c>
      <c r="C130" s="66">
        <v>0</v>
      </c>
      <c r="D130" s="66">
        <v>0.1</v>
      </c>
      <c r="E130" s="66">
        <v>1</v>
      </c>
      <c r="F130" s="64">
        <v>10.9</v>
      </c>
      <c r="G130" s="22">
        <v>0</v>
      </c>
      <c r="H130" s="22">
        <v>-8.6</v>
      </c>
      <c r="I130" s="22">
        <v>54</v>
      </c>
      <c r="J130" s="22">
        <v>25</v>
      </c>
      <c r="K130" s="22">
        <v>1.2</v>
      </c>
    </row>
    <row r="131" spans="1:11" ht="15.75" thickBot="1" x14ac:dyDescent="0.3">
      <c r="A131" s="47" t="s">
        <v>145</v>
      </c>
      <c r="B131" s="85" t="s">
        <v>148</v>
      </c>
      <c r="C131" s="86">
        <v>0</v>
      </c>
      <c r="D131" s="86">
        <v>0.1</v>
      </c>
      <c r="E131" s="86">
        <v>1</v>
      </c>
      <c r="F131" s="87">
        <v>10.9</v>
      </c>
      <c r="G131" s="42">
        <v>-2</v>
      </c>
      <c r="H131" s="42">
        <v>0</v>
      </c>
      <c r="I131" s="42">
        <v>722</v>
      </c>
      <c r="J131" s="42">
        <v>15</v>
      </c>
      <c r="K131" s="42">
        <v>0</v>
      </c>
    </row>
    <row r="132" spans="1:11" x14ac:dyDescent="0.25">
      <c r="A132" s="48" t="s">
        <v>65</v>
      </c>
      <c r="B132" s="48" t="s">
        <v>149</v>
      </c>
      <c r="C132" s="66">
        <v>0</v>
      </c>
      <c r="D132" s="66">
        <v>0.14000000000000001</v>
      </c>
      <c r="E132" s="66">
        <v>0.8</v>
      </c>
      <c r="F132" s="64">
        <v>0</v>
      </c>
      <c r="G132" s="22">
        <v>1.9</v>
      </c>
      <c r="H132" s="22">
        <v>0</v>
      </c>
      <c r="I132" s="22">
        <v>501</v>
      </c>
      <c r="J132" s="22">
        <v>15</v>
      </c>
      <c r="K132" s="22">
        <v>3.2</v>
      </c>
    </row>
    <row r="133" spans="1:11" x14ac:dyDescent="0.25">
      <c r="A133" s="48" t="s">
        <v>65</v>
      </c>
      <c r="B133" s="48" t="s">
        <v>150</v>
      </c>
      <c r="C133" s="66">
        <v>0</v>
      </c>
      <c r="D133" s="66">
        <v>0.46</v>
      </c>
      <c r="E133" s="66">
        <v>1</v>
      </c>
      <c r="F133" s="64">
        <v>0</v>
      </c>
      <c r="G133" s="22">
        <v>2.6</v>
      </c>
      <c r="H133" s="22">
        <v>0</v>
      </c>
      <c r="I133" s="22">
        <v>407</v>
      </c>
      <c r="J133" s="22">
        <v>5</v>
      </c>
      <c r="K133" s="22">
        <v>0</v>
      </c>
    </row>
    <row r="134" spans="1:11" x14ac:dyDescent="0.25">
      <c r="A134" s="48" t="s">
        <v>65</v>
      </c>
      <c r="B134" s="84" t="s">
        <v>147</v>
      </c>
      <c r="C134" s="66">
        <v>0</v>
      </c>
      <c r="D134" s="66">
        <v>0.1</v>
      </c>
      <c r="E134" s="66">
        <v>1</v>
      </c>
      <c r="F134" s="64">
        <v>2</v>
      </c>
      <c r="G134" s="22">
        <v>0</v>
      </c>
      <c r="H134" s="22">
        <v>-1.6</v>
      </c>
      <c r="I134" s="22">
        <v>10</v>
      </c>
      <c r="J134" s="22">
        <v>25</v>
      </c>
      <c r="K134" s="22">
        <v>0.2</v>
      </c>
    </row>
    <row r="135" spans="1:11" ht="15.75" thickBot="1" x14ac:dyDescent="0.3">
      <c r="A135" s="47" t="s">
        <v>65</v>
      </c>
      <c r="B135" s="85" t="s">
        <v>148</v>
      </c>
      <c r="C135" s="86">
        <v>0</v>
      </c>
      <c r="D135" s="86">
        <v>0.1</v>
      </c>
      <c r="E135" s="86">
        <v>1</v>
      </c>
      <c r="F135" s="87">
        <v>2</v>
      </c>
      <c r="G135" s="42">
        <v>-0.4</v>
      </c>
      <c r="H135" s="42">
        <v>0</v>
      </c>
      <c r="I135" s="42">
        <v>132</v>
      </c>
      <c r="J135" s="42">
        <v>15</v>
      </c>
      <c r="K135" s="42">
        <v>0</v>
      </c>
    </row>
    <row r="136" spans="1:11" x14ac:dyDescent="0.25">
      <c r="A136" s="48" t="s">
        <v>68</v>
      </c>
      <c r="B136" s="48" t="s">
        <v>151</v>
      </c>
      <c r="C136" s="66">
        <v>0</v>
      </c>
      <c r="D136" s="66">
        <v>0.7</v>
      </c>
      <c r="E136" s="66">
        <v>1</v>
      </c>
      <c r="F136" s="64">
        <v>0</v>
      </c>
      <c r="G136" s="22">
        <v>0.1</v>
      </c>
      <c r="H136" s="22">
        <v>0</v>
      </c>
      <c r="I136" s="22">
        <v>1</v>
      </c>
      <c r="J136" s="22">
        <v>15</v>
      </c>
      <c r="K136" s="22">
        <v>0</v>
      </c>
    </row>
    <row r="137" spans="1:11" x14ac:dyDescent="0.25">
      <c r="A137" s="48" t="s">
        <v>68</v>
      </c>
      <c r="B137" s="84" t="s">
        <v>147</v>
      </c>
      <c r="C137" s="66">
        <v>0</v>
      </c>
      <c r="D137" s="66">
        <v>0.1</v>
      </c>
      <c r="E137" s="66">
        <v>1</v>
      </c>
      <c r="F137" s="64">
        <v>0.5</v>
      </c>
      <c r="G137" s="22">
        <v>0</v>
      </c>
      <c r="H137" s="22">
        <v>-0.4</v>
      </c>
      <c r="I137" s="22">
        <v>2.6</v>
      </c>
      <c r="J137" s="22">
        <v>25</v>
      </c>
      <c r="K137" s="22">
        <v>0.1</v>
      </c>
    </row>
    <row r="138" spans="1:11" ht="15.75" thickBot="1" x14ac:dyDescent="0.3">
      <c r="A138" s="47" t="s">
        <v>68</v>
      </c>
      <c r="B138" s="85" t="s">
        <v>148</v>
      </c>
      <c r="C138" s="86">
        <v>0</v>
      </c>
      <c r="D138" s="86">
        <v>0.1</v>
      </c>
      <c r="E138" s="86">
        <v>1</v>
      </c>
      <c r="F138" s="87">
        <v>0.5</v>
      </c>
      <c r="G138" s="42">
        <v>-0.1</v>
      </c>
      <c r="H138" s="42">
        <v>0</v>
      </c>
      <c r="I138" s="42">
        <v>35</v>
      </c>
      <c r="J138" s="42">
        <v>15</v>
      </c>
      <c r="K138" s="42">
        <v>0</v>
      </c>
    </row>
    <row r="139" spans="1:11" x14ac:dyDescent="0.25">
      <c r="A139" s="48" t="s">
        <v>73</v>
      </c>
      <c r="B139" s="48" t="s">
        <v>152</v>
      </c>
      <c r="C139" s="66">
        <v>0</v>
      </c>
      <c r="D139" s="66">
        <v>0.09</v>
      </c>
      <c r="E139" s="66">
        <v>0.8</v>
      </c>
      <c r="F139" s="64">
        <v>0.2</v>
      </c>
      <c r="G139" s="22">
        <v>0.16</v>
      </c>
      <c r="H139" s="22">
        <v>0</v>
      </c>
      <c r="I139" s="22">
        <v>17</v>
      </c>
      <c r="J139" s="22">
        <v>20</v>
      </c>
      <c r="K139" s="22">
        <v>3.5</v>
      </c>
    </row>
    <row r="140" spans="1:11" x14ac:dyDescent="0.25">
      <c r="A140" s="48" t="s">
        <v>73</v>
      </c>
      <c r="B140" s="48" t="s">
        <v>153</v>
      </c>
      <c r="C140" s="66">
        <v>0</v>
      </c>
      <c r="D140" s="66">
        <v>0.06</v>
      </c>
      <c r="E140" s="66">
        <v>0.96</v>
      </c>
      <c r="F140" s="64">
        <v>0.7</v>
      </c>
      <c r="G140" s="22">
        <v>0</v>
      </c>
      <c r="H140" s="22">
        <v>0</v>
      </c>
      <c r="I140" s="22">
        <v>91</v>
      </c>
      <c r="J140" s="22">
        <v>20</v>
      </c>
      <c r="K140" s="22">
        <v>0</v>
      </c>
    </row>
    <row r="141" spans="1:11" x14ac:dyDescent="0.25">
      <c r="A141" s="48" t="s">
        <v>73</v>
      </c>
      <c r="B141" s="84" t="s">
        <v>154</v>
      </c>
      <c r="C141" s="66">
        <v>0</v>
      </c>
      <c r="D141" s="66">
        <v>0.01</v>
      </c>
      <c r="E141" s="66">
        <v>7.0000000000000007E-2</v>
      </c>
      <c r="F141" s="64">
        <v>7.3</v>
      </c>
      <c r="G141" s="22">
        <v>-5.5</v>
      </c>
      <c r="H141" s="22">
        <v>0</v>
      </c>
      <c r="I141" s="22">
        <v>53</v>
      </c>
      <c r="J141" s="22">
        <v>15</v>
      </c>
      <c r="K141" s="22">
        <v>0</v>
      </c>
    </row>
    <row r="142" spans="1:11" x14ac:dyDescent="0.25">
      <c r="A142" s="48" t="s">
        <v>73</v>
      </c>
      <c r="B142" s="84" t="s">
        <v>147</v>
      </c>
      <c r="C142" s="66">
        <v>0</v>
      </c>
      <c r="D142" s="66">
        <v>0.1</v>
      </c>
      <c r="E142" s="66">
        <v>1</v>
      </c>
      <c r="F142" s="64">
        <v>7.3</v>
      </c>
      <c r="G142" s="22">
        <v>0</v>
      </c>
      <c r="H142" s="22">
        <v>-5.7</v>
      </c>
      <c r="I142" s="22">
        <v>36</v>
      </c>
      <c r="J142" s="22">
        <v>25</v>
      </c>
      <c r="K142" s="22">
        <v>0.8</v>
      </c>
    </row>
    <row r="143" spans="1:11" x14ac:dyDescent="0.25">
      <c r="A143" s="48" t="s">
        <v>73</v>
      </c>
      <c r="B143" s="48" t="s">
        <v>155</v>
      </c>
      <c r="C143" s="66">
        <v>0</v>
      </c>
      <c r="D143" s="66">
        <v>0.01</v>
      </c>
      <c r="E143" s="66">
        <v>0.05</v>
      </c>
      <c r="F143" s="64">
        <v>7.3</v>
      </c>
      <c r="G143" s="22">
        <v>-1.4</v>
      </c>
      <c r="H143" s="22">
        <v>0</v>
      </c>
      <c r="I143" s="22">
        <v>77</v>
      </c>
      <c r="J143" s="22">
        <v>15</v>
      </c>
      <c r="K143" s="22">
        <v>0</v>
      </c>
    </row>
    <row r="144" spans="1:11" ht="15.75" thickBot="1" x14ac:dyDescent="0.3">
      <c r="A144" s="47" t="s">
        <v>73</v>
      </c>
      <c r="B144" s="85" t="s">
        <v>148</v>
      </c>
      <c r="C144" s="86">
        <v>0</v>
      </c>
      <c r="D144" s="86">
        <v>0.09</v>
      </c>
      <c r="E144" s="86">
        <v>0.88</v>
      </c>
      <c r="F144" s="87">
        <v>7.3</v>
      </c>
      <c r="G144" s="42">
        <v>-1.4</v>
      </c>
      <c r="H144" s="42">
        <v>0</v>
      </c>
      <c r="I144" s="42">
        <v>480</v>
      </c>
      <c r="J144" s="42">
        <v>15</v>
      </c>
      <c r="K144" s="42">
        <v>0</v>
      </c>
    </row>
    <row r="145" spans="1:11" x14ac:dyDescent="0.25">
      <c r="A145" s="48" t="s">
        <v>79</v>
      </c>
      <c r="B145" s="48" t="s">
        <v>152</v>
      </c>
      <c r="C145" s="66">
        <v>0</v>
      </c>
      <c r="D145" s="66">
        <v>0.09</v>
      </c>
      <c r="E145" s="66">
        <v>0.8</v>
      </c>
      <c r="F145" s="64">
        <v>0.2</v>
      </c>
      <c r="G145" s="22">
        <v>0.16</v>
      </c>
      <c r="H145" s="22">
        <v>0</v>
      </c>
      <c r="I145" s="22">
        <v>17</v>
      </c>
      <c r="J145" s="22">
        <v>20</v>
      </c>
      <c r="K145" s="22">
        <v>3.5</v>
      </c>
    </row>
    <row r="146" spans="1:11" x14ac:dyDescent="0.25">
      <c r="A146" s="48" t="s">
        <v>79</v>
      </c>
      <c r="B146" s="48" t="s">
        <v>153</v>
      </c>
      <c r="C146" s="66">
        <v>0</v>
      </c>
      <c r="D146" s="66">
        <v>0.06</v>
      </c>
      <c r="E146" s="66">
        <v>0.96</v>
      </c>
      <c r="F146" s="64">
        <v>0.7</v>
      </c>
      <c r="G146" s="22">
        <v>0</v>
      </c>
      <c r="H146" s="22">
        <v>0</v>
      </c>
      <c r="I146" s="22">
        <v>91</v>
      </c>
      <c r="J146" s="22">
        <v>20</v>
      </c>
      <c r="K146" s="22">
        <v>0</v>
      </c>
    </row>
    <row r="147" spans="1:11" x14ac:dyDescent="0.25">
      <c r="A147" s="48" t="s">
        <v>79</v>
      </c>
      <c r="B147" s="84" t="s">
        <v>154</v>
      </c>
      <c r="C147" s="66">
        <v>0</v>
      </c>
      <c r="D147" s="66">
        <v>0.01</v>
      </c>
      <c r="E147" s="66">
        <v>7.0000000000000007E-2</v>
      </c>
      <c r="F147" s="64">
        <v>7.6</v>
      </c>
      <c r="G147" s="22">
        <v>-5.7</v>
      </c>
      <c r="H147" s="22">
        <v>0</v>
      </c>
      <c r="I147" s="22">
        <v>55</v>
      </c>
      <c r="J147" s="22">
        <v>15</v>
      </c>
      <c r="K147" s="22">
        <v>0</v>
      </c>
    </row>
    <row r="148" spans="1:11" x14ac:dyDescent="0.25">
      <c r="A148" s="48" t="s">
        <v>79</v>
      </c>
      <c r="B148" s="84" t="s">
        <v>147</v>
      </c>
      <c r="C148" s="66">
        <v>0</v>
      </c>
      <c r="D148" s="66">
        <v>0.1</v>
      </c>
      <c r="E148" s="66">
        <v>1</v>
      </c>
      <c r="F148" s="64">
        <v>7.6</v>
      </c>
      <c r="G148" s="22">
        <v>0</v>
      </c>
      <c r="H148" s="22">
        <v>-6</v>
      </c>
      <c r="I148" s="22">
        <v>37</v>
      </c>
      <c r="J148" s="22">
        <v>25</v>
      </c>
      <c r="K148" s="22">
        <v>0.8</v>
      </c>
    </row>
    <row r="149" spans="1:11" x14ac:dyDescent="0.25">
      <c r="A149" s="48" t="s">
        <v>79</v>
      </c>
      <c r="B149" s="48" t="s">
        <v>155</v>
      </c>
      <c r="C149" s="66">
        <v>0</v>
      </c>
      <c r="D149" s="66">
        <v>0.01</v>
      </c>
      <c r="E149" s="66">
        <v>0.05</v>
      </c>
      <c r="F149" s="64">
        <v>7.6</v>
      </c>
      <c r="G149" s="22">
        <v>-1.4</v>
      </c>
      <c r="H149" s="22">
        <v>0</v>
      </c>
      <c r="I149" s="22">
        <v>80</v>
      </c>
      <c r="J149" s="22">
        <v>15</v>
      </c>
      <c r="K149" s="22">
        <v>0</v>
      </c>
    </row>
    <row r="150" spans="1:11" x14ac:dyDescent="0.25">
      <c r="A150" s="48" t="s">
        <v>79</v>
      </c>
      <c r="B150" s="84" t="s">
        <v>148</v>
      </c>
      <c r="C150" s="66">
        <v>0</v>
      </c>
      <c r="D150" s="66">
        <v>0.09</v>
      </c>
      <c r="E150" s="66">
        <v>0.88</v>
      </c>
      <c r="F150" s="64">
        <v>7.6</v>
      </c>
      <c r="G150" s="22">
        <v>-1.4</v>
      </c>
      <c r="H150" s="22">
        <v>0</v>
      </c>
      <c r="I150" s="22">
        <v>500</v>
      </c>
      <c r="J150" s="22">
        <v>15</v>
      </c>
      <c r="K150" s="22">
        <v>0</v>
      </c>
    </row>
    <row r="151" spans="1:11" ht="15.75" thickBot="1" x14ac:dyDescent="0.3">
      <c r="A151" s="47" t="s">
        <v>79</v>
      </c>
      <c r="B151" s="47" t="s">
        <v>156</v>
      </c>
      <c r="C151" s="86">
        <v>0</v>
      </c>
      <c r="D151" s="86">
        <v>0.09</v>
      </c>
      <c r="E151" s="86">
        <v>0.8</v>
      </c>
      <c r="F151" s="87">
        <v>0.2</v>
      </c>
      <c r="G151" s="42">
        <v>0.16</v>
      </c>
      <c r="H151" s="42">
        <v>0</v>
      </c>
      <c r="I151" s="42">
        <v>17</v>
      </c>
      <c r="J151" s="42">
        <v>20</v>
      </c>
      <c r="K151" s="42">
        <v>3.5</v>
      </c>
    </row>
    <row r="152" spans="1:11" x14ac:dyDescent="0.25">
      <c r="A152" s="48" t="s">
        <v>81</v>
      </c>
      <c r="B152" s="48" t="s">
        <v>153</v>
      </c>
      <c r="C152" s="66">
        <v>0</v>
      </c>
      <c r="D152" s="66">
        <v>0.06</v>
      </c>
      <c r="E152" s="66">
        <v>0.96</v>
      </c>
      <c r="F152" s="64">
        <v>0.7</v>
      </c>
      <c r="G152" s="22">
        <v>0</v>
      </c>
      <c r="H152" s="22">
        <v>0</v>
      </c>
      <c r="I152" s="22">
        <v>91</v>
      </c>
      <c r="J152" s="22">
        <v>20</v>
      </c>
      <c r="K152" s="22">
        <v>0</v>
      </c>
    </row>
    <row r="153" spans="1:11" x14ac:dyDescent="0.25">
      <c r="A153" s="48" t="s">
        <v>81</v>
      </c>
      <c r="B153" s="84" t="s">
        <v>154</v>
      </c>
      <c r="C153" s="66">
        <v>0</v>
      </c>
      <c r="D153" s="66">
        <v>0.01</v>
      </c>
      <c r="E153" s="66">
        <v>7.0000000000000007E-2</v>
      </c>
      <c r="F153" s="64">
        <v>5.0999999999999996</v>
      </c>
      <c r="G153" s="22">
        <v>-3.9</v>
      </c>
      <c r="H153" s="22">
        <v>0</v>
      </c>
      <c r="I153" s="22">
        <v>37</v>
      </c>
      <c r="J153" s="22">
        <v>15</v>
      </c>
      <c r="K153" s="22">
        <v>0</v>
      </c>
    </row>
    <row r="154" spans="1:11" x14ac:dyDescent="0.25">
      <c r="A154" s="48" t="s">
        <v>81</v>
      </c>
      <c r="B154" s="84" t="s">
        <v>147</v>
      </c>
      <c r="C154" s="66">
        <v>0</v>
      </c>
      <c r="D154" s="66">
        <v>0.1</v>
      </c>
      <c r="E154" s="66">
        <v>1</v>
      </c>
      <c r="F154" s="64">
        <v>5.0999999999999996</v>
      </c>
      <c r="G154" s="22">
        <v>0</v>
      </c>
      <c r="H154" s="22">
        <v>-4.0999999999999996</v>
      </c>
      <c r="I154" s="22">
        <v>25</v>
      </c>
      <c r="J154" s="22">
        <v>25</v>
      </c>
      <c r="K154" s="22">
        <v>0.6</v>
      </c>
    </row>
    <row r="155" spans="1:11" x14ac:dyDescent="0.25">
      <c r="A155" s="48" t="s">
        <v>81</v>
      </c>
      <c r="B155" s="48" t="s">
        <v>155</v>
      </c>
      <c r="C155" s="66">
        <v>0</v>
      </c>
      <c r="D155" s="66">
        <v>0.01</v>
      </c>
      <c r="E155" s="66">
        <v>0.05</v>
      </c>
      <c r="F155" s="64">
        <v>5.0999999999999996</v>
      </c>
      <c r="G155" s="22">
        <v>-1</v>
      </c>
      <c r="H155" s="22">
        <v>0</v>
      </c>
      <c r="I155" s="22">
        <v>54</v>
      </c>
      <c r="J155" s="22">
        <v>15</v>
      </c>
      <c r="K155" s="22">
        <v>0</v>
      </c>
    </row>
    <row r="156" spans="1:11" ht="15.75" thickBot="1" x14ac:dyDescent="0.3">
      <c r="A156" s="35" t="s">
        <v>81</v>
      </c>
      <c r="B156" s="88" t="s">
        <v>148</v>
      </c>
      <c r="C156" s="36">
        <v>0</v>
      </c>
      <c r="D156" s="36">
        <v>0.09</v>
      </c>
      <c r="E156" s="36">
        <v>0.88</v>
      </c>
      <c r="F156" s="89">
        <v>5.0999999999999996</v>
      </c>
      <c r="G156" s="38">
        <v>-1</v>
      </c>
      <c r="H156" s="38">
        <v>0</v>
      </c>
      <c r="I156" s="38">
        <v>340</v>
      </c>
      <c r="J156" s="38">
        <v>15</v>
      </c>
      <c r="K156" s="38">
        <v>0</v>
      </c>
    </row>
    <row r="157" spans="1:11" ht="15.75" thickTop="1" x14ac:dyDescent="0.25">
      <c r="A157" s="20" t="s">
        <v>108</v>
      </c>
      <c r="B157" s="20" t="s">
        <v>157</v>
      </c>
      <c r="C157" s="21">
        <v>0</v>
      </c>
      <c r="D157" s="21">
        <v>0</v>
      </c>
      <c r="E157" s="21">
        <v>0.8</v>
      </c>
      <c r="F157" s="22">
        <v>3.6</v>
      </c>
      <c r="G157" s="22">
        <v>-2.9</v>
      </c>
      <c r="H157" s="22">
        <v>0</v>
      </c>
      <c r="I157" s="22">
        <v>84</v>
      </c>
      <c r="J157" s="22">
        <v>20</v>
      </c>
      <c r="K157" s="22">
        <v>-5.6</v>
      </c>
    </row>
    <row r="158" spans="1:11" ht="15.75" thickBot="1" x14ac:dyDescent="0.3">
      <c r="A158" s="47" t="s">
        <v>108</v>
      </c>
      <c r="B158" s="47" t="s">
        <v>158</v>
      </c>
      <c r="C158" s="41">
        <v>0</v>
      </c>
      <c r="D158" s="41">
        <v>0</v>
      </c>
      <c r="E158" s="41">
        <v>0.8</v>
      </c>
      <c r="F158" s="42">
        <v>3.6</v>
      </c>
      <c r="G158" s="42">
        <v>0</v>
      </c>
      <c r="H158" s="42">
        <v>-3.6</v>
      </c>
      <c r="I158" s="42">
        <v>2</v>
      </c>
      <c r="J158" s="42">
        <v>20</v>
      </c>
      <c r="K158" s="42">
        <v>0</v>
      </c>
    </row>
    <row r="159" spans="1:11" ht="15.75" thickBot="1" x14ac:dyDescent="0.3">
      <c r="A159" s="35" t="s">
        <v>126</v>
      </c>
      <c r="B159" s="35" t="s">
        <v>159</v>
      </c>
      <c r="C159" s="37">
        <v>0</v>
      </c>
      <c r="D159" s="37">
        <v>0.11</v>
      </c>
      <c r="E159" s="37">
        <v>1</v>
      </c>
      <c r="F159" s="38">
        <v>1.8</v>
      </c>
      <c r="G159" s="38">
        <v>-0.1</v>
      </c>
      <c r="H159" s="38">
        <v>0</v>
      </c>
      <c r="I159" s="89">
        <v>6</v>
      </c>
      <c r="J159" s="38">
        <v>30</v>
      </c>
      <c r="K159" s="38">
        <v>0</v>
      </c>
    </row>
    <row r="160" spans="1:11" ht="15.75" thickTop="1" x14ac:dyDescent="0.25">
      <c r="A160" s="48" t="s">
        <v>101</v>
      </c>
      <c r="B160" s="48" t="s">
        <v>160</v>
      </c>
      <c r="C160" s="66">
        <v>0</v>
      </c>
      <c r="D160" s="66">
        <v>0.1</v>
      </c>
      <c r="E160" s="66">
        <v>1</v>
      </c>
      <c r="F160" s="64">
        <v>9.4</v>
      </c>
      <c r="G160" s="64">
        <v>-5.5</v>
      </c>
      <c r="H160" s="64">
        <v>0</v>
      </c>
      <c r="I160" s="64">
        <v>489</v>
      </c>
      <c r="J160" s="64">
        <v>30</v>
      </c>
      <c r="K160" s="64">
        <v>0</v>
      </c>
    </row>
    <row r="161" spans="1:11" x14ac:dyDescent="0.25">
      <c r="A161" s="48" t="s">
        <v>101</v>
      </c>
      <c r="B161" s="84" t="s">
        <v>154</v>
      </c>
      <c r="C161" s="66">
        <v>0</v>
      </c>
      <c r="D161" s="66">
        <v>0.1</v>
      </c>
      <c r="E161" s="66">
        <v>1</v>
      </c>
      <c r="F161" s="64">
        <v>0</v>
      </c>
      <c r="G161" s="64">
        <v>-3.7</v>
      </c>
      <c r="H161" s="64">
        <v>0</v>
      </c>
      <c r="I161" s="90">
        <v>0</v>
      </c>
      <c r="J161" s="64">
        <v>15</v>
      </c>
      <c r="K161" s="64">
        <v>0</v>
      </c>
    </row>
    <row r="162" spans="1:11" x14ac:dyDescent="0.25">
      <c r="A162" s="48" t="s">
        <v>101</v>
      </c>
      <c r="B162" s="84" t="s">
        <v>147</v>
      </c>
      <c r="C162" s="66">
        <v>0</v>
      </c>
      <c r="D162" s="66">
        <v>0.1</v>
      </c>
      <c r="E162" s="66">
        <v>1</v>
      </c>
      <c r="F162" s="64">
        <v>0</v>
      </c>
      <c r="G162" s="64">
        <v>0</v>
      </c>
      <c r="H162" s="64">
        <v>-3.8</v>
      </c>
      <c r="I162" s="90">
        <v>0</v>
      </c>
      <c r="J162" s="64">
        <v>25</v>
      </c>
      <c r="K162" s="64">
        <v>0</v>
      </c>
    </row>
    <row r="163" spans="1:11" ht="15.75" thickBot="1" x14ac:dyDescent="0.3">
      <c r="A163" s="47" t="s">
        <v>101</v>
      </c>
      <c r="B163" s="85" t="s">
        <v>148</v>
      </c>
      <c r="C163" s="86">
        <v>0</v>
      </c>
      <c r="D163" s="86">
        <v>0</v>
      </c>
      <c r="E163" s="86">
        <v>0</v>
      </c>
      <c r="F163" s="87">
        <v>0</v>
      </c>
      <c r="G163" s="87">
        <v>-0.9</v>
      </c>
      <c r="H163" s="87">
        <v>0</v>
      </c>
      <c r="I163" s="91">
        <v>0</v>
      </c>
      <c r="J163" s="87">
        <v>15</v>
      </c>
      <c r="K163" s="87">
        <v>0</v>
      </c>
    </row>
    <row r="164" spans="1:11" x14ac:dyDescent="0.25">
      <c r="A164" s="48" t="s">
        <v>82</v>
      </c>
      <c r="B164" s="48" t="s">
        <v>161</v>
      </c>
      <c r="C164" s="66">
        <v>0</v>
      </c>
      <c r="D164" s="66">
        <v>0.1</v>
      </c>
      <c r="E164" s="66">
        <v>1</v>
      </c>
      <c r="F164" s="64">
        <v>30.1</v>
      </c>
      <c r="G164" s="64">
        <v>-31.6</v>
      </c>
      <c r="H164" s="64">
        <v>0</v>
      </c>
      <c r="I164" s="64">
        <v>418</v>
      </c>
      <c r="J164" s="64">
        <v>30</v>
      </c>
      <c r="K164" s="64">
        <v>0</v>
      </c>
    </row>
    <row r="165" spans="1:11" x14ac:dyDescent="0.25">
      <c r="A165" s="48" t="s">
        <v>82</v>
      </c>
      <c r="B165" s="84" t="s">
        <v>154</v>
      </c>
      <c r="C165" s="66">
        <v>0</v>
      </c>
      <c r="D165" s="66">
        <v>0.1</v>
      </c>
      <c r="E165" s="66">
        <v>1</v>
      </c>
      <c r="F165" s="64">
        <v>0</v>
      </c>
      <c r="G165" s="64">
        <v>-1.3</v>
      </c>
      <c r="H165" s="64">
        <v>0</v>
      </c>
      <c r="I165" s="90">
        <v>0</v>
      </c>
      <c r="J165" s="64">
        <v>15</v>
      </c>
      <c r="K165" s="64">
        <v>0</v>
      </c>
    </row>
    <row r="166" spans="1:11" x14ac:dyDescent="0.25">
      <c r="A166" s="48" t="s">
        <v>82</v>
      </c>
      <c r="B166" s="84" t="s">
        <v>147</v>
      </c>
      <c r="C166" s="66">
        <v>0</v>
      </c>
      <c r="D166" s="66">
        <v>0.1</v>
      </c>
      <c r="E166" s="66">
        <v>1</v>
      </c>
      <c r="F166" s="64">
        <v>0</v>
      </c>
      <c r="G166" s="64">
        <v>0</v>
      </c>
      <c r="H166" s="64">
        <v>-1.3</v>
      </c>
      <c r="I166" s="90">
        <v>0</v>
      </c>
      <c r="J166" s="64">
        <v>25</v>
      </c>
      <c r="K166" s="64">
        <v>0</v>
      </c>
    </row>
    <row r="167" spans="1:11" x14ac:dyDescent="0.25">
      <c r="A167" s="48" t="s">
        <v>82</v>
      </c>
      <c r="B167" s="84" t="s">
        <v>148</v>
      </c>
      <c r="C167" s="66">
        <v>0</v>
      </c>
      <c r="D167" s="66">
        <v>0</v>
      </c>
      <c r="E167" s="66">
        <v>0</v>
      </c>
      <c r="F167" s="64">
        <v>0</v>
      </c>
      <c r="G167" s="64">
        <v>-0.3</v>
      </c>
      <c r="H167" s="64">
        <v>0</v>
      </c>
      <c r="I167" s="90">
        <v>0</v>
      </c>
      <c r="J167" s="64">
        <v>15</v>
      </c>
      <c r="K167" s="64">
        <v>0</v>
      </c>
    </row>
    <row r="168" spans="1:11" ht="15.75" thickBot="1" x14ac:dyDescent="0.3">
      <c r="A168" s="92" t="s">
        <v>98</v>
      </c>
      <c r="B168" s="92" t="s">
        <v>162</v>
      </c>
      <c r="C168" s="93">
        <v>0</v>
      </c>
      <c r="D168" s="93">
        <v>0.1</v>
      </c>
      <c r="E168" s="93">
        <v>1</v>
      </c>
      <c r="F168" s="94">
        <v>9.9</v>
      </c>
      <c r="G168" s="94">
        <v>-4.8</v>
      </c>
      <c r="H168" s="94">
        <v>0</v>
      </c>
      <c r="I168" s="94">
        <v>101</v>
      </c>
      <c r="J168" s="94">
        <v>30</v>
      </c>
      <c r="K168" s="94">
        <v>0</v>
      </c>
    </row>
    <row r="169" spans="1:11" x14ac:dyDescent="0.25">
      <c r="A169" s="48" t="s">
        <v>98</v>
      </c>
      <c r="B169" s="84" t="s">
        <v>154</v>
      </c>
      <c r="C169" s="66">
        <v>0</v>
      </c>
      <c r="D169" s="66">
        <v>0.1</v>
      </c>
      <c r="E169" s="66">
        <v>1</v>
      </c>
      <c r="F169" s="64">
        <v>0</v>
      </c>
      <c r="G169" s="64">
        <v>-1.7</v>
      </c>
      <c r="H169" s="64">
        <v>0</v>
      </c>
      <c r="I169" s="90">
        <v>0</v>
      </c>
      <c r="J169" s="64">
        <v>15</v>
      </c>
      <c r="K169" s="64">
        <v>0</v>
      </c>
    </row>
    <row r="170" spans="1:11" x14ac:dyDescent="0.25">
      <c r="A170" s="48" t="s">
        <v>98</v>
      </c>
      <c r="B170" s="84" t="s">
        <v>147</v>
      </c>
      <c r="C170" s="66">
        <v>0</v>
      </c>
      <c r="D170" s="66">
        <v>0.1</v>
      </c>
      <c r="E170" s="66">
        <v>1</v>
      </c>
      <c r="F170" s="64">
        <v>0</v>
      </c>
      <c r="G170" s="64">
        <v>0</v>
      </c>
      <c r="H170" s="64">
        <v>-1.8</v>
      </c>
      <c r="I170" s="90">
        <v>0</v>
      </c>
      <c r="J170" s="64">
        <v>25</v>
      </c>
      <c r="K170" s="64">
        <v>0</v>
      </c>
    </row>
    <row r="171" spans="1:11" ht="15.75" thickBot="1" x14ac:dyDescent="0.3">
      <c r="A171" s="47" t="s">
        <v>98</v>
      </c>
      <c r="B171" s="85" t="s">
        <v>163</v>
      </c>
      <c r="C171" s="86">
        <v>0</v>
      </c>
      <c r="D171" s="86">
        <v>0</v>
      </c>
      <c r="E171" s="86">
        <v>0</v>
      </c>
      <c r="F171" s="87">
        <v>0</v>
      </c>
      <c r="G171" s="87">
        <v>-0.4</v>
      </c>
      <c r="H171" s="87">
        <v>0</v>
      </c>
      <c r="I171" s="91">
        <v>0</v>
      </c>
      <c r="J171" s="87">
        <v>15</v>
      </c>
      <c r="K171" s="87">
        <v>0</v>
      </c>
    </row>
    <row r="172" spans="1:11" x14ac:dyDescent="0.25">
      <c r="A172" s="48" t="s">
        <v>89</v>
      </c>
      <c r="B172" s="84" t="s">
        <v>154</v>
      </c>
      <c r="C172" s="66">
        <v>0</v>
      </c>
      <c r="D172" s="66">
        <v>0</v>
      </c>
      <c r="E172" s="66">
        <v>0</v>
      </c>
      <c r="F172" s="64">
        <v>11.2</v>
      </c>
      <c r="G172" s="64">
        <v>-9.6</v>
      </c>
      <c r="H172" s="64">
        <v>0</v>
      </c>
      <c r="I172" s="64">
        <v>92</v>
      </c>
      <c r="J172" s="64">
        <v>15</v>
      </c>
      <c r="K172" s="64">
        <v>0</v>
      </c>
    </row>
    <row r="173" spans="1:11" x14ac:dyDescent="0.25">
      <c r="A173" s="48" t="s">
        <v>89</v>
      </c>
      <c r="B173" s="84" t="s">
        <v>147</v>
      </c>
      <c r="C173" s="66">
        <v>0</v>
      </c>
      <c r="D173" s="66">
        <v>7.0000000000000007E-2</v>
      </c>
      <c r="E173" s="66">
        <v>0.7</v>
      </c>
      <c r="F173" s="64">
        <v>11.2</v>
      </c>
      <c r="G173" s="64">
        <v>0</v>
      </c>
      <c r="H173" s="64">
        <v>-10</v>
      </c>
      <c r="I173" s="64">
        <v>62</v>
      </c>
      <c r="J173" s="64">
        <v>25</v>
      </c>
      <c r="K173" s="64">
        <v>-10</v>
      </c>
    </row>
    <row r="174" spans="1:11" x14ac:dyDescent="0.25">
      <c r="A174" s="48" t="s">
        <v>89</v>
      </c>
      <c r="B174" s="48" t="s">
        <v>155</v>
      </c>
      <c r="C174" s="66">
        <v>0</v>
      </c>
      <c r="D174" s="66">
        <v>0.03</v>
      </c>
      <c r="E174" s="66">
        <v>0.3</v>
      </c>
      <c r="F174" s="64">
        <v>11.2</v>
      </c>
      <c r="G174" s="64">
        <v>-2.1</v>
      </c>
      <c r="H174" s="64">
        <v>0</v>
      </c>
      <c r="I174" s="64">
        <v>118</v>
      </c>
      <c r="J174" s="64">
        <v>15</v>
      </c>
      <c r="K174" s="64">
        <v>0</v>
      </c>
    </row>
    <row r="175" spans="1:11" ht="15.75" thickBot="1" x14ac:dyDescent="0.3">
      <c r="A175" s="47" t="s">
        <v>89</v>
      </c>
      <c r="B175" s="85" t="s">
        <v>148</v>
      </c>
      <c r="C175" s="86">
        <v>0</v>
      </c>
      <c r="D175" s="86">
        <v>0.04</v>
      </c>
      <c r="E175" s="86">
        <v>0.4</v>
      </c>
      <c r="F175" s="87">
        <v>11.2</v>
      </c>
      <c r="G175" s="87">
        <v>-2.4</v>
      </c>
      <c r="H175" s="87">
        <v>0</v>
      </c>
      <c r="I175" s="87">
        <v>841</v>
      </c>
      <c r="J175" s="87">
        <v>15</v>
      </c>
      <c r="K175" s="87">
        <v>0</v>
      </c>
    </row>
  </sheetData>
  <mergeCells count="1">
    <mergeCell ref="A7:K7"/>
  </mergeCells>
  <hyperlinks>
    <hyperlink ref="B2" r:id="rId1" location="Sec10" xr:uid="{E5BE699C-E9C3-4C27-AEDB-4386A38B22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D08E-D9C7-4DDA-AF3D-302A714E8382}">
  <dimension ref="B2:L27"/>
  <sheetViews>
    <sheetView workbookViewId="0">
      <selection activeCell="C36" sqref="C36"/>
    </sheetView>
  </sheetViews>
  <sheetFormatPr defaultRowHeight="15" x14ac:dyDescent="0.25"/>
  <cols>
    <col min="2" max="2" width="19.5703125" bestFit="1" customWidth="1"/>
    <col min="3" max="3" width="46.5703125" bestFit="1" customWidth="1"/>
    <col min="4" max="4" width="17.5703125" bestFit="1" customWidth="1"/>
    <col min="5" max="5" width="17.85546875" bestFit="1" customWidth="1"/>
    <col min="6" max="6" width="15.7109375" bestFit="1" customWidth="1"/>
    <col min="7" max="7" width="23.85546875" bestFit="1" customWidth="1"/>
    <col min="8" max="8" width="22.28515625" bestFit="1" customWidth="1"/>
    <col min="9" max="9" width="16" bestFit="1" customWidth="1"/>
    <col min="10" max="10" width="12.85546875" bestFit="1" customWidth="1"/>
  </cols>
  <sheetData>
    <row r="2" spans="2:10" x14ac:dyDescent="0.25">
      <c r="H2" t="s">
        <v>188</v>
      </c>
    </row>
    <row r="3" spans="2:10" x14ac:dyDescent="0.25">
      <c r="B3" s="6" t="s">
        <v>9</v>
      </c>
      <c r="C3" s="6" t="s">
        <v>10</v>
      </c>
      <c r="D3" s="6" t="s">
        <v>14</v>
      </c>
      <c r="E3" s="6" t="s">
        <v>15</v>
      </c>
      <c r="F3" s="6" t="s">
        <v>17</v>
      </c>
      <c r="G3" s="6" t="s">
        <v>18</v>
      </c>
      <c r="H3" s="6" t="s">
        <v>19</v>
      </c>
      <c r="I3" s="95" t="s">
        <v>189</v>
      </c>
      <c r="J3" s="95" t="s">
        <v>190</v>
      </c>
    </row>
    <row r="4" spans="2:10" x14ac:dyDescent="0.25">
      <c r="B4" t="s">
        <v>24</v>
      </c>
      <c r="C4" t="s">
        <v>177</v>
      </c>
      <c r="D4">
        <f>SUMIFS('Kermeli Data'!F$9:F$114,'Kermeli Data'!$A$9:$A$114,Calcs!$B4,'Kermeli Data'!$B$9:$B$114,Calcs!$C4)</f>
        <v>2</v>
      </c>
      <c r="E4">
        <f>SUMIFS('Kermeli Data'!G$9:G$114,'Kermeli Data'!$A$9:$A$114,Calcs!$B4,'Kermeli Data'!$B$9:$B$114,Calcs!$C4)</f>
        <v>0</v>
      </c>
      <c r="F4">
        <f>SUMIFS('Kermeli Data'!I$9:I$114,'Kermeli Data'!$A$9:$A$114,Calcs!$B4,'Kermeli Data'!$B$9:$B$114,Calcs!$C4)</f>
        <v>14</v>
      </c>
      <c r="G4">
        <f>SUMIFS('Kermeli Data'!J$9:J$114,'Kermeli Data'!$A$9:$A$114,Calcs!$B4,'Kermeli Data'!$B$9:$B$114,Calcs!$C4)</f>
        <v>20</v>
      </c>
      <c r="H4">
        <f>SUMIFS('Kermeli Data'!K$9:K$114,'Kermeli Data'!$A$9:$A$114,Calcs!$B4,'Kermeli Data'!$B$9:$B$114,Calcs!$C4)</f>
        <v>0.4</v>
      </c>
      <c r="I4" s="19">
        <f>F4/SUM(D4:E4)</f>
        <v>7</v>
      </c>
      <c r="J4" s="96">
        <f>I4/About!$A$17*About!$A$18/About!$A$19</f>
        <v>7.3958701161395074E-6</v>
      </c>
    </row>
    <row r="5" spans="2:10" x14ac:dyDescent="0.25">
      <c r="B5" t="s">
        <v>27</v>
      </c>
      <c r="C5" t="s">
        <v>176</v>
      </c>
      <c r="D5">
        <f>SUMIFS('Kermeli Data'!F$9:F$114,'Kermeli Data'!$A$9:$A$114,Calcs!$B5,'Kermeli Data'!$B$9:$B$114,Calcs!$C5)</f>
        <v>4.8</v>
      </c>
      <c r="E5">
        <f>SUMIFS('Kermeli Data'!G$9:G$114,'Kermeli Data'!$A$9:$A$114,Calcs!$B5,'Kermeli Data'!$B$9:$B$114,Calcs!$C5)</f>
        <v>0</v>
      </c>
      <c r="F5">
        <f>SUMIFS('Kermeli Data'!I$9:I$114,'Kermeli Data'!$A$9:$A$114,Calcs!$B5,'Kermeli Data'!$B$9:$B$114,Calcs!$C5)</f>
        <v>10</v>
      </c>
      <c r="G5">
        <f>SUMIFS('Kermeli Data'!J$9:J$114,'Kermeli Data'!$A$9:$A$114,Calcs!$B5,'Kermeli Data'!$B$9:$B$114,Calcs!$C5)</f>
        <v>20</v>
      </c>
      <c r="H5">
        <f>SUMIFS('Kermeli Data'!K$9:K$114,'Kermeli Data'!$A$9:$A$114,Calcs!$B5,'Kermeli Data'!$B$9:$B$114,Calcs!$C5)</f>
        <v>0.7</v>
      </c>
      <c r="I5" s="19">
        <f t="shared" ref="I5:I26" si="0">F5/SUM(D5:E5)</f>
        <v>2.0833333333333335</v>
      </c>
      <c r="J5" s="96">
        <f>I5/About!$A$17*About!$A$18/About!$A$19</f>
        <v>2.2011518202796152E-6</v>
      </c>
    </row>
    <row r="6" spans="2:10" x14ac:dyDescent="0.25">
      <c r="B6" t="s">
        <v>27</v>
      </c>
      <c r="C6" t="s">
        <v>175</v>
      </c>
      <c r="D6">
        <f>SUMIFS('Kermeli Data'!F$9:F$114,'Kermeli Data'!$A$9:$A$114,Calcs!$B6,'Kermeli Data'!$B$9:$B$114,Calcs!$C6)</f>
        <v>8.6999999999999993</v>
      </c>
      <c r="E6">
        <f>SUMIFS('Kermeli Data'!G$9:G$114,'Kermeli Data'!$A$9:$A$114,Calcs!$B6,'Kermeli Data'!$B$9:$B$114,Calcs!$C6)</f>
        <v>0</v>
      </c>
      <c r="F6">
        <f>SUMIFS('Kermeli Data'!I$9:I$114,'Kermeli Data'!$A$9:$A$114,Calcs!$B6,'Kermeli Data'!$B$9:$B$114,Calcs!$C6)</f>
        <v>25</v>
      </c>
      <c r="G6">
        <f>SUMIFS('Kermeli Data'!J$9:J$114,'Kermeli Data'!$A$9:$A$114,Calcs!$B6,'Kermeli Data'!$B$9:$B$114,Calcs!$C6)</f>
        <v>20</v>
      </c>
      <c r="H6">
        <f>SUMIFS('Kermeli Data'!K$9:K$114,'Kermeli Data'!$A$9:$A$114,Calcs!$B6,'Kermeli Data'!$B$9:$B$114,Calcs!$C6)</f>
        <v>0</v>
      </c>
      <c r="I6" s="19">
        <f t="shared" si="0"/>
        <v>2.8735632183908049</v>
      </c>
      <c r="J6" s="96">
        <f>I6/About!$A$17*About!$A$18/About!$A$19</f>
        <v>3.0360714762477452E-6</v>
      </c>
    </row>
    <row r="7" spans="2:10" x14ac:dyDescent="0.25">
      <c r="B7" t="s">
        <v>35</v>
      </c>
      <c r="C7" t="s">
        <v>171</v>
      </c>
      <c r="D7">
        <f>SUMIFS('Kermeli Data'!F$9:F$114,'Kermeli Data'!$A$9:$A$114,Calcs!$B7,'Kermeli Data'!$B$9:$B$114,Calcs!$C7)</f>
        <v>0.4</v>
      </c>
      <c r="E7">
        <f>SUMIFS('Kermeli Data'!G$9:G$114,'Kermeli Data'!$A$9:$A$114,Calcs!$B7,'Kermeli Data'!$B$9:$B$114,Calcs!$C7)</f>
        <v>0</v>
      </c>
      <c r="F7">
        <f>SUMIFS('Kermeli Data'!I$9:I$114,'Kermeli Data'!$A$9:$A$114,Calcs!$B7,'Kermeli Data'!$B$9:$B$114,Calcs!$C7)</f>
        <v>54.5</v>
      </c>
      <c r="G7">
        <f>SUMIFS('Kermeli Data'!J$9:J$114,'Kermeli Data'!$A$9:$A$114,Calcs!$B7,'Kermeli Data'!$B$9:$B$114,Calcs!$C7)</f>
        <v>20</v>
      </c>
      <c r="H7">
        <f>SUMIFS('Kermeli Data'!K$9:K$114,'Kermeli Data'!$A$9:$A$114,Calcs!$B7,'Kermeli Data'!$B$9:$B$114,Calcs!$C7)</f>
        <v>0</v>
      </c>
      <c r="I7" s="19">
        <f t="shared" si="0"/>
        <v>136.25</v>
      </c>
      <c r="J7" s="96">
        <f>I7/About!$A$17*About!$A$18/About!$A$19</f>
        <v>1.4395532904628683E-4</v>
      </c>
    </row>
    <row r="8" spans="2:10" x14ac:dyDescent="0.25">
      <c r="B8" t="s">
        <v>44</v>
      </c>
      <c r="C8" t="s">
        <v>172</v>
      </c>
      <c r="D8">
        <f>SUMIFS('Kermeli Data'!F$9:F$114,'Kermeli Data'!$A$9:$A$114,Calcs!$B8,'Kermeli Data'!$B$9:$B$114,Calcs!$C8)</f>
        <v>0.6</v>
      </c>
      <c r="E8">
        <f>SUMIFS('Kermeli Data'!G$9:G$114,'Kermeli Data'!$A$9:$A$114,Calcs!$B8,'Kermeli Data'!$B$9:$B$114,Calcs!$C8)</f>
        <v>0</v>
      </c>
      <c r="F8">
        <f>SUMIFS('Kermeli Data'!I$9:I$114,'Kermeli Data'!$A$9:$A$114,Calcs!$B8,'Kermeli Data'!$B$9:$B$114,Calcs!$C8)</f>
        <v>25.6</v>
      </c>
      <c r="G8">
        <f>SUMIFS('Kermeli Data'!J$9:J$114,'Kermeli Data'!$A$9:$A$114,Calcs!$B8,'Kermeli Data'!$B$9:$B$114,Calcs!$C8)</f>
        <v>10</v>
      </c>
      <c r="H8">
        <f>SUMIFS('Kermeli Data'!K$9:K$114,'Kermeli Data'!$A$9:$A$114,Calcs!$B8,'Kermeli Data'!$B$9:$B$114,Calcs!$C8)</f>
        <v>0</v>
      </c>
      <c r="I8" s="19">
        <f t="shared" si="0"/>
        <v>42.666666666666671</v>
      </c>
      <c r="J8" s="96">
        <f>I8/About!$A$17*About!$A$18/About!$A$19</f>
        <v>4.5079589279326527E-5</v>
      </c>
    </row>
    <row r="9" spans="2:10" x14ac:dyDescent="0.25">
      <c r="B9" t="s">
        <v>44</v>
      </c>
      <c r="C9" t="s">
        <v>178</v>
      </c>
      <c r="D9">
        <f>SUMIFS('Kermeli Data'!F$9:F$114,'Kermeli Data'!$A$9:$A$114,Calcs!$B9,'Kermeli Data'!$B$9:$B$114,Calcs!$C9)</f>
        <v>0.2</v>
      </c>
      <c r="E9">
        <f>SUMIFS('Kermeli Data'!G$9:G$114,'Kermeli Data'!$A$9:$A$114,Calcs!$B9,'Kermeli Data'!$B$9:$B$114,Calcs!$C9)</f>
        <v>0.4</v>
      </c>
      <c r="F9">
        <f>SUMIFS('Kermeli Data'!I$9:I$114,'Kermeli Data'!$A$9:$A$114,Calcs!$B9,'Kermeli Data'!$B$9:$B$114,Calcs!$C9)</f>
        <v>17.399999999999999</v>
      </c>
      <c r="G9">
        <f>SUMIFS('Kermeli Data'!J$9:J$114,'Kermeli Data'!$A$9:$A$114,Calcs!$B9,'Kermeli Data'!$B$9:$B$114,Calcs!$C9)</f>
        <v>30</v>
      </c>
      <c r="H9">
        <f>SUMIFS('Kermeli Data'!K$9:K$114,'Kermeli Data'!$A$9:$A$114,Calcs!$B9,'Kermeli Data'!$B$9:$B$114,Calcs!$C9)</f>
        <v>0</v>
      </c>
      <c r="I9" s="19">
        <f t="shared" si="0"/>
        <v>28.999999999999993</v>
      </c>
      <c r="J9" s="96">
        <f>I9/About!$A$17*About!$A$18/About!$A$19</f>
        <v>3.0640033338292242E-5</v>
      </c>
    </row>
    <row r="10" spans="2:10" x14ac:dyDescent="0.25">
      <c r="B10" t="s">
        <v>52</v>
      </c>
      <c r="C10" t="s">
        <v>179</v>
      </c>
      <c r="D10">
        <f>SUMIFS('Kermeli Data'!F$9:F$114,'Kermeli Data'!$A$9:$A$114,Calcs!$B10,'Kermeli Data'!$B$9:$B$114,Calcs!$C10)</f>
        <v>0.6</v>
      </c>
      <c r="E10">
        <f>SUMIFS('Kermeli Data'!G$9:G$114,'Kermeli Data'!$A$9:$A$114,Calcs!$B10,'Kermeli Data'!$B$9:$B$114,Calcs!$C10)</f>
        <v>0</v>
      </c>
      <c r="F10">
        <f>SUMIFS('Kermeli Data'!I$9:I$114,'Kermeli Data'!$A$9:$A$114,Calcs!$B10,'Kermeli Data'!$B$9:$B$114,Calcs!$C10)</f>
        <v>2.9</v>
      </c>
      <c r="G10">
        <f>SUMIFS('Kermeli Data'!J$9:J$114,'Kermeli Data'!$A$9:$A$114,Calcs!$B10,'Kermeli Data'!$B$9:$B$114,Calcs!$C10)</f>
        <v>10</v>
      </c>
      <c r="H10">
        <f>SUMIFS('Kermeli Data'!K$9:K$114,'Kermeli Data'!$A$9:$A$114,Calcs!$B10,'Kermeli Data'!$B$9:$B$114,Calcs!$C10)</f>
        <v>0</v>
      </c>
      <c r="I10" s="19">
        <f t="shared" si="0"/>
        <v>4.833333333333333</v>
      </c>
      <c r="J10" s="96">
        <f>I10/About!$A$17*About!$A$18/About!$A$19</f>
        <v>5.1066722230487072E-6</v>
      </c>
    </row>
    <row r="11" spans="2:10" x14ac:dyDescent="0.25">
      <c r="B11" t="s">
        <v>56</v>
      </c>
      <c r="C11" t="s">
        <v>173</v>
      </c>
      <c r="D11">
        <f>SUMIFS('Kermeli Data'!F$9:F$114,'Kermeli Data'!$A$9:$A$114,Calcs!$B11,'Kermeli Data'!$B$9:$B$114,Calcs!$C11)</f>
        <v>0.7</v>
      </c>
      <c r="E11">
        <f>SUMIFS('Kermeli Data'!G$9:G$114,'Kermeli Data'!$A$9:$A$114,Calcs!$B11,'Kermeli Data'!$B$9:$B$114,Calcs!$C11)</f>
        <v>0</v>
      </c>
      <c r="F11">
        <f>SUMIFS('Kermeli Data'!I$9:I$114,'Kermeli Data'!$A$9:$A$114,Calcs!$B11,'Kermeli Data'!$B$9:$B$114,Calcs!$C11)</f>
        <v>20</v>
      </c>
      <c r="G11">
        <f>SUMIFS('Kermeli Data'!J$9:J$114,'Kermeli Data'!$A$9:$A$114,Calcs!$B11,'Kermeli Data'!$B$9:$B$114,Calcs!$C11)</f>
        <v>20</v>
      </c>
      <c r="H11">
        <f>SUMIFS('Kermeli Data'!K$9:K$114,'Kermeli Data'!$A$9:$A$114,Calcs!$B11,'Kermeli Data'!$B$9:$B$114,Calcs!$C11)</f>
        <v>0</v>
      </c>
      <c r="I11" s="19">
        <f t="shared" si="0"/>
        <v>28.571428571428573</v>
      </c>
      <c r="J11" s="96">
        <f>I11/About!$A$17*About!$A$18/About!$A$19</f>
        <v>3.0187224963834725E-5</v>
      </c>
    </row>
    <row r="12" spans="2:10" x14ac:dyDescent="0.25">
      <c r="B12" t="s">
        <v>62</v>
      </c>
      <c r="C12" t="s">
        <v>170</v>
      </c>
      <c r="D12">
        <f>SUMIFS('Kermeli Data'!F$9:F$114,'Kermeli Data'!$A$9:$A$114,Calcs!$B12,'Kermeli Data'!$B$9:$B$114,Calcs!$C12)</f>
        <v>0</v>
      </c>
      <c r="E12">
        <f>SUMIFS('Kermeli Data'!G$9:G$114,'Kermeli Data'!$A$9:$A$114,Calcs!$B12,'Kermeli Data'!$B$9:$B$114,Calcs!$C12)</f>
        <v>0.3</v>
      </c>
      <c r="F12">
        <f>SUMIFS('Kermeli Data'!I$9:I$114,'Kermeli Data'!$A$9:$A$114,Calcs!$B12,'Kermeli Data'!$B$9:$B$114,Calcs!$C12)</f>
        <v>10</v>
      </c>
      <c r="G12">
        <f>SUMIFS('Kermeli Data'!J$9:J$114,'Kermeli Data'!$A$9:$A$114,Calcs!$B12,'Kermeli Data'!$B$9:$B$114,Calcs!$C12)</f>
        <v>20</v>
      </c>
      <c r="H12">
        <f>SUMIFS('Kermeli Data'!K$9:K$114,'Kermeli Data'!$A$9:$A$114,Calcs!$B12,'Kermeli Data'!$B$9:$B$114,Calcs!$C12)</f>
        <v>0</v>
      </c>
      <c r="I12" s="19">
        <f t="shared" si="0"/>
        <v>33.333333333333336</v>
      </c>
      <c r="J12" s="96">
        <f>I12/About!$A$17*About!$A$18/About!$A$19</f>
        <v>3.5218429124473844E-5</v>
      </c>
    </row>
    <row r="13" spans="2:10" x14ac:dyDescent="0.25">
      <c r="B13" t="s">
        <v>62</v>
      </c>
      <c r="C13" t="s">
        <v>174</v>
      </c>
      <c r="D13">
        <f>SUMIFS('Kermeli Data'!F$9:F$114,'Kermeli Data'!$A$9:$A$114,Calcs!$B13,'Kermeli Data'!$B$9:$B$114,Calcs!$C13)</f>
        <v>1.1000000000000001</v>
      </c>
      <c r="E13">
        <f>SUMIFS('Kermeli Data'!G$9:G$114,'Kermeli Data'!$A$9:$A$114,Calcs!$B13,'Kermeli Data'!$B$9:$B$114,Calcs!$C13)</f>
        <v>0</v>
      </c>
      <c r="F13">
        <f>SUMIFS('Kermeli Data'!I$9:I$114,'Kermeli Data'!$A$9:$A$114,Calcs!$B13,'Kermeli Data'!$B$9:$B$114,Calcs!$C13)</f>
        <v>20</v>
      </c>
      <c r="G13">
        <f>SUMIFS('Kermeli Data'!J$9:J$114,'Kermeli Data'!$A$9:$A$114,Calcs!$B13,'Kermeli Data'!$B$9:$B$114,Calcs!$C13)</f>
        <v>20</v>
      </c>
      <c r="H13">
        <f>SUMIFS('Kermeli Data'!K$9:K$114,'Kermeli Data'!$A$9:$A$114,Calcs!$B13,'Kermeli Data'!$B$9:$B$114,Calcs!$C13)</f>
        <v>0</v>
      </c>
      <c r="I13" s="19">
        <f t="shared" si="0"/>
        <v>18.18181818181818</v>
      </c>
      <c r="J13" s="96">
        <f>I13/About!$A$17*About!$A$18/About!$A$19</f>
        <v>1.9210052249713007E-5</v>
      </c>
    </row>
    <row r="14" spans="2:10" x14ac:dyDescent="0.25">
      <c r="B14" t="s">
        <v>65</v>
      </c>
      <c r="C14" t="s">
        <v>180</v>
      </c>
      <c r="D14">
        <f>SUMIFS('Kermeli Data'!F$9:F$114,'Kermeli Data'!$A$9:$A$114,Calcs!$B14,'Kermeli Data'!$B$9:$B$114,Calcs!$C14)</f>
        <v>3.5</v>
      </c>
      <c r="E14">
        <f>SUMIFS('Kermeli Data'!G$9:G$114,'Kermeli Data'!$A$9:$A$114,Calcs!$B14,'Kermeli Data'!$B$9:$B$114,Calcs!$C14)</f>
        <v>0</v>
      </c>
      <c r="F14">
        <f>SUMIFS('Kermeli Data'!I$9:I$114,'Kermeli Data'!$A$9:$A$114,Calcs!$B14,'Kermeli Data'!$B$9:$B$114,Calcs!$C14)</f>
        <v>41</v>
      </c>
      <c r="G14">
        <f>SUMIFS('Kermeli Data'!J$9:J$114,'Kermeli Data'!$A$9:$A$114,Calcs!$B14,'Kermeli Data'!$B$9:$B$114,Calcs!$C14)</f>
        <v>20</v>
      </c>
      <c r="H14">
        <f>SUMIFS('Kermeli Data'!K$9:K$114,'Kermeli Data'!$A$9:$A$114,Calcs!$B14,'Kermeli Data'!$B$9:$B$114,Calcs!$C14)</f>
        <v>0</v>
      </c>
      <c r="I14" s="19">
        <f t="shared" si="0"/>
        <v>11.714285714285714</v>
      </c>
      <c r="J14" s="96">
        <f>I14/About!$A$17*About!$A$18/About!$A$19</f>
        <v>1.2376762235172236E-5</v>
      </c>
    </row>
    <row r="15" spans="2:10" x14ac:dyDescent="0.25">
      <c r="B15" t="s">
        <v>68</v>
      </c>
      <c r="C15" t="s">
        <v>181</v>
      </c>
      <c r="D15" s="97">
        <v>0.03</v>
      </c>
      <c r="E15">
        <f>SUMIFS('Kermeli Data'!G$9:G$114,'Kermeli Data'!$A$9:$A$114,Calcs!$B15,'Kermeli Data'!$B$9:$B$114,Calcs!$C15)</f>
        <v>0</v>
      </c>
      <c r="F15">
        <f>SUMIFS('Kermeli Data'!I$9:I$114,'Kermeli Data'!$A$9:$A$114,Calcs!$B15,'Kermeli Data'!$B$9:$B$114,Calcs!$C15)</f>
        <v>2</v>
      </c>
      <c r="G15">
        <f>SUMIFS('Kermeli Data'!J$9:J$114,'Kermeli Data'!$A$9:$A$114,Calcs!$B15,'Kermeli Data'!$B$9:$B$114,Calcs!$C15)</f>
        <v>20</v>
      </c>
      <c r="H15">
        <f>SUMIFS('Kermeli Data'!K$9:K$114,'Kermeli Data'!$A$9:$A$114,Calcs!$B15,'Kermeli Data'!$B$9:$B$114,Calcs!$C15)</f>
        <v>0</v>
      </c>
      <c r="I15" s="19">
        <f t="shared" si="0"/>
        <v>66.666666666666671</v>
      </c>
      <c r="J15" s="96">
        <f>I15/About!$A$17*About!$A$18/About!$A$19</f>
        <v>7.0436858248947688E-5</v>
      </c>
    </row>
    <row r="16" spans="2:10" x14ac:dyDescent="0.25">
      <c r="B16" t="s">
        <v>73</v>
      </c>
      <c r="C16" t="s">
        <v>182</v>
      </c>
      <c r="D16">
        <f>SUMIFS('Kermeli Data'!F$9:F$114,'Kermeli Data'!$A$9:$A$114,Calcs!$B16,'Kermeli Data'!$B$9:$B$114,Calcs!$C16)</f>
        <v>0</v>
      </c>
      <c r="E16">
        <f>SUMIFS('Kermeli Data'!G$9:G$114,'Kermeli Data'!$A$9:$A$114,Calcs!$B16,'Kermeli Data'!$B$9:$B$114,Calcs!$C16)</f>
        <v>1.1000000000000001</v>
      </c>
      <c r="F16">
        <f>SUMIFS('Kermeli Data'!I$9:I$114,'Kermeli Data'!$A$9:$A$114,Calcs!$B16,'Kermeli Data'!$B$9:$B$114,Calcs!$C16)</f>
        <v>16</v>
      </c>
      <c r="G16">
        <f>SUMIFS('Kermeli Data'!J$9:J$114,'Kermeli Data'!$A$9:$A$114,Calcs!$B16,'Kermeli Data'!$B$9:$B$114,Calcs!$C16)</f>
        <v>20</v>
      </c>
      <c r="H16">
        <f>SUMIFS('Kermeli Data'!K$9:K$114,'Kermeli Data'!$A$9:$A$114,Calcs!$B16,'Kermeli Data'!$B$9:$B$114,Calcs!$C16)</f>
        <v>0</v>
      </c>
      <c r="I16" s="19">
        <f t="shared" si="0"/>
        <v>14.545454545454545</v>
      </c>
      <c r="J16" s="96">
        <f>I16/About!$A$17*About!$A$18/About!$A$19</f>
        <v>1.5368041799770404E-5</v>
      </c>
    </row>
    <row r="17" spans="2:12" x14ac:dyDescent="0.25">
      <c r="B17" t="s">
        <v>79</v>
      </c>
      <c r="C17" t="s">
        <v>182</v>
      </c>
      <c r="D17">
        <f>SUMIFS('Kermeli Data'!F$9:F$114,'Kermeli Data'!$A$9:$A$114,Calcs!$B17,'Kermeli Data'!$B$9:$B$114,Calcs!$C17)</f>
        <v>0</v>
      </c>
      <c r="E17">
        <f>SUMIFS('Kermeli Data'!G$9:G$114,'Kermeli Data'!$A$9:$A$114,Calcs!$B17,'Kermeli Data'!$B$9:$B$114,Calcs!$C17)</f>
        <v>1.1000000000000001</v>
      </c>
      <c r="F17">
        <f>SUMIFS('Kermeli Data'!I$9:I$114,'Kermeli Data'!$A$9:$A$114,Calcs!$B17,'Kermeli Data'!$B$9:$B$114,Calcs!$C17)</f>
        <v>16</v>
      </c>
      <c r="G17">
        <f>SUMIFS('Kermeli Data'!J$9:J$114,'Kermeli Data'!$A$9:$A$114,Calcs!$B17,'Kermeli Data'!$B$9:$B$114,Calcs!$C17)</f>
        <v>20</v>
      </c>
      <c r="H17">
        <f>SUMIFS('Kermeli Data'!K$9:K$114,'Kermeli Data'!$A$9:$A$114,Calcs!$B17,'Kermeli Data'!$B$9:$B$114,Calcs!$C17)</f>
        <v>0</v>
      </c>
      <c r="I17" s="19">
        <f t="shared" si="0"/>
        <v>14.545454545454545</v>
      </c>
      <c r="J17" s="96">
        <f>I17/About!$A$17*About!$A$18/About!$A$19</f>
        <v>1.5368041799770404E-5</v>
      </c>
    </row>
    <row r="18" spans="2:12" x14ac:dyDescent="0.25">
      <c r="B18" t="s">
        <v>81</v>
      </c>
      <c r="C18" t="s">
        <v>182</v>
      </c>
      <c r="D18">
        <f>SUMIFS('Kermeli Data'!F$9:F$114,'Kermeli Data'!$A$9:$A$114,Calcs!$B18,'Kermeli Data'!$B$9:$B$114,Calcs!$C18)</f>
        <v>0</v>
      </c>
      <c r="E18">
        <f>SUMIFS('Kermeli Data'!G$9:G$114,'Kermeli Data'!$A$9:$A$114,Calcs!$B18,'Kermeli Data'!$B$9:$B$114,Calcs!$C18)</f>
        <v>1.1000000000000001</v>
      </c>
      <c r="F18">
        <f>SUMIFS('Kermeli Data'!I$9:I$114,'Kermeli Data'!$A$9:$A$114,Calcs!$B18,'Kermeli Data'!$B$9:$B$114,Calcs!$C18)</f>
        <v>16</v>
      </c>
      <c r="G18">
        <f>SUMIFS('Kermeli Data'!J$9:J$114,'Kermeli Data'!$A$9:$A$114,Calcs!$B18,'Kermeli Data'!$B$9:$B$114,Calcs!$C18)</f>
        <v>20</v>
      </c>
      <c r="H18">
        <f>SUMIFS('Kermeli Data'!K$9:K$114,'Kermeli Data'!$A$9:$A$114,Calcs!$B18,'Kermeli Data'!$B$9:$B$114,Calcs!$C18)</f>
        <v>0</v>
      </c>
      <c r="I18" s="19">
        <f t="shared" si="0"/>
        <v>14.545454545454545</v>
      </c>
      <c r="J18" s="96">
        <f>I18/About!$A$17*About!$A$18/About!$A$19</f>
        <v>1.5368041799770404E-5</v>
      </c>
    </row>
    <row r="19" spans="2:12" x14ac:dyDescent="0.25">
      <c r="B19" t="s">
        <v>89</v>
      </c>
      <c r="C19" t="s">
        <v>183</v>
      </c>
      <c r="D19">
        <f>SUMIFS('Kermeli Data'!F$9:F$114,'Kermeli Data'!$A$9:$A$114,Calcs!$B19,'Kermeli Data'!$B$9:$B$114,Calcs!$C19)</f>
        <v>1</v>
      </c>
      <c r="E19">
        <f>SUMIFS('Kermeli Data'!G$9:G$114,'Kermeli Data'!$A$9:$A$114,Calcs!$B19,'Kermeli Data'!$B$9:$B$114,Calcs!$C19)</f>
        <v>0</v>
      </c>
      <c r="F19">
        <f>SUMIFS('Kermeli Data'!I$9:I$114,'Kermeli Data'!$A$9:$A$114,Calcs!$B19,'Kermeli Data'!$B$9:$B$114,Calcs!$C19)</f>
        <v>20</v>
      </c>
      <c r="G19">
        <f>SUMIFS('Kermeli Data'!J$9:J$114,'Kermeli Data'!$A$9:$A$114,Calcs!$B19,'Kermeli Data'!$B$9:$B$114,Calcs!$C19)</f>
        <v>20</v>
      </c>
      <c r="H19">
        <f>SUMIFS('Kermeli Data'!K$9:K$114,'Kermeli Data'!$A$9:$A$114,Calcs!$B19,'Kermeli Data'!$B$9:$B$114,Calcs!$C19)</f>
        <v>0</v>
      </c>
      <c r="I19" s="19">
        <f t="shared" si="0"/>
        <v>20</v>
      </c>
      <c r="J19" s="96">
        <f>I19/About!$A$17*About!$A$18/About!$A$19</f>
        <v>2.1131057474684308E-5</v>
      </c>
    </row>
    <row r="20" spans="2:12" x14ac:dyDescent="0.25">
      <c r="B20" t="s">
        <v>89</v>
      </c>
      <c r="C20" t="s">
        <v>184</v>
      </c>
      <c r="D20">
        <f>SUMIFS('Kermeli Data'!F$9:F$114,'Kermeli Data'!$A$9:$A$114,Calcs!$B20,'Kermeli Data'!$B$9:$B$114,Calcs!$C20)</f>
        <v>1.8</v>
      </c>
      <c r="E20">
        <f>SUMIFS('Kermeli Data'!G$9:G$114,'Kermeli Data'!$A$9:$A$114,Calcs!$B20,'Kermeli Data'!$B$9:$B$114,Calcs!$C20)</f>
        <v>0</v>
      </c>
      <c r="F20">
        <f>SUMIFS('Kermeli Data'!I$9:I$114,'Kermeli Data'!$A$9:$A$114,Calcs!$B20,'Kermeli Data'!$B$9:$B$114,Calcs!$C20)</f>
        <v>36</v>
      </c>
      <c r="G20">
        <f>SUMIFS('Kermeli Data'!J$9:J$114,'Kermeli Data'!$A$9:$A$114,Calcs!$B20,'Kermeli Data'!$B$9:$B$114,Calcs!$C20)</f>
        <v>30</v>
      </c>
      <c r="H20">
        <f>SUMIFS('Kermeli Data'!K$9:K$114,'Kermeli Data'!$A$9:$A$114,Calcs!$B20,'Kermeli Data'!$B$9:$B$114,Calcs!$C20)</f>
        <v>0</v>
      </c>
      <c r="I20" s="19">
        <f t="shared" si="0"/>
        <v>20</v>
      </c>
      <c r="J20" s="96">
        <f>I20/About!$A$17*About!$A$18/About!$A$19</f>
        <v>2.1131057474684308E-5</v>
      </c>
    </row>
    <row r="21" spans="2:12" x14ac:dyDescent="0.25">
      <c r="B21" t="s">
        <v>96</v>
      </c>
      <c r="C21" t="s">
        <v>184</v>
      </c>
      <c r="D21">
        <f>SUMIFS('Kermeli Data'!F$9:F$114,'Kermeli Data'!$A$9:$A$114,Calcs!$B21,'Kermeli Data'!$B$9:$B$114,Calcs!$C21)</f>
        <v>6.5</v>
      </c>
      <c r="E21">
        <f>SUMIFS('Kermeli Data'!G$9:G$114,'Kermeli Data'!$A$9:$A$114,Calcs!$B21,'Kermeli Data'!$B$9:$B$114,Calcs!$C21)</f>
        <v>0</v>
      </c>
      <c r="F21">
        <f>SUMIFS('Kermeli Data'!I$9:I$114,'Kermeli Data'!$A$9:$A$114,Calcs!$B21,'Kermeli Data'!$B$9:$B$114,Calcs!$C21)</f>
        <v>130</v>
      </c>
      <c r="G21">
        <f>SUMIFS('Kermeli Data'!J$9:J$114,'Kermeli Data'!$A$9:$A$114,Calcs!$B21,'Kermeli Data'!$B$9:$B$114,Calcs!$C21)</f>
        <v>20</v>
      </c>
      <c r="H21">
        <f>SUMIFS('Kermeli Data'!K$9:K$114,'Kermeli Data'!$A$9:$A$114,Calcs!$B21,'Kermeli Data'!$B$9:$B$114,Calcs!$C21)</f>
        <v>0</v>
      </c>
      <c r="I21" s="19">
        <f t="shared" si="0"/>
        <v>20</v>
      </c>
      <c r="J21" s="96">
        <f>I21/About!$A$17*About!$A$18/About!$A$19</f>
        <v>2.1131057474684308E-5</v>
      </c>
    </row>
    <row r="22" spans="2:12" x14ac:dyDescent="0.25">
      <c r="B22" t="s">
        <v>101</v>
      </c>
      <c r="C22" t="s">
        <v>185</v>
      </c>
      <c r="D22">
        <f>SUMIFS('Kermeli Data'!F$9:F$114,'Kermeli Data'!$A$9:$A$114,Calcs!$B22,'Kermeli Data'!$B$9:$B$114,Calcs!$C22)</f>
        <v>0.6</v>
      </c>
      <c r="E22">
        <f>SUMIFS('Kermeli Data'!G$9:G$114,'Kermeli Data'!$A$9:$A$114,Calcs!$B22,'Kermeli Data'!$B$9:$B$114,Calcs!$C22)</f>
        <v>0</v>
      </c>
      <c r="F22">
        <f>SUMIFS('Kermeli Data'!I$9:I$114,'Kermeli Data'!$A$9:$A$114,Calcs!$B22,'Kermeli Data'!$B$9:$B$114,Calcs!$C22)</f>
        <v>7</v>
      </c>
      <c r="G22">
        <f>SUMIFS('Kermeli Data'!J$9:J$114,'Kermeli Data'!$A$9:$A$114,Calcs!$B22,'Kermeli Data'!$B$9:$B$114,Calcs!$C22)</f>
        <v>20</v>
      </c>
      <c r="H22">
        <f>SUMIFS('Kermeli Data'!K$9:K$114,'Kermeli Data'!$A$9:$A$114,Calcs!$B22,'Kermeli Data'!$B$9:$B$114,Calcs!$C22)</f>
        <v>0</v>
      </c>
      <c r="I22" s="19">
        <f t="shared" si="0"/>
        <v>11.666666666666668</v>
      </c>
      <c r="J22" s="96">
        <f>I22/About!$A$17*About!$A$18/About!$A$19</f>
        <v>1.2326450193565847E-5</v>
      </c>
    </row>
    <row r="23" spans="2:12" x14ac:dyDescent="0.25">
      <c r="B23" t="s">
        <v>101</v>
      </c>
      <c r="C23" t="s">
        <v>186</v>
      </c>
      <c r="D23">
        <f>SUMIFS('Kermeli Data'!F$9:F$114,'Kermeli Data'!$A$9:$A$114,Calcs!$B23,'Kermeli Data'!$B$9:$B$114,Calcs!$C23)</f>
        <v>0.9</v>
      </c>
      <c r="E23">
        <f>SUMIFS('Kermeli Data'!G$9:G$114,'Kermeli Data'!$A$9:$A$114,Calcs!$B23,'Kermeli Data'!$B$9:$B$114,Calcs!$C23)</f>
        <v>0</v>
      </c>
      <c r="F23">
        <f>SUMIFS('Kermeli Data'!I$9:I$114,'Kermeli Data'!$A$9:$A$114,Calcs!$B23,'Kermeli Data'!$B$9:$B$114,Calcs!$C23)</f>
        <v>7</v>
      </c>
      <c r="G23">
        <f>SUMIFS('Kermeli Data'!J$9:J$114,'Kermeli Data'!$A$9:$A$114,Calcs!$B23,'Kermeli Data'!$B$9:$B$114,Calcs!$C23)</f>
        <v>20</v>
      </c>
      <c r="H23">
        <f>SUMIFS('Kermeli Data'!K$9:K$114,'Kermeli Data'!$A$9:$A$114,Calcs!$B23,'Kermeli Data'!$B$9:$B$114,Calcs!$C23)</f>
        <v>0</v>
      </c>
      <c r="I23" s="19">
        <f t="shared" si="0"/>
        <v>7.7777777777777777</v>
      </c>
      <c r="J23" s="96">
        <f>I23/About!$A$17*About!$A$18/About!$A$19</f>
        <v>8.2176334623772299E-6</v>
      </c>
    </row>
    <row r="24" spans="2:12" x14ac:dyDescent="0.25">
      <c r="B24" t="s">
        <v>108</v>
      </c>
      <c r="C24" t="s">
        <v>187</v>
      </c>
      <c r="D24">
        <f>SUMIFS('Kermeli Data'!F$9:F$114,'Kermeli Data'!$A$9:$A$114,Calcs!$B24,'Kermeli Data'!$B$9:$B$114,Calcs!$C24)</f>
        <v>0</v>
      </c>
      <c r="E24" s="97">
        <f>0.054</f>
        <v>5.3999999999999999E-2</v>
      </c>
      <c r="F24" s="97">
        <f>20/2</f>
        <v>10</v>
      </c>
      <c r="G24">
        <f>SUMIFS('Kermeli Data'!J$9:J$114,'Kermeli Data'!$A$9:$A$114,Calcs!$B24,'Kermeli Data'!$B$9:$B$114,Calcs!$C24)</f>
        <v>20</v>
      </c>
      <c r="H24">
        <f>SUMIFS('Kermeli Data'!K$9:K$114,'Kermeli Data'!$A$9:$A$114,Calcs!$B24,'Kermeli Data'!$B$9:$B$114,Calcs!$C24)</f>
        <v>1</v>
      </c>
      <c r="I24" s="19">
        <f t="shared" si="0"/>
        <v>185.18518518518519</v>
      </c>
      <c r="J24" s="96">
        <f>I24/About!$A$17*About!$A$18/About!$A$19</f>
        <v>1.9565793958041026E-4</v>
      </c>
    </row>
    <row r="25" spans="2:12" x14ac:dyDescent="0.25">
      <c r="E25" s="97" t="s">
        <v>197</v>
      </c>
      <c r="L25">
        <f>20000000/2000000</f>
        <v>10</v>
      </c>
    </row>
    <row r="26" spans="2:12" x14ac:dyDescent="0.25">
      <c r="H26" t="s">
        <v>194</v>
      </c>
      <c r="I26" s="9">
        <f>AVERAGE(I4:I24)</f>
        <v>32.925734394535709</v>
      </c>
      <c r="J26" s="96">
        <f>AVERAGE(J4:J24)</f>
        <v>3.4787779294356189E-5</v>
      </c>
    </row>
    <row r="27" spans="2:12" x14ac:dyDescent="0.25">
      <c r="H27" t="s">
        <v>195</v>
      </c>
      <c r="I27" s="9">
        <f>STDEV(I4:I24)</f>
        <v>45.666637487118905</v>
      </c>
      <c r="J27" s="96">
        <f>STDEV(J4:J24)</f>
        <v>4.8249217070794125E-5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D4F2-9192-4557-9476-0BAD41DB5078}">
  <sheetPr>
    <tabColor theme="3"/>
  </sheetPr>
  <dimension ref="A1:B2"/>
  <sheetViews>
    <sheetView tabSelected="1" workbookViewId="0">
      <selection activeCell="A2" sqref="A2"/>
    </sheetView>
  </sheetViews>
  <sheetFormatPr defaultRowHeight="15" x14ac:dyDescent="0.25"/>
  <cols>
    <col min="1" max="1" width="45.42578125" bestFit="1" customWidth="1"/>
  </cols>
  <sheetData>
    <row r="1" spans="1:2" x14ac:dyDescent="0.25">
      <c r="A1" t="s">
        <v>198</v>
      </c>
      <c r="B1" t="s">
        <v>199</v>
      </c>
    </row>
    <row r="2" spans="1:2" x14ac:dyDescent="0.25">
      <c r="A2" t="s">
        <v>200</v>
      </c>
      <c r="B2" s="98">
        <f>Calcs!J26</f>
        <v>3.4787779294356189E-5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Kermeli Data</vt:lpstr>
      <vt:lpstr>Calcs</vt:lpstr>
      <vt:lpstr>WHRCC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2014-03-20T21:01:41Z</dcterms:created>
  <dcterms:modified xsi:type="dcterms:W3CDTF">2025-11-03T16:01:53Z</dcterms:modified>
</cp:coreProperties>
</file>