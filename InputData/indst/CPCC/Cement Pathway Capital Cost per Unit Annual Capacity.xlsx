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ource Data" sheetId="2" state="visible" r:id="rId2"/>
    <sheet name="Parameters" sheetId="3" state="visible" r:id="rId3"/>
    <sheet name="Calc" sheetId="4" state="visible" r:id="rId4"/>
    <sheet name="Checks" sheetId="5" state="visible" r:id="rId5"/>
    <sheet name="CPC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tzeroamerica.princeton.edu/img/Princeton_NZA_Annex_K.pdf" TargetMode="External" Id="rId1" /><Relationship Type="http://schemas.openxmlformats.org/officeDocument/2006/relationships/hyperlink" Target="https://www.wbcsdcement.org/pdf/technology/ECRA%20Technical%20Report%20on%20State%20of%20the%20Art%20Techniques.pdf" TargetMode="External" Id="rId2" /><Relationship Type="http://schemas.openxmlformats.org/officeDocument/2006/relationships/hyperlink" Target="https://www.energy.gov/oced/oced-cement-and-concrete-industrial-demonstration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CPCC Cement Pathway Capital Cost per Unit Annual Capacity</t>
        </is>
      </c>
    </row>
    <row r="3">
      <c r="A3" s="1" t="inlineStr">
        <is>
          <t>Sources:</t>
        </is>
      </c>
      <c r="B3" s="2" t="inlineStr">
        <is>
          <t>Dry kiln with CCS greenfield capital cost (confirmed exactly)</t>
        </is>
      </c>
    </row>
    <row r="4">
      <c r="B4" s="3" t="inlineStr">
        <is>
          <t>Princeton Net-Zero America (NZA) Project</t>
        </is>
      </c>
    </row>
    <row r="5">
      <c r="B5" s="3" t="inlineStr">
        <is>
          <t>NZA Annex K, Table 3 (cement CCS retrofit/greenfield capex)</t>
        </is>
      </c>
    </row>
    <row r="6">
      <c r="B6" s="3" t="n">
        <v>2021</v>
      </c>
    </row>
    <row r="7">
      <c r="B7" s="4" t="inlineStr">
        <is>
          <t>https://netzeroamerica.princeton.edu/img/Princeton_NZA_Annex_K.pdf</t>
        </is>
      </c>
    </row>
    <row r="8">
      <c r="B8" s="3" t="inlineStr">
        <is>
          <t>[DIRECT via reader-proxy access to the Annex K PDF] Table 3 reports $3.5B total capital cost for a 3.75 Mt/yr clinker CCS-equipped plant, no cost learning applied. See the Calc tab for the $/(t/yr) division. Note the CCS increment this implies (~$560/(t/yr) above the dry-kiln greenfield figure) sits above CEMCAP European estimates (~EUR76-130/t) and the Brevik retrofit (~$333/t) - open uncertainty, likely reflecting NZA transport-and-storage inclusions or no-learning assumptions.</t>
        </is>
      </c>
    </row>
    <row r="10">
      <c r="B10" s="2" t="inlineStr">
        <is>
          <t>Dry kiln with precalciner (conventional) greenfield capital cost base range</t>
        </is>
      </c>
    </row>
    <row r="11">
      <c r="B11" s="3" t="inlineStr">
        <is>
          <t>European Cement Research Academy (ECRA); IEA (cited range)</t>
        </is>
      </c>
    </row>
    <row r="12">
      <c r="B12" s="3" t="inlineStr">
        <is>
          <t>ECRA Technical Report TR-042/2009 "Development of State of the Art Techniques in Cement Manufacturing"; IEA Cement Technology Roadmap (EUR-denominated figure)</t>
        </is>
      </c>
    </row>
    <row r="13">
      <c r="B13" s="3" t="n">
        <v>2009</v>
      </c>
    </row>
    <row r="14">
      <c r="B14" s="4" t="inlineStr">
        <is>
          <t>https://www.wbcsdcement.org/pdf/technology/ECRA%20Technical%20Report%20on%20State%20of%20the%20Art%20Techniques.pdf</t>
        </is>
      </c>
    </row>
    <row r="15">
      <c r="B15" s="3" t="inlineStr">
        <is>
          <t>[SNIPPET - primary ECRA/IEA PDFs were not directly readable in this research pass; figures are as condensed and cited in secondary literature] ECRA 2009 gives $180-350/t (2009$, size-dependent) for a new dry-process plant with precalciner; an IEA-cited figure of ~EUR263/t (2010, ~1 Mt/yr plant) is broadly consistent once converted. This workbook uses an EI-synthesized single 2009$ base point of $235/t (a judgment blend of the ECRA low end and the IEA-implied figure, see Calc tab) rather than re-deriving a full FX-and-scale-adjusted range.</t>
        </is>
      </c>
    </row>
    <row r="17">
      <c r="B17" s="2" t="inlineStr">
        <is>
          <t>First-of-a-kind (FOAK) alternative-chemistry cement capital costs (context only - not used to derive the shipped $600/t figure directly)</t>
        </is>
      </c>
    </row>
    <row r="18">
      <c r="B18" s="3" t="inlineStr">
        <is>
          <t>Brimstone Energy; Sublime Systems (company/press disclosures)</t>
        </is>
      </c>
    </row>
    <row r="19">
      <c r="B19" s="3" t="inlineStr">
        <is>
          <t>DOE/OCED award announcements and company press releases (Brimstone Fairborn, Sublime Holyoke demonstration plants)</t>
        </is>
      </c>
    </row>
    <row r="20">
      <c r="B20" s="3" t="n">
        <v>2024</v>
      </c>
    </row>
    <row r="21">
      <c r="B21" s="4" t="inlineStr">
        <is>
          <t>https://www.energy.gov/oced/oced-cement-and-concrete-industrial-demonstrations</t>
        </is>
      </c>
    </row>
    <row r="22">
      <c r="B22" s="3" t="inlineStr">
        <is>
          <t>[DIRECT for the FOAK dollar/tonnage figures] Brimstone: ~$378M for ~140 kt/yr (~$2,700/t). Sublime Systems (Holyoke, MA): ~$150M for ~30 kt/yr (~$5,000/t). Both are FIRST-OF-A-KIND demonstration-scale figures, 5-8x the shipped Nth-plant $600/t assumption used in this workbook - strong caveat, team review item (see Notes).</t>
        </is>
      </c>
    </row>
    <row r="25">
      <c r="A25" s="1" t="inlineStr">
        <is>
          <t>Notes:</t>
        </is>
      </c>
    </row>
    <row r="26">
      <c r="A26" s="1" t="inlineStr">
        <is>
          <t>DRAFT status</t>
        </is>
      </c>
      <c r="B26" s="3" t="inlineStr">
        <is>
          <t>DRAFT - an input for staff review, not a finished or approved EI position. Verify every figure against primary sources before use in any work product; treat this workbook as a starting point open to further input and refinement.</t>
        </is>
      </c>
    </row>
    <row r="27">
      <c r="A27" s="1" t="inlineStr">
        <is>
          <t>Dry kiln with precalciner ($375/(t/yr)) [SNIPPET]</t>
        </is>
      </c>
      <c r="B27" s="3" t="inlineStr">
        <is>
          <t>Calc tab computes an EI-judgment 2009$ base of $235/(t/yr) (blend of ECRA $180-350/t low end and the IEA-cited ~EUR263/t figure) inflated to 2026$ by a construction-cost index of 1.6x (EI judgment - no single authoritative index was applied; this approximates ENR/BCI-style cumulative escalation 2009-2026), then rounded to the nearest $25 (MROUND) to land on the shipped $375/(t/yr). The unrounded product is ~$376/(t/yr).</t>
        </is>
      </c>
    </row>
    <row r="28">
      <c r="A28" s="1" t="inlineStr">
        <is>
          <t>Dry kiln with CCS ($933/(t/yr)) [DIRECT via proxy]</t>
        </is>
      </c>
      <c r="B28" s="3" t="inlineStr">
        <is>
          <t>Formula = NZA Annex K $3.5B / 3.75 Mt/yr, rounded to the nearest whole dollar. Reproduces the shipped value exactly (933.33... -&gt; 933).</t>
        </is>
      </c>
    </row>
    <row r="29">
      <c r="A29" s="1" t="inlineStr">
        <is>
          <t>Electric kiln ($450/(t/yr)) [UNVERIFIED - EI judgment]</t>
        </is>
      </c>
      <c r="B29" s="3" t="inlineStr">
        <is>
          <t>No public cost data exists at any scale - electric kilns are pilot-only (Heidelberg ELECTRA, Coolbrook/Adani). Stored as a labeled judgment parameter on the Parameters tab, referenced by formula in the export cell (not a bare literal in the export tab). Placed between the dry-kiln and CCS figures as a rough midpoint judgment pending any real cost disclosure.</t>
        </is>
      </c>
    </row>
    <row r="30">
      <c r="A30" s="1" t="inlineStr">
        <is>
          <t>Alternative chemistry cement ($600/(t/yr)) [UNVERIFIED - EI judgment]</t>
        </is>
      </c>
      <c r="B30" s="3" t="inlineStr">
        <is>
          <t>An explicit Nth-plant assumption, NOT derived from the FOAK figures shown in the Source Data tab (Brimstone ~$2,700/t, Sublime ~$5,000/t demonstration-scale actuals - 5 to 8x higher). No published learning curve exists to bridge FOAK to Nth-plant for this technology class; this is a placeholder pending real commercial-scale cost data. Strong caveat - team review item.</t>
        </is>
      </c>
    </row>
    <row r="31">
      <c r="A31" s="1" t="inlineStr">
        <is>
          <t>Provenance</t>
        </is>
      </c>
      <c r="B31" s="3" t="inlineStr">
        <is>
          <t>Built by Claude Code (Fable/Sonnet agent session) from the Phase 4 verification dossier and CreateCementDraftInputsScript.py inline source comments, cement industry breakout, worktree cement-industry-breakout-f901fc, 2026-08-26. Reviewed by: (pending).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  <hyperlink xmlns:r="http://schemas.openxmlformats.org/officeDocument/2006/relationships" ref="B21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60" customWidth="1" min="3" max="3"/>
  </cols>
  <sheetData>
    <row r="1">
      <c r="A1" s="1" t="inlineStr">
        <is>
          <t>NZA Annex K Table 3 - Dry kiln with CCS</t>
        </is>
      </c>
    </row>
    <row r="2">
      <c r="A2" t="inlineStr">
        <is>
          <t>Total capital cost ($)</t>
        </is>
      </c>
      <c r="B2" t="n">
        <v>3500000000</v>
      </c>
    </row>
    <row r="3">
      <c r="A3" t="inlineStr">
        <is>
          <t>Plant clinker capacity (metric tons/yr)</t>
        </is>
      </c>
      <c r="B3" t="n">
        <v>3750000</v>
      </c>
    </row>
    <row r="5">
      <c r="A5" s="1" t="inlineStr">
        <is>
          <t>ECRA 2009 / IEA - Dry kiln with precalciner base range (2009$/t)</t>
        </is>
      </c>
    </row>
    <row r="6">
      <c r="A6" t="inlineStr">
        <is>
          <t>ECRA low end</t>
        </is>
      </c>
      <c r="B6" t="n">
        <v>180</v>
      </c>
    </row>
    <row r="7">
      <c r="A7" t="inlineStr">
        <is>
          <t>ECRA high end</t>
        </is>
      </c>
      <c r="B7" t="n">
        <v>350</v>
      </c>
    </row>
    <row r="8">
      <c r="A8" t="inlineStr">
        <is>
          <t>IEA-cited figure (EUR263/t, 2010, ~1 Mt/yr plant; contextual, not separately FX-converted here)</t>
        </is>
      </c>
      <c r="B8" t="n">
        <v>263</v>
      </c>
      <c r="C8" t="inlineStr">
        <is>
          <t>EUR/t, 2010 - shown for context only; not used numerically in the Calc tab formula</t>
        </is>
      </c>
    </row>
    <row r="9">
      <c r="A9" t="inlineStr">
        <is>
          <t>EI-synthesized 2009$ base point (judgment blend of ECRA low end + IEA-implied figure)</t>
        </is>
      </c>
      <c r="B9" t="n">
        <v>235</v>
      </c>
    </row>
    <row r="10">
      <c r="A10" t="inlineStr">
        <is>
          <t>Construction-cost index, 2009$ -&gt; 2012$ (ENR CCI 8570 -&gt; 9308; the earlier 1.6 took the value to 2026$, but the model runs in 2012 USD - fixed 2026-10-01)</t>
        </is>
      </c>
      <c r="B10" t="n">
        <v>1.086</v>
      </c>
    </row>
    <row r="11">
      <c r="A11" t="inlineStr">
        <is>
          <t>Deflator applied to the 2026$ judgment parameters (electric, alt chem) to reach 2012$: 1.086 / 1.6</t>
        </is>
      </c>
      <c r="B11" t="n">
        <v>0.6787</v>
      </c>
    </row>
    <row r="12">
      <c r="A12" s="1" t="inlineStr">
        <is>
          <t>FOAK alternative-chemistry actuals (context only)</t>
        </is>
      </c>
    </row>
    <row r="13">
      <c r="A13" t="inlineStr">
        <is>
          <t>Brimstone total award/project cost ($)</t>
        </is>
      </c>
      <c r="B13" t="n">
        <v>378000000</v>
      </c>
    </row>
    <row r="14">
      <c r="A14" t="inlineStr">
        <is>
          <t>Brimstone capacity (t/yr)</t>
        </is>
      </c>
      <c r="B14" t="n">
        <v>140000</v>
      </c>
    </row>
    <row r="15">
      <c r="A15" t="inlineStr">
        <is>
          <t>Sublime Holyoke total project cost ($)</t>
        </is>
      </c>
      <c r="B15" t="n">
        <v>150000000</v>
      </c>
    </row>
    <row r="16">
      <c r="A16" t="inlineStr">
        <is>
          <t>Sublime Holyoke capacity (t/yr)</t>
        </is>
      </c>
      <c r="B16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1" t="inlineStr">
        <is>
          <t>Judgment capital-cost parameters (no computable derivation - see About tab Notes)</t>
        </is>
      </c>
    </row>
    <row r="3">
      <c r="A3" t="inlineStr">
        <is>
          <t>Electric kiln capital cost ($/(t/yr))</t>
        </is>
      </c>
      <c r="B3" t="n">
        <v>300</v>
      </c>
      <c r="C3" t="inlineStr">
        <is>
          <t>UNVERIFIED - EI judgment; 450 (2026$) deflated to 2012$ and rounded</t>
        </is>
      </c>
    </row>
    <row r="4">
      <c r="A4" t="inlineStr">
        <is>
          <t>Alternative chemistry cement capital cost ($/(t/yr))</t>
        </is>
      </c>
      <c r="B4" t="n">
        <v>400</v>
      </c>
      <c r="C4" t="inlineStr">
        <is>
          <t>UNVERIFIED - EI judgment (Nth-plant); 600 (2026$) deflated to 2012$ and rounded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Dry kiln with CCS: KILN ONLY (= dry kiln). Capture equipment priced in-model from the CCS sector (CC Capital Cost ... per t CO2/yr x captured t CO2 per t clinker). NZA $933/(t/yr) kept below as a plant-level cross-check.</t>
        </is>
      </c>
    </row>
    <row r="2">
      <c r="A2" t="inlineStr">
        <is>
          <t>NZA plant-level cross-check ($/(t/yr), NZA dollars, not used)</t>
        </is>
      </c>
      <c r="B2">
        <f>'Source Data'!B2/'Source Data'!B3</f>
        <v/>
      </c>
    </row>
    <row r="3">
      <c r="A3" t="inlineStr">
        <is>
          <t>Kiln-only value used (= dry kiln)</t>
        </is>
      </c>
      <c r="B3">
        <f>B7</f>
        <v/>
      </c>
    </row>
    <row r="5">
      <c r="A5" s="1" t="inlineStr">
        <is>
          <t>Dry kiln with precalciner: 2009$ base x 2009-&gt;2012 construction index, round to nearest $25</t>
        </is>
      </c>
    </row>
    <row r="6">
      <c r="A6" t="inlineStr">
        <is>
          <t>Unrounded inflated value ($/(t/yr))</t>
        </is>
      </c>
      <c r="B6">
        <f>'Source Data'!B9*'Source Data'!B10</f>
        <v/>
      </c>
    </row>
    <row r="7">
      <c r="A7" t="inlineStr">
        <is>
          <t>Rounded to nearest $25 (MROUND)</t>
        </is>
      </c>
      <c r="B7">
        <f>MROUND(B6,25)</f>
        <v/>
      </c>
    </row>
    <row r="9">
      <c r="A9" s="1" t="inlineStr">
        <is>
          <t>FOAK alternative-chemistry actuals (context only, not used in export)</t>
        </is>
      </c>
    </row>
    <row r="10">
      <c r="A10" t="inlineStr">
        <is>
          <t>Brimstone $/t</t>
        </is>
      </c>
      <c r="B10">
        <f>'Source Data'!B13/'Source Data'!B14</f>
        <v/>
      </c>
    </row>
    <row r="11">
      <c r="A11" t="inlineStr">
        <is>
          <t>Sublime Holyoke $/t</t>
        </is>
      </c>
      <c r="B11">
        <f>'Source Data'!B15/'Source Data'!B16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Cross-check: export tab literal vs. Calc/Parameters-derived value</t>
        </is>
      </c>
    </row>
    <row r="3">
      <c r="A3" s="1" t="inlineStr">
        <is>
          <t>Pathway</t>
        </is>
      </c>
      <c r="B3" s="1" t="inlineStr">
        <is>
          <t>Export literal</t>
        </is>
      </c>
      <c r="C3" s="1" t="inlineStr">
        <is>
          <t>Calc/Parameters value</t>
        </is>
      </c>
      <c r="D3" s="1" t="inlineStr">
        <is>
          <t>Abs diff</t>
        </is>
      </c>
    </row>
    <row r="4">
      <c r="A4" t="inlineStr">
        <is>
          <t>dry kiln with precalciner</t>
        </is>
      </c>
      <c r="B4">
        <f>CPCC!B2</f>
        <v/>
      </c>
      <c r="C4">
        <f>Calc!B7</f>
        <v/>
      </c>
      <c r="D4">
        <f>ABS(B4-C4)</f>
        <v/>
      </c>
    </row>
    <row r="5">
      <c r="A5" t="inlineStr">
        <is>
          <t>dry kiln with CCS</t>
        </is>
      </c>
      <c r="B5">
        <f>CPCC!B3</f>
        <v/>
      </c>
      <c r="C5">
        <f>Calc!B3</f>
        <v/>
      </c>
      <c r="D5">
        <f>ABS(B5-C5)</f>
        <v/>
      </c>
    </row>
    <row r="6">
      <c r="A6" t="inlineStr">
        <is>
          <t>electric kiln</t>
        </is>
      </c>
      <c r="B6">
        <f>CPCC!B4</f>
        <v/>
      </c>
      <c r="C6">
        <f>Parameters!B3</f>
        <v/>
      </c>
      <c r="D6">
        <f>ABS(B6-C6)</f>
        <v/>
      </c>
    </row>
    <row r="7">
      <c r="A7" t="inlineStr">
        <is>
          <t>alternative chemistry cement</t>
        </is>
      </c>
      <c r="B7">
        <f>CPCC!B5</f>
        <v/>
      </c>
      <c r="C7">
        <f>Parameters!B4</f>
        <v/>
      </c>
      <c r="D7">
        <f>ABS(B7-C7)</f>
        <v/>
      </c>
    </row>
    <row r="9">
      <c r="A9" s="1" t="inlineStr">
        <is>
          <t>MAX abs diff</t>
        </is>
      </c>
      <c r="D9">
        <f>MAX(D4:D7)</f>
        <v/>
      </c>
    </row>
    <row r="10">
      <c r="A10" s="1" t="inlineStr">
        <is>
          <t>Overall</t>
        </is>
      </c>
      <c r="D10">
        <f>IF(D9&lt;0.0000001,"PASS","FAIL")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$/(metric ton/yr) greenfield in the model's 2012 USD (dry kiln 250 = ECRA/IEA 2009$ base 235 x 1.086 construction-cost index 2009-&gt;2012, rounded to $25; CCS row = KILN ONLY - capture equipment is priced in-model from the CCS sector's capital cost per t CO2/yr (reconciliation 2026-10-01); electric 300 / alt chem 400 = the earlier 2026$ judgments deflated; verify before release)</t>
        </is>
      </c>
      <c r="B1" t="inlineStr">
        <is>
          <t>Capital Cost</t>
        </is>
      </c>
    </row>
    <row r="2">
      <c r="A2" t="inlineStr">
        <is>
          <t>dry kiln with precalciner</t>
        </is>
      </c>
      <c r="B2" t="n">
        <v>250</v>
      </c>
    </row>
    <row r="3">
      <c r="A3" t="inlineStr">
        <is>
          <t>dry kiln with CCS</t>
        </is>
      </c>
      <c r="B3" t="n">
        <v>250</v>
      </c>
    </row>
    <row r="4">
      <c r="A4" t="inlineStr">
        <is>
          <t>electric kiln</t>
        </is>
      </c>
      <c r="B4" t="n">
        <v>300</v>
      </c>
    </row>
    <row r="5">
      <c r="A5" t="inlineStr">
        <is>
          <t>alternative chemistry cement</t>
        </is>
      </c>
      <c r="B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2026-08-26T11:52:47Z</dcterms:created>
  <dcterms:modified xsi:type="dcterms:W3CDTF">2026-10-01T19:24:37Z</dcterms:modified>
</cp:coreProperties>
</file>