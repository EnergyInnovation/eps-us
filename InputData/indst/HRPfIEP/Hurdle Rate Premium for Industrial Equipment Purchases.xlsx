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bout" sheetId="1" state="visible" r:id="rId1"/>
    <sheet name="Parameters" sheetId="2" state="visible" r:id="rId2"/>
    <sheet name="KPREM source" sheetId="3" state="visible" r:id="rId3"/>
    <sheet name="AcceptFrac source" sheetId="4" state="visible" r:id="rId4"/>
    <sheet name="BCoISC source" sheetId="5" state="visible" r:id="rId5"/>
    <sheet name="Calculation" sheetId="6" state="visible" r:id="rId6"/>
    <sheet name="Checks" sheetId="7" state="visible" r:id="rId7"/>
    <sheet name="HRPfIEP"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font>
    <font>
      <color rgb="000563C1"/>
      <u val="single"/>
    </font>
    <font>
      <b val="1"/>
      <i val="1"/>
    </font>
  </fonts>
  <fills count="3">
    <fill>
      <patternFill/>
    </fill>
    <fill>
      <patternFill patternType="gray125"/>
    </fill>
    <fill>
      <patternFill patternType="solid">
        <fgColor rgb="00D9D9D9"/>
        <bgColor rgb="00D9D9D9"/>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2" fillId="2" borderId="0" applyAlignment="1" pivotButton="0" quotePrefix="0" xfId="0">
      <alignment horizontal="left" vertical="top" wrapText="1"/>
    </xf>
    <xf numFmtId="0" fontId="0"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ia.gov/outlooks/aeo/nems/documentation/commercial/pdf/CDM_AEO2025.pdf" TargetMode="External" Id="rId1" /><Relationship Type="http://schemas.openxmlformats.org/officeDocument/2006/relationships/hyperlink" Target="https://github.com/EIAgov/NEMS" TargetMode="External" Id="rId2" /><Relationship Type="http://schemas.openxmlformats.org/officeDocument/2006/relationships/hyperlink" Target="https://doi.org/10.1016/j.reseneeco.2003.07.001" TargetMode="External" Id="rId3" /><Relationship Type="http://schemas.openxmlformats.org/officeDocument/2006/relationships/hyperlink" Target="https://doi.org/10.1080/00036846.2015.1005829" TargetMode="External" Id="rId4" /><Relationship Type="http://schemas.openxmlformats.org/officeDocument/2006/relationships/hyperlink" Target="https://www.aceee.org/proceedings" TargetMode="External" Id="rId5" /><Relationship Type="http://schemas.openxmlformats.org/officeDocument/2006/relationships/hyperlink" Target="https://doi.org/10.1016/j.enpol.2016.10.019" TargetMode="External" Id="rId6" /><Relationship Type="http://schemas.openxmlformats.org/officeDocument/2006/relationships/hyperlink" Target="https://github.com/EnergyInnovation/eps-us" TargetMode="External" Id="rId7" /></Relationships>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cols>
    <col width="14" customWidth="1" min="1" max="1"/>
    <col width="110" customWidth="1" min="2" max="2"/>
  </cols>
  <sheetData>
    <row r="1">
      <c r="A1" s="1" t="inlineStr">
        <is>
          <t>HRPfIEP Hurdle Rate Premium for Industrial Equipment Purchases</t>
        </is>
      </c>
    </row>
    <row r="3">
      <c r="A3" s="2" t="inlineStr">
        <is>
          <t>Sources:</t>
        </is>
      </c>
      <c r="B3" s="3" t="inlineStr">
        <is>
          <t>Commercial time-preference premium distribution (KPREM)</t>
        </is>
      </c>
    </row>
    <row r="4">
      <c r="B4" s="4" t="inlineStr">
        <is>
          <t>U.S. Energy Information Administration</t>
        </is>
      </c>
    </row>
    <row r="5">
      <c r="B5" s="4" t="inlineStr">
        <is>
          <t>NEMS Commercial Demand Module input file KPREM (contact listed in-file: Meera Fickling; EIA; file dated Sept 19; 2019)</t>
        </is>
      </c>
    </row>
    <row r="6">
      <c r="B6" t="n">
        <v>2019</v>
      </c>
    </row>
    <row r="7">
      <c r="B7" s="5" t="inlineStr">
        <is>
          <t>https://www.eia.gov/outlooks/aeo/nems/documentation/commercial/pdf/CDM_AEO2025.pdf</t>
        </is>
      </c>
    </row>
    <row r="8">
      <c r="B8" s="4" t="inlineStr">
        <is>
          <t>Premiums added to the 10-yr Treasury rate; 7 segments {1000%; 100%; 45%; 25%; 15%; 6.5%; 0%}. Steady-state (2016+) space-heating weights pasted in the KPREM source tab. Population-mean 10-yr annuity factor = 1.78 yr = single-rate equivalent of approx. 55%. Commercial operators face landlord-tenant split incentives; treated as an upper bound for industrial purchase decisions.</t>
        </is>
      </c>
    </row>
    <row r="10">
      <c r="B10" s="3" t="inlineStr">
        <is>
          <t>Industrial payback acceptance curve (AcceptFrac; CHP adoption)</t>
        </is>
      </c>
    </row>
    <row r="11">
      <c r="B11" s="4" t="inlineStr">
        <is>
          <t>U.S. Energy Information Administration</t>
        </is>
      </c>
    </row>
    <row r="12">
      <c r="B12" s="4" t="inlineStr">
        <is>
          <t>NEMS Industrial Demand Module input workbook indcogenx.xlsx (in-file provenance: EIA internal payback acceptance.xlsx; AEO2018 vintage)</t>
        </is>
      </c>
    </row>
    <row r="13">
      <c r="B13" t="n">
        <v>2018</v>
      </c>
    </row>
    <row r="14">
      <c r="B14" s="5" t="inlineStr">
        <is>
          <t>https://github.com/EIAgov/NEMS</t>
        </is>
      </c>
    </row>
    <row r="15">
      <c r="B15" s="4" t="inlineStr">
        <is>
          <t>Fraction of industrial market accepting a project with simple payback of N years; identical for smaller and large plants. Mean acceptable payback approx. 4.7 yr = single-rate equivalent approx. 17% on a 10-yr life. Adopt-vs-defer decision type; no published derivation of the underlying numbers.</t>
        </is>
      </c>
    </row>
    <row r="17">
      <c r="B17" s="3" t="inlineStr">
        <is>
          <t>Empirical implicit discount rates; industrial retrofit adoption</t>
        </is>
      </c>
    </row>
    <row r="18">
      <c r="B18" s="4" t="inlineStr">
        <is>
          <t>Anderson &amp; Newell</t>
        </is>
      </c>
    </row>
    <row r="19">
      <c r="B19" s="4" t="inlineStr">
        <is>
          <t>Information programs for technology adoption: the case of energy-efficiency audits; Resource and Energy Economics 26(1):27-50</t>
        </is>
      </c>
    </row>
    <row r="20">
      <c r="B20" t="n">
        <v>2004</v>
      </c>
    </row>
    <row r="21">
      <c r="B21" s="5" t="inlineStr">
        <is>
          <t>https://doi.org/10.1016/j.reseneeco.2003.07.001</t>
        </is>
      </c>
    </row>
    <row r="22">
      <c r="B22" s="4" t="inlineStr">
        <is>
          <t>DOE IAC audit data; ~9;000 small/medium manufacturing plants 1981-2000. Median payback threshold approx. 15 months; implied hurdle rates 50-100% (real; PPI-deflated) at 10-yr project life. Deferrable-retrofit decision type; this evidence family anchors the separate PAC Payback Acceptance Curve input; not this parameter.</t>
        </is>
      </c>
    </row>
    <row r="24">
      <c r="B24" s="3" t="inlineStr">
        <is>
          <t>Empirical implicit discount rates; industrial retrofit adoption (updated sample)</t>
        </is>
      </c>
    </row>
    <row r="25">
      <c r="B25" s="4" t="inlineStr">
        <is>
          <t>Qiu; Wang &amp; Wang</t>
        </is>
      </c>
    </row>
    <row r="26">
      <c r="B26" s="4" t="inlineStr">
        <is>
          <t>Implied discount rate and payback threshold of energy efficiency investment in the industrial sector; Applied Economics 47(21):2218-2233</t>
        </is>
      </c>
    </row>
    <row r="27">
      <c r="B27" t="n">
        <v>2015</v>
      </c>
    </row>
    <row r="28">
      <c r="B28" s="5" t="inlineStr">
        <is>
          <t>https://doi.org/10.1080/00036846.2015.1005829</t>
        </is>
      </c>
    </row>
    <row r="29">
      <c r="B29" s="4" t="inlineStr">
        <is>
          <t>IAC database 2002-2011; &gt;30;000 recommendations. Implied discount rates 40-45%; average payback threshold approx. 9 months.</t>
        </is>
      </c>
    </row>
    <row r="31">
      <c r="B31" s="3" t="inlineStr">
        <is>
          <t>Industrial hurdle-rate quantification with process/non-process split</t>
        </is>
      </c>
    </row>
    <row r="32">
      <c r="B32" s="4" t="inlineStr">
        <is>
          <t>Warfel</t>
        </is>
      </c>
    </row>
    <row r="33">
      <c r="B33" s="4" t="inlineStr">
        <is>
          <t>Quantifying the Hurdle Rates United States Industry Places on Energy Efficiency Opportunities; ACEEE Summer Study on Energy Efficiency in Industry</t>
        </is>
      </c>
    </row>
    <row r="34">
      <c r="B34" t="n">
        <v>1998</v>
      </c>
    </row>
    <row r="35">
      <c r="B35" s="5" t="inlineStr">
        <is>
          <t>https://www.aceee.org/proceedings</t>
        </is>
      </c>
    </row>
    <row r="36">
      <c r="B36" s="4" t="inlineStr">
        <is>
          <t>Corporate cost-of-capital baseline cited at 22-28%; energy-project investment tails off at approx. 2-yr payback. Process-affecting measures held to stricter thresholds than building-and-grounds measures.</t>
        </is>
      </c>
    </row>
    <row r="38">
      <c r="B38" s="3" t="inlineStr">
        <is>
          <t>Model practice; industrial technology-choice discount rates</t>
        </is>
      </c>
    </row>
    <row r="39">
      <c r="B39" s="4" t="inlineStr">
        <is>
          <t>European Commission JRC / E3Modelling</t>
        </is>
      </c>
    </row>
    <row r="40">
      <c r="B40" s="4" t="inlineStr">
        <is>
          <t>JRC-EU-TIMES and PRIMES sectoral discount-rate assumptions (12% energy-intensive industry; 14% other industry)</t>
        </is>
      </c>
    </row>
    <row r="41">
      <c r="B41" t="n">
        <v>2016</v>
      </c>
    </row>
    <row r="42">
      <c r="B42" s="5" t="inlineStr">
        <is>
          <t>https://doi.org/10.1016/j.enpol.2016.10.019</t>
        </is>
      </c>
    </row>
    <row r="43">
      <c r="B43" s="4" t="inlineStr">
        <is>
          <t>UNVERIFIED against primary text (access blocked at time of compilation); verify before external citation. NEMS Residential Demand Module uses 20% for new-construction heating-system choice (RDM documentation; July 2026).</t>
        </is>
      </c>
    </row>
    <row r="45">
      <c r="B45" s="3" t="inlineStr">
        <is>
          <t>Internal evidence digest and derivation record</t>
        </is>
      </c>
    </row>
    <row r="46">
      <c r="B46" s="4" t="inlineStr">
        <is>
          <t>Energy Innovation (internal)</t>
        </is>
      </c>
    </row>
    <row r="47">
      <c r="B47" s="4" t="inlineStr">
        <is>
          <t>Industry_HurdleRate_Premium_Research.md (EPS US repo root)</t>
        </is>
      </c>
    </row>
    <row r="48">
      <c r="B48" t="n">
        <v>2026</v>
      </c>
    </row>
    <row r="49">
      <c r="B49" s="5" t="inlineStr">
        <is>
          <t>https://github.com/EnergyInnovation/eps-us</t>
        </is>
      </c>
    </row>
    <row r="50">
      <c r="B50" s="4" t="inlineStr">
        <is>
          <t>Full literature digest; triangulation math; and the option ladder considered (WACC-only / 20% / 35% / 50%). All figures herein are inputs for staff review; verify flagged secondhand values against primary sources before external use.</t>
        </is>
      </c>
    </row>
    <row r="53">
      <c r="A53" s="2" t="inlineStr">
        <is>
          <t>Notes:</t>
        </is>
      </c>
    </row>
    <row r="54">
      <c r="A54" s="2" t="inlineStr">
        <is>
          <t>What this is</t>
        </is>
      </c>
      <c r="B54" s="4" t="inlineStr">
        <is>
          <t>A single dimensionless real premium added to BCoISC (industry WACC) to form the decision discount rate used ONLY in the present-value terms of the industrial equipment fuel-choice logit (future fuel costs; fuel taxes; carbon taxes; clean-heat subsidy). It represents observed behavioral undervaluation of future energy savings (the energy-efficiency gap). Actual financing cash flows in the model continue to use BCoISC unchanged.</t>
        </is>
      </c>
    </row>
    <row r="55">
      <c r="A55" s="2" t="inlineStr">
        <is>
          <t>Why not applied to capital</t>
        </is>
      </c>
      <c r="B55" s="4" t="inlineStr">
        <is>
          <t>Capital cost enters the choice at approximately sticker price (capital recovery factor times annuity factor at the same rate and period is approximately 1). Applying the premium to the capital annuity as well would rescale all fuels nearly equally and cancel out of the relative-cost logit; the behavioral content of a hurdle rate is the asymmetry between fully-felt upfront cost and heavily discounted future savings.</t>
        </is>
      </c>
    </row>
    <row r="56">
      <c r="A56" s="2" t="inlineStr">
        <is>
          <t>Derivation</t>
        </is>
      </c>
      <c r="B56" s="4" t="inlineStr">
        <is>
          <t>Target total decision hurdle rate (Parameters tab; central 20% real) minus the simple mean of BCoISC WACC across the 25 modeled industries (source tab). 20% is anchored on the industrial-specific evidence cluster: NEMS industrial AcceptFrac approx. 17% equivalent; Warfel corporate baseline 22-28%; NEMS RDM 20%; EU-TIMES industry 12-14% (unverified). The commercial KPREM distribution (approx. 55% equivalent) is treated as a split-incentive-inflated upper bound; the IAC retrofit literature (40-100%) parameterizes the separate PAC curve; not this input.</t>
        </is>
      </c>
    </row>
    <row r="57">
      <c r="A57" s="2" t="inlineStr">
        <is>
          <t>Sensitivity ladder</t>
        </is>
      </c>
      <c r="B57" s="4" t="inlineStr">
        <is>
          <t>Values corresponding to total hurdle rates of 4% (WACC-only; premium 0); 20% (central); 35%; and 50% are computed on the Calculation tab for scenario testing. Changing the target cell on the Parameters tab moves the exported value.</t>
        </is>
      </c>
    </row>
    <row r="58">
      <c r="A58" s="2" t="inlineStr">
        <is>
          <t>Verification status</t>
        </is>
      </c>
      <c r="B58" s="4" t="inlineStr">
        <is>
          <t>EU-TIMES 12/14% and some literature figures are secondhand (flagged in the digest); verify against primary sources before use in any published work product.</t>
        </is>
      </c>
    </row>
  </sheetData>
  <hyperlinks>
    <hyperlink xmlns:r="http://schemas.openxmlformats.org/officeDocument/2006/relationships" ref="B7" r:id="rId1"/>
    <hyperlink xmlns:r="http://schemas.openxmlformats.org/officeDocument/2006/relationships" ref="B14" r:id="rId2"/>
    <hyperlink xmlns:r="http://schemas.openxmlformats.org/officeDocument/2006/relationships" ref="B21" r:id="rId3"/>
    <hyperlink xmlns:r="http://schemas.openxmlformats.org/officeDocument/2006/relationships" ref="B28" r:id="rId4"/>
    <hyperlink xmlns:r="http://schemas.openxmlformats.org/officeDocument/2006/relationships" ref="B35" r:id="rId5"/>
    <hyperlink xmlns:r="http://schemas.openxmlformats.org/officeDocument/2006/relationships" ref="B42" r:id="rId6"/>
    <hyperlink xmlns:r="http://schemas.openxmlformats.org/officeDocument/2006/relationships" ref="B49" r:id="rId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s>
  <sheetData>
    <row r="1">
      <c r="A1" s="2" t="inlineStr">
        <is>
          <t>Parameter</t>
        </is>
      </c>
      <c r="B1" s="2" t="inlineStr">
        <is>
          <t>Value</t>
        </is>
      </c>
    </row>
    <row r="2">
      <c r="A2" t="inlineStr">
        <is>
          <t>Target total decision hurdle rate (real)</t>
        </is>
      </c>
      <c r="B2" t="n">
        <v>0.2</v>
      </c>
    </row>
    <row r="3">
      <c r="A3" t="inlineStr">
        <is>
          <t>Equipment lifetime for annuity math (years)</t>
        </is>
      </c>
      <c r="B3" t="n">
        <v>10</v>
      </c>
    </row>
    <row r="4">
      <c r="A4" t="inlineStr">
        <is>
          <t>Reference risk-free rate for NEMS segment math (nominal; approx. 10-yr Treasury)</t>
        </is>
      </c>
      <c r="B4" t="n">
        <v>0.04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6" customWidth="1" min="1" max="1"/>
    <col width="90" customWidth="1" min="2" max="2"/>
  </cols>
  <sheetData>
    <row r="1">
      <c r="A1" s="2" t="inlineStr">
        <is>
          <t>FILE NAME:</t>
        </is>
      </c>
      <c r="B1" s="4" t="inlineStr">
        <is>
          <t>KPREM</t>
        </is>
      </c>
    </row>
    <row r="2">
      <c r="A2" s="2" t="inlineStr">
        <is>
          <t>DATE MODIFIED:</t>
        </is>
      </c>
      <c r="B2" s="4" t="inlineStr">
        <is>
          <t>September 19, 2019</t>
        </is>
      </c>
    </row>
    <row r="3">
      <c r="B3" s="4" t="inlineStr">
        <is>
          <t>2010-2011 Fed; State; local govt. flsp; new+replace demand at T-bill to reflect ARRA funding; just new for 2012; 2013 except for lighting</t>
        </is>
      </c>
    </row>
    <row r="4">
      <c r="A4" s="2" t="inlineStr">
        <is>
          <t>CONTACT:</t>
        </is>
      </c>
      <c r="B4" s="4" t="inlineStr">
        <is>
          <t>Meera Fickling; NEMS Buildings Analyst; Meera.fickling@eia.gov; (202)586-0765</t>
        </is>
      </c>
    </row>
    <row r="5">
      <c r="A5" s="2" t="inlineStr">
        <is>
          <t>USED BY:</t>
        </is>
      </c>
      <c r="B5" s="4" t="inlineStr">
        <is>
          <t>Technology Choice subroutine of the National Energy Modeling System (NEMS) Commercial Demand Module (CDM)</t>
        </is>
      </c>
    </row>
    <row r="6">
      <c r="A6" s="2" t="inlineStr">
        <is>
          <t>DEFINITION:</t>
        </is>
      </c>
      <c r="B6" s="4" t="inlineStr">
        <is>
          <t>Consumer time preference category proportions and premiums for each year from 1990 through 2050 inclusive. Represents the distribution of consumers and their associated time preference premia to be added to the risk-free interest rate to obtain the consumer discount rate for each segment.</t>
        </is>
      </c>
    </row>
    <row r="7">
      <c r="A7" s="2" t="inlineStr">
        <is>
          <t>UNITS:</t>
        </is>
      </c>
      <c r="B7" s="4" t="inlineStr">
        <is>
          <t>unitless</t>
        </is>
      </c>
    </row>
    <row r="8">
      <c r="A8" s="2" t="inlineStr">
        <is>
          <t>DIMENSION:</t>
        </is>
      </c>
      <c r="B8" s="4" t="inlineStr">
        <is>
          <t>End-use service; year</t>
        </is>
      </c>
    </row>
    <row r="10">
      <c r="A10" s="6" t="inlineStr">
        <is>
          <t>Excerpt: 2016+ steady-state Space Heating block; the full file repeats near-identical blocks by end use and year through 2050.</t>
        </is>
      </c>
    </row>
    <row r="11">
      <c r="A11" s="2" t="inlineStr">
        <is>
          <t>Proportion (P_p)</t>
        </is>
      </c>
      <c r="B11" s="2" t="inlineStr">
        <is>
          <t>Premium</t>
        </is>
      </c>
    </row>
    <row r="12">
      <c r="A12" t="n">
        <v>0.266</v>
      </c>
      <c r="B12" t="n">
        <v>10</v>
      </c>
    </row>
    <row r="13">
      <c r="A13" t="n">
        <v>0.235</v>
      </c>
      <c r="B13" t="n">
        <v>1</v>
      </c>
    </row>
    <row r="14">
      <c r="A14" t="n">
        <v>0.196</v>
      </c>
      <c r="B14" t="n">
        <v>0.45</v>
      </c>
    </row>
    <row r="15">
      <c r="A15" t="n">
        <v>0.187</v>
      </c>
      <c r="B15" t="n">
        <v>0.25</v>
      </c>
    </row>
    <row r="16">
      <c r="A16" t="n">
        <v>0.098</v>
      </c>
      <c r="B16" t="n">
        <v>0.15</v>
      </c>
    </row>
    <row r="17">
      <c r="A17" t="n">
        <v>0.016</v>
      </c>
      <c r="B17" t="n">
        <v>0.065</v>
      </c>
    </row>
    <row r="18">
      <c r="A18" t="n">
        <v>0.002</v>
      </c>
      <c r="B18"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 width="10" customWidth="1" min="4" max="4"/>
    <col width="70" customWidth="1" min="5" max="5"/>
  </cols>
  <sheetData>
    <row r="1">
      <c r="A1" s="6" t="inlineStr">
        <is>
          <t>Excerpt: NEMS Industrial Demand Module CHP input workbook indcogenx.xlsx; sheet 'icogen'; rows 161-196; columns A-C; pasted verbatim.</t>
        </is>
      </c>
    </row>
    <row r="2">
      <c r="A2" t="inlineStr">
        <is>
          <t>Market Penetration Assumptions</t>
        </is>
      </c>
      <c r="B2" t="inlineStr">
        <is>
          <t>Industrial</t>
        </is>
      </c>
      <c r="C2" t="inlineStr">
        <is>
          <t>IPP Version</t>
        </is>
      </c>
      <c r="D2" t="inlineStr">
        <is>
          <t>source:</t>
        </is>
      </c>
      <c r="E2" t="inlineStr">
        <is>
          <t>L:\mid\Industrial_Team\US\AEO\AEO2018\CHP\indcogen\payback acceptance.xlsx</t>
        </is>
      </c>
    </row>
    <row r="3">
      <c r="A3" t="inlineStr">
        <is>
          <t xml:space="preserve">      Payback Acceptance Fraction</t>
        </is>
      </c>
      <c r="B3" t="inlineStr">
        <is>
          <t>(smaller plants)</t>
        </is>
      </c>
      <c r="C3" t="inlineStr">
        <is>
          <t>(large plants)</t>
        </is>
      </c>
    </row>
    <row r="4">
      <c r="A4" s="2" t="inlineStr">
        <is>
          <t>Payback Years</t>
        </is>
      </c>
      <c r="B4" s="2" t="inlineStr">
        <is>
          <t>Fraction with a given payback need</t>
        </is>
      </c>
    </row>
    <row r="5">
      <c r="A5" t="n">
        <v>0</v>
      </c>
      <c r="B5" t="n">
        <v>0</v>
      </c>
      <c r="C5" t="n">
        <v>0</v>
      </c>
    </row>
    <row r="6">
      <c r="A6" t="n">
        <v>1</v>
      </c>
      <c r="B6" t="n">
        <v>0.1379648181420751</v>
      </c>
      <c r="C6" t="n">
        <v>0.1379648181420751</v>
      </c>
    </row>
    <row r="7">
      <c r="A7" t="n">
        <v>2</v>
      </c>
      <c r="B7" t="n">
        <v>0.1333867458354526</v>
      </c>
      <c r="C7" t="n">
        <v>0.1333867458354526</v>
      </c>
    </row>
    <row r="8">
      <c r="A8" t="n">
        <v>3</v>
      </c>
      <c r="B8" t="n">
        <v>0.1277356429033202</v>
      </c>
      <c r="C8" t="n">
        <v>0.1277356429033202</v>
      </c>
    </row>
    <row r="9">
      <c r="A9" t="n">
        <v>4</v>
      </c>
      <c r="B9" t="n">
        <v>0.1199563563163226</v>
      </c>
      <c r="C9" t="n">
        <v>0.1199563563163226</v>
      </c>
    </row>
    <row r="10">
      <c r="A10" t="n">
        <v>5</v>
      </c>
      <c r="B10" t="n">
        <v>0.1101784955568616</v>
      </c>
      <c r="C10" t="n">
        <v>0.1101784955568616</v>
      </c>
    </row>
    <row r="11">
      <c r="A11" t="n">
        <v>6</v>
      </c>
      <c r="B11" t="n">
        <v>0.09856496804039984</v>
      </c>
      <c r="C11" t="n">
        <v>0.09856496804039984</v>
      </c>
    </row>
    <row r="12">
      <c r="A12" t="n">
        <v>7</v>
      </c>
      <c r="B12" t="n">
        <v>0.08530926494038026</v>
      </c>
      <c r="C12" t="n">
        <v>0.08530926494038026</v>
      </c>
    </row>
    <row r="13">
      <c r="A13" t="n">
        <v>8</v>
      </c>
      <c r="B13" t="n">
        <v>0.07063223746191694</v>
      </c>
      <c r="C13" t="n">
        <v>0.07063223746191694</v>
      </c>
    </row>
    <row r="14">
      <c r="A14" t="n">
        <v>9</v>
      </c>
      <c r="B14" t="n">
        <v>0.0547784172742582</v>
      </c>
      <c r="C14" t="n">
        <v>0.0547784172742582</v>
      </c>
    </row>
    <row r="15">
      <c r="A15" t="n">
        <v>10</v>
      </c>
      <c r="B15" t="n">
        <v>0.03801194240672525</v>
      </c>
      <c r="C15" t="n">
        <v>0.03801194240672525</v>
      </c>
    </row>
    <row r="16">
      <c r="A16" t="n">
        <v>11</v>
      </c>
      <c r="B16" t="n">
        <v>0.02061215648613801</v>
      </c>
      <c r="C16" t="n">
        <v>0.02061215648613801</v>
      </c>
    </row>
    <row r="17">
      <c r="A17" t="n">
        <v>12</v>
      </c>
      <c r="B17" t="n">
        <v>0.002868954636149414</v>
      </c>
      <c r="C17" t="n">
        <v>0.002868954636149414</v>
      </c>
    </row>
    <row r="18">
      <c r="A18" t="inlineStr">
        <is>
          <t>leave blank==&gt;</t>
        </is>
      </c>
      <c r="B18" t="n">
        <v>0</v>
      </c>
      <c r="C18" t="n">
        <v>0</v>
      </c>
    </row>
    <row r="19">
      <c r="A19" t="inlineStr">
        <is>
          <t>Check:  Should add to 100% ==&gt;</t>
        </is>
      </c>
      <c r="B19">
        <f>SUM(B5:B17)</f>
        <v/>
      </c>
      <c r="C19">
        <f>SUM(C5:C17)</f>
        <v/>
      </c>
    </row>
    <row r="20">
      <c r="B20" s="2" t="inlineStr">
        <is>
          <t>Fraction with this payback or longer</t>
        </is>
      </c>
    </row>
    <row r="21">
      <c r="A21" t="n">
        <v>0</v>
      </c>
      <c r="B21" t="n">
        <v>1</v>
      </c>
      <c r="C21" t="n">
        <v>1</v>
      </c>
    </row>
    <row r="22">
      <c r="A22" t="n">
        <v>1</v>
      </c>
      <c r="B22" t="n">
        <v>1</v>
      </c>
      <c r="C22" t="n">
        <v>1</v>
      </c>
    </row>
    <row r="23">
      <c r="A23" t="n">
        <v>2</v>
      </c>
      <c r="B23" t="n">
        <v>0.862035181857925</v>
      </c>
      <c r="C23" t="n">
        <v>0.862035181857925</v>
      </c>
    </row>
    <row r="24">
      <c r="A24" t="n">
        <v>3</v>
      </c>
      <c r="B24" t="n">
        <v>0.7286484360224723</v>
      </c>
      <c r="C24" t="n">
        <v>0.7286484360224723</v>
      </c>
    </row>
    <row r="25">
      <c r="A25" t="n">
        <v>4</v>
      </c>
      <c r="B25" t="n">
        <v>0.6009127931191521</v>
      </c>
      <c r="C25" t="n">
        <v>0.6009127931191521</v>
      </c>
    </row>
    <row r="26">
      <c r="A26" t="n">
        <v>5</v>
      </c>
      <c r="B26" t="n">
        <v>0.4809564368028295</v>
      </c>
      <c r="C26" t="n">
        <v>0.4809564368028295</v>
      </c>
    </row>
    <row r="27">
      <c r="A27" t="n">
        <v>6</v>
      </c>
      <c r="B27" t="n">
        <v>0.3707779412459679</v>
      </c>
      <c r="C27" t="n">
        <v>0.3707779412459679</v>
      </c>
    </row>
    <row r="28">
      <c r="A28" t="n">
        <v>7</v>
      </c>
      <c r="B28" t="n">
        <v>0.272212973205568</v>
      </c>
      <c r="C28" t="n">
        <v>0.272212973205568</v>
      </c>
    </row>
    <row r="29">
      <c r="A29" t="n">
        <v>8</v>
      </c>
      <c r="B29" t="n">
        <v>0.1869037082651878</v>
      </c>
      <c r="C29" t="n">
        <v>0.1869037082651878</v>
      </c>
    </row>
    <row r="30">
      <c r="A30" t="n">
        <v>9</v>
      </c>
      <c r="B30" t="n">
        <v>0.1162714708032709</v>
      </c>
      <c r="C30" t="n">
        <v>0.1162714708032709</v>
      </c>
    </row>
    <row r="31">
      <c r="A31" t="n">
        <v>10</v>
      </c>
      <c r="B31" t="n">
        <v>0.06149305352901267</v>
      </c>
      <c r="C31" t="n">
        <v>0.06149305352901267</v>
      </c>
    </row>
    <row r="32">
      <c r="A32" t="n">
        <v>11</v>
      </c>
      <c r="B32" t="n">
        <v>0.02348111112228742</v>
      </c>
      <c r="C32" t="n">
        <v>0.02348111112228742</v>
      </c>
    </row>
    <row r="33">
      <c r="A33" t="n">
        <v>12</v>
      </c>
      <c r="B33" t="n">
        <v>0.002868954636149414</v>
      </c>
      <c r="C33" t="n">
        <v>0.002868954636149414</v>
      </c>
    </row>
    <row r="34">
      <c r="A34" t="inlineStr">
        <is>
          <t>leave blank==&gt;</t>
        </is>
      </c>
      <c r="B34" t="n">
        <v>0</v>
      </c>
      <c r="C3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48" customWidth="1" min="1" max="1"/>
    <col width="22" customWidth="1" min="2" max="2"/>
  </cols>
  <sheetData>
    <row r="1">
      <c r="A1" s="2" t="inlineStr">
        <is>
          <t>Unit: dimensionless (% of project cost)</t>
        </is>
      </c>
      <c r="B1" s="2" t="inlineStr">
        <is>
          <t>Weighted Average Cost of Capital</t>
        </is>
      </c>
    </row>
    <row r="2">
      <c r="A2" t="inlineStr">
        <is>
          <t>agriculture and forestry 01T03</t>
        </is>
      </c>
      <c r="B2" t="n">
        <v>0.04656</v>
      </c>
    </row>
    <row r="3">
      <c r="A3" t="inlineStr">
        <is>
          <t>coal mining 05</t>
        </is>
      </c>
      <c r="B3" t="n">
        <v>0.05765</v>
      </c>
    </row>
    <row r="4">
      <c r="A4" t="inlineStr">
        <is>
          <t>oil and gas extraction 06</t>
        </is>
      </c>
      <c r="B4" t="n">
        <v>0.03656</v>
      </c>
    </row>
    <row r="5">
      <c r="A5" t="inlineStr">
        <is>
          <t>other mining and quarrying 07T08</t>
        </is>
      </c>
      <c r="B5" t="n">
        <v>0.05558</v>
      </c>
    </row>
    <row r="6">
      <c r="A6" t="inlineStr">
        <is>
          <t>food beverage and tobacco 10T12</t>
        </is>
      </c>
      <c r="B6" t="n">
        <v>0.03824</v>
      </c>
    </row>
    <row r="7">
      <c r="A7" t="inlineStr">
        <is>
          <t>textiles apparel and leather 13T15</t>
        </is>
      </c>
      <c r="B7" t="n">
        <v>0.04521</v>
      </c>
    </row>
    <row r="8">
      <c r="A8" t="inlineStr">
        <is>
          <t>wood products 16</t>
        </is>
      </c>
      <c r="B8" t="n">
        <v>0.04321</v>
      </c>
    </row>
    <row r="9">
      <c r="A9" t="inlineStr">
        <is>
          <t>pulp paper and printing 17T18</t>
        </is>
      </c>
      <c r="B9" t="n">
        <v>0.03842</v>
      </c>
    </row>
    <row r="10">
      <c r="A10" t="inlineStr">
        <is>
          <t>refined petroleum and coke 19</t>
        </is>
      </c>
      <c r="B10" t="n">
        <v>0.02511</v>
      </c>
    </row>
    <row r="11">
      <c r="A11" t="inlineStr">
        <is>
          <t>chemicals 20</t>
        </is>
      </c>
      <c r="B11" t="n">
        <v>0.03642</v>
      </c>
    </row>
    <row r="12">
      <c r="A12" t="inlineStr">
        <is>
          <t>rubber and plastic products 22</t>
        </is>
      </c>
      <c r="B12" t="n">
        <v>0.01931</v>
      </c>
    </row>
    <row r="13">
      <c r="A13" t="inlineStr">
        <is>
          <t>glass and glass products 231</t>
        </is>
      </c>
      <c r="B13" t="n">
        <v>0.05223</v>
      </c>
    </row>
    <row r="14">
      <c r="A14" t="inlineStr">
        <is>
          <t>cement and other nonmetallic minerals 239</t>
        </is>
      </c>
      <c r="B14" t="n">
        <v>0.05223</v>
      </c>
    </row>
    <row r="15">
      <c r="A15" t="inlineStr">
        <is>
          <t>iron and steel 241</t>
        </is>
      </c>
      <c r="B15" t="n">
        <v>0.05131</v>
      </c>
    </row>
    <row r="16">
      <c r="A16" t="inlineStr">
        <is>
          <t>other metals 242</t>
        </is>
      </c>
      <c r="B16" t="n">
        <v>0.05558</v>
      </c>
    </row>
    <row r="17">
      <c r="A17" t="inlineStr">
        <is>
          <t>metal products except machinery and vehicles 25</t>
        </is>
      </c>
      <c r="B17" t="n">
        <v>0.05558</v>
      </c>
    </row>
    <row r="18">
      <c r="A18" t="inlineStr">
        <is>
          <t>computers and electronics 26</t>
        </is>
      </c>
      <c r="B18" t="n">
        <v>0.05115</v>
      </c>
    </row>
    <row r="19">
      <c r="A19" t="inlineStr">
        <is>
          <t>appliances and electrical equipment 27</t>
        </is>
      </c>
      <c r="B19" t="n">
        <v>0.05135</v>
      </c>
    </row>
    <row r="20">
      <c r="A20" t="inlineStr">
        <is>
          <t>other machinery 28</t>
        </is>
      </c>
      <c r="B20" t="n">
        <v>0.05073</v>
      </c>
    </row>
    <row r="21">
      <c r="A21" t="inlineStr">
        <is>
          <t>road vehicles 29</t>
        </is>
      </c>
      <c r="B21" t="n">
        <v>0.04509</v>
      </c>
    </row>
    <row r="22">
      <c r="A22" t="inlineStr">
        <is>
          <t>nonroad vehicles 30</t>
        </is>
      </c>
      <c r="B22" t="n">
        <v>0.0465</v>
      </c>
    </row>
    <row r="23">
      <c r="A23" t="inlineStr">
        <is>
          <t>other manufacturing 31T33</t>
        </is>
      </c>
      <c r="B23" t="n">
        <v>0.05073</v>
      </c>
    </row>
    <row r="24">
      <c r="A24" t="inlineStr">
        <is>
          <t>energy pipelines and gas processing 352T353</t>
        </is>
      </c>
      <c r="B24" t="n">
        <v>0.03198</v>
      </c>
    </row>
    <row r="25">
      <c r="A25" t="inlineStr">
        <is>
          <t>water and waste 36T39</t>
        </is>
      </c>
      <c r="B25" t="n">
        <v>0.0237</v>
      </c>
    </row>
    <row r="26">
      <c r="A26" t="inlineStr">
        <is>
          <t>construction 41T43</t>
        </is>
      </c>
      <c r="B26" t="n">
        <v>0.06035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58" customWidth="1" min="1" max="1"/>
    <col width="26" customWidth="1" min="2" max="2"/>
    <col width="46" customWidth="1" min="3" max="3"/>
  </cols>
  <sheetData>
    <row r="1">
      <c r="A1" s="2" t="inlineStr">
        <is>
          <t>Block A: KPREM single-rate equivalent</t>
        </is>
      </c>
    </row>
    <row r="2">
      <c r="A2" s="2" t="inlineStr">
        <is>
          <t>Segment</t>
        </is>
      </c>
      <c r="B2" s="2" t="inlineStr">
        <is>
          <t>Premium</t>
        </is>
      </c>
      <c r="C2" s="2" t="inlineStr">
        <is>
          <t>Segment Rate</t>
        </is>
      </c>
      <c r="D2" s="2" t="inlineStr">
        <is>
          <t>Annuity Factor</t>
        </is>
      </c>
      <c r="E2" s="2" t="inlineStr">
        <is>
          <t>Weight</t>
        </is>
      </c>
      <c r="F2" s="2" t="inlineStr">
        <is>
          <t>Weighted AF</t>
        </is>
      </c>
    </row>
    <row r="3">
      <c r="A3" t="inlineStr">
        <is>
          <t>Segment 1</t>
        </is>
      </c>
      <c r="B3">
        <f>'KPREM source'!B12</f>
        <v/>
      </c>
      <c r="C3">
        <f>B3+Parameters!$B$4</f>
        <v/>
      </c>
      <c r="D3">
        <f>(1-(1+C3)^-Parameters!$B$3)/C3</f>
        <v/>
      </c>
      <c r="E3">
        <f>'KPREM source'!A12</f>
        <v/>
      </c>
      <c r="F3">
        <f>E3*D3</f>
        <v/>
      </c>
    </row>
    <row r="4">
      <c r="A4" t="inlineStr">
        <is>
          <t>Segment 2</t>
        </is>
      </c>
      <c r="B4">
        <f>'KPREM source'!B13</f>
        <v/>
      </c>
      <c r="C4">
        <f>B4+Parameters!$B$4</f>
        <v/>
      </c>
      <c r="D4">
        <f>(1-(1+C4)^-Parameters!$B$3)/C4</f>
        <v/>
      </c>
      <c r="E4">
        <f>'KPREM source'!A13</f>
        <v/>
      </c>
      <c r="F4">
        <f>E4*D4</f>
        <v/>
      </c>
    </row>
    <row r="5">
      <c r="A5" t="inlineStr">
        <is>
          <t>Segment 3</t>
        </is>
      </c>
      <c r="B5">
        <f>'KPREM source'!B14</f>
        <v/>
      </c>
      <c r="C5">
        <f>B5+Parameters!$B$4</f>
        <v/>
      </c>
      <c r="D5">
        <f>(1-(1+C5)^-Parameters!$B$3)/C5</f>
        <v/>
      </c>
      <c r="E5">
        <f>'KPREM source'!A14</f>
        <v/>
      </c>
      <c r="F5">
        <f>E5*D5</f>
        <v/>
      </c>
    </row>
    <row r="6">
      <c r="A6" t="inlineStr">
        <is>
          <t>Segment 4</t>
        </is>
      </c>
      <c r="B6">
        <f>'KPREM source'!B15</f>
        <v/>
      </c>
      <c r="C6">
        <f>B6+Parameters!$B$4</f>
        <v/>
      </c>
      <c r="D6">
        <f>(1-(1+C6)^-Parameters!$B$3)/C6</f>
        <v/>
      </c>
      <c r="E6">
        <f>'KPREM source'!A15</f>
        <v/>
      </c>
      <c r="F6">
        <f>E6*D6</f>
        <v/>
      </c>
    </row>
    <row r="7">
      <c r="A7" t="inlineStr">
        <is>
          <t>Segment 5</t>
        </is>
      </c>
      <c r="B7">
        <f>'KPREM source'!B16</f>
        <v/>
      </c>
      <c r="C7">
        <f>B7+Parameters!$B$4</f>
        <v/>
      </c>
      <c r="D7">
        <f>(1-(1+C7)^-Parameters!$B$3)/C7</f>
        <v/>
      </c>
      <c r="E7">
        <f>'KPREM source'!A16</f>
        <v/>
      </c>
      <c r="F7">
        <f>E7*D7</f>
        <v/>
      </c>
    </row>
    <row r="8">
      <c r="A8" t="inlineStr">
        <is>
          <t>Segment 6</t>
        </is>
      </c>
      <c r="B8">
        <f>'KPREM source'!B17</f>
        <v/>
      </c>
      <c r="C8">
        <f>B8+Parameters!$B$4</f>
        <v/>
      </c>
      <c r="D8">
        <f>(1-(1+C8)^-Parameters!$B$3)/C8</f>
        <v/>
      </c>
      <c r="E8">
        <f>'KPREM source'!A17</f>
        <v/>
      </c>
      <c r="F8">
        <f>E8*D8</f>
        <v/>
      </c>
    </row>
    <row r="9">
      <c r="A9" t="inlineStr">
        <is>
          <t>Segment 7</t>
        </is>
      </c>
      <c r="B9">
        <f>'KPREM source'!B18</f>
        <v/>
      </c>
      <c r="C9">
        <f>B9+Parameters!$B$4</f>
        <v/>
      </c>
      <c r="D9">
        <f>(1-(1+C9)^-Parameters!$B$3)/C9</f>
        <v/>
      </c>
      <c r="E9">
        <f>'KPREM source'!A18</f>
        <v/>
      </c>
      <c r="F9">
        <f>E9*D9</f>
        <v/>
      </c>
    </row>
    <row r="11">
      <c r="A11" s="2" t="inlineStr">
        <is>
          <t>Mean AF (weighted)</t>
        </is>
      </c>
      <c r="B11">
        <f>SUM(F3:F9)</f>
        <v/>
      </c>
    </row>
    <row r="12">
      <c r="A12" t="inlineStr">
        <is>
          <t>Implied KPREM single rate</t>
        </is>
      </c>
      <c r="B12">
        <f>RATE(Parameters!$B$3,-1,B11)</f>
        <v/>
      </c>
    </row>
    <row r="14">
      <c r="A14" s="2" t="inlineStr">
        <is>
          <t>Block B: AcceptFrac single-rate equivalent</t>
        </is>
      </c>
    </row>
    <row r="15">
      <c r="A15" s="2" t="inlineStr">
        <is>
          <t>Payback Year</t>
        </is>
      </c>
      <c r="B15" s="2" t="inlineStr">
        <is>
          <t>Density (smaller plants)</t>
        </is>
      </c>
      <c r="C15" s="2" t="inlineStr">
        <is>
          <t>Year x Density</t>
        </is>
      </c>
    </row>
    <row r="16">
      <c r="A16">
        <f>'AcceptFrac source'!A5</f>
        <v/>
      </c>
      <c r="B16">
        <f>'AcceptFrac source'!B5</f>
        <v/>
      </c>
      <c r="C16">
        <f>A16*B16</f>
        <v/>
      </c>
    </row>
    <row r="17">
      <c r="A17">
        <f>'AcceptFrac source'!A6</f>
        <v/>
      </c>
      <c r="B17">
        <f>'AcceptFrac source'!B6</f>
        <v/>
      </c>
      <c r="C17">
        <f>A17*B17</f>
        <v/>
      </c>
    </row>
    <row r="18">
      <c r="A18">
        <f>'AcceptFrac source'!A7</f>
        <v/>
      </c>
      <c r="B18">
        <f>'AcceptFrac source'!B7</f>
        <v/>
      </c>
      <c r="C18">
        <f>A18*B18</f>
        <v/>
      </c>
    </row>
    <row r="19">
      <c r="A19">
        <f>'AcceptFrac source'!A8</f>
        <v/>
      </c>
      <c r="B19">
        <f>'AcceptFrac source'!B8</f>
        <v/>
      </c>
      <c r="C19">
        <f>A19*B19</f>
        <v/>
      </c>
    </row>
    <row r="20">
      <c r="A20">
        <f>'AcceptFrac source'!A9</f>
        <v/>
      </c>
      <c r="B20">
        <f>'AcceptFrac source'!B9</f>
        <v/>
      </c>
      <c r="C20">
        <f>A20*B20</f>
        <v/>
      </c>
    </row>
    <row r="21">
      <c r="A21">
        <f>'AcceptFrac source'!A10</f>
        <v/>
      </c>
      <c r="B21">
        <f>'AcceptFrac source'!B10</f>
        <v/>
      </c>
      <c r="C21">
        <f>A21*B21</f>
        <v/>
      </c>
    </row>
    <row r="22">
      <c r="A22">
        <f>'AcceptFrac source'!A11</f>
        <v/>
      </c>
      <c r="B22">
        <f>'AcceptFrac source'!B11</f>
        <v/>
      </c>
      <c r="C22">
        <f>A22*B22</f>
        <v/>
      </c>
    </row>
    <row r="23">
      <c r="A23">
        <f>'AcceptFrac source'!A12</f>
        <v/>
      </c>
      <c r="B23">
        <f>'AcceptFrac source'!B12</f>
        <v/>
      </c>
      <c r="C23">
        <f>A23*B23</f>
        <v/>
      </c>
    </row>
    <row r="24">
      <c r="A24">
        <f>'AcceptFrac source'!A13</f>
        <v/>
      </c>
      <c r="B24">
        <f>'AcceptFrac source'!B13</f>
        <v/>
      </c>
      <c r="C24">
        <f>A24*B24</f>
        <v/>
      </c>
    </row>
    <row r="25">
      <c r="A25">
        <f>'AcceptFrac source'!A14</f>
        <v/>
      </c>
      <c r="B25">
        <f>'AcceptFrac source'!B14</f>
        <v/>
      </c>
      <c r="C25">
        <f>A25*B25</f>
        <v/>
      </c>
    </row>
    <row r="26">
      <c r="A26">
        <f>'AcceptFrac source'!A15</f>
        <v/>
      </c>
      <c r="B26">
        <f>'AcceptFrac source'!B15</f>
        <v/>
      </c>
      <c r="C26">
        <f>A26*B26</f>
        <v/>
      </c>
    </row>
    <row r="27">
      <c r="A27">
        <f>'AcceptFrac source'!A16</f>
        <v/>
      </c>
      <c r="B27">
        <f>'AcceptFrac source'!B16</f>
        <v/>
      </c>
      <c r="C27">
        <f>A27*B27</f>
        <v/>
      </c>
    </row>
    <row r="28">
      <c r="A28">
        <f>'AcceptFrac source'!A17</f>
        <v/>
      </c>
      <c r="B28">
        <f>'AcceptFrac source'!B17</f>
        <v/>
      </c>
      <c r="C28">
        <f>A28*B28</f>
        <v/>
      </c>
    </row>
    <row r="30">
      <c r="A30" s="2" t="inlineStr">
        <is>
          <t>Mean acceptable payback (years)</t>
        </is>
      </c>
      <c r="B30">
        <f>SUM(C16:C28)</f>
        <v/>
      </c>
    </row>
    <row r="31">
      <c r="A31" t="inlineStr">
        <is>
          <t>Implied AcceptFrac single rate</t>
        </is>
      </c>
      <c r="B31">
        <f>RATE(Parameters!$B$3,-1,B30)</f>
        <v/>
      </c>
    </row>
    <row r="33">
      <c r="A33" s="2" t="inlineStr">
        <is>
          <t>Block C: Evidence summary (literature figures; secondhand values flagged)</t>
        </is>
      </c>
    </row>
    <row r="34">
      <c r="A34" t="inlineStr">
        <is>
          <t>AcceptFrac equivalent (NEMS industrial CHP payback curve)</t>
        </is>
      </c>
      <c r="B34">
        <f>B31</f>
        <v/>
      </c>
      <c r="C34" t="inlineStr">
        <is>
          <t>NEMS Industrial Demand Module indcogenx.xlsx</t>
        </is>
      </c>
    </row>
    <row r="35">
      <c r="A35" t="inlineStr">
        <is>
          <t>Warfel (1998) corporate cost-of-capital baseline</t>
        </is>
      </c>
      <c r="B35" t="inlineStr">
        <is>
          <t>0.22-0.28 (text range; literature figure)</t>
        </is>
      </c>
      <c r="C35" t="inlineStr">
        <is>
          <t>ACEEE Summer Study on Energy Efficiency in Industry 1998</t>
        </is>
      </c>
    </row>
    <row r="36">
      <c r="A36" t="inlineStr">
        <is>
          <t>NEMS Residential Demand Module (RDM) new-construction heating choice</t>
        </is>
      </c>
      <c r="B36" t="n">
        <v>0.2</v>
      </c>
      <c r="C36" t="inlineStr">
        <is>
          <t>EIA RDM documentation; July 2026</t>
        </is>
      </c>
    </row>
    <row r="37">
      <c r="A37" t="inlineStr">
        <is>
          <t>EU-TIMES / PRIMES industrial discount rate</t>
        </is>
      </c>
      <c r="B37" t="inlineStr">
        <is>
          <t>0.12-0.14 (UNVERIFIED)</t>
        </is>
      </c>
      <c r="C37" t="inlineStr">
        <is>
          <t>JRC-EU-TIMES and PRIMES sectoral assumptions; Enepol 2016</t>
        </is>
      </c>
    </row>
    <row r="38">
      <c r="A38" t="inlineStr">
        <is>
          <t>KPREM commercial time-preference equivalent (upper bound; split-incentive inflated)</t>
        </is>
      </c>
      <c r="B38">
        <f>B12</f>
        <v/>
      </c>
      <c r="C38" t="inlineStr">
        <is>
          <t>EIA NEMS Commercial Demand Module KPREM</t>
        </is>
      </c>
    </row>
    <row r="39">
      <c r="A39" t="inlineStr">
        <is>
          <t>IAC retrofit-adoption implied rates (Anderson &amp; Newell; Qiu Wang Wang)</t>
        </is>
      </c>
      <c r="B39" t="inlineStr">
        <is>
          <t>0.40-1.00 (retrofit family - parameterizes PAC; not this input)</t>
        </is>
      </c>
      <c r="C39" t="inlineStr">
        <is>
          <t>Anderson &amp; Newell 2004; Qiu Wang Wang 2015</t>
        </is>
      </c>
    </row>
    <row r="41">
      <c r="A41" s="2" t="inlineStr">
        <is>
          <t>Block D: Derivation of exported value</t>
        </is>
      </c>
    </row>
    <row r="42">
      <c r="A42" t="inlineStr">
        <is>
          <t>Mean WACC across 25 modeled industries</t>
        </is>
      </c>
      <c r="B42">
        <f>AVERAGE('BCoISC source'!B2:B26)</f>
        <v/>
      </c>
    </row>
    <row r="43">
      <c r="A43" t="inlineStr">
        <is>
          <t>Target total decision hurdle rate (Parameters)</t>
        </is>
      </c>
      <c r="B43">
        <f>Parameters!$B$2</f>
        <v/>
      </c>
    </row>
    <row r="44">
      <c r="A44" s="2" t="inlineStr">
        <is>
          <t>Exported premium (Target - Mean WACC)</t>
        </is>
      </c>
      <c r="B44">
        <f>MAX(0,B43-B42)</f>
        <v/>
      </c>
    </row>
    <row r="46">
      <c r="A46" s="2" t="inlineStr">
        <is>
          <t>Sensitivity ladder</t>
        </is>
      </c>
    </row>
    <row r="47">
      <c r="A47" s="2" t="inlineStr">
        <is>
          <t>Total hurdle rate</t>
        </is>
      </c>
      <c r="B47" s="2" t="inlineStr">
        <is>
          <t>Premium</t>
        </is>
      </c>
    </row>
    <row r="48">
      <c r="A48" t="n">
        <v>0.04</v>
      </c>
      <c r="B48">
        <f>MAX(0,A48-B42)</f>
        <v/>
      </c>
    </row>
    <row r="49">
      <c r="A49" t="n">
        <v>0.2</v>
      </c>
      <c r="B49">
        <f>MAX(0,A49-B42)</f>
        <v/>
      </c>
    </row>
    <row r="50">
      <c r="A50" t="n">
        <v>0.35</v>
      </c>
      <c r="B50">
        <f>MAX(0,A50-B42)</f>
        <v/>
      </c>
    </row>
    <row r="51">
      <c r="A51" t="n">
        <v>0.5</v>
      </c>
      <c r="B51">
        <f>MAX(0,A51-B42)</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58" customWidth="1" min="1" max="1"/>
    <col width="20" customWidth="1" min="2" max="2"/>
    <col width="10" customWidth="1" min="3" max="3"/>
  </cols>
  <sheetData>
    <row r="1">
      <c r="A1" s="2" t="inlineStr">
        <is>
          <t>Check</t>
        </is>
      </c>
      <c r="B1" s="2" t="inlineStr">
        <is>
          <t>Value</t>
        </is>
      </c>
      <c r="C1" s="2" t="inlineStr">
        <is>
          <t>Result</t>
        </is>
      </c>
    </row>
    <row r="2">
      <c r="A2" t="inlineStr">
        <is>
          <t>KPREM weights sum to 1 (within 0.005)</t>
        </is>
      </c>
      <c r="B2">
        <f>SUM('KPREM source'!A12:A18)</f>
        <v/>
      </c>
      <c r="C2">
        <f>IF(ABS(B2-1)&lt;=0.005,"PASS","FAIL")</f>
        <v/>
      </c>
    </row>
    <row r="3">
      <c r="A3" t="inlineStr">
        <is>
          <t>AcceptFrac density sums to 1 (within 0.001)</t>
        </is>
      </c>
      <c r="B3">
        <f>SUM('AcceptFrac source'!B5:B17)</f>
        <v/>
      </c>
      <c r="C3">
        <f>IF(ABS(B3-1)&lt;=0.001,"PASS","FAIL")</f>
        <v/>
      </c>
    </row>
    <row r="4">
      <c r="A4" t="inlineStr">
        <is>
          <t>Exported premium between 0 and 1</t>
        </is>
      </c>
      <c r="B4">
        <f>Calculation!B44</f>
        <v/>
      </c>
      <c r="C4">
        <f>IF(AND(B4&gt;=0,B4&lt;=1),"PASS","FAIL")</f>
        <v/>
      </c>
    </row>
    <row r="5">
      <c r="A5" t="inlineStr">
        <is>
          <t>Premium + mean WACC equals Parameters target (within 1e-9)</t>
        </is>
      </c>
      <c r="B5">
        <f>Calculation!B44+Calculation!B42-Calculation!B43</f>
        <v/>
      </c>
      <c r="C5">
        <f>IF(ABS(B5)&lt;=0.000000001,"PASS","FAIL")</f>
        <v/>
      </c>
    </row>
  </sheetData>
  <pageMargins left="0.75" right="0.75" top="1" bottom="1" header="0.5" footer="0.5"/>
</worksheet>
</file>

<file path=xl/worksheets/sheet8.xml><?xml version="1.0" encoding="utf-8"?>
<worksheet xmlns="http://schemas.openxmlformats.org/spreadsheetml/2006/main">
  <sheetPr>
    <tabColor rgb="001F3864"/>
    <outlinePr summaryBelow="1" summaryRight="1"/>
    <pageSetUpPr/>
  </sheetPr>
  <dimension ref="A1:B2"/>
  <sheetViews>
    <sheetView workbookViewId="0">
      <selection activeCell="A1" sqref="A1"/>
    </sheetView>
  </sheetViews>
  <sheetFormatPr baseColWidth="8" defaultRowHeight="15"/>
  <cols>
    <col width="40" customWidth="1" min="1" max="1"/>
    <col width="20" customWidth="1" min="2" max="2"/>
  </cols>
  <sheetData>
    <row r="1">
      <c r="A1" t="inlineStr">
        <is>
          <t>Unit: fraction (real; added to BCoISC WACC)</t>
        </is>
      </c>
      <c r="B1" t="inlineStr">
        <is>
          <t>Hurdle Rate Premium</t>
        </is>
      </c>
    </row>
    <row r="2">
      <c r="A2" t="inlineStr">
        <is>
          <t>Industrial Equipment Purchases</t>
        </is>
      </c>
      <c r="B2">
        <f>ROUND(Calculation!B44,4)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2026-08-10T17:41:39Z</dcterms:created>
  <dcterms:modified xsi:type="dcterms:W3CDTF">2026-08-10T17:41:39Z</dcterms:modified>
</cp:coreProperties>
</file>