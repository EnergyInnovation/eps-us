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anOBrien\Models\EPS\US\eps-us\InputData\indst\HRPfIEP\"/>
    </mc:Choice>
  </mc:AlternateContent>
  <xr:revisionPtr revIDLastSave="0" documentId="13_ncr:1_{DB802379-2974-4EB0-9E54-EA88FFD1D7C3}" xr6:coauthVersionLast="47" xr6:coauthVersionMax="47" xr10:uidLastSave="{00000000-0000-0000-0000-000000000000}"/>
  <bookViews>
    <workbookView xWindow="-120" yWindow="-120" windowWidth="29040" windowHeight="17520" xr2:uid="{00000000-000D-0000-FFFF-FFFF00000000}"/>
  </bookViews>
  <sheets>
    <sheet name="About" sheetId="1" r:id="rId1"/>
    <sheet name="Parameters" sheetId="2" r:id="rId2"/>
    <sheet name="KPREM source" sheetId="3" r:id="rId3"/>
    <sheet name="AcceptFrac source" sheetId="4" r:id="rId4"/>
    <sheet name="BCoISC source" sheetId="5" r:id="rId5"/>
    <sheet name="Calculation" sheetId="6" r:id="rId6"/>
    <sheet name="Checks" sheetId="7" r:id="rId7"/>
    <sheet name="HRPfIEP"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7" l="1"/>
  <c r="C3" i="7" s="1"/>
  <c r="B2" i="7"/>
  <c r="C2" i="7" s="1"/>
  <c r="B43" i="6"/>
  <c r="B42" i="6"/>
  <c r="B51" i="6" s="1"/>
  <c r="B28" i="6"/>
  <c r="A28" i="6"/>
  <c r="B27" i="6"/>
  <c r="A27" i="6"/>
  <c r="C27" i="6" s="1"/>
  <c r="B26" i="6"/>
  <c r="A26" i="6"/>
  <c r="C26" i="6" s="1"/>
  <c r="B25" i="6"/>
  <c r="A25" i="6"/>
  <c r="C25" i="6" s="1"/>
  <c r="B24" i="6"/>
  <c r="A24" i="6"/>
  <c r="C24" i="6" s="1"/>
  <c r="B23" i="6"/>
  <c r="A23" i="6"/>
  <c r="C23" i="6" s="1"/>
  <c r="B22" i="6"/>
  <c r="A22" i="6"/>
  <c r="C22" i="6" s="1"/>
  <c r="B21" i="6"/>
  <c r="A21" i="6"/>
  <c r="C21" i="6" s="1"/>
  <c r="B20" i="6"/>
  <c r="A20" i="6"/>
  <c r="C20" i="6" s="1"/>
  <c r="B19" i="6"/>
  <c r="A19" i="6"/>
  <c r="C19" i="6" s="1"/>
  <c r="B18" i="6"/>
  <c r="A18" i="6"/>
  <c r="B17" i="6"/>
  <c r="A17" i="6"/>
  <c r="C17" i="6" s="1"/>
  <c r="B16" i="6"/>
  <c r="A16" i="6"/>
  <c r="C16" i="6" s="1"/>
  <c r="E9" i="6"/>
  <c r="B9" i="6"/>
  <c r="C9" i="6" s="1"/>
  <c r="D9" i="6" s="1"/>
  <c r="E8" i="6"/>
  <c r="B8" i="6"/>
  <c r="C8" i="6" s="1"/>
  <c r="D8" i="6" s="1"/>
  <c r="E7" i="6"/>
  <c r="B7" i="6"/>
  <c r="C7" i="6" s="1"/>
  <c r="D7" i="6" s="1"/>
  <c r="E6" i="6"/>
  <c r="B6" i="6"/>
  <c r="C6" i="6" s="1"/>
  <c r="D6" i="6" s="1"/>
  <c r="E5" i="6"/>
  <c r="B5" i="6"/>
  <c r="C5" i="6" s="1"/>
  <c r="D5" i="6" s="1"/>
  <c r="E4" i="6"/>
  <c r="B4" i="6"/>
  <c r="C4" i="6" s="1"/>
  <c r="D4" i="6" s="1"/>
  <c r="E3" i="6"/>
  <c r="B3" i="6"/>
  <c r="C3" i="6" s="1"/>
  <c r="D3" i="6" s="1"/>
  <c r="C19" i="4"/>
  <c r="B19" i="4"/>
  <c r="C28" i="6" l="1"/>
  <c r="C18" i="6"/>
  <c r="B44" i="6"/>
  <c r="B2" i="8" s="1"/>
  <c r="F6" i="6"/>
  <c r="F4" i="6"/>
  <c r="F3" i="6"/>
  <c r="F7" i="6"/>
  <c r="F5" i="6"/>
  <c r="F8" i="6"/>
  <c r="F9" i="6"/>
  <c r="B30" i="6"/>
  <c r="B31" i="6" s="1"/>
  <c r="B34" i="6" s="1"/>
  <c r="B49" i="6"/>
  <c r="B48" i="6"/>
  <c r="B50" i="6"/>
  <c r="B4" i="7" l="1"/>
  <c r="C4" i="7" s="1"/>
  <c r="B5" i="7"/>
  <c r="C5" i="7" s="1"/>
  <c r="B11" i="6"/>
  <c r="B12" i="6" s="1"/>
  <c r="B38" i="6" s="1"/>
</calcChain>
</file>

<file path=xl/sharedStrings.xml><?xml version="1.0" encoding="utf-8"?>
<sst xmlns="http://schemas.openxmlformats.org/spreadsheetml/2006/main" count="176" uniqueCount="170">
  <si>
    <t>HRPfIEP Hurdle Rate Premium for Industrial Equipment Purchases</t>
  </si>
  <si>
    <t>Sources:</t>
  </si>
  <si>
    <t>Commercial time-preference premium distribution (KPREM)</t>
  </si>
  <si>
    <t>U.S. Energy Information Administration</t>
  </si>
  <si>
    <t>NEMS Commercial Demand Module input file KPREM (contact listed in-file: Meera Fickling; EIA; file dated Sept 19; 2019)</t>
  </si>
  <si>
    <t>https://www.eia.gov/outlooks/aeo/nems/documentation/commercial/pdf/CDM_AEO2025.pdf</t>
  </si>
  <si>
    <t>Premiums added to the 10-yr Treasury rate; 7 segments {1000%; 100%; 45%; 25%; 15%; 6.5%; 0%}. Steady-state (2016+) space-heating weights pasted in the KPREM source tab. Population-mean 10-yr annuity factor = 1.78 yr = single-rate equivalent of approx. 55%. Commercial operators face landlord-tenant split incentives; treated as an upper bound for industrial purchase decisions.</t>
  </si>
  <si>
    <t>Industrial payback acceptance curve (AcceptFrac; CHP adoption)</t>
  </si>
  <si>
    <t>NEMS Industrial Demand Module input workbook indcogenx.xlsx (in-file provenance: EIA internal payback acceptance.xlsx; AEO2018 vintage)</t>
  </si>
  <si>
    <t>https://github.com/EIAgov/NEMS</t>
  </si>
  <si>
    <t>Fraction of industrial market accepting a project with simple payback of N years; identical for smaller and large plants. Mean acceptable payback approx. 4.7 yr = single-rate equivalent approx. 17% on a 10-yr life. Adopt-vs-defer decision type; no published derivation of the underlying numbers.</t>
  </si>
  <si>
    <t>Empirical implicit discount rates; industrial retrofit adoption</t>
  </si>
  <si>
    <t>Anderson &amp; Newell</t>
  </si>
  <si>
    <t>Information programs for technology adoption: the case of energy-efficiency audits; Resource and Energy Economics 26(1):27-50</t>
  </si>
  <si>
    <t>https://doi.org/10.1016/j.reseneeco.2003.07.001</t>
  </si>
  <si>
    <t>DOE IAC audit data; ~9;000 small/medium manufacturing plants 1981-2000. Median payback threshold approx. 15 months; implied hurdle rates 50-100% (real; PPI-deflated) at 10-yr project life. Deferrable-retrofit decision type; this evidence family anchors the separate PAC Payback Acceptance Curve input; not this parameter.</t>
  </si>
  <si>
    <t>Empirical implicit discount rates; industrial retrofit adoption (updated sample)</t>
  </si>
  <si>
    <t>Qiu; Wang &amp; Wang</t>
  </si>
  <si>
    <t>Implied discount rate and payback threshold of energy efficiency investment in the industrial sector; Applied Economics 47(21):2218-2233</t>
  </si>
  <si>
    <t>https://doi.org/10.1080/00036846.2015.1005829</t>
  </si>
  <si>
    <t>IAC database 2002-2011; &gt;30;000 recommendations. Implied discount rates 40-45%; average payback threshold approx. 9 months.</t>
  </si>
  <si>
    <t>Industrial hurdle-rate quantification with process/non-process split</t>
  </si>
  <si>
    <t>Warfel</t>
  </si>
  <si>
    <t>Quantifying the Hurdle Rates United States Industry Places on Energy Efficiency Opportunities; ACEEE Summer Study on Energy Efficiency in Industry</t>
  </si>
  <si>
    <t>https://www.aceee.org/proceedings</t>
  </si>
  <si>
    <t>Corporate cost-of-capital baseline cited at 22-28%; energy-project investment tails off at approx. 2-yr payback. Process-affecting measures held to stricter thresholds than building-and-grounds measures.</t>
  </si>
  <si>
    <t>Model practice; industrial technology-choice discount rates</t>
  </si>
  <si>
    <t>European Commission JRC / E3Modelling</t>
  </si>
  <si>
    <t>JRC-EU-TIMES and PRIMES sectoral discount-rate assumptions (12% energy-intensive industry; 14% other industry)</t>
  </si>
  <si>
    <t>https://doi.org/10.1016/j.enpol.2016.10.019</t>
  </si>
  <si>
    <t>UNVERIFIED against primary text (access blocked at time of compilation); verify before external citation. NEMS Residential Demand Module uses 20% for new-construction heating-system choice (RDM documentation; July 2026).</t>
  </si>
  <si>
    <t>Internal evidence digest and derivation record</t>
  </si>
  <si>
    <t>Energy Innovation (internal)</t>
  </si>
  <si>
    <t>Industry_HurdleRate_Premium_Research.md (EPS US repo root)</t>
  </si>
  <si>
    <t>https://github.com/EnergyInnovation/eps-us</t>
  </si>
  <si>
    <t>Full literature digest; triangulation math; and the option ladder considered (WACC-only / 20% / 35% / 50%). All figures herein are inputs for staff review; verify flagged secondhand values against primary sources before external use.</t>
  </si>
  <si>
    <t>Notes:</t>
  </si>
  <si>
    <t>What this is</t>
  </si>
  <si>
    <t>A single dimensionless real premium added to BCoISC (industry WACC) to form the decision discount rate used ONLY in the present-value terms of the industrial equipment fuel-choice logit (future fuel costs; fuel taxes; carbon taxes; clean-heat subsidy). It represents observed behavioral undervaluation of future energy savings (the energy-efficiency gap). Actual financing cash flows in the model continue to use BCoISC unchanged.</t>
  </si>
  <si>
    <t>Why not applied to capital</t>
  </si>
  <si>
    <t>Capital cost enters the choice at approximately sticker price (capital recovery factor times annuity factor at the same rate and period is approximately 1). Applying the premium to the capital annuity as well would rescale all fuels nearly equally and cancel out of the relative-cost logit; the behavioral content of a hurdle rate is the asymmetry between fully-felt upfront cost and heavily discounted future savings.</t>
  </si>
  <si>
    <t>Derivation</t>
  </si>
  <si>
    <t>Target total decision hurdle rate (Parameters tab; central 20% real) minus the simple mean of BCoISC WACC across the 25 modeled industries (source tab). 20% is anchored on the industrial-specific evidence cluster: NEMS industrial AcceptFrac approx. 17% equivalent; Warfel corporate baseline 22-28%; NEMS RDM 20%; EU-TIMES industry 12-14% (unverified). The commercial KPREM distribution (approx. 55% equivalent) is treated as a split-incentive-inflated upper bound; the IAC retrofit literature (40-100%) parameterizes the separate PAC curve; not this input.</t>
  </si>
  <si>
    <t>Sensitivity ladder</t>
  </si>
  <si>
    <t>Values corresponding to total hurdle rates of 4% (WACC-only; premium 0); 20% (central); 35%; and 50% are computed on the Calculation tab for scenario testing. Changing the target cell on the Parameters tab moves the exported value.</t>
  </si>
  <si>
    <t>Verification status</t>
  </si>
  <si>
    <t>EU-TIMES 12/14% and some literature figures are secondhand (flagged in the digest); verify against primary sources before use in any published work product.</t>
  </si>
  <si>
    <t>Parameter</t>
  </si>
  <si>
    <t>Value</t>
  </si>
  <si>
    <t>Target total decision hurdle rate (real)</t>
  </si>
  <si>
    <t>Equipment lifetime for annuity math (years)</t>
  </si>
  <si>
    <t>Reference risk-free rate for NEMS segment math (nominal; approx. 10-yr Treasury)</t>
  </si>
  <si>
    <t>FILE NAME:</t>
  </si>
  <si>
    <t>KPREM</t>
  </si>
  <si>
    <t>DATE MODIFIED:</t>
  </si>
  <si>
    <t>September 19, 2019</t>
  </si>
  <si>
    <t>2010-2011 Fed; State; local govt. flsp; new+replace demand at T-bill to reflect ARRA funding; just new for 2012; 2013 except for lighting</t>
  </si>
  <si>
    <t>CONTACT:</t>
  </si>
  <si>
    <t>Meera Fickling; NEMS Buildings Analyst; Meera.fickling@eia.gov; (202)586-0765</t>
  </si>
  <si>
    <t>USED BY:</t>
  </si>
  <si>
    <t>Technology Choice subroutine of the National Energy Modeling System (NEMS) Commercial Demand Module (CDM)</t>
  </si>
  <si>
    <t>DEFINITION:</t>
  </si>
  <si>
    <t>Consumer time preference category proportions and premiums for each year from 1990 through 2050 inclusive. Represents the distribution of consumers and their associated time preference premia to be added to the risk-free interest rate to obtain the consumer discount rate for each segment.</t>
  </si>
  <si>
    <t>UNITS:</t>
  </si>
  <si>
    <t>unitless</t>
  </si>
  <si>
    <t>DIMENSION:</t>
  </si>
  <si>
    <t>End-use service; year</t>
  </si>
  <si>
    <t>Excerpt: 2016+ steady-state Space Heating block; the full file repeats near-identical blocks by end use and year through 2050.</t>
  </si>
  <si>
    <t>Proportion (P_p)</t>
  </si>
  <si>
    <t>Premium</t>
  </si>
  <si>
    <t>Excerpt: NEMS Industrial Demand Module CHP input workbook indcogenx.xlsx; sheet 'icogen'; rows 161-196; columns A-C; pasted verbatim.</t>
  </si>
  <si>
    <t>Market Penetration Assumptions</t>
  </si>
  <si>
    <t>Industrial</t>
  </si>
  <si>
    <t>IPP Version</t>
  </si>
  <si>
    <t>source:</t>
  </si>
  <si>
    <t>L:\mid\Industrial_Team\US\AEO\AEO2018\CHP\indcogen\payback acceptance.xlsx</t>
  </si>
  <si>
    <t xml:space="preserve">      Payback Acceptance Fraction</t>
  </si>
  <si>
    <t>(smaller plants)</t>
  </si>
  <si>
    <t>(large plants)</t>
  </si>
  <si>
    <t>Payback Years</t>
  </si>
  <si>
    <t>Fraction with a given payback need</t>
  </si>
  <si>
    <t>leave blank==&gt;</t>
  </si>
  <si>
    <t>Check:  Should add to 100% ==&gt;</t>
  </si>
  <si>
    <t>Fraction with this payback or longer</t>
  </si>
  <si>
    <t>Unit: dimensionless (% of project cost)</t>
  </si>
  <si>
    <t>Weighted Average Cost of Capital</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</si>
  <si>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</si>
  <si>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</si>
  <si>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</si>
  <si>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</si>
  <si>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</si>
  <si>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</si>
  <si>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</si>
  <si>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</si>
  <si>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</si>
  <si>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</si>
  <si>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</si>
  <si>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</si>
  <si>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</si>
  <si>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</si>
  <si>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</si>
  <si>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</si>
  <si>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</si>
  <si>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</si>
  <si>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</si>
  <si>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</si>
  <si>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</si>
  <si>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</si>
  <si>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</si>
  <si>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</si>
  <si>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</si>
  <si>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Block A: KPREM single-rate equivalent</t>
  </si>
  <si>
    <t>Segment</t>
  </si>
  <si>
    <t>Segment Rate</t>
  </si>
  <si>
    <t>Annuity Factor</t>
  </si>
  <si>
    <t>Weight</t>
  </si>
  <si>
    <t>Weighted AF</t>
  </si>
  <si>
    <t>Segment 1</t>
  </si>
  <si>
    <t>Segment 2</t>
  </si>
  <si>
    <t>Segment 3</t>
  </si>
  <si>
    <t>Segment 4</t>
  </si>
  <si>
    <t>Segment 5</t>
  </si>
  <si>
    <t>Segment 6</t>
  </si>
  <si>
    <t>Segment 7</t>
  </si>
  <si>
    <t>Mean AF (weighted)</t>
  </si>
  <si>
    <t>Implied KPREM single rate</t>
  </si>
  <si>
    <t>Block B: AcceptFrac single-rate equivalent</t>
  </si>
  <si>
    <t>Payback Year</t>
  </si>
  <si>
    <t>Density (smaller plants)</t>
  </si>
  <si>
    <t>Year x Density</t>
  </si>
  <si>
    <t>Mean acceptable payback (years)</t>
  </si>
  <si>
    <t>Implied AcceptFrac single rate</t>
  </si>
  <si>
    <t>Block C: Evidence summary (literature figures; secondhand values flagged)</t>
  </si>
  <si>
    <t>AcceptFrac equivalent (NEMS industrial CHP payback curve)</t>
  </si>
  <si>
    <t>NEMS Industrial Demand Module indcogenx.xlsx</t>
  </si>
  <si>
    <t>Warfel (1998) corporate cost-of-capital baseline</t>
  </si>
  <si>
    <t>0.22-0.28 (text range; literature figure)</t>
  </si>
  <si>
    <t>ACEEE Summer Study on Energy Efficiency in Industry 1998</t>
  </si>
  <si>
    <t>NEMS Residential Demand Module (RDM) new-construction heating choice</t>
  </si>
  <si>
    <t>EIA RDM documentation; July 2026</t>
  </si>
  <si>
    <t>EU-TIMES / PRIMES industrial discount rate</t>
  </si>
  <si>
    <t>0.12-0.14 (UNVERIFIED)</t>
  </si>
  <si>
    <t>JRC-EU-TIMES and PRIMES sectoral assumptions; Enepol 2016</t>
  </si>
  <si>
    <t>KPREM commercial time-preference equivalent (upper bound; split-incentive inflated)</t>
  </si>
  <si>
    <t>EIA NEMS Commercial Demand Module KPREM</t>
  </si>
  <si>
    <t>IAC retrofit-adoption implied rates (Anderson &amp; Newell; Qiu Wang Wang)</t>
  </si>
  <si>
    <t>0.40-1.00 (retrofit family - parameterizes PAC; not this input)</t>
  </si>
  <si>
    <t>Anderson &amp; Newell 2004; Qiu Wang Wang 2015</t>
  </si>
  <si>
    <t>Block D: Derivation of exported value</t>
  </si>
  <si>
    <t>Mean WACC across 25 modeled industries</t>
  </si>
  <si>
    <t>Target total decision hurdle rate (Parameters)</t>
  </si>
  <si>
    <t>Exported premium (Target - Mean WACC)</t>
  </si>
  <si>
    <t>Total hurdle rate</t>
  </si>
  <si>
    <t>Check</t>
  </si>
  <si>
    <t>Result</t>
  </si>
  <si>
    <t>KPREM weights sum to 1 (within 0.005)</t>
  </si>
  <si>
    <t>AcceptFrac density sums to 1 (within 0.001)</t>
  </si>
  <si>
    <t>Exported premium between 0 and 1</t>
  </si>
  <si>
    <t>Premium + mean WACC equals Parameters target (within 1e-9)</t>
  </si>
  <si>
    <t>Unit: fraction (real; added to BCoISC WACC)</t>
  </si>
  <si>
    <t>Hurdle Rate Premium</t>
  </si>
  <si>
    <t>Industrial Equipment Purchases</t>
  </si>
  <si>
    <t>Pasted from BCoISC-WACCbI.csv. NOTE: as of 2026-08-13 these are PRETAX WACC values built on the</t>
  </si>
  <si>
    <t>"Pretax WACC Build" tab of BAU Cost of Industry Sector Capital.xlsx (multi-vintage mean beta, current-vintage</t>
  </si>
  <si>
    <t>macro and leverage). Previously they were Damodaran after-tax WACC (single Jan-2026 vintage), mean 0.04483.</t>
  </si>
  <si>
    <t>Re-paste and recalculate whenever BCoISC-WACCbI.csv changes, or the 20% hurdle-rate target silently drifts.</t>
  </si>
  <si>
    <t>2026-08-13 update</t>
  </si>
  <si>
    <t>BCoISC WACC was rebuilt on a PRETAX basis with multi-vintage mean betas (see BAU Cost of Industry Sector Capital.xlsx, "Pretax WACC Build" tab).</t>
  </si>
  <si>
    <t>The decision discount rate (WACC + premium) is therefore unchanged on average; the pretax correction lands on the capital recovery factor, which does not carry the premium.</t>
  </si>
  <si>
    <t>Mean WACC across the 25 modeled industries moved 0.04483 -&gt; 0.05245, so this premium moved 0.1552 -&gt; 0.1475 to hold the 20% target hurdle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</si>
</sst>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ont>
    <font>
      <b/>
      <sz val="11"/>
      <name val="Calibri"/>
    </font>
    <font>
      <u/>
      <sz val="11"/>
      <color rgb="FF0563C1"/>
      <name val="Calibri"/>
    </font>
    <font>
      <b/>
      <i/>
      <sz val="11"/>
      <name val="Calibri"/>
    </font>
    <font>
      <b/>
      <sz val="11"/>
      <color theme="1"/>
      <name val="Calibri"/>
      <family val="2"/>
      <scheme val="minor"/>
    </font>
  </fonts>
  <fills count="3">
    <fill>
      <patternFill patternType="none"/>
    </fill>
    <fill>
      <patternFill patternType="gray125"/>
    </fill>
    <fill>
      <patternFill patternType="solid">
        <fgColor rgb="FFD9D9D9"/>
        <bgColor rgb="FFD9D9D9"/>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2" fillId="0" borderId="0" xfId="0" applyFont="1"/>
    <xf numFmtId="0" fontId="2" fillId="2" borderId="0" xfId="0" applyFont="1" applyFill="1" applyAlignment="1">
      <alignment horizontal="left" vertical="top" wrapText="1"/>
    </xf>
    <xf numFmtId="0" fontId="0" fillId="0" borderId="0" xfId="0" applyAlignment="1">
      <alignment horizontal="left" vertical="top" wrapText="1"/>
    </xf>
    <xf numFmtId="0" fontId="3" fillId="0" borderId="0" xfId="0" applyFont="1" applyAlignment="1">
      <alignment horizontal="left" vertical="top" wrapText="1"/>
    </xf>
    <xf numFmtId="0" fontId="4" fillId="0" borderId="0" xfId="0" applyFont="1"/>
    <xf numFmtId="0" fontId="5"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oi.org/10.1016/j.reseneeco.2003.07.001" TargetMode="External"/><Relationship Id="rId7" Type="http://schemas.openxmlformats.org/officeDocument/2006/relationships/hyperlink" Target="https://github.com/EnergyInnovation/eps-us" TargetMode="External"/><Relationship Id="rId2" Type="http://schemas.openxmlformats.org/officeDocument/2006/relationships/hyperlink" Target="https://github.com/EIAgov/NEMS" TargetMode="External"/><Relationship Id="rId1" Type="http://schemas.openxmlformats.org/officeDocument/2006/relationships/hyperlink" Target="https://www.eia.gov/outlooks/aeo/nems/documentation/commercial/pdf/CDM_AEO2025.pdf" TargetMode="External"/><Relationship Id="rId6" Type="http://schemas.openxmlformats.org/officeDocument/2006/relationships/hyperlink" Target="https://doi.org/10.1016/j.enpol.2016.10.019" TargetMode="External"/><Relationship Id="rId5" Type="http://schemas.openxmlformats.org/officeDocument/2006/relationships/hyperlink" Target="https://www.aceee.org/proceedings" TargetMode="External"/><Relationship Id="rId4" Type="http://schemas.openxmlformats.org/officeDocument/2006/relationships/hyperlink" Target="https://doi.org/10.1080/00036846.2015.100582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63"/>
  <sheetViews>
    <sheetView tabSelected="1" workbookViewId="0"/>
  </sheetViews>
  <sheetFormatPr defaultRowHeight="15" x14ac:dyDescent="0.25"/>
  <cols>
    <col min="1" max="1" width="14" customWidth="1"/>
    <col min="2" max="2" width="110" customWidth="1"/>
  </cols>
  <sheetData>
    <row r="1" spans="1:2" x14ac:dyDescent="0.25">
      <c r="A1" s="1" t="s">
        <v>0</v>
      </c>
    </row>
    <row r="3" spans="1:2" x14ac:dyDescent="0.25">
      <c r="A3" s="2" t="s">
        <v>1</v>
      </c>
      <c r="B3" s="3" t="s">
        <v>2</v>
      </c>
    </row>
    <row r="4" spans="1:2" x14ac:dyDescent="0.25">
      <c r="B4" s="4" t="s">
        <v>3</v>
      </c>
    </row>
    <row r="5" spans="1:2" x14ac:dyDescent="0.25">
      <c r="B5" s="4" t="s">
        <v>4</v>
      </c>
    </row>
    <row r="6" spans="1:2" x14ac:dyDescent="0.25">
      <c r="B6">
        <v>2019</v>
      </c>
    </row>
    <row r="7" spans="1:2" x14ac:dyDescent="0.25">
      <c r="B7" s="5" t="s">
        <v>5</v>
      </c>
    </row>
    <row r="8" spans="1:2" ht="60" x14ac:dyDescent="0.25">
      <c r="B8" s="4" t="s">
        <v>6</v>
      </c>
    </row>
    <row r="10" spans="1:2" x14ac:dyDescent="0.25">
      <c r="B10" s="3" t="s">
        <v>7</v>
      </c>
    </row>
    <row r="11" spans="1:2" x14ac:dyDescent="0.25">
      <c r="B11" s="4" t="s">
        <v>3</v>
      </c>
    </row>
    <row r="12" spans="1:2" ht="30" x14ac:dyDescent="0.25">
      <c r="B12" s="4" t="s">
        <v>8</v>
      </c>
    </row>
    <row r="13" spans="1:2" x14ac:dyDescent="0.25">
      <c r="B13">
        <v>2018</v>
      </c>
    </row>
    <row r="14" spans="1:2" x14ac:dyDescent="0.25">
      <c r="B14" s="5" t="s">
        <v>9</v>
      </c>
    </row>
    <row r="15" spans="1:2" ht="45" x14ac:dyDescent="0.25">
      <c r="B15" s="4" t="s">
        <v>10</v>
      </c>
    </row>
    <row r="17" spans="2:2" x14ac:dyDescent="0.25">
      <c r="B17" s="3" t="s">
        <v>11</v>
      </c>
    </row>
    <row r="18" spans="2:2" x14ac:dyDescent="0.25">
      <c r="B18" s="4" t="s">
        <v>12</v>
      </c>
    </row>
    <row r="19" spans="2:2" ht="30" x14ac:dyDescent="0.25">
      <c r="B19" s="4" t="s">
        <v>13</v>
      </c>
    </row>
    <row r="20" spans="2:2" x14ac:dyDescent="0.25">
      <c r="B20">
        <v>2004</v>
      </c>
    </row>
    <row r="21" spans="2:2" x14ac:dyDescent="0.25">
      <c r="B21" s="5" t="s">
        <v>14</v>
      </c>
    </row>
    <row r="22" spans="2:2" ht="45" x14ac:dyDescent="0.25">
      <c r="B22" s="4" t="s">
        <v>15</v>
      </c>
    </row>
    <row r="24" spans="2:2" x14ac:dyDescent="0.25">
      <c r="B24" s="3" t="s">
        <v>16</v>
      </c>
    </row>
    <row r="25" spans="2:2" x14ac:dyDescent="0.25">
      <c r="B25" s="4" t="s">
        <v>17</v>
      </c>
    </row>
    <row r="26" spans="2:2" ht="30" x14ac:dyDescent="0.25">
      <c r="B26" s="4" t="s">
        <v>18</v>
      </c>
    </row>
    <row r="27" spans="2:2" x14ac:dyDescent="0.25">
      <c r="B27">
        <v>2015</v>
      </c>
    </row>
    <row r="28" spans="2:2" x14ac:dyDescent="0.25">
      <c r="B28" s="5" t="s">
        <v>19</v>
      </c>
    </row>
    <row r="29" spans="2:2" ht="30" x14ac:dyDescent="0.25">
      <c r="B29" s="4" t="s">
        <v>20</v>
      </c>
    </row>
    <row r="31" spans="2:2" x14ac:dyDescent="0.25">
      <c r="B31" s="3" t="s">
        <v>21</v>
      </c>
    </row>
    <row r="32" spans="2:2" x14ac:dyDescent="0.25">
      <c r="B32" s="4" t="s">
        <v>22</v>
      </c>
    </row>
    <row r="33" spans="2:2" ht="30" x14ac:dyDescent="0.25">
      <c r="B33" s="4" t="s">
        <v>23</v>
      </c>
    </row>
    <row r="34" spans="2:2" x14ac:dyDescent="0.25">
      <c r="B34">
        <v>1998</v>
      </c>
    </row>
    <row r="35" spans="2:2" x14ac:dyDescent="0.25">
      <c r="B35" s="5" t="s">
        <v>24</v>
      </c>
    </row>
    <row r="36" spans="2:2" ht="30" x14ac:dyDescent="0.25">
      <c r="B36" s="4" t="s">
        <v>25</v>
      </c>
    </row>
    <row r="38" spans="2:2" x14ac:dyDescent="0.25">
      <c r="B38" s="3" t="s">
        <v>26</v>
      </c>
    </row>
    <row r="39" spans="2:2" x14ac:dyDescent="0.25">
      <c r="B39" s="4" t="s">
        <v>27</v>
      </c>
    </row>
    <row r="40" spans="2:2" x14ac:dyDescent="0.25">
      <c r="B40" s="4" t="s">
        <v>28</v>
      </c>
    </row>
    <row r="41" spans="2:2" x14ac:dyDescent="0.25">
      <c r="B41">
        <v>2016</v>
      </c>
    </row>
    <row r="42" spans="2:2" x14ac:dyDescent="0.25">
      <c r="B42" s="5" t="s">
        <v>29</v>
      </c>
    </row>
    <row r="43" spans="2:2" ht="30" x14ac:dyDescent="0.25">
      <c r="B43" s="4" t="s">
        <v>30</v>
      </c>
    </row>
    <row r="45" spans="2:2" x14ac:dyDescent="0.25">
      <c r="B45" s="3" t="s">
        <v>31</v>
      </c>
    </row>
    <row r="46" spans="2:2" x14ac:dyDescent="0.25">
      <c r="B46" s="4" t="s">
        <v>32</v>
      </c>
    </row>
    <row r="47" spans="2:2" x14ac:dyDescent="0.25">
      <c r="B47" s="4" t="s">
        <v>33</v>
      </c>
    </row>
    <row r="48" spans="2:2" x14ac:dyDescent="0.25">
      <c r="B48">
        <v>2026</v>
      </c>
    </row>
    <row r="49" spans="1:2" x14ac:dyDescent="0.25">
      <c r="B49" s="5" t="s">
        <v>34</v>
      </c>
    </row>
    <row r="50" spans="1:2" ht="30" x14ac:dyDescent="0.25">
      <c r="B50" s="4" t="s">
        <v>35</v>
      </c>
    </row>
    <row r="53" spans="1:2" x14ac:dyDescent="0.25">
      <c r="A53" s="2" t="s">
        <v>36</v>
      </c>
    </row>
    <row r="54" spans="1:2" ht="60" x14ac:dyDescent="0.25">
      <c r="A54" s="2" t="s">
        <v>37</v>
      </c>
      <c r="B54" s="4" t="s">
        <v>38</v>
      </c>
    </row>
    <row r="55" spans="1:2" ht="60" x14ac:dyDescent="0.25">
      <c r="A55" s="2" t="s">
        <v>39</v>
      </c>
      <c r="B55" s="4" t="s">
        <v>40</v>
      </c>
    </row>
    <row r="56" spans="1:2" ht="75" x14ac:dyDescent="0.25">
      <c r="A56" s="2" t="s">
        <v>41</v>
      </c>
      <c r="B56" s="4" t="s">
        <v>42</v>
      </c>
    </row>
    <row r="57" spans="1:2" ht="30" x14ac:dyDescent="0.25">
      <c r="A57" s="2" t="s">
        <v>43</v>
      </c>
      <c r="B57" s="4" t="s">
        <v>44</v>
      </c>
    </row>
    <row r="58" spans="1:2" ht="30" x14ac:dyDescent="0.25">
      <c r="A58" s="2" t="s">
        <v>45</v>
      </c>
      <c r="B58" s="4" t="s">
        <v>46</v>
      </c>
    </row>
    <row r="60" spans="1:2" x14ac:dyDescent="0.25">
      <c r="A60" s="7" t="s">
        <v>166</v>
      </c>
    </row>
    <row r="61" spans="1:2" x14ac:dyDescent="0.25">
      <c r="A61" t="s">
        <v>167</v>
      </c>
    </row>
    <row r="62" spans="1:2" x14ac:dyDescent="0.25">
      <c r="A62" t="s">
        <v>169</v>
      </c>
    </row>
    <row r="63" spans="1:2" x14ac:dyDescent="0.25">
      <c r="A63" t="s">
        <v>168</v>
      </c>
    </row>
  </sheetData>
  <hyperlinks>
    <hyperlink ref="B7" r:id="rId1" xr:uid="{00000000-0004-0000-0000-000000000000}"/>
    <hyperlink ref="B14" r:id="rId2" xr:uid="{00000000-0004-0000-0000-000001000000}"/>
    <hyperlink ref="B21" r:id="rId3" xr:uid="{00000000-0004-0000-0000-000002000000}"/>
    <hyperlink ref="B28" r:id="rId4" xr:uid="{00000000-0004-0000-0000-000003000000}"/>
    <hyperlink ref="B35" r:id="rId5" xr:uid="{00000000-0004-0000-0000-000004000000}"/>
    <hyperlink ref="B42" r:id="rId6" xr:uid="{00000000-0004-0000-0000-000005000000}"/>
    <hyperlink ref="B49" r:id="rId7" xr:uid="{00000000-0004-0000-0000-000006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4"/>
  <sheetViews>
    <sheetView workbookViewId="0">
      <pane ySplit="1" topLeftCell="A2" activePane="bottomLeft" state="frozen"/>
      <selection pane="bottomLeft"/>
    </sheetView>
  </sheetViews>
  <sheetFormatPr defaultRowHeight="15" x14ac:dyDescent="0.25"/>
  <cols>
    <col min="1" max="1" width="70" customWidth="1"/>
    <col min="2" max="2" width="14" customWidth="1"/>
  </cols>
  <sheetData>
    <row r="1" spans="1:2" x14ac:dyDescent="0.25">
      <c r="A1" s="2" t="s">
        <v>47</v>
      </c>
      <c r="B1" s="2" t="s">
        <v>48</v>
      </c>
    </row>
    <row r="2" spans="1:2" x14ac:dyDescent="0.25">
      <c r="A2" t="s">
        <v>49</v>
      </c>
      <c r="B2">
        <v>0.2</v>
      </c>
    </row>
    <row r="3" spans="1:2" x14ac:dyDescent="0.25">
      <c r="A3" t="s">
        <v>50</v>
      </c>
      <c r="B3">
        <v>10</v>
      </c>
    </row>
    <row r="4" spans="1:2" x14ac:dyDescent="0.25">
      <c r="A4" t="s">
        <v>51</v>
      </c>
      <c r="B4">
        <v>0.04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8"/>
  <sheetViews>
    <sheetView workbookViewId="0">
      <pane ySplit="1" topLeftCell="A2" activePane="bottomLeft" state="frozen"/>
      <selection pane="bottomLeft"/>
    </sheetView>
  </sheetViews>
  <sheetFormatPr defaultRowHeight="15" x14ac:dyDescent="0.25"/>
  <cols>
    <col min="1" max="1" width="16" customWidth="1"/>
    <col min="2" max="2" width="90" customWidth="1"/>
  </cols>
  <sheetData>
    <row r="1" spans="1:2" x14ac:dyDescent="0.25">
      <c r="A1" s="2" t="s">
        <v>52</v>
      </c>
      <c r="B1" s="4" t="s">
        <v>53</v>
      </c>
    </row>
    <row r="2" spans="1:2" x14ac:dyDescent="0.25">
      <c r="A2" s="2" t="s">
        <v>54</v>
      </c>
      <c r="B2" s="4" t="s">
        <v>55</v>
      </c>
    </row>
    <row r="3" spans="1:2" ht="30" x14ac:dyDescent="0.25">
      <c r="B3" s="4" t="s">
        <v>56</v>
      </c>
    </row>
    <row r="4" spans="1:2" x14ac:dyDescent="0.25">
      <c r="A4" s="2" t="s">
        <v>57</v>
      </c>
      <c r="B4" s="4" t="s">
        <v>58</v>
      </c>
    </row>
    <row r="5" spans="1:2" ht="30" x14ac:dyDescent="0.25">
      <c r="A5" s="2" t="s">
        <v>59</v>
      </c>
      <c r="B5" s="4" t="s">
        <v>60</v>
      </c>
    </row>
    <row r="6" spans="1:2" ht="60" x14ac:dyDescent="0.25">
      <c r="A6" s="2" t="s">
        <v>61</v>
      </c>
      <c r="B6" s="4" t="s">
        <v>62</v>
      </c>
    </row>
    <row r="7" spans="1:2" x14ac:dyDescent="0.25">
      <c r="A7" s="2" t="s">
        <v>63</v>
      </c>
      <c r="B7" s="4" t="s">
        <v>64</v>
      </c>
    </row>
    <row r="8" spans="1:2" x14ac:dyDescent="0.25">
      <c r="A8" s="2" t="s">
        <v>65</v>
      </c>
      <c r="B8" s="4" t="s">
        <v>66</v>
      </c>
    </row>
    <row r="10" spans="1:2" x14ac:dyDescent="0.25">
      <c r="A10" s="6" t="s">
        <v>67</v>
      </c>
    </row>
    <row r="11" spans="1:2" x14ac:dyDescent="0.25">
      <c r="A11" s="2" t="s">
        <v>68</v>
      </c>
      <c r="B11" s="2" t="s">
        <v>69</v>
      </c>
    </row>
    <row r="12" spans="1:2" x14ac:dyDescent="0.25">
      <c r="A12">
        <v>0.26600000000000001</v>
      </c>
      <c r="B12">
        <v>10</v>
      </c>
    </row>
    <row r="13" spans="1:2" x14ac:dyDescent="0.25">
      <c r="A13">
        <v>0.23499999999999999</v>
      </c>
      <c r="B13">
        <v>1</v>
      </c>
    </row>
    <row r="14" spans="1:2" x14ac:dyDescent="0.25">
      <c r="A14">
        <v>0.19600000000000001</v>
      </c>
      <c r="B14">
        <v>0.45</v>
      </c>
    </row>
    <row r="15" spans="1:2" x14ac:dyDescent="0.25">
      <c r="A15">
        <v>0.187</v>
      </c>
      <c r="B15">
        <v>0.25</v>
      </c>
    </row>
    <row r="16" spans="1:2" x14ac:dyDescent="0.25">
      <c r="A16">
        <v>9.8000000000000004E-2</v>
      </c>
      <c r="B16">
        <v>0.15</v>
      </c>
    </row>
    <row r="17" spans="1:2" x14ac:dyDescent="0.25">
      <c r="A17">
        <v>1.6E-2</v>
      </c>
      <c r="B17">
        <v>6.5000000000000002E-2</v>
      </c>
    </row>
    <row r="18" spans="1:2" x14ac:dyDescent="0.25">
      <c r="A18">
        <v>2E-3</v>
      </c>
      <c r="B18">
        <v>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4"/>
  <sheetViews>
    <sheetView workbookViewId="0">
      <pane ySplit="1" topLeftCell="A2" activePane="bottomLeft" state="frozen"/>
      <selection pane="bottomLeft"/>
    </sheetView>
  </sheetViews>
  <sheetFormatPr defaultRowHeight="15" x14ac:dyDescent="0.25"/>
  <cols>
    <col min="1" max="1" width="26" customWidth="1"/>
    <col min="2" max="3" width="18" customWidth="1"/>
    <col min="4" max="4" width="10" customWidth="1"/>
    <col min="5" max="5" width="70" customWidth="1"/>
  </cols>
  <sheetData>
    <row r="1" spans="1:5" x14ac:dyDescent="0.25">
      <c r="A1" s="6" t="s">
        <v>70</v>
      </c>
    </row>
    <row r="2" spans="1:5" x14ac:dyDescent="0.25">
      <c r="A2" t="s">
        <v>71</v>
      </c>
      <c r="B2" t="s">
        <v>72</v>
      </c>
      <c r="C2" t="s">
        <v>73</v>
      </c>
      <c r="D2" t="s">
        <v>74</v>
      </c>
      <c r="E2" t="s">
        <v>75</v>
      </c>
    </row>
    <row r="3" spans="1:5" x14ac:dyDescent="0.25">
      <c r="A3" t="s">
        <v>76</v>
      </c>
      <c r="B3" t="s">
        <v>77</v>
      </c>
      <c r="C3" t="s">
        <v>78</v>
      </c>
    </row>
    <row r="4" spans="1:5" x14ac:dyDescent="0.25">
      <c r="A4" s="2" t="s">
        <v>79</v>
      </c>
      <c r="B4" s="2" t="s">
        <v>80</v>
      </c>
    </row>
    <row r="5" spans="1:5" x14ac:dyDescent="0.25">
      <c r="A5">
        <v>0</v>
      </c>
      <c r="B5">
        <v>0</v>
      </c>
      <c r="C5">
        <v>0</v>
      </c>
    </row>
    <row r="6" spans="1:5" x14ac:dyDescent="0.25">
      <c r="A6">
        <v>1</v>
      </c>
      <c r="B6">
        <v>0.13796481814207509</v>
      </c>
      <c r="C6">
        <v>0.13796481814207509</v>
      </c>
    </row>
    <row r="7" spans="1:5" x14ac:dyDescent="0.25">
      <c r="A7">
        <v>2</v>
      </c>
      <c r="B7">
        <v>0.1333867458354526</v>
      </c>
      <c r="C7">
        <v>0.1333867458354526</v>
      </c>
    </row>
    <row r="8" spans="1:5" x14ac:dyDescent="0.25">
      <c r="A8">
        <v>3</v>
      </c>
      <c r="B8">
        <v>0.12773564290332021</v>
      </c>
      <c r="C8">
        <v>0.12773564290332021</v>
      </c>
    </row>
    <row r="9" spans="1:5" x14ac:dyDescent="0.25">
      <c r="A9">
        <v>4</v>
      </c>
      <c r="B9">
        <v>0.11995635631632259</v>
      </c>
      <c r="C9">
        <v>0.11995635631632259</v>
      </c>
    </row>
    <row r="10" spans="1:5" x14ac:dyDescent="0.25">
      <c r="A10">
        <v>5</v>
      </c>
      <c r="B10">
        <v>0.1101784955568616</v>
      </c>
      <c r="C10">
        <v>0.1101784955568616</v>
      </c>
    </row>
    <row r="11" spans="1:5" x14ac:dyDescent="0.25">
      <c r="A11">
        <v>6</v>
      </c>
      <c r="B11">
        <v>9.8564968040399839E-2</v>
      </c>
      <c r="C11">
        <v>9.8564968040399839E-2</v>
      </c>
    </row>
    <row r="12" spans="1:5" x14ac:dyDescent="0.25">
      <c r="A12">
        <v>7</v>
      </c>
      <c r="B12">
        <v>8.5309264940380256E-2</v>
      </c>
      <c r="C12">
        <v>8.5309264940380256E-2</v>
      </c>
    </row>
    <row r="13" spans="1:5" x14ac:dyDescent="0.25">
      <c r="A13">
        <v>8</v>
      </c>
      <c r="B13">
        <v>7.0632237461916936E-2</v>
      </c>
      <c r="C13">
        <v>7.0632237461916936E-2</v>
      </c>
    </row>
    <row r="14" spans="1:5" x14ac:dyDescent="0.25">
      <c r="A14">
        <v>9</v>
      </c>
      <c r="B14">
        <v>5.4778417274258202E-2</v>
      </c>
      <c r="C14">
        <v>5.4778417274258202E-2</v>
      </c>
    </row>
    <row r="15" spans="1:5" x14ac:dyDescent="0.25">
      <c r="A15">
        <v>10</v>
      </c>
      <c r="B15">
        <v>3.8011942406725251E-2</v>
      </c>
      <c r="C15">
        <v>3.8011942406725251E-2</v>
      </c>
    </row>
    <row r="16" spans="1:5" x14ac:dyDescent="0.25">
      <c r="A16">
        <v>11</v>
      </c>
      <c r="B16">
        <v>2.0612156486138011E-2</v>
      </c>
      <c r="C16">
        <v>2.0612156486138011E-2</v>
      </c>
    </row>
    <row r="17" spans="1:3" x14ac:dyDescent="0.25">
      <c r="A17">
        <v>12</v>
      </c>
      <c r="B17">
        <v>2.8689546361494139E-3</v>
      </c>
      <c r="C17">
        <v>2.8689546361494139E-3</v>
      </c>
    </row>
    <row r="18" spans="1:3" x14ac:dyDescent="0.25">
      <c r="A18" t="s">
        <v>81</v>
      </c>
      <c r="B18">
        <v>0</v>
      </c>
      <c r="C18">
        <v>0</v>
      </c>
    </row>
    <row r="19" spans="1:3" x14ac:dyDescent="0.25">
      <c r="A19" t="s">
        <v>82</v>
      </c>
      <c r="B19">
        <f>SUM(B5:B17)</f>
        <v>1</v>
      </c>
      <c r="C19">
        <f>SUM(C5:C17)</f>
        <v>1</v>
      </c>
    </row>
    <row r="20" spans="1:3" x14ac:dyDescent="0.25">
      <c r="B20" s="2" t="s">
        <v>83</v>
      </c>
    </row>
    <row r="21" spans="1:3" x14ac:dyDescent="0.25">
      <c r="A21">
        <v>0</v>
      </c>
      <c r="B21">
        <v>1</v>
      </c>
      <c r="C21">
        <v>1</v>
      </c>
    </row>
    <row r="22" spans="1:3" x14ac:dyDescent="0.25">
      <c r="A22">
        <v>1</v>
      </c>
      <c r="B22">
        <v>1</v>
      </c>
      <c r="C22">
        <v>1</v>
      </c>
    </row>
    <row r="23" spans="1:3" x14ac:dyDescent="0.25">
      <c r="A23">
        <v>2</v>
      </c>
      <c r="B23">
        <v>0.86203518185792505</v>
      </c>
      <c r="C23">
        <v>0.86203518185792505</v>
      </c>
    </row>
    <row r="24" spans="1:3" x14ac:dyDescent="0.25">
      <c r="A24">
        <v>3</v>
      </c>
      <c r="B24">
        <v>0.72864843602247231</v>
      </c>
      <c r="C24">
        <v>0.72864843602247231</v>
      </c>
    </row>
    <row r="25" spans="1:3" x14ac:dyDescent="0.25">
      <c r="A25">
        <v>4</v>
      </c>
      <c r="B25">
        <v>0.60091279311915213</v>
      </c>
      <c r="C25">
        <v>0.60091279311915213</v>
      </c>
    </row>
    <row r="26" spans="1:3" x14ac:dyDescent="0.25">
      <c r="A26">
        <v>5</v>
      </c>
      <c r="B26">
        <v>0.48095643680282951</v>
      </c>
      <c r="C26">
        <v>0.48095643680282951</v>
      </c>
    </row>
    <row r="27" spans="1:3" x14ac:dyDescent="0.25">
      <c r="A27">
        <v>6</v>
      </c>
      <c r="B27">
        <v>0.37077794124596791</v>
      </c>
      <c r="C27">
        <v>0.37077794124596791</v>
      </c>
    </row>
    <row r="28" spans="1:3" x14ac:dyDescent="0.25">
      <c r="A28">
        <v>7</v>
      </c>
      <c r="B28">
        <v>0.27221297320556798</v>
      </c>
      <c r="C28">
        <v>0.27221297320556798</v>
      </c>
    </row>
    <row r="29" spans="1:3" x14ac:dyDescent="0.25">
      <c r="A29">
        <v>8</v>
      </c>
      <c r="B29">
        <v>0.18690370826518779</v>
      </c>
      <c r="C29">
        <v>0.18690370826518779</v>
      </c>
    </row>
    <row r="30" spans="1:3" x14ac:dyDescent="0.25">
      <c r="A30">
        <v>9</v>
      </c>
      <c r="B30">
        <v>0.1162714708032709</v>
      </c>
      <c r="C30">
        <v>0.1162714708032709</v>
      </c>
    </row>
    <row r="31" spans="1:3" x14ac:dyDescent="0.25">
      <c r="A31">
        <v>10</v>
      </c>
      <c r="B31">
        <v>6.1493053529012673E-2</v>
      </c>
      <c r="C31">
        <v>6.1493053529012673E-2</v>
      </c>
    </row>
    <row r="32" spans="1:3" x14ac:dyDescent="0.25">
      <c r="A32">
        <v>11</v>
      </c>
      <c r="B32">
        <v>2.3481111122287419E-2</v>
      </c>
      <c r="C32">
        <v>2.3481111122287419E-2</v>
      </c>
    </row>
    <row r="33" spans="1:3" x14ac:dyDescent="0.25">
      <c r="A33">
        <v>12</v>
      </c>
      <c r="B33">
        <v>2.8689546361494139E-3</v>
      </c>
      <c r="C33">
        <v>2.8689546361494139E-3</v>
      </c>
    </row>
    <row r="34" spans="1:3" x14ac:dyDescent="0.25">
      <c r="A34" t="s">
        <v>81</v>
      </c>
      <c r="B34">
        <v>0</v>
      </c>
      <c r="C34">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31"/>
  <sheetViews>
    <sheetView workbookViewId="0">
      <pane ySplit="1" topLeftCell="A2" activePane="bottomLeft" state="frozen"/>
      <selection pane="bottomLeft"/>
    </sheetView>
  </sheetViews>
  <sheetFormatPr defaultRowHeight="15" x14ac:dyDescent="0.25"/>
  <cols>
    <col min="1" max="1" width="48" customWidth="1"/>
    <col min="2" max="2" width="22" customWidth="1"/>
  </cols>
  <sheetData>
    <row r="1" spans="1:2" x14ac:dyDescent="0.25">
      <c r="A1" s="2" t="s">
        <v>84</v>
      </c>
      <c r="B1" s="2" t="s">
        <v>85</v>
      </c>
    </row>
    <row r="2" spans="1:2" x14ac:dyDescent="0.25">
      <c r="A2" t="s">
        <v>86</v>
      </c>
      <c r="B2">
        <v>4.9009999999999998E-2</v>
      </c>
    </row>
    <row r="3" spans="1:2" x14ac:dyDescent="0.25">
      <c r="A3" t="s">
        <v>87</v>
      </c>
      <c r="B3">
        <v>6.5540000000000001E-2</v>
      </c>
    </row>
    <row r="4" spans="1:2" x14ac:dyDescent="0.25">
      <c r="A4" t="s">
        <v>88</v>
      </c>
      <c r="B4">
        <v>4.7050000000000002E-2</v>
      </c>
    </row>
    <row r="5" spans="1:2" x14ac:dyDescent="0.25">
      <c r="A5" t="s">
        <v>89</v>
      </c>
      <c r="B5">
        <v>5.8470000000000001E-2</v>
      </c>
    </row>
    <row r="6" spans="1:2" x14ac:dyDescent="0.25">
      <c r="A6" t="s">
        <v>90</v>
      </c>
      <c r="B6">
        <v>4.8059999999999999E-2</v>
      </c>
    </row>
    <row r="7" spans="1:2" x14ac:dyDescent="0.25">
      <c r="A7" t="s">
        <v>91</v>
      </c>
      <c r="B7">
        <v>5.4100000000000002E-2</v>
      </c>
    </row>
    <row r="8" spans="1:2" x14ac:dyDescent="0.25">
      <c r="A8" t="s">
        <v>92</v>
      </c>
      <c r="B8">
        <v>5.8630000000000002E-2</v>
      </c>
    </row>
    <row r="9" spans="1:2" x14ac:dyDescent="0.25">
      <c r="A9" t="s">
        <v>93</v>
      </c>
      <c r="B9">
        <v>5.1819999999999998E-2</v>
      </c>
    </row>
    <row r="10" spans="1:2" x14ac:dyDescent="0.25">
      <c r="A10" t="s">
        <v>94</v>
      </c>
      <c r="B10">
        <v>3.8300000000000001E-2</v>
      </c>
    </row>
    <row r="11" spans="1:2" x14ac:dyDescent="0.25">
      <c r="A11" t="s">
        <v>95</v>
      </c>
      <c r="B11">
        <v>4.5310000000000003E-2</v>
      </c>
    </row>
    <row r="12" spans="1:2" x14ac:dyDescent="0.25">
      <c r="A12" t="s">
        <v>96</v>
      </c>
      <c r="B12">
        <v>3.075E-2</v>
      </c>
    </row>
    <row r="13" spans="1:2" x14ac:dyDescent="0.25">
      <c r="A13" t="s">
        <v>97</v>
      </c>
      <c r="B13">
        <v>6.0139999999999999E-2</v>
      </c>
    </row>
    <row r="14" spans="1:2" x14ac:dyDescent="0.25">
      <c r="A14" t="s">
        <v>98</v>
      </c>
      <c r="B14">
        <v>6.0139999999999999E-2</v>
      </c>
    </row>
    <row r="15" spans="1:2" x14ac:dyDescent="0.25">
      <c r="A15" t="s">
        <v>99</v>
      </c>
      <c r="B15">
        <v>5.6660000000000002E-2</v>
      </c>
    </row>
    <row r="16" spans="1:2" x14ac:dyDescent="0.25">
      <c r="A16" t="s">
        <v>100</v>
      </c>
      <c r="B16">
        <v>5.8470000000000001E-2</v>
      </c>
    </row>
    <row r="17" spans="1:2" x14ac:dyDescent="0.25">
      <c r="A17" t="s">
        <v>101</v>
      </c>
      <c r="B17">
        <v>5.8470000000000001E-2</v>
      </c>
    </row>
    <row r="18" spans="1:2" x14ac:dyDescent="0.25">
      <c r="A18" t="s">
        <v>102</v>
      </c>
      <c r="B18">
        <v>5.9499999999999997E-2</v>
      </c>
    </row>
    <row r="19" spans="1:2" x14ac:dyDescent="0.25">
      <c r="A19" t="s">
        <v>103</v>
      </c>
      <c r="B19">
        <v>5.8709999999999998E-2</v>
      </c>
    </row>
    <row r="20" spans="1:2" x14ac:dyDescent="0.25">
      <c r="A20" t="s">
        <v>104</v>
      </c>
      <c r="B20">
        <v>5.6430000000000001E-2</v>
      </c>
    </row>
    <row r="21" spans="1:2" x14ac:dyDescent="0.25">
      <c r="A21" t="s">
        <v>105</v>
      </c>
      <c r="B21">
        <v>5.4350000000000002E-2</v>
      </c>
    </row>
    <row r="22" spans="1:2" x14ac:dyDescent="0.25">
      <c r="A22" t="s">
        <v>106</v>
      </c>
      <c r="B22">
        <v>5.0639999999999998E-2</v>
      </c>
    </row>
    <row r="23" spans="1:2" x14ac:dyDescent="0.25">
      <c r="A23" t="s">
        <v>107</v>
      </c>
      <c r="B23">
        <v>5.6430000000000001E-2</v>
      </c>
    </row>
    <row r="24" spans="1:2" x14ac:dyDescent="0.25">
      <c r="A24" t="s">
        <v>108</v>
      </c>
      <c r="B24">
        <v>4.0169999999999997E-2</v>
      </c>
    </row>
    <row r="25" spans="1:2" x14ac:dyDescent="0.25">
      <c r="A25" t="s">
        <v>109</v>
      </c>
      <c r="B25">
        <v>3.6889999999999999E-2</v>
      </c>
    </row>
    <row r="26" spans="1:2" x14ac:dyDescent="0.25">
      <c r="A26" t="s">
        <v>110</v>
      </c>
      <c r="B26">
        <v>5.731E-2</v>
      </c>
    </row>
    <row r="28" spans="1:2" x14ac:dyDescent="0.25">
      <c r="A28" t="s">
        <v>162</v>
      </c>
    </row>
    <row r="29" spans="1:2" x14ac:dyDescent="0.25">
      <c r="A29" t="s">
        <v>163</v>
      </c>
    </row>
    <row r="30" spans="1:2" x14ac:dyDescent="0.25">
      <c r="A30" t="s">
        <v>164</v>
      </c>
    </row>
    <row r="31" spans="1:2" x14ac:dyDescent="0.25">
      <c r="A31" t="s">
        <v>165</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51"/>
  <sheetViews>
    <sheetView workbookViewId="0"/>
  </sheetViews>
  <sheetFormatPr defaultRowHeight="15" x14ac:dyDescent="0.25"/>
  <cols>
    <col min="1" max="1" width="58" customWidth="1"/>
    <col min="2" max="2" width="26" customWidth="1"/>
    <col min="3" max="3" width="46" customWidth="1"/>
  </cols>
  <sheetData>
    <row r="1" spans="1:6" x14ac:dyDescent="0.25">
      <c r="A1" s="2" t="s">
        <v>111</v>
      </c>
    </row>
    <row r="2" spans="1:6" x14ac:dyDescent="0.25">
      <c r="A2" s="2" t="s">
        <v>112</v>
      </c>
      <c r="B2" s="2" t="s">
        <v>69</v>
      </c>
      <c r="C2" s="2" t="s">
        <v>113</v>
      </c>
      <c r="D2" s="2" t="s">
        <v>114</v>
      </c>
      <c r="E2" s="2" t="s">
        <v>115</v>
      </c>
      <c r="F2" s="2" t="s">
        <v>116</v>
      </c>
    </row>
    <row r="3" spans="1:6" x14ac:dyDescent="0.25">
      <c r="A3" t="s">
        <v>117</v>
      </c>
      <c r="B3">
        <f>'KPREM source'!B12</f>
        <v>10</v>
      </c>
      <c r="C3">
        <f>B3+Parameters!$B$4</f>
        <v>10.039999999999999</v>
      </c>
      <c r="D3">
        <f>(1-(1+C3)^-Parameters!$B$3)/C3</f>
        <v>9.9601593621794826E-2</v>
      </c>
      <c r="E3">
        <f>'KPREM source'!A12</f>
        <v>0.26600000000000001</v>
      </c>
      <c r="F3">
        <f t="shared" ref="F3:F9" si="0">E3*D3</f>
        <v>2.6494023903397425E-2</v>
      </c>
    </row>
    <row r="4" spans="1:6" x14ac:dyDescent="0.25">
      <c r="A4" t="s">
        <v>118</v>
      </c>
      <c r="B4">
        <f>'KPREM source'!B13</f>
        <v>1</v>
      </c>
      <c r="C4">
        <f>B4+Parameters!$B$4</f>
        <v>1.04</v>
      </c>
      <c r="D4">
        <f>(1-(1+C4)^-Parameters!$B$3)/C4</f>
        <v>0.96076815251288761</v>
      </c>
      <c r="E4">
        <f>'KPREM source'!A13</f>
        <v>0.23499999999999999</v>
      </c>
      <c r="F4">
        <f t="shared" si="0"/>
        <v>0.22578051584052858</v>
      </c>
    </row>
    <row r="5" spans="1:6" x14ac:dyDescent="0.25">
      <c r="A5" t="s">
        <v>119</v>
      </c>
      <c r="B5">
        <f>'KPREM source'!B14</f>
        <v>0.45</v>
      </c>
      <c r="C5">
        <f>B5+Parameters!$B$4</f>
        <v>0.49</v>
      </c>
      <c r="D5">
        <f>(1-(1+C5)^-Parameters!$B$3)/C5</f>
        <v>2.0029771883986078</v>
      </c>
      <c r="E5">
        <f>'KPREM source'!A14</f>
        <v>0.19600000000000001</v>
      </c>
      <c r="F5">
        <f t="shared" si="0"/>
        <v>0.39258352892612713</v>
      </c>
    </row>
    <row r="6" spans="1:6" x14ac:dyDescent="0.25">
      <c r="A6" t="s">
        <v>120</v>
      </c>
      <c r="B6">
        <f>'KPREM source'!B15</f>
        <v>0.25</v>
      </c>
      <c r="C6">
        <f>B6+Parameters!$B$4</f>
        <v>0.28999999999999998</v>
      </c>
      <c r="D6">
        <f>(1-(1+C6)^-Parameters!$B$3)/C6</f>
        <v>3.1780636958450281</v>
      </c>
      <c r="E6">
        <f>'KPREM source'!A15</f>
        <v>0.187</v>
      </c>
      <c r="F6">
        <f t="shared" si="0"/>
        <v>0.59429791112302022</v>
      </c>
    </row>
    <row r="7" spans="1:6" x14ac:dyDescent="0.25">
      <c r="A7" t="s">
        <v>121</v>
      </c>
      <c r="B7">
        <f>'KPREM source'!B16</f>
        <v>0.15</v>
      </c>
      <c r="C7">
        <f>B7+Parameters!$B$4</f>
        <v>0.19</v>
      </c>
      <c r="D7">
        <f>(1-(1+C7)^-Parameters!$B$3)/C7</f>
        <v>4.3389348669596197</v>
      </c>
      <c r="E7">
        <f>'KPREM source'!A16</f>
        <v>9.8000000000000004E-2</v>
      </c>
      <c r="F7">
        <f t="shared" si="0"/>
        <v>0.42521561696204274</v>
      </c>
    </row>
    <row r="8" spans="1:6" x14ac:dyDescent="0.25">
      <c r="A8" t="s">
        <v>122</v>
      </c>
      <c r="B8">
        <f>'KPREM source'!B17</f>
        <v>6.5000000000000002E-2</v>
      </c>
      <c r="C8">
        <f>B8+Parameters!$B$4</f>
        <v>0.10500000000000001</v>
      </c>
      <c r="D8">
        <f>(1-(1+C8)^-Parameters!$B$3)/C8</f>
        <v>6.0147727404316864</v>
      </c>
      <c r="E8">
        <f>'KPREM source'!A17</f>
        <v>1.6E-2</v>
      </c>
      <c r="F8">
        <f t="shared" si="0"/>
        <v>9.623636384690698E-2</v>
      </c>
    </row>
    <row r="9" spans="1:6" x14ac:dyDescent="0.25">
      <c r="A9" t="s">
        <v>123</v>
      </c>
      <c r="B9">
        <f>'KPREM source'!B18</f>
        <v>0</v>
      </c>
      <c r="C9">
        <f>B9+Parameters!$B$4</f>
        <v>0.04</v>
      </c>
      <c r="D9">
        <f>(1-(1+C9)^-Parameters!$B$3)/C9</f>
        <v>8.1108957793550367</v>
      </c>
      <c r="E9">
        <f>'KPREM source'!A18</f>
        <v>2E-3</v>
      </c>
      <c r="F9">
        <f t="shared" si="0"/>
        <v>1.6221791558710074E-2</v>
      </c>
    </row>
    <row r="11" spans="1:6" x14ac:dyDescent="0.25">
      <c r="A11" s="2" t="s">
        <v>124</v>
      </c>
      <c r="B11">
        <f>SUM(F3:F9)</f>
        <v>1.7768297521607332</v>
      </c>
    </row>
    <row r="12" spans="1:6" x14ac:dyDescent="0.25">
      <c r="A12" t="s">
        <v>125</v>
      </c>
      <c r="B12" t="e">
        <f>RATE(Parameters!$B$3,-1,B11)</f>
        <v>#NUM!</v>
      </c>
    </row>
    <row r="14" spans="1:6" x14ac:dyDescent="0.25">
      <c r="A14" s="2" t="s">
        <v>126</v>
      </c>
    </row>
    <row r="15" spans="1:6" x14ac:dyDescent="0.25">
      <c r="A15" s="2" t="s">
        <v>127</v>
      </c>
      <c r="B15" s="2" t="s">
        <v>128</v>
      </c>
      <c r="C15" s="2" t="s">
        <v>129</v>
      </c>
    </row>
    <row r="16" spans="1:6" x14ac:dyDescent="0.25">
      <c r="A16">
        <f>'AcceptFrac source'!A5</f>
        <v>0</v>
      </c>
      <c r="B16">
        <f>'AcceptFrac source'!B5</f>
        <v>0</v>
      </c>
      <c r="C16">
        <f t="shared" ref="C16:C28" si="1">A16*B16</f>
        <v>0</v>
      </c>
    </row>
    <row r="17" spans="1:3" x14ac:dyDescent="0.25">
      <c r="A17">
        <f>'AcceptFrac source'!A6</f>
        <v>1</v>
      </c>
      <c r="B17">
        <f>'AcceptFrac source'!B6</f>
        <v>0.13796481814207509</v>
      </c>
      <c r="C17">
        <f t="shared" si="1"/>
        <v>0.13796481814207509</v>
      </c>
    </row>
    <row r="18" spans="1:3" x14ac:dyDescent="0.25">
      <c r="A18">
        <f>'AcceptFrac source'!A7</f>
        <v>2</v>
      </c>
      <c r="B18">
        <f>'AcceptFrac source'!B7</f>
        <v>0.1333867458354526</v>
      </c>
      <c r="C18">
        <f t="shared" si="1"/>
        <v>0.26677349167090519</v>
      </c>
    </row>
    <row r="19" spans="1:3" x14ac:dyDescent="0.25">
      <c r="A19">
        <f>'AcceptFrac source'!A8</f>
        <v>3</v>
      </c>
      <c r="B19">
        <f>'AcceptFrac source'!B8</f>
        <v>0.12773564290332021</v>
      </c>
      <c r="C19">
        <f t="shared" si="1"/>
        <v>0.38320692870996065</v>
      </c>
    </row>
    <row r="20" spans="1:3" x14ac:dyDescent="0.25">
      <c r="A20">
        <f>'AcceptFrac source'!A9</f>
        <v>4</v>
      </c>
      <c r="B20">
        <f>'AcceptFrac source'!B9</f>
        <v>0.11995635631632259</v>
      </c>
      <c r="C20">
        <f t="shared" si="1"/>
        <v>0.47982542526529037</v>
      </c>
    </row>
    <row r="21" spans="1:3" x14ac:dyDescent="0.25">
      <c r="A21">
        <f>'AcceptFrac source'!A10</f>
        <v>5</v>
      </c>
      <c r="B21">
        <f>'AcceptFrac source'!B10</f>
        <v>0.1101784955568616</v>
      </c>
      <c r="C21">
        <f t="shared" si="1"/>
        <v>0.55089247778430805</v>
      </c>
    </row>
    <row r="22" spans="1:3" x14ac:dyDescent="0.25">
      <c r="A22">
        <f>'AcceptFrac source'!A11</f>
        <v>6</v>
      </c>
      <c r="B22">
        <f>'AcceptFrac source'!B11</f>
        <v>9.8564968040399839E-2</v>
      </c>
      <c r="C22">
        <f t="shared" si="1"/>
        <v>0.59138980824239906</v>
      </c>
    </row>
    <row r="23" spans="1:3" x14ac:dyDescent="0.25">
      <c r="A23">
        <f>'AcceptFrac source'!A12</f>
        <v>7</v>
      </c>
      <c r="B23">
        <f>'AcceptFrac source'!B12</f>
        <v>8.5309264940380256E-2</v>
      </c>
      <c r="C23">
        <f t="shared" si="1"/>
        <v>0.59716485458266177</v>
      </c>
    </row>
    <row r="24" spans="1:3" x14ac:dyDescent="0.25">
      <c r="A24">
        <f>'AcceptFrac source'!A13</f>
        <v>8</v>
      </c>
      <c r="B24">
        <f>'AcceptFrac source'!B13</f>
        <v>7.0632237461916936E-2</v>
      </c>
      <c r="C24">
        <f t="shared" si="1"/>
        <v>0.56505789969533549</v>
      </c>
    </row>
    <row r="25" spans="1:3" x14ac:dyDescent="0.25">
      <c r="A25">
        <f>'AcceptFrac source'!A14</f>
        <v>9</v>
      </c>
      <c r="B25">
        <f>'AcceptFrac source'!B14</f>
        <v>5.4778417274258202E-2</v>
      </c>
      <c r="C25">
        <f t="shared" si="1"/>
        <v>0.49300575546832381</v>
      </c>
    </row>
    <row r="26" spans="1:3" x14ac:dyDescent="0.25">
      <c r="A26">
        <f>'AcceptFrac source'!A15</f>
        <v>10</v>
      </c>
      <c r="B26">
        <f>'AcceptFrac source'!B15</f>
        <v>3.8011942406725251E-2</v>
      </c>
      <c r="C26">
        <f t="shared" si="1"/>
        <v>0.38011942406725252</v>
      </c>
    </row>
    <row r="27" spans="1:3" x14ac:dyDescent="0.25">
      <c r="A27">
        <f>'AcceptFrac source'!A16</f>
        <v>11</v>
      </c>
      <c r="B27">
        <f>'AcceptFrac source'!B16</f>
        <v>2.0612156486138011E-2</v>
      </c>
      <c r="C27">
        <f t="shared" si="1"/>
        <v>0.22673372134751812</v>
      </c>
    </row>
    <row r="28" spans="1:3" x14ac:dyDescent="0.25">
      <c r="A28">
        <f>'AcceptFrac source'!A17</f>
        <v>12</v>
      </c>
      <c r="B28">
        <f>'AcceptFrac source'!B17</f>
        <v>2.8689546361494139E-3</v>
      </c>
      <c r="C28">
        <f t="shared" si="1"/>
        <v>3.4427455633792965E-2</v>
      </c>
    </row>
    <row r="30" spans="1:3" x14ac:dyDescent="0.25">
      <c r="A30" s="2" t="s">
        <v>130</v>
      </c>
      <c r="B30">
        <f>SUM(C16:C28)</f>
        <v>4.7065620606098229</v>
      </c>
    </row>
    <row r="31" spans="1:3" x14ac:dyDescent="0.25">
      <c r="A31" t="s">
        <v>131</v>
      </c>
      <c r="B31">
        <f>RATE(Parameters!$B$3,-1,B30)</f>
        <v>0.16719326753097338</v>
      </c>
    </row>
    <row r="33" spans="1:3" x14ac:dyDescent="0.25">
      <c r="A33" s="2" t="s">
        <v>132</v>
      </c>
    </row>
    <row r="34" spans="1:3" x14ac:dyDescent="0.25">
      <c r="A34" t="s">
        <v>133</v>
      </c>
      <c r="B34">
        <f>B31</f>
        <v>0.16719326753097338</v>
      </c>
      <c r="C34" t="s">
        <v>134</v>
      </c>
    </row>
    <row r="35" spans="1:3" x14ac:dyDescent="0.25">
      <c r="A35" t="s">
        <v>135</v>
      </c>
      <c r="B35" t="s">
        <v>136</v>
      </c>
      <c r="C35" t="s">
        <v>137</v>
      </c>
    </row>
    <row r="36" spans="1:3" x14ac:dyDescent="0.25">
      <c r="A36" t="s">
        <v>138</v>
      </c>
      <c r="B36">
        <v>0.2</v>
      </c>
      <c r="C36" t="s">
        <v>139</v>
      </c>
    </row>
    <row r="37" spans="1:3" x14ac:dyDescent="0.25">
      <c r="A37" t="s">
        <v>140</v>
      </c>
      <c r="B37" t="s">
        <v>141</v>
      </c>
      <c r="C37" t="s">
        <v>142</v>
      </c>
    </row>
    <row r="38" spans="1:3" x14ac:dyDescent="0.25">
      <c r="A38" t="s">
        <v>143</v>
      </c>
      <c r="B38" t="e">
        <f>B12</f>
        <v>#NUM!</v>
      </c>
      <c r="C38" t="s">
        <v>144</v>
      </c>
    </row>
    <row r="39" spans="1:3" x14ac:dyDescent="0.25">
      <c r="A39" t="s">
        <v>145</v>
      </c>
      <c r="B39" t="s">
        <v>146</v>
      </c>
      <c r="C39" t="s">
        <v>147</v>
      </c>
    </row>
    <row r="41" spans="1:3" x14ac:dyDescent="0.25">
      <c r="A41" s="2" t="s">
        <v>148</v>
      </c>
    </row>
    <row r="42" spans="1:3" x14ac:dyDescent="0.25">
      <c r="A42" t="s">
        <v>149</v>
      </c>
      <c r="B42">
        <f>AVERAGE('BCoISC source'!B2:B26)</f>
        <v>5.2454000000000001E-2</v>
      </c>
    </row>
    <row r="43" spans="1:3" x14ac:dyDescent="0.25">
      <c r="A43" t="s">
        <v>150</v>
      </c>
      <c r="B43">
        <f>Parameters!$B$2</f>
        <v>0.2</v>
      </c>
    </row>
    <row r="44" spans="1:3" x14ac:dyDescent="0.25">
      <c r="A44" s="2" t="s">
        <v>151</v>
      </c>
      <c r="B44">
        <f>MAX(0,B43-B42)</f>
        <v>0.14754600000000001</v>
      </c>
    </row>
    <row r="46" spans="1:3" x14ac:dyDescent="0.25">
      <c r="A46" s="2" t="s">
        <v>43</v>
      </c>
    </row>
    <row r="47" spans="1:3" x14ac:dyDescent="0.25">
      <c r="A47" s="2" t="s">
        <v>152</v>
      </c>
      <c r="B47" s="2" t="s">
        <v>69</v>
      </c>
    </row>
    <row r="48" spans="1:3" x14ac:dyDescent="0.25">
      <c r="A48">
        <v>0.04</v>
      </c>
      <c r="B48">
        <f>MAX(0,A48-B42)</f>
        <v>0</v>
      </c>
    </row>
    <row r="49" spans="1:2" x14ac:dyDescent="0.25">
      <c r="A49">
        <v>0.2</v>
      </c>
      <c r="B49">
        <f>MAX(0,A49-B42)</f>
        <v>0.14754600000000001</v>
      </c>
    </row>
    <row r="50" spans="1:2" x14ac:dyDescent="0.25">
      <c r="A50">
        <v>0.35</v>
      </c>
      <c r="B50">
        <f>MAX(0,A50-B42)</f>
        <v>0.29754599999999998</v>
      </c>
    </row>
    <row r="51" spans="1:2" x14ac:dyDescent="0.25">
      <c r="A51">
        <v>0.5</v>
      </c>
      <c r="B51">
        <f>MAX(0,A51-B42)</f>
        <v>0.447546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5"/>
  <sheetViews>
    <sheetView workbookViewId="0">
      <pane ySplit="1" topLeftCell="A2" activePane="bottomLeft" state="frozen"/>
      <selection pane="bottomLeft"/>
    </sheetView>
  </sheetViews>
  <sheetFormatPr defaultRowHeight="15" x14ac:dyDescent="0.25"/>
  <cols>
    <col min="1" max="1" width="58" customWidth="1"/>
    <col min="2" max="2" width="20" customWidth="1"/>
    <col min="3" max="3" width="10" customWidth="1"/>
  </cols>
  <sheetData>
    <row r="1" spans="1:3" x14ac:dyDescent="0.25">
      <c r="A1" s="2" t="s">
        <v>153</v>
      </c>
      <c r="B1" s="2" t="s">
        <v>48</v>
      </c>
      <c r="C1" s="2" t="s">
        <v>154</v>
      </c>
    </row>
    <row r="2" spans="1:3" x14ac:dyDescent="0.25">
      <c r="A2" t="s">
        <v>155</v>
      </c>
      <c r="B2">
        <f>SUM('KPREM source'!A12:A18)</f>
        <v>1</v>
      </c>
      <c r="C2" t="str">
        <f>IF(ABS(B2-1)&lt;=0.005,"PASS","FAIL")</f>
        <v>PASS</v>
      </c>
    </row>
    <row r="3" spans="1:3" x14ac:dyDescent="0.25">
      <c r="A3" t="s">
        <v>156</v>
      </c>
      <c r="B3">
        <f>SUM('AcceptFrac source'!B5:B17)</f>
        <v>1</v>
      </c>
      <c r="C3" t="str">
        <f>IF(ABS(B3-1)&lt;=0.001,"PASS","FAIL")</f>
        <v>PASS</v>
      </c>
    </row>
    <row r="4" spans="1:3" x14ac:dyDescent="0.25">
      <c r="A4" t="s">
        <v>157</v>
      </c>
      <c r="B4">
        <f>Calculation!B44</f>
        <v>0.14754600000000001</v>
      </c>
      <c r="C4" t="str">
        <f>IF(AND(B4&gt;=0,B4&lt;=1),"PASS","FAIL")</f>
        <v>PASS</v>
      </c>
    </row>
    <row r="5" spans="1:3" x14ac:dyDescent="0.25">
      <c r="A5" t="s">
        <v>158</v>
      </c>
      <c r="B5">
        <f>Calculation!B44+Calculation!B42-Calculation!B43</f>
        <v>0</v>
      </c>
      <c r="C5" t="str">
        <f>IF(ABS(B5)&lt;=0.000000001,"PASS","FAIL")</f>
        <v>PASS</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sheetPr>
  <dimension ref="A1:B2"/>
  <sheetViews>
    <sheetView workbookViewId="0"/>
  </sheetViews>
  <sheetFormatPr defaultRowHeight="15" x14ac:dyDescent="0.25"/>
  <cols>
    <col min="1" max="1" width="40" customWidth="1"/>
    <col min="2" max="2" width="20" customWidth="1"/>
  </cols>
  <sheetData>
    <row r="1" spans="1:2" x14ac:dyDescent="0.25">
      <c r="A1" t="s">
        <v>159</v>
      </c>
      <c r="B1" t="s">
        <v>160</v>
      </c>
    </row>
    <row r="2" spans="1:2" x14ac:dyDescent="0.25">
      <c r="A2" t="s">
        <v>161</v>
      </c>
      <c r="B2">
        <f>ROUND(Calculation!B44,4)</f>
        <v>0.14749999999999999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Parameters</vt:lpstr>
      <vt:lpstr>KPREM source</vt:lpstr>
      <vt:lpstr>AcceptFrac source</vt:lpstr>
      <vt:lpstr>BCoISC source</vt:lpstr>
      <vt:lpstr>Calculation</vt:lpstr>
      <vt:lpstr>Checks</vt:lpstr>
      <vt:lpstr>HRPfIEP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2026-08-10T17:41:39Z</dcterms:created>
  <dcterms:modified xsi:type="dcterms:W3CDTF">2026-08-13T18:04:00Z</dcterms:modified>
</cp:coreProperties>
</file>