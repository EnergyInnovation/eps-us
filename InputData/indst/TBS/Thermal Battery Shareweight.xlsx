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anOBrien\Models\EPS\US\eps-us\InputData\indst\TBS\"/>
    </mc:Choice>
  </mc:AlternateContent>
  <xr:revisionPtr revIDLastSave="0" documentId="13_ncr:1_{947037F4-928D-4486-8900-F520FA94FAFE}" xr6:coauthVersionLast="47" xr6:coauthVersionMax="47" xr10:uidLastSave="{00000000-0000-0000-0000-000000000000}"/>
  <bookViews>
    <workbookView xWindow="-25680" yWindow="3120" windowWidth="21600" windowHeight="12585" xr2:uid="{00000000-000D-0000-FFFF-FFFF00000000}"/>
  </bookViews>
  <sheets>
    <sheet name="About" sheetId="1" r:id="rId1"/>
    <sheet name="Calibration" sheetId="2" r:id="rId2"/>
    <sheet name="TBS" sheetId="3" r:id="rId3"/>
    <sheet name="Ramp Candidates (not shipped)"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2" l="1"/>
  <c r="B6" i="2"/>
  <c r="B7" i="2" s="1"/>
  <c r="B13" i="2" s="1"/>
  <c r="B5" i="2"/>
  <c r="B16" i="2" l="1"/>
  <c r="B14" i="2"/>
  <c r="AE2" i="3" l="1"/>
  <c r="I2" i="3"/>
  <c r="F2" i="3"/>
  <c r="AA2" i="3"/>
  <c r="T2" i="3"/>
  <c r="R2" i="3"/>
  <c r="P2" i="3"/>
  <c r="O2" i="3"/>
  <c r="N2" i="3"/>
  <c r="M2" i="3"/>
  <c r="L2" i="3"/>
  <c r="K2" i="3"/>
  <c r="AD2" i="3"/>
  <c r="H2" i="3"/>
  <c r="X2" i="3"/>
  <c r="W2" i="3"/>
  <c r="Q2" i="3"/>
  <c r="AC2" i="3"/>
  <c r="G2" i="3"/>
  <c r="AB2" i="3"/>
  <c r="Z2" i="3"/>
  <c r="Y2" i="3"/>
  <c r="V2" i="3"/>
  <c r="U2" i="3"/>
  <c r="S2" i="3"/>
  <c r="J2" i="3"/>
</calcChain>
</file>

<file path=xl/sharedStrings.xml><?xml version="1.0" encoding="utf-8"?>
<sst xmlns="http://schemas.openxmlformats.org/spreadsheetml/2006/main" count="108" uniqueCount="98">
  <si>
    <t>TBS Thermal Battery Shareweight (entry-gate shareweight, industrial fuel-choice logit)</t>
  </si>
  <si>
    <t>Sources:</t>
  </si>
  <si>
    <t>US thermal battery deployment inventory (calibration anchor)</t>
  </si>
  <si>
    <t>Energy Innovation (internal compilation)</t>
  </si>
  <si>
    <t>Industry_ThermalBattery_USDeployment_Inventory.md (repo root)</t>
  </si>
  <si>
    <t>Compiled 2026-08-20 from vendor press releases and trade media (not primary-source verified -- see the inventory doc's own caveats). Anchor used: confirmed-operating + firmly-commissioning US industrial thermal battery fleet, ~5,125-5,140 MWh-th nameplate capacity, dominated 35-40x by the single Antora/POET Big Stone City, SD unit (5,000 MWh-th, commissioned May 2026 per vendor release, still described as 'booting up' as of the most recent source found -- flag as vendor-reported, unconfirmed full-operation status). Other sites: Rondo/Calgren Renewable Fuels 2 MWh-th (operating since Mar 2023); Antora/Wellhead Electric 5 MWh-th (operating since 2023); Brenmiller/SUNY Purchase 12 MWh-th per most outlets, one supplier-trade source instead reports 400 kWh-th -- unresolved ~30x discrepancy, flagged in the inventory doc; Rondo/Holmes Western Oil 100 MWh-th (operating since Oct 2025); Electrified Thermal Solutions/SwRI 20 MWh-th (commissioned Jan 2026). Converted to an annual-heat-delivered basis via a 330-full-equivalent-cycle/yr proxy (near-daily full charge/discharge, allowing for maintenance days) -- yields ~1,690-1,700 GWh-th/yr, essentially the Big Stone unit's output alone. This is a rough planning proxy, not a measured figure -- no vendor in the inventory has published actual annual heat-delivered data.</t>
  </si>
  <si>
    <t>Model probe and verification runs (solves TBS to hit the deployment anchor)</t>
  </si>
  <si>
    <t>EPS US model (this repo)</t>
  </si>
  <si>
    <t>EPS.mdl headless runs, NoPolicy.cin, TBS set via SETVAL</t>
  </si>
  <si>
    <t>Two low-TBS probe runs establish the TBS-to-service response: TBS=1e-9 -&gt; 62.8 GWh; TBS=1e-8 -&gt; 594.9 GWh (2025 thermal-battery service). A first-pass linear solve from these probes (TBS_1 = 1e-8 x 1700/594.9 = 2.858E-08) was then RUN AS A VERIFICATION CHECK, which delivered only 1,542 GWh in 2025 -- 9% under the 1,700 GWh-th/yr target. This shows the TBS-to-service response is mildly CONCAVE (diminishing returns) over this range, not linear, so a one-step linear solve systematically undershoots; a second correction step (TBS_final = TBS_1 x 1700/1542 = 3.151E-08) closes the gap. See the 'Calibration' tab for both steps as visible formulas. Runs used NoPolicy.cin (the .mdl's embedded IndustryCarbonTax scenario replaced via READCIN with a zero-policy scenario) so probes read an undistorted cost-driven response, not one confounded by a carbon tax.</t>
  </si>
  <si>
    <t>Notes:</t>
  </si>
  <si>
    <t>Method</t>
  </si>
  <si>
    <t>Calibrate-to-observed-deployment, then hold constant. The 'Calibration' tab solves the entry-gate shareweight TBS in two steps so that the model's 2025 thermal-battery service delivery matches the deployment-inventory anchor (~1,700 GWh-th/yr): (1) a linear solve from two low-TBS probe runs, then (2) a concavity correction from running the step-1 value and observing a 9% undershoot. The resulting value, 3.151E-08, is held CONSTANT 2025-2050 in TBS.csv -- unlike a typical entry-gate shareweight series, this is deliberately NOT ramped up over time. A maturation ramp (faster adoption as the technology commercializes) remains an explicit future team decision; see the 'Ramp Candidates (not shipped)' tab for shapes previously drafted for that purpose.</t>
  </si>
  <si>
    <t>Decision &amp; date</t>
  </si>
  <si>
    <t>Held constant 2025-2050 per Dan O'Brien, 2026-08-20. This supersedes the prior framing (a ramp candidate to be selected) as the shipped method; ramp selection is deferred, not abandoned.</t>
  </si>
  <si>
    <t>Caveat: response is concave, not linear</t>
  </si>
  <si>
    <t>The TBS-to-service relationship is mildly concave over the calibration range: doubling the two probe values less than doubled the resulting service (~9.47x response to a 10x input change), and the step-1 linear solve, when actually run, undershot its 1,700 GWh target by 9% (delivered 1,542 GWh). The shipped value applies one concavity-correction step on top of the linear solve; it is a two-point local correction, not a fitted functional form, so it should be treated as approximate, not exact.</t>
  </si>
  <si>
    <t>Caveat: NoPolicy probe basis</t>
  </si>
  <si>
    <t>The probe and verification runs used NoPolicy.cin, which replaces the .mdl's embedded IndustryCarbonTax scenario via READCIN. A carbon tax or other policy that changes fuel-choice relative costs would change the TBS-to-service response and could require recalibration.</t>
  </si>
  <si>
    <t>Caveat: service unit</t>
  </si>
  <si>
    <t>The EPS thermal-battery service variable used for the probes is in electricity-equivalent terms, not raw delivered heat, while the deployment-inventory anchor is a heat-delivered (MWh-th) figure converted via a cycling proxy. The two are not on an identical basis; treat this calibration as accurate to roughly ±30%, not a precise fit.</t>
  </si>
  <si>
    <t>Caveat: anchor concentration</t>
  </si>
  <si>
    <t>The deployment anchor is dominated 35-40x by the single Antora/POET Big Stone City unit, whose full-operation status is vendor-reported and unconfirmed as of the inventory's compilation date (still 'booting up' per the most recent source found). If that unit's actual 2026 output differs materially from full-nameplate cycling, the calibration anchor -- and this TBS value -- should be revisited.</t>
  </si>
  <si>
    <t>Recalibration trigger</t>
  </si>
  <si>
    <t>Recalibrate if TBCC (capital cost), the grid-charging retail adder, or other cost parameters entering the thermal-battery fuel-choice weight change materially -- the TBS-to-service response measured on the 'Calibration' tab is specific to the cost parameters in effect when the probes were run (2026-08-20).</t>
  </si>
  <si>
    <t>IES calibration years</t>
  </si>
  <si>
    <t>2021-2024 are held at exactly zero (not epsilon), consistent with thermal batteries having no measurable presence in the IES calibration data for those years. If any calibration year ever carries nonzero TBS, the calibration workbook (InputData/indst/IES/calibration.xlsx) must add the thermal battery weight to its share denominator.</t>
  </si>
  <si>
    <t>Interpreting the magnitude</t>
  </si>
  <si>
    <t>At this magnitude, the shareweight is not just pricing in capital/fuel cost -- it is implicitly absorbing every unmodeled adoption barrier the deployment data reflects (manufacturing capacity constraints, financing novelty for a first-of-kind asset class, integration engineering, vendor bankability). The team's future ramp decision is really a decision about how fast those barriers erode over time, not just a cost-competitiveness ramp.</t>
  </si>
  <si>
    <t>Related validation (2026-08-20)</t>
  </si>
  <si>
    <t>The ITC/PTC subsidy levers on the thermal-battery structure (Perc Subsidy for Thermal Battery Equipment; Subsidy for Thermal Battery Heat Production) were exercised levers-ON in a 2026-08-20 validation run, not just grep-verified: the vintage-locked PTC (rate latched at installation, held for TBPD's 10-year duration, then expiring) behaved as designed and the cash-flow ledger checks came back clean. This does not change the TBS calibration itself but confirms the surrounding subsidy machinery this shareweight will interact with once enabled is functioning.</t>
  </si>
  <si>
    <t>Provenance</t>
  </si>
  <si>
    <t>Written by Claude Code, issue #387, session 2026-08-20, per Dan O'Brien's instruction to replace the ramp-candidate framing with a calibrated constant, refined the same day with a concavity-correction step after a verification run. Prior About-tab content (entry-gate shareweight conversion rationale, ramp candidates) preserved on the 'Ramp Candidates (not shipped)' tab. Reviewed by: (pending).</t>
  </si>
  <si>
    <t>Verification status</t>
  </si>
  <si>
    <t>All figures herein are inputs for staff review, not a finished model input or published position. The underlying deployment figures are compiled from vendor press releases and trade media, not verified against primary sources (vendor spec sheets, SEC filings, DOE award records) -- see Industry_ThermalBattery_USDeployment_Inventory.md for the full caveat list. Verify before use in any external work product.</t>
  </si>
  <si>
    <t>Item</t>
  </si>
  <si>
    <t>Value</t>
  </si>
  <si>
    <t>Units</t>
  </si>
  <si>
    <t>Notes / Source</t>
  </si>
  <si>
    <t>Deployment anchor, capacity, low</t>
  </si>
  <si>
    <t>MWh-th</t>
  </si>
  <si>
    <t>Confirmed-operating + firmly-commissioning US industrial thermal battery fleet, low end. Source: Industry_ThermalBattery_USDeployment_Inventory.md section 5(b).</t>
  </si>
  <si>
    <t>Deployment anchor, capacity, high</t>
  </si>
  <si>
    <t>Same fleet, high end (reflects the unresolved Brenmiller/SUNY 12 MWh vs. 400 kWh discrepancy).</t>
  </si>
  <si>
    <t>Cycling proxy</t>
  </si>
  <si>
    <t>cycles/yr</t>
  </si>
  <si>
    <t>Near-daily full charge/discharge, allowing for maintenance/outage days. Planning proxy, not a measured figure -- see inventory doc section 0.</t>
  </si>
  <si>
    <t>Annual heat, low estimate</t>
  </si>
  <si>
    <t>GWh-th/yr</t>
  </si>
  <si>
    <t>Capacity (low) x cycling proxy, converted MWh to GWh.</t>
  </si>
  <si>
    <t>Annual heat, high estimate</t>
  </si>
  <si>
    <t>Capacity (high) x cycling proxy.</t>
  </si>
  <si>
    <t>Calibration anchor used</t>
  </si>
  <si>
    <t>Rounded to the nearest 100 for a clean calibration target (1,696.2 -&gt; 1,700); sits at the high end of the 1,690-1,700 range because the anchor is dominated by the single Big Stone City unit's full-nameplate figure.</t>
  </si>
  <si>
    <t>Probe TBS value (run 1)</t>
  </si>
  <si>
    <t>dimensionless</t>
  </si>
  <si>
    <t>SETVAL TBS=1e-9 in NoPolicy.cin headless run.</t>
  </si>
  <si>
    <t>Probe result (run 1), 2025 TB service</t>
  </si>
  <si>
    <t>GWh</t>
  </si>
  <si>
    <t>Model's 2025 thermal-battery service delivery at TBS=1e-9.</t>
  </si>
  <si>
    <t>Probe TBS value (run 2)</t>
  </si>
  <si>
    <t>SETVAL TBS=1e-8 in NoPolicy.cin headless run.</t>
  </si>
  <si>
    <t>Probe result (run 2), 2025 TB service</t>
  </si>
  <si>
    <t>Model's 2025 thermal-battery service delivery at TBS=1e-8.</t>
  </si>
  <si>
    <t>Linearity check: response ratio</t>
  </si>
  <si>
    <t>x</t>
  </si>
  <si>
    <t>Ratio of service response between the two probes (probe 2 result / probe 1 result); if the TBS-to-service relationship were exactly linear this would equal 10 (the ratio of the two TBS probe values). ~9.47 observed -- near-linear over this low-TBS range, but not exact, foreshadowing the concavity found at higher TBS below.</t>
  </si>
  <si>
    <t>Step 1: linear-solved TBS</t>
  </si>
  <si>
    <t>Probe 2's TBS value x (calibration anchor / probe 2's service result), i.e. scale the TBS=1e-8 probe linearly to hit the calibration anchor. Solves to 2.858E-08.</t>
  </si>
  <si>
    <t>Verification run: TBS setting</t>
  </si>
  <si>
    <t>The step-1 solved value, actually run through the model (not just inferred) as a check on the linear assumption.</t>
  </si>
  <si>
    <t>Verification run result, 2025 TB service</t>
  </si>
  <si>
    <t>Model's actual 2025 thermal-battery service delivery when TBS is set to the step-1 value -- 9% under the 1,700 GWh-th/yr target, showing the TBS-to-service response is mildly CONCAVE (diminishing returns) at this higher TBS level, so the one-step linear solve undershoots.</t>
  </si>
  <si>
    <t>Step 2: concavity-corrected TBS (shipped)</t>
  </si>
  <si>
    <t>Step-1 TBS x (calibration anchor / verification-run result) -- a second linear correction using the verification run as a new local operating point. Solves to 3.151E-08, matching TBS.csv.</t>
  </si>
  <si>
    <t>Solved TBS, rounded to CSV precision</t>
  </si>
  <si>
    <t>Literal value matching TBS.csv's stated 4-significant-figure precision (3.151E-08), shown for comparison against the unrounded Step 2 formula above.</t>
  </si>
  <si>
    <t>Held constant 2025-2050 per Dan O'Brien, 2026-08-20 (see About tab). This tab's row 16 ('Step 2: concavity-corrected TBS (shipped)', cell B16) is the single formula cell the 'TBS' export tab references for all non-zero years.</t>
  </si>
  <si>
    <t>Unit: dimensionless</t>
  </si>
  <si>
    <t>Thermal Battery</t>
  </si>
  <si>
    <t>Candidate</t>
  </si>
  <si>
    <t>2025</t>
  </si>
  <si>
    <t>2030</t>
  </si>
  <si>
    <t>2035</t>
  </si>
  <si>
    <t>2040</t>
  </si>
  <si>
    <t>2050</t>
  </si>
  <si>
    <t>Basis</t>
  </si>
  <si>
    <t>Conservative</t>
  </si>
  <si>
    <t>Tracks Bento/Wilson ~22-yr avg formative phase from ~2023 first-commercial</t>
  </si>
  <si>
    <t>Central (recommended)</t>
  </si>
  <si>
    <t>Between grid-battery historical analog and multi-vendor/capital-intensity acceleration</t>
  </si>
  <si>
    <t>Aggressive</t>
  </si>
  <si>
    <t>Assumes announced factories (Rondo 90 GWh/yr, Antora $550M raise) translate directly</t>
  </si>
  <si>
    <t>2025 = exact zero (not epsilon): observed penetration far below QUANTUM noise floor; GCAM convention</t>
  </si>
  <si>
    <t>uses the shareweight itself to suppress share in calibration years. Interpolate linearly between anchors</t>
  </si>
  <si>
    <t>(GCAM-style) when filling the year columns of the TBS tab. Shipped CSV remains ALL ZEROS until the team</t>
  </si>
  <si>
    <t>selects a ramp — enabling TB by default is a behavior change requiring sign-off.</t>
  </si>
  <si>
    <t>STATUS: Not shipped. TBS.csv ships a calibrated CONSTANT (see the 'Calibration' tab), held flat 2025-2050 per Dan O'Brien 2026-08-20. These candidate ramps remain here for a future team decision on a maturation ramp (see About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</si>
</sst>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6" x14ac:knownFonts="1">
    <font>
      <sz val="11"/>
      <color theme="1"/>
      <name val="Calibri"/>
      <family val="2"/>
      <scheme val="minor"/>
    </font>
    <font>
      <b/>
      <sz val="11"/>
      <name val="Calibri"/>
    </font>
    <font>
      <b/>
      <i/>
      <sz val="11"/>
      <name val="Calibri"/>
    </font>
    <font>
      <sz val="11"/>
      <name val="Calibri"/>
    </font>
    <font>
      <b/>
      <sz val="11"/>
      <name val="Calibri"/>
    </font>
    <font>
      <i/>
      <sz val="11"/>
      <name val="Calibri"/>
    </font>
  </fonts>
  <fills count="3">
    <fill>
      <patternFill patternType="none"/>
    </fill>
    <fill>
      <patternFill patternType="gray125"/>
    </fill>
    <fill>
      <patternFill patternType="solid">
        <fgColor rgb="FFD9D9D9"/>
        <bgColor rgb="FFD9D9D9"/>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0" fillId="0" borderId="0" xfId="0" applyAlignment="1">
      <alignment horizontal="left" vertical="top" wrapText="1"/>
    </xf>
    <xf numFmtId="0" fontId="4" fillId="0" borderId="0" xfId="0" applyFont="1"/>
    <xf numFmtId="0" fontId="3" fillId="0" borderId="0" xfId="0" applyFont="1"/>
    <xf numFmtId="0" fontId="4" fillId="2" borderId="0" xfId="0" applyFont="1" applyFill="1" applyAlignment="1">
      <alignment horizontal="left" vertical="top" wrapText="1"/>
    </xf>
    <xf numFmtId="0" fontId="3" fillId="0" borderId="0" xfId="0" applyFont="1" applyAlignment="1">
      <alignment horizontal="left" vertical="top" wrapText="1"/>
    </xf>
    <xf numFmtId="0" fontId="4" fillId="0" borderId="0" xfId="0" applyFont="1" applyAlignment="1">
      <alignment vertical="top"/>
    </xf>
    <xf numFmtId="164" fontId="0" fillId="0" borderId="0" xfId="0" applyNumberFormat="1"/>
    <xf numFmtId="0" fontId="5" fillId="0" borderId="0" xfId="0" applyFont="1" applyAlignment="1">
      <alignment horizontal="left" vertical="top" wrapText="1"/>
    </xf>
    <xf numFmtId="0" fontId="0" fillId="0" borderId="0" xfId="0"/>
    <xf numFmtId="0" fontId="2" fillId="0" borderId="0" xfId="0" applyFont="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0"/>
  <sheetViews>
    <sheetView tabSelected="1" workbookViewId="0"/>
  </sheetViews>
  <sheetFormatPr defaultRowHeight="15" x14ac:dyDescent="0.25"/>
  <cols>
    <col min="1" max="1" width="14" customWidth="1"/>
    <col min="2" max="2" width="110" customWidth="1"/>
  </cols>
  <sheetData>
    <row r="1" spans="1:2" x14ac:dyDescent="0.25">
      <c r="A1" s="3" t="s">
        <v>0</v>
      </c>
      <c r="B1" s="4"/>
    </row>
    <row r="2" spans="1:2" x14ac:dyDescent="0.25">
      <c r="A2" s="4"/>
      <c r="B2" s="4"/>
    </row>
    <row r="3" spans="1:2" x14ac:dyDescent="0.25">
      <c r="A3" s="3" t="s">
        <v>1</v>
      </c>
      <c r="B3" s="5" t="s">
        <v>2</v>
      </c>
    </row>
    <row r="4" spans="1:2" x14ac:dyDescent="0.25">
      <c r="A4" s="4"/>
      <c r="B4" s="6" t="s">
        <v>3</v>
      </c>
    </row>
    <row r="5" spans="1:2" x14ac:dyDescent="0.25">
      <c r="A5" s="4"/>
      <c r="B5" s="6" t="s">
        <v>4</v>
      </c>
    </row>
    <row r="6" spans="1:2" x14ac:dyDescent="0.25">
      <c r="A6" s="4"/>
      <c r="B6" s="4">
        <v>2026</v>
      </c>
    </row>
    <row r="7" spans="1:2" x14ac:dyDescent="0.25">
      <c r="A7" s="4"/>
      <c r="B7" s="4"/>
    </row>
    <row r="8" spans="1:2" ht="60" customHeight="1" x14ac:dyDescent="0.25">
      <c r="A8" s="4"/>
      <c r="B8" s="6" t="s">
        <v>5</v>
      </c>
    </row>
    <row r="9" spans="1:2" x14ac:dyDescent="0.25">
      <c r="A9" s="4"/>
      <c r="B9" s="4"/>
    </row>
    <row r="10" spans="1:2" x14ac:dyDescent="0.25">
      <c r="A10" s="4"/>
      <c r="B10" s="5" t="s">
        <v>6</v>
      </c>
    </row>
    <row r="11" spans="1:2" x14ac:dyDescent="0.25">
      <c r="A11" s="4"/>
      <c r="B11" s="6" t="s">
        <v>7</v>
      </c>
    </row>
    <row r="12" spans="1:2" x14ac:dyDescent="0.25">
      <c r="A12" s="4"/>
      <c r="B12" s="6" t="s">
        <v>8</v>
      </c>
    </row>
    <row r="13" spans="1:2" x14ac:dyDescent="0.25">
      <c r="A13" s="4"/>
      <c r="B13" s="4">
        <v>2026</v>
      </c>
    </row>
    <row r="14" spans="1:2" x14ac:dyDescent="0.25">
      <c r="A14" s="4"/>
      <c r="B14" s="4"/>
    </row>
    <row r="15" spans="1:2" ht="60" customHeight="1" x14ac:dyDescent="0.25">
      <c r="A15" s="4"/>
      <c r="B15" s="6" t="s">
        <v>9</v>
      </c>
    </row>
    <row r="16" spans="1:2" x14ac:dyDescent="0.25">
      <c r="A16" s="4"/>
      <c r="B16" s="4"/>
    </row>
    <row r="17" spans="1:2" x14ac:dyDescent="0.25">
      <c r="A17" s="4"/>
      <c r="B17" s="4"/>
    </row>
    <row r="18" spans="1:2" x14ac:dyDescent="0.25">
      <c r="A18" s="3" t="s">
        <v>10</v>
      </c>
      <c r="B18" s="4"/>
    </row>
    <row r="19" spans="1:2" ht="30" customHeight="1" x14ac:dyDescent="0.25">
      <c r="A19" s="7" t="s">
        <v>11</v>
      </c>
      <c r="B19" s="6" t="s">
        <v>12</v>
      </c>
    </row>
    <row r="20" spans="1:2" ht="30" customHeight="1" x14ac:dyDescent="0.25">
      <c r="A20" s="7" t="s">
        <v>13</v>
      </c>
      <c r="B20" s="6" t="s">
        <v>14</v>
      </c>
    </row>
    <row r="21" spans="1:2" ht="30" customHeight="1" x14ac:dyDescent="0.25">
      <c r="A21" s="7" t="s">
        <v>15</v>
      </c>
      <c r="B21" s="6" t="s">
        <v>16</v>
      </c>
    </row>
    <row r="22" spans="1:2" ht="45" x14ac:dyDescent="0.25">
      <c r="A22" s="7" t="s">
        <v>17</v>
      </c>
      <c r="B22" s="6" t="s">
        <v>18</v>
      </c>
    </row>
    <row r="23" spans="1:2" ht="45" x14ac:dyDescent="0.25">
      <c r="A23" s="7" t="s">
        <v>19</v>
      </c>
      <c r="B23" s="6" t="s">
        <v>20</v>
      </c>
    </row>
    <row r="24" spans="1:2" ht="60" x14ac:dyDescent="0.25">
      <c r="A24" s="7" t="s">
        <v>21</v>
      </c>
      <c r="B24" s="2" t="s">
        <v>22</v>
      </c>
    </row>
    <row r="25" spans="1:2" ht="45" x14ac:dyDescent="0.25">
      <c r="A25" s="7" t="s">
        <v>23</v>
      </c>
      <c r="B25" s="2" t="s">
        <v>24</v>
      </c>
    </row>
    <row r="26" spans="1:2" ht="45" x14ac:dyDescent="0.25">
      <c r="A26" s="7" t="s">
        <v>25</v>
      </c>
      <c r="B26" s="2" t="s">
        <v>26</v>
      </c>
    </row>
    <row r="27" spans="1:2" ht="60" x14ac:dyDescent="0.25">
      <c r="A27" s="7" t="s">
        <v>27</v>
      </c>
      <c r="B27" s="2" t="s">
        <v>28</v>
      </c>
    </row>
    <row r="28" spans="1:2" ht="75" x14ac:dyDescent="0.25">
      <c r="A28" s="7" t="s">
        <v>29</v>
      </c>
      <c r="B28" s="2" t="s">
        <v>30</v>
      </c>
    </row>
    <row r="29" spans="1:2" ht="60" x14ac:dyDescent="0.25">
      <c r="A29" s="7" t="s">
        <v>31</v>
      </c>
      <c r="B29" s="2" t="s">
        <v>32</v>
      </c>
    </row>
    <row r="30" spans="1:2" ht="60" x14ac:dyDescent="0.25">
      <c r="A30" s="7" t="s">
        <v>33</v>
      </c>
      <c r="B30" s="2" t="s">
        <v>34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0"/>
  <sheetViews>
    <sheetView workbookViewId="0">
      <pane ySplit="1" topLeftCell="A2" activePane="bottomLeft" state="frozen"/>
      <selection pane="bottomLeft"/>
    </sheetView>
  </sheetViews>
  <sheetFormatPr defaultRowHeight="15" x14ac:dyDescent="0.25"/>
  <cols>
    <col min="1" max="1" width="46" customWidth="1"/>
    <col min="2" max="2" width="16" customWidth="1"/>
    <col min="3" max="3" width="20" customWidth="1"/>
    <col min="4" max="4" width="70" customWidth="1"/>
  </cols>
  <sheetData>
    <row r="1" spans="1:4" x14ac:dyDescent="0.25">
      <c r="A1" s="3" t="s">
        <v>35</v>
      </c>
      <c r="B1" s="3" t="s">
        <v>36</v>
      </c>
      <c r="C1" s="3" t="s">
        <v>37</v>
      </c>
      <c r="D1" s="3" t="s">
        <v>38</v>
      </c>
    </row>
    <row r="2" spans="1:4" ht="45" x14ac:dyDescent="0.25">
      <c r="A2" t="s">
        <v>39</v>
      </c>
      <c r="B2">
        <v>5125</v>
      </c>
      <c r="C2" t="s">
        <v>40</v>
      </c>
      <c r="D2" s="2" t="s">
        <v>41</v>
      </c>
    </row>
    <row r="3" spans="1:4" ht="30" x14ac:dyDescent="0.25">
      <c r="A3" t="s">
        <v>42</v>
      </c>
      <c r="B3">
        <v>5140</v>
      </c>
      <c r="C3" t="s">
        <v>40</v>
      </c>
      <c r="D3" s="2" t="s">
        <v>43</v>
      </c>
    </row>
    <row r="4" spans="1:4" ht="30" x14ac:dyDescent="0.25">
      <c r="A4" t="s">
        <v>44</v>
      </c>
      <c r="B4">
        <v>330</v>
      </c>
      <c r="C4" t="s">
        <v>45</v>
      </c>
      <c r="D4" s="2" t="s">
        <v>46</v>
      </c>
    </row>
    <row r="5" spans="1:4" x14ac:dyDescent="0.25">
      <c r="A5" t="s">
        <v>47</v>
      </c>
      <c r="B5" s="8">
        <f>B2*B4/1000</f>
        <v>1691.25</v>
      </c>
      <c r="C5" t="s">
        <v>48</v>
      </c>
      <c r="D5" s="2" t="s">
        <v>49</v>
      </c>
    </row>
    <row r="6" spans="1:4" x14ac:dyDescent="0.25">
      <c r="A6" t="s">
        <v>50</v>
      </c>
      <c r="B6" s="8">
        <f>B3*B4/1000</f>
        <v>1696.2</v>
      </c>
      <c r="C6" t="s">
        <v>48</v>
      </c>
      <c r="D6" s="2" t="s">
        <v>51</v>
      </c>
    </row>
    <row r="7" spans="1:4" ht="45" x14ac:dyDescent="0.25">
      <c r="A7" t="s">
        <v>52</v>
      </c>
      <c r="B7" s="8">
        <f>ROUND(B6,-2)</f>
        <v>1700</v>
      </c>
      <c r="C7" t="s">
        <v>48</v>
      </c>
      <c r="D7" s="2" t="s">
        <v>53</v>
      </c>
    </row>
    <row r="8" spans="1:4" x14ac:dyDescent="0.25">
      <c r="A8" t="s">
        <v>54</v>
      </c>
      <c r="B8" s="8">
        <v>1.0000000000000001E-9</v>
      </c>
      <c r="C8" t="s">
        <v>55</v>
      </c>
      <c r="D8" s="2" t="s">
        <v>56</v>
      </c>
    </row>
    <row r="9" spans="1:4" x14ac:dyDescent="0.25">
      <c r="A9" t="s">
        <v>57</v>
      </c>
      <c r="B9">
        <v>62.8</v>
      </c>
      <c r="C9" t="s">
        <v>58</v>
      </c>
      <c r="D9" s="2" t="s">
        <v>59</v>
      </c>
    </row>
    <row r="10" spans="1:4" x14ac:dyDescent="0.25">
      <c r="A10" t="s">
        <v>60</v>
      </c>
      <c r="B10" s="8">
        <v>1E-8</v>
      </c>
      <c r="C10" t="s">
        <v>55</v>
      </c>
      <c r="D10" s="2" t="s">
        <v>61</v>
      </c>
    </row>
    <row r="11" spans="1:4" x14ac:dyDescent="0.25">
      <c r="A11" t="s">
        <v>62</v>
      </c>
      <c r="B11">
        <v>594.9</v>
      </c>
      <c r="C11" t="s">
        <v>58</v>
      </c>
      <c r="D11" s="2" t="s">
        <v>63</v>
      </c>
    </row>
    <row r="12" spans="1:4" ht="75" x14ac:dyDescent="0.25">
      <c r="A12" t="s">
        <v>64</v>
      </c>
      <c r="B12" s="8">
        <f>B11/B9</f>
        <v>9.4729299363057322</v>
      </c>
      <c r="C12" t="s">
        <v>65</v>
      </c>
      <c r="D12" s="2" t="s">
        <v>66</v>
      </c>
    </row>
    <row r="13" spans="1:4" ht="45" x14ac:dyDescent="0.25">
      <c r="A13" t="s">
        <v>67</v>
      </c>
      <c r="B13" s="8">
        <f>B10*B7/B11</f>
        <v>2.8576231299378046E-8</v>
      </c>
      <c r="C13" t="s">
        <v>55</v>
      </c>
      <c r="D13" s="2" t="s">
        <v>68</v>
      </c>
    </row>
    <row r="14" spans="1:4" ht="30" x14ac:dyDescent="0.25">
      <c r="A14" t="s">
        <v>69</v>
      </c>
      <c r="B14" s="8">
        <f>B13</f>
        <v>2.8576231299378046E-8</v>
      </c>
      <c r="C14" t="s">
        <v>55</v>
      </c>
      <c r="D14" s="2" t="s">
        <v>70</v>
      </c>
    </row>
    <row r="15" spans="1:4" ht="60" x14ac:dyDescent="0.25">
      <c r="A15" t="s">
        <v>71</v>
      </c>
      <c r="B15">
        <v>1542</v>
      </c>
      <c r="C15" t="s">
        <v>58</v>
      </c>
      <c r="D15" s="2" t="s">
        <v>72</v>
      </c>
    </row>
    <row r="16" spans="1:4" ht="45" x14ac:dyDescent="0.25">
      <c r="A16" t="s">
        <v>73</v>
      </c>
      <c r="B16" s="8">
        <f>B13*B7/B15</f>
        <v>3.15042757515841E-8</v>
      </c>
      <c r="C16" t="s">
        <v>55</v>
      </c>
      <c r="D16" s="2" t="s">
        <v>74</v>
      </c>
    </row>
    <row r="17" spans="1:4" ht="30" x14ac:dyDescent="0.25">
      <c r="A17" t="s">
        <v>75</v>
      </c>
      <c r="B17" s="8">
        <v>3.1510000000000002E-8</v>
      </c>
      <c r="C17" t="s">
        <v>55</v>
      </c>
      <c r="D17" s="2" t="s">
        <v>76</v>
      </c>
    </row>
    <row r="19" spans="1:4" x14ac:dyDescent="0.25">
      <c r="A19" s="9" t="s">
        <v>77</v>
      </c>
      <c r="B19" s="10"/>
      <c r="C19" s="10"/>
      <c r="D19" s="10"/>
    </row>
    <row r="20" spans="1:4" x14ac:dyDescent="0.25">
      <c r="A20" s="10"/>
      <c r="B20" s="10"/>
      <c r="C20" s="10"/>
      <c r="D20" s="10"/>
    </row>
  </sheetData>
  <mergeCells count="1">
    <mergeCell ref="A19:D20"/>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sheetPr>
  <dimension ref="A1:AE2"/>
  <sheetViews>
    <sheetView workbookViewId="0"/>
  </sheetViews>
  <sheetFormatPr defaultRowHeight="15" x14ac:dyDescent="0.25"/>
  <cols>
    <col min="1" max="1" width="24" customWidth="1"/>
  </cols>
  <sheetData>
    <row r="1" spans="1:31" x14ac:dyDescent="0.25">
      <c r="A1" t="s">
        <v>78</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79</v>
      </c>
      <c r="B2">
        <v>0</v>
      </c>
      <c r="C2">
        <v>0</v>
      </c>
      <c r="D2">
        <v>0</v>
      </c>
      <c r="E2">
        <v>0</v>
      </c>
      <c r="F2">
        <f>Calibration!$B$16</f>
        <v>3.15042757515841E-8</v>
      </c>
      <c r="G2">
        <f>Calibration!$B$16</f>
        <v>3.15042757515841E-8</v>
      </c>
      <c r="H2">
        <f>Calibration!$B$16</f>
        <v>3.15042757515841E-8</v>
      </c>
      <c r="I2">
        <f>Calibration!$B$16</f>
        <v>3.15042757515841E-8</v>
      </c>
      <c r="J2">
        <f>Calibration!$B$16</f>
        <v>3.15042757515841E-8</v>
      </c>
      <c r="K2">
        <f>Calibration!$B$16</f>
        <v>3.15042757515841E-8</v>
      </c>
      <c r="L2">
        <f>Calibration!$B$16</f>
        <v>3.15042757515841E-8</v>
      </c>
      <c r="M2">
        <f>Calibration!$B$16</f>
        <v>3.15042757515841E-8</v>
      </c>
      <c r="N2">
        <f>Calibration!$B$16</f>
        <v>3.15042757515841E-8</v>
      </c>
      <c r="O2">
        <f>Calibration!$B$16</f>
        <v>3.15042757515841E-8</v>
      </c>
      <c r="P2">
        <f>Calibration!$B$16</f>
        <v>3.15042757515841E-8</v>
      </c>
      <c r="Q2">
        <f>Calibration!$B$16</f>
        <v>3.15042757515841E-8</v>
      </c>
      <c r="R2">
        <f>Calibration!$B$16</f>
        <v>3.15042757515841E-8</v>
      </c>
      <c r="S2">
        <f>Calibration!$B$16</f>
        <v>3.15042757515841E-8</v>
      </c>
      <c r="T2">
        <f>Calibration!$B$16</f>
        <v>3.15042757515841E-8</v>
      </c>
      <c r="U2">
        <f>Calibration!$B$16</f>
        <v>3.15042757515841E-8</v>
      </c>
      <c r="V2">
        <f>Calibration!$B$16</f>
        <v>3.15042757515841E-8</v>
      </c>
      <c r="W2">
        <f>Calibration!$B$16</f>
        <v>3.15042757515841E-8</v>
      </c>
      <c r="X2">
        <f>Calibration!$B$16</f>
        <v>3.15042757515841E-8</v>
      </c>
      <c r="Y2">
        <f>Calibration!$B$16</f>
        <v>3.15042757515841E-8</v>
      </c>
      <c r="Z2">
        <f>Calibration!$B$16</f>
        <v>3.15042757515841E-8</v>
      </c>
      <c r="AA2">
        <f>Calibration!$B$16</f>
        <v>3.15042757515841E-8</v>
      </c>
      <c r="AB2">
        <f>Calibration!$B$16</f>
        <v>3.15042757515841E-8</v>
      </c>
      <c r="AC2">
        <f>Calibration!$B$16</f>
        <v>3.15042757515841E-8</v>
      </c>
      <c r="AD2">
        <f>Calibration!$B$16</f>
        <v>3.15042757515841E-8</v>
      </c>
      <c r="AE2">
        <f>Calibration!$B$16</f>
        <v>3.15042757515841E-8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3"/>
  <sheetViews>
    <sheetView workbookViewId="0"/>
  </sheetViews>
  <sheetFormatPr defaultRowHeight="15" x14ac:dyDescent="0.25"/>
  <cols>
    <col min="1" max="1" width="26" customWidth="1"/>
    <col min="7" max="7" width="80" customWidth="1"/>
  </cols>
  <sheetData>
    <row r="1" spans="1:7" x14ac:dyDescent="0.25">
      <c r="A1" s="1" t="s">
        <v>80</v>
      </c>
      <c r="B1" s="1" t="s">
        <v>81</v>
      </c>
      <c r="C1" s="1" t="s">
        <v>82</v>
      </c>
      <c r="D1" s="1" t="s">
        <v>83</v>
      </c>
      <c r="E1" s="1" t="s">
        <v>84</v>
      </c>
      <c r="F1" s="1" t="s">
        <v>85</v>
      </c>
      <c r="G1" s="1" t="s">
        <v>86</v>
      </c>
    </row>
    <row r="2" spans="1:7" x14ac:dyDescent="0.25">
      <c r="A2" t="s">
        <v>87</v>
      </c>
      <c r="B2">
        <v>0</v>
      </c>
      <c r="C2">
        <v>0.05</v>
      </c>
      <c r="D2">
        <v>0.2</v>
      </c>
      <c r="E2">
        <v>0.5</v>
      </c>
      <c r="F2">
        <v>0.8</v>
      </c>
      <c r="G2" t="s">
        <v>88</v>
      </c>
    </row>
    <row r="3" spans="1:7" x14ac:dyDescent="0.25">
      <c r="A3" t="s">
        <v>89</v>
      </c>
      <c r="B3">
        <v>0</v>
      </c>
      <c r="C3">
        <v>0.15</v>
      </c>
      <c r="D3">
        <v>0.45</v>
      </c>
      <c r="E3">
        <v>0.75</v>
      </c>
      <c r="F3">
        <v>0.95</v>
      </c>
      <c r="G3" t="s">
        <v>90</v>
      </c>
    </row>
    <row r="4" spans="1:7" x14ac:dyDescent="0.25">
      <c r="A4" t="s">
        <v>91</v>
      </c>
      <c r="B4">
        <v>0</v>
      </c>
      <c r="C4">
        <v>0.3</v>
      </c>
      <c r="D4">
        <v>0.7</v>
      </c>
      <c r="E4">
        <v>0.9</v>
      </c>
      <c r="F4">
        <v>1</v>
      </c>
      <c r="G4" t="s">
        <v>92</v>
      </c>
    </row>
    <row r="6" spans="1:7" x14ac:dyDescent="0.25">
      <c r="A6" t="s">
        <v>93</v>
      </c>
    </row>
    <row r="7" spans="1:7" x14ac:dyDescent="0.25">
      <c r="A7" t="s">
        <v>94</v>
      </c>
    </row>
    <row r="8" spans="1:7" x14ac:dyDescent="0.25">
      <c r="A8" t="s">
        <v>95</v>
      </c>
    </row>
    <row r="9" spans="1:7" x14ac:dyDescent="0.25">
      <c r="A9" t="s">
        <v>96</v>
      </c>
    </row>
    <row r="11" spans="1:7" x14ac:dyDescent="0.25">
      <c r="A11" s="11" t="s">
        <v>97</v>
      </c>
      <c r="B11" s="10"/>
      <c r="C11" s="10"/>
      <c r="D11" s="10"/>
      <c r="E11" s="10"/>
      <c r="F11" s="10"/>
      <c r="G11" s="10"/>
    </row>
    <row r="12" spans="1:7" x14ac:dyDescent="0.25">
      <c r="A12" s="10"/>
      <c r="B12" s="10"/>
      <c r="C12" s="10"/>
      <c r="D12" s="10"/>
      <c r="E12" s="10"/>
      <c r="F12" s="10"/>
      <c r="G12" s="10"/>
    </row>
    <row r="13" spans="1:7" x14ac:dyDescent="0.25">
      <c r="A13" s="10"/>
      <c r="B13" s="10"/>
      <c r="C13" s="10"/>
      <c r="D13" s="10"/>
      <c r="E13" s="10"/>
      <c r="F13" s="10"/>
      <c r="G13" s="10"/>
    </row>
  </sheetData>
  <mergeCells count="1">
    <mergeCell ref="A11:G13"/>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Calibration</vt:lpstr>
      <vt:lpstr>TBS</vt:lpstr>
      <vt:lpstr>Ramp Candidates (not shipped)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2026-08-14T21:31:30Z</dcterms:created>
  <dcterms:modified xsi:type="dcterms:W3CDTF">2026-08-20T23:27:55Z</dcterms:modified>
</cp:coreProperties>
</file>