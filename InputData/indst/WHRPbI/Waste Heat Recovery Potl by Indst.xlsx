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ndst\WHRPbI\"/>
    </mc:Choice>
  </mc:AlternateContent>
  <xr:revisionPtr revIDLastSave="0" documentId="13_ncr:1_{87205B78-6E0D-493E-B94C-845DC7BFEC91}" xr6:coauthVersionLast="47" xr6:coauthVersionMax="47" xr10:uidLastSave="{00000000-0000-0000-0000-000000000000}"/>
  <bookViews>
    <workbookView xWindow="-110" yWindow="-110" windowWidth="19420" windowHeight="11500" tabRatio="770" xr2:uid="{7D5963C0-FA73-4A20-914D-C5C19178119F}"/>
  </bookViews>
  <sheets>
    <sheet name="About" sheetId="1" r:id="rId1"/>
    <sheet name="EU Data" sheetId="149" r:id="rId2"/>
    <sheet name="BPFUbIP-Summed Data by Industry" sheetId="150" r:id="rId3"/>
    <sheet name="Calcs" sheetId="151" r:id="rId4"/>
    <sheet name="WHRPbI" sheetId="148" r:id="rId5"/>
  </sheets>
  <externalReferences>
    <externalReference r:id="rId6"/>
    <externalReference r:id="rId7"/>
    <externalReference r:id="rId8"/>
    <externalReference r:id="rId9"/>
  </externalReferences>
  <definedNames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[3]About!$A$31</definedName>
    <definedName name="N2O_to_CO2e">'[1]Cross-Page Data'!$C$13</definedName>
    <definedName name="unit_conv">[4]About!$A$123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6" i="148" l="1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C27" i="151"/>
  <c r="C26" i="151"/>
  <c r="C25" i="151"/>
  <c r="C24" i="151"/>
  <c r="C23" i="151"/>
  <c r="C22" i="151"/>
  <c r="C21" i="151"/>
  <c r="C20" i="151"/>
  <c r="C19" i="151"/>
  <c r="C18" i="151"/>
  <c r="C17" i="151"/>
  <c r="C16" i="151"/>
  <c r="C15" i="151"/>
  <c r="C14" i="151"/>
  <c r="C13" i="151"/>
  <c r="C12" i="151"/>
  <c r="C11" i="151"/>
  <c r="C10" i="151"/>
  <c r="C9" i="151"/>
  <c r="C8" i="151"/>
  <c r="C7" i="151"/>
  <c r="C6" i="151"/>
  <c r="C5" i="151"/>
  <c r="C4" i="151"/>
  <c r="C3" i="15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C4" authorId="0" shapeId="0" xr:uid="{0A39BB56-A820-4667-9208-6977F04070CC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added to enable financial policies driving boiler electrification</t>
        </r>
      </text>
    </comment>
    <comment ref="J4" authorId="0" shapeId="0" xr:uid="{D8CE2B53-D090-49AE-BD7D-34621527F252}">
      <text>
        <r>
          <rPr>
            <b/>
            <sz val="9"/>
            <color indexed="81"/>
            <rFont val="Tahoma"/>
            <family val="2"/>
          </rPr>
          <t>Dan O'Brien:</t>
        </r>
        <r>
          <rPr>
            <sz val="9"/>
            <color indexed="81"/>
            <rFont val="Tahoma"/>
            <family val="2"/>
          </rPr>
          <t xml:space="preserve">
added to enable financial policies driving boiler electrification</t>
        </r>
      </text>
    </comment>
  </commentList>
</comments>
</file>

<file path=xl/sharedStrings.xml><?xml version="1.0" encoding="utf-8"?>
<sst xmlns="http://schemas.openxmlformats.org/spreadsheetml/2006/main" count="308" uniqueCount="121">
  <si>
    <t>Sources:</t>
  </si>
  <si>
    <t>Notes:</t>
  </si>
  <si>
    <t>WHRPbI Waste Heat Recovery Potential by Industry</t>
  </si>
  <si>
    <t>Recovery Potential</t>
  </si>
  <si>
    <t>Energ. Ecol. Environ.</t>
  </si>
  <si>
    <t>Estimating the waste heat recovery in the European Union Industry</t>
  </si>
  <si>
    <t>https://link.springer.com/article/10.1007/s40974-019-00132-7</t>
  </si>
  <si>
    <t>Fig. 7</t>
  </si>
  <si>
    <t>Indst</t>
  </si>
  <si>
    <t>Potential</t>
  </si>
  <si>
    <t>LT</t>
  </si>
  <si>
    <t>MT</t>
  </si>
  <si>
    <t>HT</t>
  </si>
  <si>
    <t>NS</t>
  </si>
  <si>
    <t>C</t>
  </si>
  <si>
    <t>W&amp;WP</t>
  </si>
  <si>
    <t>M</t>
  </si>
  <si>
    <t>TE</t>
  </si>
  <si>
    <t>PPP</t>
  </si>
  <si>
    <t>T&amp;L</t>
  </si>
  <si>
    <t>F&amp;T</t>
  </si>
  <si>
    <t>M&amp;Q</t>
  </si>
  <si>
    <t>NMM</t>
  </si>
  <si>
    <t>C&amp;P</t>
  </si>
  <si>
    <t>NFM</t>
  </si>
  <si>
    <t>I&amp;S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</si>
  <si>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</si>
  <si>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</si>
  <si>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</si>
  <si>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</si>
  <si>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</si>
  <si>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</si>
  <si>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</si>
  <si>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</si>
  <si>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</si>
  <si>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</si>
  <si>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</si>
  <si>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</si>
  <si>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</si>
  <si>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</si>
  <si>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</si>
  <si>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</si>
  <si>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</si>
  <si>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</si>
  <si>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</si>
  <si>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</si>
  <si>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</si>
  <si>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</si>
  <si>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</si>
  <si>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</si>
  <si>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</si>
  <si>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Potential (TWh)</t>
  </si>
  <si>
    <t>Potential (%)</t>
  </si>
  <si>
    <t>dmnl</t>
  </si>
  <si>
    <t>Fuel Type</t>
  </si>
  <si>
    <t>electricity if</t>
  </si>
  <si>
    <t>heavy or residual fuel oil if</t>
  </si>
  <si>
    <t>petroleum diesel if</t>
  </si>
  <si>
    <t>natural gas if</t>
  </si>
  <si>
    <t>LPG propane or butane if</t>
  </si>
  <si>
    <t>hard coal if</t>
  </si>
  <si>
    <t>biomass if</t>
  </si>
  <si>
    <t>MECS Row Adder</t>
  </si>
  <si>
    <t>MECS/Non-MECS</t>
  </si>
  <si>
    <t>Industry Category</t>
  </si>
  <si>
    <t>Boilers</t>
  </si>
  <si>
    <t>Nonboiler heat</t>
  </si>
  <si>
    <t>Cooling</t>
  </si>
  <si>
    <t>Machine Drive</t>
  </si>
  <si>
    <t>Other process</t>
  </si>
  <si>
    <t>Facility HVAC</t>
  </si>
  <si>
    <t>Facility Lighting</t>
  </si>
  <si>
    <t>Other Nonprocess</t>
  </si>
  <si>
    <t>Notes</t>
  </si>
  <si>
    <t>uses non-MECS EIA table</t>
  </si>
  <si>
    <t>Buildings is assumed to be heating for barns and greenhouses, which is process heating, not non-process heating, when it is for animals or plants in agriculture.  IRR = irrigation, which is assumed to be machine drive (for pumps). Also, we count municipal solid waste (which is not broken out as an industrial fuel in the EPS) as biomass.</t>
  </si>
  <si>
    <t>Electricity and diesel use are assumed to be machine drive (mining equipment, elevators, pumps, etc.)  Natural gas is assumed to provide process heat.</t>
  </si>
  <si>
    <t>Electricity and diesel use are assumed to be machine drive (mining equipment, elevators, pumps, etc.)  Other fuels are assumed to provide process heat.</t>
  </si>
  <si>
    <t>MECS</t>
  </si>
  <si>
    <t>For biomass, we assume energy use is split evenly between boilers and non-boiler process heating (such as drying).</t>
  </si>
  <si>
    <t>see notes below</t>
  </si>
  <si>
    <t>The energy here is assumed to be largely pipelines, not natural gas processing.  Energy use is dominated by pumps to move fluid, which is machine drive.</t>
  </si>
  <si>
    <t>See notes below on this sheet.</t>
  </si>
  <si>
    <t>Electricity and diesel use are assumed to be machine drive (construction equipment).  Other fuels are assumed to provide process heat.</t>
  </si>
  <si>
    <t>Note on MECS Rows / Categories</t>
  </si>
  <si>
    <t>In cases where the EPS industry category is the sum of several MECS categories, we just take the most representative and/or largest MECS category,</t>
  </si>
  <si>
    <t xml:space="preserve">Note: "other nonprocess" covers several categories, as you can see in Table 5.2: in MECS, it sums </t>
  </si>
  <si>
    <t>which simplifies the formulas greatly and shouldn't meaningfully affect the results, as all we care about here are the percentages of energy use by industrial process,</t>
  </si>
  <si>
    <t>onsite transportation, facility support, and onsite electricity generation (e.g., generators).</t>
  </si>
  <si>
    <t>not the total quantities of energy use.</t>
  </si>
  <si>
    <t>For non-manufacturing industries, the biggest contributor is mobile equipment like agricultural</t>
  </si>
  <si>
    <t>Note on Excluded Energy Uses</t>
  </si>
  <si>
    <t>tractors, offroad construction equipment and mobile mining equipment. The file indst/PoONEUTiMEbIC</t>
  </si>
  <si>
    <t>Nonprocess uses (building HVAC, on-site vehicles like farm vehicles and forklifts) are omitted.</t>
  </si>
  <si>
    <t>defines the share of other nonprocess equipment is mobile equipment. This is important because</t>
  </si>
  <si>
    <t>Heating barns and greenhouses to grow animals and plants is considered a process use, not a non-process use, even though it is heating of buildings.</t>
  </si>
  <si>
    <t>both the technologies and policies for decarbonizing as well as the costs of these sources are quite</t>
  </si>
  <si>
    <t>different from stationary equipment.</t>
  </si>
  <si>
    <t>Note on Water and Waste Industry</t>
  </si>
  <si>
    <t>Solid waste is dominated by vehicles (waste hauling trucks), which are considered nonprocess uses and are excluded.</t>
  </si>
  <si>
    <t>Water treatment is mostly electricity, but fossil fuels are sometimes used for multi-effect distillation and flash distillation,</t>
  </si>
  <si>
    <t>both of which involve boiling water.  Since the fuel is being used to boil water, we categorize it as "boilers," even if the</t>
  </si>
  <si>
    <t>equipment involved may not techically be a "boiler."</t>
  </si>
  <si>
    <t>See Figure 8 on page 28 of the IEA Water-Energy Nexus report (2016) and the "Thermal" explanation on page 36, at:</t>
  </si>
  <si>
    <t>https://iea.blob.core.windows.net/assets/e4a7e1a5-b6ed-4f36-911f-b0111e49aab9/WorldEnergyOutlook2016ExcerptWaterEnergyNexus.pdf</t>
  </si>
  <si>
    <t>We arbitrarily assign "1" to boilers and "0" to other rows to achieve a 100% value for boilers.</t>
  </si>
  <si>
    <t>For electricity, energy use is dominated by pumping and water transfer, which is machine drive, and even treatment steps use electricity for machine drive.</t>
  </si>
  <si>
    <t>industry share of energy used for heat</t>
  </si>
  <si>
    <t>Share of industry energy use for heat</t>
  </si>
  <si>
    <t>indst/BPFUbIP</t>
  </si>
  <si>
    <t>We find the potential recoverable waste heat from Bianchi et al. This source provides</t>
  </si>
  <si>
    <t>Rather than attempting to map temperature data from the Bianchi paper, which would</t>
  </si>
  <si>
    <t>recovery potential as a share of total industry primary energy consumption. We</t>
  </si>
  <si>
    <t xml:space="preserve">the input file indst/BPFUbIP. </t>
  </si>
  <si>
    <t xml:space="preserve">convert this to each industry's share of energy used to generate heat via data found in </t>
  </si>
  <si>
    <t xml:space="preserve">be difficult because we separate heat demand between boilers and nonboiler heat at </t>
  </si>
  <si>
    <t>various temperatures, we simply assume that recoverable heat is distributed proportionally</t>
  </si>
  <si>
    <t xml:space="preserve">to each industry's demand for boiler and nonboiler heat of various temperatures. </t>
  </si>
  <si>
    <t>EPS ISIC 1</t>
  </si>
  <si>
    <t>EPS ISIC 2</t>
  </si>
  <si>
    <t>EPS ISIC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</si>
</sst>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000"/>
    <numFmt numFmtId="165" formatCode="0.0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7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0" fontId="11" fillId="0" borderId="0" applyNumberFormat="0" applyFill="0" applyBorder="0" applyAlignment="0" applyProtection="0"/>
    <xf numFmtId="0" fontId="9" fillId="0" borderId="10" applyNumberFormat="0" applyProtection="0">
      <alignment wrapText="1"/>
    </xf>
    <xf numFmtId="0" fontId="12" fillId="0" borderId="0" applyNumberFormat="0" applyProtection="0">
      <alignment horizontal="left"/>
    </xf>
    <xf numFmtId="0" fontId="9" fillId="0" borderId="9" applyNumberFormat="0" applyProtection="0">
      <alignment wrapText="1"/>
    </xf>
    <xf numFmtId="0" fontId="11" fillId="0" borderId="8" applyNumberFormat="0" applyFont="0" applyProtection="0">
      <alignment wrapText="1"/>
    </xf>
    <xf numFmtId="0" fontId="11" fillId="0" borderId="11" applyNumberFormat="0" applyProtection="0">
      <alignment wrapText="1"/>
    </xf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12" applyNumberFormat="0" applyFill="0" applyAlignment="0" applyProtection="0"/>
    <xf numFmtId="0" fontId="16" fillId="0" borderId="13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14" applyNumberFormat="0" applyAlignment="0" applyProtection="0"/>
    <xf numFmtId="0" fontId="20" fillId="7" borderId="15" applyNumberFormat="0" applyAlignment="0" applyProtection="0"/>
    <xf numFmtId="0" fontId="21" fillId="7" borderId="14" applyNumberFormat="0" applyAlignment="0" applyProtection="0"/>
    <xf numFmtId="0" fontId="22" fillId="0" borderId="16" applyNumberFormat="0" applyFill="0" applyAlignment="0" applyProtection="0"/>
    <xf numFmtId="0" fontId="23" fillId="8" borderId="17" applyNumberFormat="0" applyAlignment="0" applyProtection="0"/>
    <xf numFmtId="0" fontId="10" fillId="0" borderId="0" applyNumberFormat="0" applyFill="0" applyBorder="0" applyAlignment="0" applyProtection="0"/>
    <xf numFmtId="0" fontId="7" fillId="9" borderId="18" applyNumberFormat="0" applyFont="0" applyAlignment="0" applyProtection="0"/>
    <xf numFmtId="0" fontId="24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5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5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5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5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5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5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6" fillId="5" borderId="0" applyNumberFormat="0" applyBorder="0" applyAlignment="0" applyProtection="0"/>
    <xf numFmtId="0" fontId="25" fillId="13" borderId="0" applyNumberFormat="0" applyBorder="0" applyAlignment="0" applyProtection="0"/>
    <xf numFmtId="0" fontId="25" fillId="17" borderId="0" applyNumberFormat="0" applyBorder="0" applyAlignment="0" applyProtection="0"/>
    <xf numFmtId="0" fontId="25" fillId="21" borderId="0" applyNumberFormat="0" applyBorder="0" applyAlignment="0" applyProtection="0"/>
    <xf numFmtId="0" fontId="25" fillId="25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7" fillId="9" borderId="18" applyNumberFormat="0" applyFont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7" fillId="0" borderId="0"/>
    <xf numFmtId="0" fontId="7" fillId="0" borderId="0"/>
    <xf numFmtId="0" fontId="7" fillId="0" borderId="0"/>
    <xf numFmtId="43" fontId="27" fillId="0" borderId="0" applyFont="0" applyFill="0" applyBorder="0" applyAlignment="0" applyProtection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28" fillId="0" borderId="0"/>
    <xf numFmtId="0" fontId="30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1" fillId="2" borderId="0" xfId="0" applyFont="1" applyFill="1"/>
    <xf numFmtId="0" fontId="9" fillId="0" borderId="9" xfId="23">
      <alignment wrapText="1"/>
    </xf>
    <xf numFmtId="0" fontId="0" fillId="0" borderId="8" xfId="24" applyFont="1">
      <alignment wrapText="1"/>
    </xf>
    <xf numFmtId="0" fontId="0" fillId="0" borderId="0" xfId="0" applyAlignment="1">
      <alignment horizontal="left"/>
    </xf>
    <xf numFmtId="0" fontId="0" fillId="34" borderId="0" xfId="0" applyFill="1"/>
    <xf numFmtId="10" fontId="0" fillId="0" borderId="0" xfId="0" applyNumberFormat="1"/>
    <xf numFmtId="164" fontId="0" fillId="0" borderId="0" xfId="18" applyNumberFormat="1" applyFont="1"/>
    <xf numFmtId="0" fontId="1" fillId="35" borderId="0" xfId="0" applyFont="1" applyFill="1"/>
    <xf numFmtId="0" fontId="1" fillId="36" borderId="0" xfId="0" applyFont="1" applyFill="1" applyAlignment="1">
      <alignment horizontal="left" wrapText="1"/>
    </xf>
    <xf numFmtId="0" fontId="1" fillId="36" borderId="0" xfId="0" applyFont="1" applyFill="1" applyAlignment="1">
      <alignment horizontal="right" wrapText="1"/>
    </xf>
    <xf numFmtId="0" fontId="0" fillId="0" borderId="0" xfId="0" applyAlignment="1">
      <alignment horizontal="right" wrapText="1"/>
    </xf>
    <xf numFmtId="0" fontId="1" fillId="0" borderId="0" xfId="0" applyFont="1" applyAlignment="1">
      <alignment horizontal="left" wrapText="1"/>
    </xf>
    <xf numFmtId="165" fontId="0" fillId="37" borderId="0" xfId="0" applyNumberFormat="1" applyFill="1"/>
    <xf numFmtId="1" fontId="0" fillId="0" borderId="0" xfId="0" applyNumberFormat="1"/>
    <xf numFmtId="165" fontId="0" fillId="0" borderId="0" xfId="0" applyNumberFormat="1"/>
    <xf numFmtId="1" fontId="0" fillId="35" borderId="0" xfId="0" applyNumberFormat="1" applyFill="1"/>
    <xf numFmtId="2" fontId="0" fillId="0" borderId="0" xfId="0" applyNumberFormat="1"/>
    <xf numFmtId="1" fontId="0" fillId="0" borderId="0" xfId="18" applyNumberFormat="1" applyFont="1"/>
    <xf numFmtId="0" fontId="1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9" fillId="35" borderId="0" xfId="0" applyFont="1" applyFill="1" applyAlignment="1">
      <alignment horizontal="right"/>
    </xf>
    <xf numFmtId="0" fontId="29" fillId="35" borderId="0" xfId="0" applyFont="1" applyFill="1"/>
    <xf numFmtId="0" fontId="29" fillId="0" borderId="0" xfId="0" applyFont="1"/>
    <xf numFmtId="0" fontId="30" fillId="0" borderId="0" xfId="106" applyAlignment="1">
      <alignment horizontal="left"/>
    </xf>
  </cellXfs>
  <cellStyles count="107">
    <cellStyle name="20% - Accent1" xfId="43" builtinId="30" customBuiltin="1"/>
    <cellStyle name="20% - Accent1 2" xfId="68" xr:uid="{00000000-0005-0000-0000-000001000000}"/>
    <cellStyle name="20% - Accent2" xfId="46" builtinId="34" customBuiltin="1"/>
    <cellStyle name="20% - Accent2 2" xfId="70" xr:uid="{00000000-0005-0000-0000-000003000000}"/>
    <cellStyle name="20% - Accent3" xfId="49" builtinId="38" customBuiltin="1"/>
    <cellStyle name="20% - Accent3 2" xfId="72" xr:uid="{00000000-0005-0000-0000-000005000000}"/>
    <cellStyle name="20% - Accent4" xfId="52" builtinId="42" customBuiltin="1"/>
    <cellStyle name="20% - Accent4 2" xfId="74" xr:uid="{00000000-0005-0000-0000-000007000000}"/>
    <cellStyle name="20% - Accent5" xfId="55" builtinId="46" customBuiltin="1"/>
    <cellStyle name="20% - Accent5 2" xfId="76" xr:uid="{00000000-0005-0000-0000-000009000000}"/>
    <cellStyle name="20% - Accent6" xfId="58" builtinId="50" customBuiltin="1"/>
    <cellStyle name="20% - Accent6 2" xfId="78" xr:uid="{00000000-0005-0000-0000-00000B000000}"/>
    <cellStyle name="40% - Accent1" xfId="44" builtinId="31" customBuiltin="1"/>
    <cellStyle name="40% - Accent1 2" xfId="69" xr:uid="{00000000-0005-0000-0000-00000D000000}"/>
    <cellStyle name="40% - Accent2" xfId="47" builtinId="35" customBuiltin="1"/>
    <cellStyle name="40% - Accent2 2" xfId="71" xr:uid="{00000000-0005-0000-0000-00000F000000}"/>
    <cellStyle name="40% - Accent3" xfId="50" builtinId="39" customBuiltin="1"/>
    <cellStyle name="40% - Accent3 2" xfId="73" xr:uid="{00000000-0005-0000-0000-000011000000}"/>
    <cellStyle name="40% - Accent4" xfId="53" builtinId="43" customBuiltin="1"/>
    <cellStyle name="40% - Accent4 2" xfId="75" xr:uid="{00000000-0005-0000-0000-000013000000}"/>
    <cellStyle name="40% - Accent5" xfId="56" builtinId="47" customBuiltin="1"/>
    <cellStyle name="40% - Accent5 2" xfId="77" xr:uid="{00000000-0005-0000-0000-000015000000}"/>
    <cellStyle name="40% - Accent6" xfId="59" builtinId="51" customBuiltin="1"/>
    <cellStyle name="40% - Accent6 2" xfId="79" xr:uid="{00000000-0005-0000-0000-000017000000}"/>
    <cellStyle name="60% - Accent1 2" xfId="61" xr:uid="{00000000-0005-0000-0000-000018000000}"/>
    <cellStyle name="60% - Accent2 2" xfId="62" xr:uid="{00000000-0005-0000-0000-000019000000}"/>
    <cellStyle name="60% - Accent3 2" xfId="63" xr:uid="{00000000-0005-0000-0000-00001A000000}"/>
    <cellStyle name="60% - Accent4 2" xfId="64" xr:uid="{00000000-0005-0000-0000-00001B000000}"/>
    <cellStyle name="60% - Accent5 2" xfId="65" xr:uid="{00000000-0005-0000-0000-00001C000000}"/>
    <cellStyle name="60% - Accent6 2" xfId="66" xr:uid="{00000000-0005-0000-0000-00001D000000}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Bad" xfId="32" builtinId="27" customBuiltin="1"/>
    <cellStyle name="Body: normal cell" xfId="2" xr:uid="{00000000-0005-0000-0000-000025000000}"/>
    <cellStyle name="Body: normal cell 2" xfId="24" xr:uid="{00000000-0005-0000-0000-000026000000}"/>
    <cellStyle name="Body: normal cell 2 2" xfId="99" xr:uid="{F9FD22FD-A8AD-4FDF-A2F8-00447604C49E}"/>
    <cellStyle name="Body: normal cell 3" xfId="92" xr:uid="{BCD0E873-A543-467A-9A49-B4333F53A44A}"/>
    <cellStyle name="Body: normal cell 4" xfId="84" xr:uid="{E9DA1D56-D392-4FDD-9AB9-AFD697ADE56D}"/>
    <cellStyle name="Calculation" xfId="35" builtinId="22" customBuiltin="1"/>
    <cellStyle name="Check Cell" xfId="37" builtinId="23" customBuiltin="1"/>
    <cellStyle name="Comma 2" xfId="83" xr:uid="{B0EABCB8-8FF6-4E8E-9CBF-73B9F155E41F}"/>
    <cellStyle name="Explanatory Text" xfId="40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20" xr:uid="{00000000-0005-0000-0000-00002C000000}"/>
    <cellStyle name="Font: Calibri, 9pt regular 2 2" xfId="100" xr:uid="{B45A806B-4A6D-4EC3-B426-2C89AA8B79A9}"/>
    <cellStyle name="Font: Calibri, 9pt regular 3" xfId="93" xr:uid="{BA946337-1538-435C-8E51-43B0AD91BF5A}"/>
    <cellStyle name="Font: Calibri, 9pt regular 4" xfId="85" xr:uid="{C0C14341-A837-4ACD-830F-CFF774233564}"/>
    <cellStyle name="Footnotes: all except top row" xfId="11" xr:uid="{00000000-0005-0000-0000-00002D000000}"/>
    <cellStyle name="Footnotes: top row" xfId="6" xr:uid="{00000000-0005-0000-0000-00002E000000}"/>
    <cellStyle name="Footnotes: top row 2" xfId="25" xr:uid="{00000000-0005-0000-0000-00002F000000}"/>
    <cellStyle name="Footnotes: top row 2 2" xfId="101" xr:uid="{C7EE84B0-8C49-4B63-9BD7-34489D085E46}"/>
    <cellStyle name="Footnotes: top row 3" xfId="94" xr:uid="{E3E59C82-1234-429D-A303-A098EFBA290B}"/>
    <cellStyle name="Footnotes: top row 4" xfId="86" xr:uid="{CBF38FF4-CA2B-4979-BAFC-2FFC5E5B1247}"/>
    <cellStyle name="Good" xfId="31" builtinId="26" customBuiltin="1"/>
    <cellStyle name="Header: bottom row" xfId="1" xr:uid="{00000000-0005-0000-0000-000031000000}"/>
    <cellStyle name="Header: bottom row 2" xfId="21" xr:uid="{00000000-0005-0000-0000-000032000000}"/>
    <cellStyle name="Header: bottom row 2 2" xfId="102" xr:uid="{C73D1EBF-7DC1-46CB-A671-492692A5A459}"/>
    <cellStyle name="Header: bottom row 3" xfId="95" xr:uid="{912610F7-0778-467E-9676-43060E7D57E0}"/>
    <cellStyle name="Header: bottom row 4" xfId="87" xr:uid="{7CFDEFF3-E240-4C16-B4FF-E452E1A33A89}"/>
    <cellStyle name="Header: top rows" xfId="3" xr:uid="{00000000-0005-0000-0000-000033000000}"/>
    <cellStyle name="Heading 1" xfId="27" builtinId="16" customBuiltin="1"/>
    <cellStyle name="Heading 2" xfId="28" builtinId="17" customBuiltin="1"/>
    <cellStyle name="Heading 3" xfId="29" builtinId="18" customBuiltin="1"/>
    <cellStyle name="Heading 4" xfId="30" builtinId="19" customBuiltin="1"/>
    <cellStyle name="Hyperlink" xfId="9" builtinId="8" customBuiltin="1"/>
    <cellStyle name="Hyperlink 2" xfId="106" xr:uid="{86C87D9E-AD21-4FCE-A226-2C057D1DA2B9}"/>
    <cellStyle name="Input" xfId="33" builtinId="20" customBuiltin="1"/>
    <cellStyle name="Linked Cell" xfId="36" builtinId="24" customBuiltin="1"/>
    <cellStyle name="Neutral 2" xfId="60" xr:uid="{00000000-0005-0000-0000-00003B000000}"/>
    <cellStyle name="Normal" xfId="0" builtinId="0"/>
    <cellStyle name="Normal 2" xfId="19" xr:uid="{00000000-0005-0000-0000-00003D000000}"/>
    <cellStyle name="Normal 2 2" xfId="81" xr:uid="{82E402D6-1DF0-4E6A-9068-58786E0D42A2}"/>
    <cellStyle name="Normal 3" xfId="13" xr:uid="{00000000-0005-0000-0000-00003E000000}"/>
    <cellStyle name="Normal 3 2" xfId="80" xr:uid="{B36BF01F-9627-47E6-A0B3-E5842EE99611}"/>
    <cellStyle name="Normal 3 3" xfId="98" xr:uid="{F0C73D6E-A8BF-448C-9446-33B6D604CC21}"/>
    <cellStyle name="Normal 4" xfId="14" xr:uid="{00000000-0005-0000-0000-00003F000000}"/>
    <cellStyle name="Normal 4 2" xfId="91" xr:uid="{BCB90021-FF8C-42F7-ADA2-B9BDFF66101D}"/>
    <cellStyle name="Normal 4 2 2" xfId="82" xr:uid="{EA7BF279-956F-47C2-9A73-0954A56A37C4}"/>
    <cellStyle name="Normal 5" xfId="15" xr:uid="{00000000-0005-0000-0000-000040000000}"/>
    <cellStyle name="Normal 5 2" xfId="90" xr:uid="{74ACA4FB-164B-4107-894D-BF7311D394C2}"/>
    <cellStyle name="Normal 58" xfId="17" xr:uid="{00000000-0005-0000-0000-000041000000}"/>
    <cellStyle name="Normal 6" xfId="16" xr:uid="{00000000-0005-0000-0000-000042000000}"/>
    <cellStyle name="Normal 7" xfId="105" xr:uid="{35BE7235-CAC0-40FA-9182-826A605313D0}"/>
    <cellStyle name="Note" xfId="39" builtinId="10" customBuiltin="1"/>
    <cellStyle name="Note 2" xfId="67" xr:uid="{00000000-0005-0000-0000-000044000000}"/>
    <cellStyle name="Output" xfId="34" builtinId="21" customBuiltin="1"/>
    <cellStyle name="Parent row" xfId="5" xr:uid="{00000000-0005-0000-0000-000046000000}"/>
    <cellStyle name="Parent row 2" xfId="23" xr:uid="{00000000-0005-0000-0000-000047000000}"/>
    <cellStyle name="Parent row 2 2" xfId="103" xr:uid="{EF0020EF-F33F-4704-88B1-D5A04CF8DC57}"/>
    <cellStyle name="Parent row 3" xfId="96" xr:uid="{C835EB3A-4936-4519-9DBE-CDE5CF793B46}"/>
    <cellStyle name="Parent row 4" xfId="88" xr:uid="{335202ED-D721-43A9-8167-8FF1E1325660}"/>
    <cellStyle name="Percent" xfId="18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2" xr:uid="{00000000-0005-0000-0000-00004C000000}"/>
    <cellStyle name="Table title 2 2" xfId="104" xr:uid="{DC566D5F-CC97-4643-A661-EAD010A341CF}"/>
    <cellStyle name="Table title 3" xfId="97" xr:uid="{F228EAD7-26BA-4DDB-A128-195B3D3E1B50}"/>
    <cellStyle name="Table title 4" xfId="89" xr:uid="{2C10D0B8-A63F-4CB3-A438-90EC30484F3F}"/>
    <cellStyle name="Title" xfId="26" builtinId="15" customBuiltin="1"/>
    <cellStyle name="Total" xfId="41" builtinId="25" customBuiltin="1"/>
    <cellStyle name="Warning Text" xfId="3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8</xdr:col>
      <xdr:colOff>149164</xdr:colOff>
      <xdr:row>19</xdr:row>
      <xdr:rowOff>162400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4D82CD-B7F4-2C7F-91B7-467A7D6E5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81000"/>
          <a:ext cx="7144747" cy="34009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nOBrien\Models\EPS\US\eps-us\InputData\indst\BPFUbIP\BAU%20Perc%20Fuel%20Use%20by%20Industrial%20Process.xlsx" TargetMode="External"/><Relationship Id="rId1" Type="http://schemas.openxmlformats.org/officeDocument/2006/relationships/externalLinkPath" Target="/Users/DanOBrien/Models/EPS/US/eps-us/InputData/indst/BPFUbIP/BAU%20Perc%20Fuel%20Use%20by%20Industrial%20Proces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EIA Requested Industry table"/>
      <sheetName val="Ag-Forestry"/>
      <sheetName val="Mobile vs Stationary"/>
      <sheetName val="Table 5.2_old"/>
      <sheetName val="mapping"/>
      <sheetName val="Table 5.2"/>
      <sheetName val="Table5_2_long"/>
      <sheetName val="Summed Data by Industry"/>
      <sheetName val="Raw Temperature Breakdown"/>
      <sheetName val="Temps Mapped to EPS Industries"/>
      <sheetName val="BPFUbIP-electricity"/>
      <sheetName val="BPFUbIP-hard-coal"/>
      <sheetName val="BPFUbIP-natural-gas"/>
      <sheetName val="BPFUbIP-biomass"/>
      <sheetName val="BPFUbIP-petroleum-diesel"/>
      <sheetName val="BPFUbIP-heat"/>
      <sheetName val="BPFUbIP-crude-oil"/>
      <sheetName val="BPFUbIP-hvy-resid-fuel-oil"/>
      <sheetName val="BPFUbIP-LPG"/>
      <sheetName val="BPFUbIP-hydrogen"/>
      <sheetName val="BPFUbIP-green-hydrogen"/>
      <sheetName val="BPFUbIP-lowcarbon-hydrogen"/>
      <sheetName val="BPFUbIP-fallbac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iea.blob.core.windows.net/assets/e4a7e1a5-b6ed-4f36-911f-b0111e49aab9/WorldEnergyOutlook2016ExcerptWaterEnergyNexus.pdf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tabSelected="1" workbookViewId="0">
      <selection activeCell="B22" sqref="B22"/>
    </sheetView>
  </sheetViews>
  <sheetFormatPr defaultColWidth="8.81640625" defaultRowHeight="14.5" x14ac:dyDescent="0.35"/>
  <cols>
    <col min="2" max="2" width="76.54296875" customWidth="1"/>
    <col min="3" max="3" width="5.1796875" customWidth="1"/>
    <col min="4" max="4" width="57.81640625" bestFit="1" customWidth="1"/>
    <col min="5" max="5" width="60.453125" customWidth="1"/>
  </cols>
  <sheetData>
    <row r="1" spans="1:2" x14ac:dyDescent="0.35">
      <c r="A1" s="1" t="s">
        <v>2</v>
      </c>
    </row>
    <row r="2" spans="1:2" x14ac:dyDescent="0.35">
      <c r="A2" s="1"/>
    </row>
    <row r="4" spans="1:2" x14ac:dyDescent="0.35">
      <c r="A4" s="1" t="s">
        <v>0</v>
      </c>
      <c r="B4" s="2" t="s">
        <v>3</v>
      </c>
    </row>
    <row r="5" spans="1:2" x14ac:dyDescent="0.35">
      <c r="B5" t="s">
        <v>4</v>
      </c>
    </row>
    <row r="6" spans="1:2" x14ac:dyDescent="0.35">
      <c r="B6" s="5">
        <v>2019</v>
      </c>
    </row>
    <row r="7" spans="1:2" x14ac:dyDescent="0.35">
      <c r="B7" t="s">
        <v>5</v>
      </c>
    </row>
    <row r="8" spans="1:2" x14ac:dyDescent="0.35">
      <c r="B8" t="s">
        <v>6</v>
      </c>
    </row>
    <row r="9" spans="1:2" x14ac:dyDescent="0.35">
      <c r="B9" t="s">
        <v>7</v>
      </c>
    </row>
    <row r="11" spans="1:2" x14ac:dyDescent="0.35">
      <c r="B11" s="2" t="s">
        <v>108</v>
      </c>
    </row>
    <row r="12" spans="1:2" x14ac:dyDescent="0.35">
      <c r="B12" t="s">
        <v>109</v>
      </c>
    </row>
    <row r="13" spans="1:2" x14ac:dyDescent="0.35">
      <c r="B13" s="5"/>
    </row>
    <row r="17" spans="1:4" x14ac:dyDescent="0.35">
      <c r="A17" s="1" t="s">
        <v>1</v>
      </c>
    </row>
    <row r="18" spans="1:4" x14ac:dyDescent="0.35">
      <c r="A18" t="s">
        <v>110</v>
      </c>
      <c r="D18" s="4"/>
    </row>
    <row r="19" spans="1:4" x14ac:dyDescent="0.35">
      <c r="A19" t="s">
        <v>112</v>
      </c>
      <c r="D19" s="4"/>
    </row>
    <row r="20" spans="1:4" x14ac:dyDescent="0.35">
      <c r="A20" t="s">
        <v>114</v>
      </c>
      <c r="D20" s="4"/>
    </row>
    <row r="21" spans="1:4" x14ac:dyDescent="0.35">
      <c r="A21" t="s">
        <v>113</v>
      </c>
      <c r="D21" s="4"/>
    </row>
    <row r="22" spans="1:4" x14ac:dyDescent="0.35">
      <c r="D22" s="4"/>
    </row>
    <row r="23" spans="1:4" x14ac:dyDescent="0.35">
      <c r="D23" s="4"/>
    </row>
    <row r="24" spans="1:4" x14ac:dyDescent="0.35">
      <c r="A24" t="s">
        <v>111</v>
      </c>
      <c r="D24" s="3"/>
    </row>
    <row r="25" spans="1:4" x14ac:dyDescent="0.35">
      <c r="A25" t="s">
        <v>115</v>
      </c>
      <c r="D25" s="4"/>
    </row>
    <row r="26" spans="1:4" x14ac:dyDescent="0.35">
      <c r="A26" t="s">
        <v>116</v>
      </c>
      <c r="D26" s="3"/>
    </row>
    <row r="27" spans="1:4" x14ac:dyDescent="0.35">
      <c r="A27" t="s">
        <v>117</v>
      </c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7B78-5F3A-4024-A428-861147EC67D3}">
  <dimension ref="B22:J35"/>
  <sheetViews>
    <sheetView topLeftCell="A12" zoomScale="75" workbookViewId="0">
      <selection activeCell="H23" sqref="H23"/>
    </sheetView>
  </sheetViews>
  <sheetFormatPr defaultRowHeight="14.5" x14ac:dyDescent="0.35"/>
  <cols>
    <col min="3" max="3" width="15.1796875" bestFit="1" customWidth="1"/>
    <col min="4" max="4" width="12.54296875" bestFit="1" customWidth="1"/>
    <col min="8" max="8" width="38.7265625" bestFit="1" customWidth="1"/>
    <col min="9" max="9" width="43.453125" bestFit="1" customWidth="1"/>
    <col min="10" max="10" width="34.54296875" bestFit="1" customWidth="1"/>
  </cols>
  <sheetData>
    <row r="22" spans="2:10" x14ac:dyDescent="0.35">
      <c r="B22" s="6" t="s">
        <v>8</v>
      </c>
      <c r="C22" s="6" t="s">
        <v>51</v>
      </c>
      <c r="D22" s="6" t="s">
        <v>52</v>
      </c>
      <c r="E22" s="6" t="s">
        <v>10</v>
      </c>
      <c r="F22" s="6" t="s">
        <v>11</v>
      </c>
      <c r="G22" s="6" t="s">
        <v>12</v>
      </c>
      <c r="H22" s="6" t="s">
        <v>118</v>
      </c>
      <c r="I22" s="6" t="s">
        <v>119</v>
      </c>
      <c r="J22" s="6" t="s">
        <v>120</v>
      </c>
    </row>
    <row r="23" spans="2:10" x14ac:dyDescent="0.35">
      <c r="B23" t="s">
        <v>13</v>
      </c>
      <c r="C23">
        <v>19.899999999999999</v>
      </c>
      <c r="D23" s="7">
        <v>3.3000000000000002E-2</v>
      </c>
      <c r="E23">
        <v>35.4</v>
      </c>
      <c r="F23">
        <v>17.899999999999999</v>
      </c>
      <c r="G23">
        <v>46.7</v>
      </c>
      <c r="H23" t="s">
        <v>47</v>
      </c>
      <c r="I23" t="s">
        <v>41</v>
      </c>
      <c r="J23" t="s">
        <v>36</v>
      </c>
    </row>
    <row r="24" spans="2:10" x14ac:dyDescent="0.35">
      <c r="B24" t="s">
        <v>14</v>
      </c>
      <c r="C24">
        <v>9.6</v>
      </c>
      <c r="D24" s="7">
        <v>1.6E-2</v>
      </c>
      <c r="E24">
        <v>15.2</v>
      </c>
      <c r="F24">
        <v>33.200000000000003</v>
      </c>
      <c r="G24">
        <v>51.6</v>
      </c>
      <c r="H24" t="s">
        <v>50</v>
      </c>
    </row>
    <row r="25" spans="2:10" x14ac:dyDescent="0.35">
      <c r="B25" t="s">
        <v>15</v>
      </c>
      <c r="C25">
        <v>4.8</v>
      </c>
      <c r="D25" s="7">
        <v>8.0000000000000002E-3</v>
      </c>
      <c r="E25">
        <v>73.900000000000006</v>
      </c>
      <c r="F25">
        <v>4</v>
      </c>
      <c r="G25">
        <v>22.1</v>
      </c>
      <c r="H25" t="s">
        <v>32</v>
      </c>
    </row>
    <row r="26" spans="2:10" x14ac:dyDescent="0.35">
      <c r="B26" t="s">
        <v>16</v>
      </c>
      <c r="C26">
        <v>19.600000000000001</v>
      </c>
      <c r="D26" s="7">
        <v>3.3000000000000002E-2</v>
      </c>
      <c r="E26">
        <v>36.799999999999997</v>
      </c>
      <c r="F26">
        <v>6.2</v>
      </c>
      <c r="G26">
        <v>57</v>
      </c>
      <c r="H26" t="s">
        <v>44</v>
      </c>
      <c r="I26" t="s">
        <v>42</v>
      </c>
      <c r="J26" t="s">
        <v>43</v>
      </c>
    </row>
    <row r="27" spans="2:10" x14ac:dyDescent="0.35">
      <c r="B27" t="s">
        <v>17</v>
      </c>
      <c r="C27">
        <v>7.9</v>
      </c>
      <c r="D27" s="7">
        <v>1.2999999999999999E-2</v>
      </c>
      <c r="E27">
        <v>40.700000000000003</v>
      </c>
      <c r="F27">
        <v>5.8</v>
      </c>
      <c r="G27">
        <v>53.5</v>
      </c>
      <c r="H27" t="s">
        <v>45</v>
      </c>
      <c r="I27" t="s">
        <v>46</v>
      </c>
    </row>
    <row r="28" spans="2:10" x14ac:dyDescent="0.35">
      <c r="B28" t="s">
        <v>18</v>
      </c>
      <c r="C28">
        <v>27</v>
      </c>
      <c r="D28" s="7">
        <v>4.4999999999999998E-2</v>
      </c>
      <c r="E28">
        <v>43.8</v>
      </c>
      <c r="F28">
        <v>6.8</v>
      </c>
      <c r="G28">
        <v>49.4</v>
      </c>
      <c r="H28" t="s">
        <v>33</v>
      </c>
    </row>
    <row r="29" spans="2:10" x14ac:dyDescent="0.35">
      <c r="B29" t="s">
        <v>19</v>
      </c>
      <c r="C29">
        <v>5.5</v>
      </c>
      <c r="D29" s="7">
        <v>8.9999999999999993E-3</v>
      </c>
      <c r="E29">
        <v>26.2</v>
      </c>
      <c r="F29">
        <v>5.9</v>
      </c>
      <c r="G29">
        <v>67.900000000000006</v>
      </c>
      <c r="H29" t="s">
        <v>31</v>
      </c>
    </row>
    <row r="30" spans="2:10" x14ac:dyDescent="0.35">
      <c r="B30" t="s">
        <v>20</v>
      </c>
      <c r="C30">
        <v>35.1</v>
      </c>
      <c r="D30" s="7">
        <v>5.8999999999999997E-2</v>
      </c>
      <c r="E30">
        <v>25.1</v>
      </c>
      <c r="F30">
        <v>9.1</v>
      </c>
      <c r="G30">
        <v>65.8</v>
      </c>
      <c r="H30" t="s">
        <v>30</v>
      </c>
    </row>
    <row r="31" spans="2:10" x14ac:dyDescent="0.35">
      <c r="B31" t="s">
        <v>21</v>
      </c>
      <c r="C31">
        <v>3.3</v>
      </c>
      <c r="D31" s="7">
        <v>5.0000000000000001E-3</v>
      </c>
      <c r="E31">
        <v>27</v>
      </c>
      <c r="F31">
        <v>20.6</v>
      </c>
      <c r="G31">
        <v>52.4</v>
      </c>
      <c r="H31" t="s">
        <v>29</v>
      </c>
    </row>
    <row r="32" spans="2:10" x14ac:dyDescent="0.35">
      <c r="B32" t="s">
        <v>22</v>
      </c>
      <c r="C32">
        <v>43.8</v>
      </c>
      <c r="D32" s="7">
        <v>7.3999999999999996E-2</v>
      </c>
      <c r="E32">
        <v>0.6</v>
      </c>
      <c r="F32">
        <v>15</v>
      </c>
      <c r="G32">
        <v>84.4</v>
      </c>
      <c r="H32" t="s">
        <v>38</v>
      </c>
      <c r="I32" t="s">
        <v>37</v>
      </c>
    </row>
    <row r="33" spans="2:8" x14ac:dyDescent="0.35">
      <c r="B33" t="s">
        <v>23</v>
      </c>
      <c r="C33">
        <v>33.9</v>
      </c>
      <c r="D33" s="7">
        <v>5.7000000000000002E-2</v>
      </c>
      <c r="E33">
        <v>37.1</v>
      </c>
      <c r="F33">
        <v>62.9</v>
      </c>
      <c r="G33">
        <v>0</v>
      </c>
      <c r="H33" t="s">
        <v>35</v>
      </c>
    </row>
    <row r="34" spans="2:8" x14ac:dyDescent="0.35">
      <c r="B34" t="s">
        <v>24</v>
      </c>
      <c r="C34">
        <v>14.1</v>
      </c>
      <c r="D34" s="7">
        <v>2.4E-2</v>
      </c>
      <c r="E34">
        <v>1.8</v>
      </c>
      <c r="F34">
        <v>4.5</v>
      </c>
      <c r="G34">
        <v>93.7</v>
      </c>
      <c r="H34" t="s">
        <v>40</v>
      </c>
    </row>
    <row r="35" spans="2:8" x14ac:dyDescent="0.35">
      <c r="B35" t="s">
        <v>25</v>
      </c>
      <c r="C35">
        <v>54.3</v>
      </c>
      <c r="D35" s="7">
        <v>9.0999999999999998E-2</v>
      </c>
      <c r="E35">
        <v>11.1</v>
      </c>
      <c r="F35">
        <v>29.8</v>
      </c>
      <c r="G35">
        <v>59.1</v>
      </c>
      <c r="H35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905B4-46CC-4EF4-952C-CB997603B4DF}">
  <dimension ref="A1:BN47"/>
  <sheetViews>
    <sheetView zoomScale="46" zoomScaleNormal="70" workbookViewId="0">
      <selection activeCell="B1" sqref="B1"/>
    </sheetView>
  </sheetViews>
  <sheetFormatPr defaultRowHeight="14.5" x14ac:dyDescent="0.35"/>
  <cols>
    <col min="1" max="1" width="14" style="5" customWidth="1"/>
    <col min="2" max="2" width="48.453125" customWidth="1"/>
    <col min="3" max="10" width="16.1796875" customWidth="1"/>
    <col min="11" max="11" width="6.7265625" customWidth="1"/>
    <col min="12" max="19" width="16.1796875" customWidth="1"/>
    <col min="20" max="20" width="6.7265625" customWidth="1"/>
    <col min="21" max="28" width="16.1796875" customWidth="1"/>
    <col min="29" max="29" width="6.7265625" customWidth="1"/>
    <col min="30" max="37" width="16.1796875" customWidth="1"/>
    <col min="38" max="38" width="6.7265625" customWidth="1"/>
    <col min="39" max="46" width="16.1796875" customWidth="1"/>
    <col min="47" max="47" width="6.7265625" customWidth="1"/>
    <col min="48" max="55" width="16.1796875" customWidth="1"/>
    <col min="56" max="56" width="6.7265625" customWidth="1"/>
    <col min="57" max="64" width="16.1796875" customWidth="1"/>
    <col min="65" max="65" width="6.7265625" customWidth="1"/>
  </cols>
  <sheetData>
    <row r="1" spans="1:66" x14ac:dyDescent="0.35">
      <c r="B1" s="9" t="s">
        <v>54</v>
      </c>
      <c r="C1" t="s">
        <v>55</v>
      </c>
      <c r="D1" t="s">
        <v>55</v>
      </c>
      <c r="E1" t="s">
        <v>55</v>
      </c>
      <c r="F1" t="s">
        <v>55</v>
      </c>
      <c r="G1" t="s">
        <v>55</v>
      </c>
      <c r="H1" t="s">
        <v>55</v>
      </c>
      <c r="I1" t="s">
        <v>55</v>
      </c>
      <c r="J1" t="s">
        <v>55</v>
      </c>
      <c r="L1" t="s">
        <v>56</v>
      </c>
      <c r="M1" t="s">
        <v>56</v>
      </c>
      <c r="N1" t="s">
        <v>56</v>
      </c>
      <c r="O1" t="s">
        <v>56</v>
      </c>
      <c r="P1" t="s">
        <v>56</v>
      </c>
      <c r="Q1" t="s">
        <v>56</v>
      </c>
      <c r="R1" t="s">
        <v>56</v>
      </c>
      <c r="S1" t="s">
        <v>56</v>
      </c>
      <c r="U1" t="s">
        <v>57</v>
      </c>
      <c r="V1" t="s">
        <v>57</v>
      </c>
      <c r="W1" t="s">
        <v>57</v>
      </c>
      <c r="X1" t="s">
        <v>57</v>
      </c>
      <c r="Y1" t="s">
        <v>57</v>
      </c>
      <c r="Z1" t="s">
        <v>57</v>
      </c>
      <c r="AA1" t="s">
        <v>57</v>
      </c>
      <c r="AB1" t="s">
        <v>57</v>
      </c>
      <c r="AD1" t="s">
        <v>58</v>
      </c>
      <c r="AE1" t="s">
        <v>58</v>
      </c>
      <c r="AF1" t="s">
        <v>58</v>
      </c>
      <c r="AG1" t="s">
        <v>58</v>
      </c>
      <c r="AH1" t="s">
        <v>58</v>
      </c>
      <c r="AI1" t="s">
        <v>58</v>
      </c>
      <c r="AJ1" t="s">
        <v>58</v>
      </c>
      <c r="AK1" t="s">
        <v>58</v>
      </c>
      <c r="AM1" t="s">
        <v>59</v>
      </c>
      <c r="AN1" t="s">
        <v>59</v>
      </c>
      <c r="AO1" t="s">
        <v>59</v>
      </c>
      <c r="AP1" t="s">
        <v>59</v>
      </c>
      <c r="AQ1" t="s">
        <v>59</v>
      </c>
      <c r="AR1" t="s">
        <v>59</v>
      </c>
      <c r="AS1" t="s">
        <v>59</v>
      </c>
      <c r="AT1" t="s">
        <v>59</v>
      </c>
      <c r="AV1" t="s">
        <v>60</v>
      </c>
      <c r="AW1" t="s">
        <v>60</v>
      </c>
      <c r="AX1" t="s">
        <v>60</v>
      </c>
      <c r="AY1" t="s">
        <v>60</v>
      </c>
      <c r="AZ1" t="s">
        <v>60</v>
      </c>
      <c r="BA1" t="s">
        <v>60</v>
      </c>
      <c r="BB1" t="s">
        <v>60</v>
      </c>
      <c r="BC1" t="s">
        <v>60</v>
      </c>
      <c r="BE1" t="s">
        <v>61</v>
      </c>
      <c r="BF1" t="s">
        <v>61</v>
      </c>
      <c r="BG1" t="s">
        <v>61</v>
      </c>
      <c r="BH1" t="s">
        <v>61</v>
      </c>
      <c r="BI1" t="s">
        <v>61</v>
      </c>
      <c r="BJ1" t="s">
        <v>61</v>
      </c>
    </row>
    <row r="2" spans="1:66" x14ac:dyDescent="0.35">
      <c r="B2" s="9" t="s">
        <v>62</v>
      </c>
      <c r="C2">
        <v>4</v>
      </c>
      <c r="D2">
        <v>8</v>
      </c>
      <c r="E2">
        <v>9</v>
      </c>
      <c r="F2">
        <v>10</v>
      </c>
      <c r="G2">
        <v>11</v>
      </c>
      <c r="H2">
        <v>12</v>
      </c>
      <c r="L2">
        <v>4</v>
      </c>
      <c r="M2">
        <v>8</v>
      </c>
      <c r="N2">
        <v>9</v>
      </c>
      <c r="O2">
        <v>10</v>
      </c>
      <c r="P2">
        <v>11</v>
      </c>
      <c r="Q2">
        <v>12</v>
      </c>
      <c r="U2">
        <v>4</v>
      </c>
      <c r="V2">
        <v>8</v>
      </c>
      <c r="W2">
        <v>9</v>
      </c>
      <c r="X2">
        <v>10</v>
      </c>
      <c r="Y2">
        <v>11</v>
      </c>
      <c r="Z2">
        <v>12</v>
      </c>
      <c r="AD2">
        <v>4</v>
      </c>
      <c r="AE2">
        <v>8</v>
      </c>
      <c r="AF2">
        <v>9</v>
      </c>
      <c r="AG2">
        <v>10</v>
      </c>
      <c r="AH2">
        <v>11</v>
      </c>
      <c r="AI2">
        <v>12</v>
      </c>
      <c r="AM2">
        <v>4</v>
      </c>
      <c r="AN2">
        <v>8</v>
      </c>
      <c r="AO2">
        <v>9</v>
      </c>
      <c r="AP2">
        <v>10</v>
      </c>
      <c r="AQ2">
        <v>11</v>
      </c>
      <c r="AR2">
        <v>12</v>
      </c>
      <c r="AV2">
        <v>4</v>
      </c>
      <c r="AW2">
        <v>8</v>
      </c>
      <c r="AX2">
        <v>9</v>
      </c>
      <c r="AY2">
        <v>10</v>
      </c>
      <c r="AZ2">
        <v>11</v>
      </c>
      <c r="BA2">
        <v>12</v>
      </c>
    </row>
    <row r="3" spans="1:66" s="12" customFormat="1" ht="29" x14ac:dyDescent="0.35">
      <c r="A3" s="10" t="s">
        <v>63</v>
      </c>
      <c r="B3" s="10" t="s">
        <v>64</v>
      </c>
      <c r="C3" s="11" t="s">
        <v>65</v>
      </c>
      <c r="D3" s="11" t="s">
        <v>66</v>
      </c>
      <c r="E3" s="11" t="s">
        <v>67</v>
      </c>
      <c r="F3" s="11" t="s">
        <v>68</v>
      </c>
      <c r="G3" s="11" t="s">
        <v>69</v>
      </c>
      <c r="H3" s="11" t="s">
        <v>70</v>
      </c>
      <c r="I3" s="11" t="s">
        <v>71</v>
      </c>
      <c r="J3" s="11" t="s">
        <v>72</v>
      </c>
      <c r="L3" s="11" t="s">
        <v>65</v>
      </c>
      <c r="M3" s="11" t="s">
        <v>66</v>
      </c>
      <c r="N3" s="11" t="s">
        <v>67</v>
      </c>
      <c r="O3" s="11" t="s">
        <v>68</v>
      </c>
      <c r="P3" s="11" t="s">
        <v>69</v>
      </c>
      <c r="Q3" s="11" t="s">
        <v>70</v>
      </c>
      <c r="R3" s="11" t="s">
        <v>71</v>
      </c>
      <c r="S3" s="11" t="s">
        <v>72</v>
      </c>
      <c r="U3" s="11" t="s">
        <v>65</v>
      </c>
      <c r="V3" s="11" t="s">
        <v>66</v>
      </c>
      <c r="W3" s="11" t="s">
        <v>67</v>
      </c>
      <c r="X3" s="11" t="s">
        <v>68</v>
      </c>
      <c r="Y3" s="11" t="s">
        <v>69</v>
      </c>
      <c r="Z3" s="11" t="s">
        <v>70</v>
      </c>
      <c r="AA3" s="11" t="s">
        <v>71</v>
      </c>
      <c r="AB3" s="11" t="s">
        <v>72</v>
      </c>
      <c r="AD3" s="11" t="s">
        <v>65</v>
      </c>
      <c r="AE3" s="11" t="s">
        <v>66</v>
      </c>
      <c r="AF3" s="11" t="s">
        <v>67</v>
      </c>
      <c r="AG3" s="11" t="s">
        <v>68</v>
      </c>
      <c r="AH3" s="11" t="s">
        <v>69</v>
      </c>
      <c r="AI3" s="11" t="s">
        <v>70</v>
      </c>
      <c r="AJ3" s="11" t="s">
        <v>71</v>
      </c>
      <c r="AK3" s="11" t="s">
        <v>72</v>
      </c>
      <c r="AM3" s="11" t="s">
        <v>65</v>
      </c>
      <c r="AN3" s="11" t="s">
        <v>66</v>
      </c>
      <c r="AO3" s="11" t="s">
        <v>67</v>
      </c>
      <c r="AP3" s="11" t="s">
        <v>68</v>
      </c>
      <c r="AQ3" s="11" t="s">
        <v>69</v>
      </c>
      <c r="AR3" s="11" t="s">
        <v>70</v>
      </c>
      <c r="AS3" s="11" t="s">
        <v>71</v>
      </c>
      <c r="AT3" s="11" t="s">
        <v>72</v>
      </c>
      <c r="AV3" s="11" t="s">
        <v>65</v>
      </c>
      <c r="AW3" s="11" t="s">
        <v>66</v>
      </c>
      <c r="AX3" s="11" t="s">
        <v>67</v>
      </c>
      <c r="AY3" s="11" t="s">
        <v>68</v>
      </c>
      <c r="AZ3" s="11" t="s">
        <v>69</v>
      </c>
      <c r="BA3" s="11" t="s">
        <v>70</v>
      </c>
      <c r="BB3" s="11" t="s">
        <v>71</v>
      </c>
      <c r="BC3" s="11" t="s">
        <v>72</v>
      </c>
      <c r="BE3" s="11" t="s">
        <v>65</v>
      </c>
      <c r="BF3" s="11" t="s">
        <v>66</v>
      </c>
      <c r="BG3" s="11" t="s">
        <v>67</v>
      </c>
      <c r="BH3" s="11" t="s">
        <v>68</v>
      </c>
      <c r="BI3" s="11" t="s">
        <v>69</v>
      </c>
      <c r="BJ3" s="11" t="s">
        <v>70</v>
      </c>
      <c r="BK3" s="11" t="s">
        <v>71</v>
      </c>
      <c r="BL3" s="11" t="s">
        <v>72</v>
      </c>
      <c r="BN3" s="13" t="s">
        <v>73</v>
      </c>
    </row>
    <row r="4" spans="1:66" x14ac:dyDescent="0.35">
      <c r="A4" s="5" t="s">
        <v>74</v>
      </c>
      <c r="B4" s="1" t="s">
        <v>26</v>
      </c>
      <c r="C4" s="14">
        <v>0.1</v>
      </c>
      <c r="D4" s="15">
        <v>32.676380000000002</v>
      </c>
      <c r="E4" s="15">
        <v>11.53284</v>
      </c>
      <c r="F4" s="15">
        <v>94.367660000000001</v>
      </c>
      <c r="H4" s="15">
        <v>63.43061999999999</v>
      </c>
      <c r="I4" s="15">
        <v>48.0535</v>
      </c>
      <c r="J4" s="14">
        <v>0.1</v>
      </c>
      <c r="L4" s="16">
        <v>0.1</v>
      </c>
      <c r="M4" s="15"/>
      <c r="N4" s="15"/>
      <c r="O4" s="15"/>
      <c r="P4" s="15"/>
      <c r="Q4" s="15"/>
      <c r="R4" s="15"/>
      <c r="S4" s="15"/>
      <c r="U4" s="15">
        <v>19.144649999999999</v>
      </c>
      <c r="V4" s="15">
        <v>19.144649999999999</v>
      </c>
      <c r="W4" s="15"/>
      <c r="X4" s="15"/>
      <c r="Y4" s="15"/>
      <c r="Z4" s="15">
        <v>19.144649999999999</v>
      </c>
      <c r="AA4" s="15"/>
      <c r="AB4" s="17">
        <v>533.56404999999995</v>
      </c>
      <c r="AD4" s="16">
        <v>22.13025</v>
      </c>
      <c r="AE4" s="15">
        <v>43.860500000000002</v>
      </c>
      <c r="AF4" s="15"/>
      <c r="AG4" s="15">
        <v>20.942</v>
      </c>
      <c r="AH4" s="15"/>
      <c r="AI4" s="15">
        <v>21.930250000000001</v>
      </c>
      <c r="AJ4" s="15"/>
      <c r="AK4" s="15">
        <v>3.8719999999999999</v>
      </c>
      <c r="AM4" s="15">
        <v>15.014749999999999</v>
      </c>
      <c r="AN4" s="15">
        <v>30.029499999999999</v>
      </c>
      <c r="AO4" s="15"/>
      <c r="AP4" s="15">
        <v>1.494</v>
      </c>
      <c r="AR4" s="15">
        <v>30.029499999999999</v>
      </c>
      <c r="AS4" s="15"/>
      <c r="AT4" s="15">
        <v>6.1970000000000001</v>
      </c>
      <c r="AV4" s="18"/>
      <c r="AW4" s="15"/>
      <c r="AX4" s="15"/>
      <c r="AY4" s="15"/>
      <c r="AZ4" s="15"/>
      <c r="BA4" s="15"/>
      <c r="BB4" s="15"/>
      <c r="BC4" s="15"/>
      <c r="BE4" s="15">
        <v>48.2</v>
      </c>
      <c r="BF4" s="15">
        <v>154.173</v>
      </c>
      <c r="BG4" s="15"/>
      <c r="BH4" s="15"/>
      <c r="BI4" s="15"/>
      <c r="BJ4" s="15"/>
      <c r="BK4" s="15"/>
      <c r="BL4" s="15"/>
      <c r="BN4" t="s">
        <v>75</v>
      </c>
    </row>
    <row r="5" spans="1:66" x14ac:dyDescent="0.35">
      <c r="A5" s="5" t="s">
        <v>74</v>
      </c>
      <c r="B5" s="1" t="s">
        <v>27</v>
      </c>
      <c r="C5" s="18"/>
      <c r="F5" s="15">
        <v>14.582999999999998</v>
      </c>
      <c r="H5" s="15">
        <v>4.8610000000000007</v>
      </c>
      <c r="I5" s="15">
        <v>4.8610000000000007</v>
      </c>
      <c r="L5" s="15"/>
      <c r="M5" s="15"/>
      <c r="N5" s="15"/>
      <c r="O5" s="15"/>
      <c r="P5" s="15"/>
      <c r="Q5" s="15"/>
      <c r="R5" s="15"/>
      <c r="S5" s="15"/>
      <c r="U5" s="15"/>
      <c r="V5" s="15"/>
      <c r="W5" s="15"/>
      <c r="X5" s="15"/>
      <c r="Y5" s="15"/>
      <c r="AA5" s="15"/>
      <c r="AB5" s="17">
        <v>57.362999999999992</v>
      </c>
      <c r="AD5" s="15"/>
      <c r="AF5" s="15"/>
      <c r="AG5" s="15"/>
      <c r="AH5" s="15"/>
      <c r="AI5" s="15">
        <v>13.858000000000001</v>
      </c>
      <c r="AJ5" s="15"/>
      <c r="AK5" s="15"/>
      <c r="AM5" s="15"/>
      <c r="AN5" s="15"/>
      <c r="AO5" s="15"/>
      <c r="AP5" s="15"/>
      <c r="AQ5" s="15"/>
      <c r="AR5" s="15"/>
      <c r="AS5" s="15"/>
      <c r="AT5" s="15"/>
      <c r="AV5" s="15"/>
      <c r="AW5" s="15"/>
      <c r="AX5" s="15"/>
      <c r="AY5" s="15"/>
      <c r="AZ5" s="15"/>
      <c r="BA5" s="15"/>
      <c r="BB5" s="15"/>
      <c r="BC5" s="15"/>
      <c r="BE5" s="15"/>
      <c r="BF5" s="15"/>
      <c r="BG5" s="15"/>
      <c r="BH5" s="15"/>
      <c r="BI5" s="15"/>
      <c r="BJ5" s="15"/>
      <c r="BK5" s="15"/>
      <c r="BL5" s="15"/>
      <c r="BN5" t="s">
        <v>76</v>
      </c>
    </row>
    <row r="6" spans="1:66" x14ac:dyDescent="0.35">
      <c r="A6" s="5" t="s">
        <v>74</v>
      </c>
      <c r="B6" s="1" t="s">
        <v>28</v>
      </c>
      <c r="C6" s="18"/>
      <c r="F6" s="15">
        <v>76.234200000000001</v>
      </c>
      <c r="H6" s="15">
        <v>25.4114</v>
      </c>
      <c r="I6" s="15">
        <v>25.4114</v>
      </c>
      <c r="L6" s="15"/>
      <c r="M6" s="15"/>
      <c r="N6" s="15"/>
      <c r="O6" s="15">
        <v>9.4600000000000009</v>
      </c>
      <c r="P6" s="15"/>
      <c r="Q6" s="15"/>
      <c r="R6" s="15"/>
      <c r="S6" s="15"/>
      <c r="U6" s="15"/>
      <c r="V6" s="15"/>
      <c r="W6" s="15"/>
      <c r="Y6" s="15"/>
      <c r="Z6" s="15"/>
      <c r="AA6" s="15"/>
      <c r="AB6" s="17">
        <v>169.648</v>
      </c>
      <c r="AD6" s="15">
        <v>101.6</v>
      </c>
      <c r="AE6" s="15">
        <v>271.51499999999999</v>
      </c>
      <c r="AF6" s="15"/>
      <c r="AG6" s="15"/>
      <c r="AH6" s="15"/>
      <c r="AI6" s="15"/>
      <c r="AJ6" s="15"/>
      <c r="AK6" s="15"/>
      <c r="AM6" s="15"/>
      <c r="AN6" s="15"/>
      <c r="AO6" s="15"/>
      <c r="AP6" s="15"/>
      <c r="AQ6" s="15"/>
      <c r="AR6" s="15"/>
      <c r="AS6" s="15"/>
      <c r="AT6" s="15"/>
      <c r="AV6" s="15"/>
      <c r="AW6" s="16">
        <v>0.16</v>
      </c>
      <c r="AX6" s="15"/>
      <c r="AY6" s="15"/>
      <c r="AZ6" s="15"/>
      <c r="BA6" s="15"/>
      <c r="BB6" s="15"/>
      <c r="BC6" s="15"/>
      <c r="BE6" s="15"/>
      <c r="BF6" s="15">
        <v>8.6010000000000009</v>
      </c>
      <c r="BG6" s="15"/>
      <c r="BH6" s="15"/>
      <c r="BI6" s="15"/>
      <c r="BJ6" s="15"/>
      <c r="BK6" s="15"/>
      <c r="BL6" s="15"/>
      <c r="BN6" t="s">
        <v>77</v>
      </c>
    </row>
    <row r="7" spans="1:66" x14ac:dyDescent="0.35">
      <c r="A7" s="5" t="s">
        <v>74</v>
      </c>
      <c r="B7" s="1" t="s">
        <v>29</v>
      </c>
      <c r="C7" s="18"/>
      <c r="F7" s="15">
        <v>66.2286</v>
      </c>
      <c r="H7" s="15">
        <v>22.0762</v>
      </c>
      <c r="I7" s="15">
        <v>22.0762</v>
      </c>
      <c r="L7" s="15"/>
      <c r="M7" s="15"/>
      <c r="N7" s="15"/>
      <c r="O7" s="15"/>
      <c r="P7" s="15"/>
      <c r="Q7" s="15"/>
      <c r="R7" s="15"/>
      <c r="S7" s="15"/>
      <c r="U7" s="15"/>
      <c r="V7" s="15"/>
      <c r="W7" s="15"/>
      <c r="X7" s="15"/>
      <c r="Y7" s="15"/>
      <c r="AA7" s="15"/>
      <c r="AB7" s="17">
        <v>124.51900000000001</v>
      </c>
      <c r="AD7" s="15">
        <v>10.7</v>
      </c>
      <c r="AE7" s="15">
        <v>195.63399999999999</v>
      </c>
      <c r="AF7" s="15"/>
      <c r="AG7" s="15"/>
      <c r="AH7" s="15"/>
      <c r="AI7" s="15"/>
      <c r="AJ7" s="15"/>
      <c r="AK7" s="15"/>
      <c r="AM7" s="15"/>
      <c r="AN7" s="15"/>
      <c r="AO7" s="15"/>
      <c r="AP7" s="15"/>
      <c r="AQ7" s="15"/>
      <c r="AR7" s="15"/>
      <c r="AS7" s="15"/>
      <c r="AT7" s="15"/>
      <c r="AV7" s="15">
        <v>6.6</v>
      </c>
      <c r="AW7" s="15">
        <v>3.0819999999999999</v>
      </c>
      <c r="AX7" s="15"/>
      <c r="AY7" s="15"/>
      <c r="AZ7" s="15"/>
      <c r="BA7" s="15"/>
      <c r="BB7" s="15"/>
      <c r="BC7" s="15"/>
      <c r="BE7" s="15"/>
      <c r="BF7" s="15"/>
      <c r="BG7" s="15"/>
      <c r="BH7" s="15"/>
      <c r="BI7" s="15"/>
      <c r="BJ7" s="15"/>
      <c r="BK7" s="15"/>
      <c r="BL7" s="15"/>
      <c r="BN7" t="s">
        <v>77</v>
      </c>
    </row>
    <row r="8" spans="1:66" x14ac:dyDescent="0.35">
      <c r="A8" s="5" t="s">
        <v>78</v>
      </c>
      <c r="B8" s="1" t="s">
        <v>30</v>
      </c>
      <c r="C8" s="19">
        <v>11</v>
      </c>
      <c r="D8" s="19">
        <v>14</v>
      </c>
      <c r="E8" s="19">
        <v>85</v>
      </c>
      <c r="F8" s="19">
        <v>140</v>
      </c>
      <c r="G8" s="19">
        <v>7</v>
      </c>
      <c r="H8" s="19">
        <v>28</v>
      </c>
      <c r="I8" s="19">
        <v>19</v>
      </c>
      <c r="J8" s="19">
        <v>17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U8" s="19">
        <v>4</v>
      </c>
      <c r="V8" s="19">
        <v>0</v>
      </c>
      <c r="W8" s="19">
        <v>0.75</v>
      </c>
      <c r="X8" s="19">
        <v>0.75</v>
      </c>
      <c r="Y8" s="19">
        <v>0</v>
      </c>
      <c r="Z8" s="19">
        <v>0</v>
      </c>
      <c r="AA8" s="19">
        <v>0</v>
      </c>
      <c r="AB8" s="19">
        <v>8.5</v>
      </c>
      <c r="AD8" s="19">
        <v>533</v>
      </c>
      <c r="AE8" s="19">
        <v>219</v>
      </c>
      <c r="AF8" s="19">
        <v>15</v>
      </c>
      <c r="AG8" s="19">
        <v>24</v>
      </c>
      <c r="AH8" s="19">
        <v>15</v>
      </c>
      <c r="AI8" s="19">
        <v>72</v>
      </c>
      <c r="AJ8" s="19">
        <v>0</v>
      </c>
      <c r="AK8" s="19">
        <v>39</v>
      </c>
      <c r="AM8" s="19">
        <v>3</v>
      </c>
      <c r="AN8" s="19">
        <v>3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2</v>
      </c>
      <c r="AV8" s="19">
        <v>47</v>
      </c>
      <c r="AW8" s="19">
        <v>6</v>
      </c>
      <c r="AX8" s="19">
        <v>0</v>
      </c>
      <c r="AY8" s="19">
        <v>1</v>
      </c>
      <c r="AZ8" s="19">
        <v>0</v>
      </c>
      <c r="BA8" s="19">
        <v>0</v>
      </c>
      <c r="BB8" s="19">
        <v>0</v>
      </c>
      <c r="BC8" s="19">
        <v>40</v>
      </c>
      <c r="BE8" s="15">
        <v>73.3</v>
      </c>
      <c r="BF8" s="15"/>
      <c r="BG8" s="15"/>
      <c r="BH8" s="15"/>
      <c r="BI8" s="15"/>
      <c r="BJ8" s="15"/>
      <c r="BK8" s="15"/>
      <c r="BL8" s="15"/>
    </row>
    <row r="9" spans="1:66" x14ac:dyDescent="0.35">
      <c r="A9" s="5" t="s">
        <v>78</v>
      </c>
      <c r="B9" s="1" t="s">
        <v>31</v>
      </c>
      <c r="C9" s="19">
        <v>1</v>
      </c>
      <c r="D9" s="19">
        <v>2</v>
      </c>
      <c r="E9" s="19">
        <v>2</v>
      </c>
      <c r="F9" s="19">
        <v>24</v>
      </c>
      <c r="G9" s="19">
        <v>0</v>
      </c>
      <c r="H9" s="19">
        <v>8</v>
      </c>
      <c r="I9" s="19">
        <v>2</v>
      </c>
      <c r="J9" s="19">
        <v>2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D9" s="19">
        <v>13</v>
      </c>
      <c r="AE9" s="19">
        <v>14</v>
      </c>
      <c r="AF9" s="19">
        <v>0</v>
      </c>
      <c r="AG9" s="19">
        <v>1</v>
      </c>
      <c r="AH9" s="19">
        <v>0</v>
      </c>
      <c r="AI9" s="19">
        <v>4</v>
      </c>
      <c r="AJ9" s="19">
        <v>0</v>
      </c>
      <c r="AK9" s="19">
        <v>2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E9" s="15"/>
      <c r="BF9" s="15"/>
      <c r="BG9" s="15"/>
      <c r="BH9" s="15"/>
      <c r="BI9" s="15"/>
      <c r="BJ9" s="15"/>
      <c r="BK9" s="15"/>
      <c r="BL9" s="15"/>
    </row>
    <row r="10" spans="1:66" x14ac:dyDescent="0.35">
      <c r="A10" s="5" t="s">
        <v>78</v>
      </c>
      <c r="B10" s="1" t="s">
        <v>32</v>
      </c>
      <c r="C10" s="19">
        <v>2</v>
      </c>
      <c r="D10" s="19">
        <v>6</v>
      </c>
      <c r="E10" s="19">
        <v>1</v>
      </c>
      <c r="F10" s="19">
        <v>47</v>
      </c>
      <c r="G10" s="19">
        <v>2</v>
      </c>
      <c r="H10" s="19">
        <v>4</v>
      </c>
      <c r="I10" s="19">
        <v>4</v>
      </c>
      <c r="J10" s="19">
        <v>2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U10" s="19">
        <v>1</v>
      </c>
      <c r="V10" s="19">
        <v>1</v>
      </c>
      <c r="W10" s="19">
        <v>0</v>
      </c>
      <c r="X10" s="19">
        <v>1</v>
      </c>
      <c r="Y10" s="19">
        <v>0</v>
      </c>
      <c r="Z10" s="19">
        <v>0</v>
      </c>
      <c r="AA10" s="19">
        <v>0</v>
      </c>
      <c r="AB10" s="19">
        <v>7</v>
      </c>
      <c r="AD10" s="19">
        <v>17</v>
      </c>
      <c r="AE10" s="19">
        <v>50</v>
      </c>
      <c r="AF10" s="19">
        <v>0</v>
      </c>
      <c r="AG10" s="19">
        <v>2</v>
      </c>
      <c r="AH10" s="19">
        <v>2</v>
      </c>
      <c r="AI10" s="19">
        <v>7</v>
      </c>
      <c r="AJ10" s="19">
        <v>0</v>
      </c>
      <c r="AK10" s="19">
        <v>1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2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E10" s="15">
        <v>470.5</v>
      </c>
      <c r="BF10" s="15"/>
      <c r="BG10" s="15"/>
      <c r="BH10" s="15"/>
      <c r="BI10" s="15"/>
      <c r="BJ10" s="15"/>
      <c r="BK10" s="15"/>
      <c r="BL10" s="15"/>
    </row>
    <row r="11" spans="1:66" x14ac:dyDescent="0.35">
      <c r="A11" s="5" t="s">
        <v>78</v>
      </c>
      <c r="B11" s="1" t="s">
        <v>33</v>
      </c>
      <c r="C11" s="19">
        <v>4</v>
      </c>
      <c r="D11" s="19">
        <v>8</v>
      </c>
      <c r="E11" s="19">
        <v>7</v>
      </c>
      <c r="F11" s="19">
        <v>142</v>
      </c>
      <c r="G11" s="19">
        <v>3</v>
      </c>
      <c r="H11" s="19">
        <v>15</v>
      </c>
      <c r="I11" s="19">
        <v>13</v>
      </c>
      <c r="J11" s="19">
        <v>15</v>
      </c>
      <c r="L11" s="19">
        <v>7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U11" s="19">
        <v>2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2</v>
      </c>
      <c r="AD11" s="19">
        <v>411</v>
      </c>
      <c r="AE11" s="19">
        <v>153</v>
      </c>
      <c r="AF11" s="19">
        <v>2</v>
      </c>
      <c r="AG11" s="19">
        <v>24</v>
      </c>
      <c r="AH11" s="19">
        <v>3</v>
      </c>
      <c r="AI11" s="19">
        <v>27</v>
      </c>
      <c r="AJ11" s="19">
        <v>0</v>
      </c>
      <c r="AK11" s="19">
        <v>16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2</v>
      </c>
      <c r="AV11" s="19">
        <v>32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E11" s="15">
        <v>491.33000000000004</v>
      </c>
      <c r="BF11" s="15">
        <v>491.33000000000004</v>
      </c>
      <c r="BG11" s="15"/>
      <c r="BH11" s="15"/>
      <c r="BI11" s="15"/>
      <c r="BJ11" s="15"/>
      <c r="BK11" s="15"/>
      <c r="BL11" s="15"/>
      <c r="BN11" t="s">
        <v>79</v>
      </c>
    </row>
    <row r="12" spans="1:66" x14ac:dyDescent="0.35">
      <c r="A12" s="5" t="s">
        <v>78</v>
      </c>
      <c r="B12" s="1" t="s">
        <v>34</v>
      </c>
      <c r="C12" s="19">
        <v>0</v>
      </c>
      <c r="D12" s="19">
        <v>0</v>
      </c>
      <c r="E12" s="19">
        <v>7</v>
      </c>
      <c r="F12" s="19">
        <v>142</v>
      </c>
      <c r="G12" s="19">
        <v>5</v>
      </c>
      <c r="H12" s="19">
        <v>3</v>
      </c>
      <c r="I12" s="19">
        <v>3</v>
      </c>
      <c r="J12" s="19">
        <v>1</v>
      </c>
      <c r="L12" s="19">
        <v>0</v>
      </c>
      <c r="M12" s="19">
        <v>2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U12" s="19">
        <v>0</v>
      </c>
      <c r="V12" s="19">
        <v>1</v>
      </c>
      <c r="W12" s="19">
        <v>0</v>
      </c>
      <c r="X12" s="19">
        <v>2</v>
      </c>
      <c r="Y12" s="19">
        <v>0</v>
      </c>
      <c r="Z12" s="19">
        <v>0</v>
      </c>
      <c r="AA12" s="19">
        <v>0</v>
      </c>
      <c r="AB12" s="19">
        <v>2</v>
      </c>
      <c r="AD12" s="19">
        <v>348</v>
      </c>
      <c r="AE12" s="19">
        <v>623</v>
      </c>
      <c r="AF12" s="19">
        <v>6</v>
      </c>
      <c r="AG12" s="19">
        <v>15</v>
      </c>
      <c r="AH12" s="19">
        <v>56</v>
      </c>
      <c r="AI12" s="19">
        <v>5</v>
      </c>
      <c r="AJ12" s="19">
        <v>0</v>
      </c>
      <c r="AK12" s="19">
        <v>43</v>
      </c>
      <c r="AM12" s="19">
        <v>5</v>
      </c>
      <c r="AN12" s="19">
        <v>22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E12" s="15"/>
      <c r="BF12" s="15"/>
      <c r="BG12" s="15"/>
      <c r="BH12" s="15"/>
      <c r="BI12" s="15"/>
      <c r="BJ12" s="15"/>
      <c r="BK12" s="15"/>
      <c r="BL12" s="15"/>
    </row>
    <row r="13" spans="1:66" x14ac:dyDescent="0.35">
      <c r="A13" s="5" t="s">
        <v>78</v>
      </c>
      <c r="B13" s="1" t="s">
        <v>35</v>
      </c>
      <c r="C13" s="19">
        <v>14</v>
      </c>
      <c r="D13" s="19">
        <v>21</v>
      </c>
      <c r="E13" s="19">
        <v>43</v>
      </c>
      <c r="F13" s="19">
        <v>278</v>
      </c>
      <c r="G13" s="19">
        <v>56</v>
      </c>
      <c r="H13" s="19">
        <v>40</v>
      </c>
      <c r="I13" s="19">
        <v>19</v>
      </c>
      <c r="J13" s="19">
        <v>41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U13" s="19">
        <v>3</v>
      </c>
      <c r="V13" s="19">
        <v>0</v>
      </c>
      <c r="W13" s="19">
        <v>0</v>
      </c>
      <c r="X13" s="19">
        <v>1</v>
      </c>
      <c r="Y13" s="19">
        <v>1</v>
      </c>
      <c r="Z13" s="19">
        <v>0</v>
      </c>
      <c r="AA13" s="19">
        <v>0</v>
      </c>
      <c r="AB13" s="19">
        <v>2</v>
      </c>
      <c r="AD13" s="19">
        <v>1440</v>
      </c>
      <c r="AE13" s="19">
        <v>771</v>
      </c>
      <c r="AF13" s="19">
        <v>11</v>
      </c>
      <c r="AG13" s="19">
        <v>126</v>
      </c>
      <c r="AH13" s="19">
        <v>152</v>
      </c>
      <c r="AI13" s="19">
        <v>60</v>
      </c>
      <c r="AJ13" s="19">
        <v>0</v>
      </c>
      <c r="AK13" s="19">
        <v>25</v>
      </c>
      <c r="AM13" s="19">
        <v>3</v>
      </c>
      <c r="AN13" s="19">
        <v>7</v>
      </c>
      <c r="AO13" s="19">
        <v>0</v>
      </c>
      <c r="AP13" s="19">
        <v>0</v>
      </c>
      <c r="AQ13" s="19">
        <v>3</v>
      </c>
      <c r="AR13" s="19">
        <v>0</v>
      </c>
      <c r="AS13" s="19">
        <v>0</v>
      </c>
      <c r="AT13" s="19">
        <v>2</v>
      </c>
      <c r="AV13" s="19">
        <v>17</v>
      </c>
      <c r="AW13" s="19">
        <v>2</v>
      </c>
      <c r="AX13" s="19">
        <v>0</v>
      </c>
      <c r="AY13" s="19">
        <v>0</v>
      </c>
      <c r="AZ13" s="19">
        <v>7</v>
      </c>
      <c r="BA13" s="19">
        <v>0</v>
      </c>
      <c r="BB13" s="19">
        <v>0</v>
      </c>
      <c r="BC13" s="19">
        <v>36</v>
      </c>
      <c r="BE13" s="15"/>
      <c r="BF13" s="15"/>
      <c r="BG13" s="15"/>
      <c r="BH13" s="15"/>
      <c r="BI13" s="15"/>
      <c r="BJ13" s="15"/>
      <c r="BK13" s="15"/>
      <c r="BL13" s="15"/>
    </row>
    <row r="14" spans="1:66" x14ac:dyDescent="0.35">
      <c r="A14" s="5" t="s">
        <v>78</v>
      </c>
      <c r="B14" s="1" t="s">
        <v>36</v>
      </c>
      <c r="C14" s="19">
        <v>8</v>
      </c>
      <c r="D14" s="19">
        <v>21</v>
      </c>
      <c r="E14" s="19">
        <v>24</v>
      </c>
      <c r="F14" s="19">
        <v>114</v>
      </c>
      <c r="G14" s="19">
        <v>5</v>
      </c>
      <c r="H14" s="19">
        <v>32</v>
      </c>
      <c r="I14" s="19">
        <v>22</v>
      </c>
      <c r="J14" s="19">
        <v>15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D14" s="19">
        <v>43</v>
      </c>
      <c r="AE14" s="19">
        <v>27</v>
      </c>
      <c r="AF14" s="19">
        <v>0</v>
      </c>
      <c r="AG14" s="19">
        <v>7</v>
      </c>
      <c r="AH14" s="19">
        <v>3</v>
      </c>
      <c r="AI14" s="19">
        <v>24</v>
      </c>
      <c r="AJ14" s="19">
        <v>0</v>
      </c>
      <c r="AK14" s="19">
        <v>2</v>
      </c>
      <c r="AM14" s="19">
        <v>0</v>
      </c>
      <c r="AN14" s="19">
        <v>0</v>
      </c>
      <c r="AO14" s="19">
        <v>0</v>
      </c>
      <c r="AP14" s="19">
        <v>2</v>
      </c>
      <c r="AQ14" s="19">
        <v>0</v>
      </c>
      <c r="AR14" s="19">
        <v>0</v>
      </c>
      <c r="AS14" s="19">
        <v>0</v>
      </c>
      <c r="AT14" s="19">
        <v>2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E14" s="15"/>
      <c r="BF14" s="15"/>
      <c r="BG14" s="15"/>
      <c r="BH14" s="15"/>
      <c r="BI14" s="15"/>
      <c r="BJ14" s="15"/>
      <c r="BK14" s="15"/>
      <c r="BL14" s="15"/>
    </row>
    <row r="15" spans="1:66" x14ac:dyDescent="0.35">
      <c r="A15" s="5" t="s">
        <v>78</v>
      </c>
      <c r="B15" s="1" t="s">
        <v>37</v>
      </c>
      <c r="C15" s="19">
        <v>0</v>
      </c>
      <c r="D15" s="19">
        <v>19</v>
      </c>
      <c r="E15" s="19">
        <v>5</v>
      </c>
      <c r="F15" s="19">
        <v>15</v>
      </c>
      <c r="G15" s="19">
        <v>2</v>
      </c>
      <c r="H15" s="19">
        <v>4</v>
      </c>
      <c r="I15" s="19">
        <v>2</v>
      </c>
      <c r="J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D15" s="19">
        <v>3</v>
      </c>
      <c r="AE15" s="19">
        <v>117</v>
      </c>
      <c r="AF15" s="19">
        <v>2</v>
      </c>
      <c r="AG15" s="19">
        <v>6</v>
      </c>
      <c r="AH15" s="19">
        <v>0</v>
      </c>
      <c r="AI15" s="19">
        <v>9</v>
      </c>
      <c r="AJ15" s="19">
        <v>0</v>
      </c>
      <c r="AK15" s="19">
        <v>1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E15" s="15"/>
      <c r="BF15" s="15"/>
      <c r="BG15" s="15"/>
      <c r="BH15" s="15"/>
      <c r="BI15" s="15"/>
      <c r="BJ15" s="15"/>
      <c r="BK15" s="15"/>
      <c r="BL15" s="15"/>
    </row>
    <row r="16" spans="1:66" x14ac:dyDescent="0.35">
      <c r="A16" s="5" t="s">
        <v>78</v>
      </c>
      <c r="B16" s="1" t="s">
        <v>38</v>
      </c>
      <c r="C16" s="19">
        <v>0</v>
      </c>
      <c r="D16" s="19">
        <v>7</v>
      </c>
      <c r="E16" s="19">
        <v>2</v>
      </c>
      <c r="F16" s="19">
        <v>44</v>
      </c>
      <c r="G16" s="19">
        <v>3</v>
      </c>
      <c r="H16" s="19">
        <v>1</v>
      </c>
      <c r="I16" s="19">
        <v>1</v>
      </c>
      <c r="J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3</v>
      </c>
      <c r="AD16" s="19">
        <v>3</v>
      </c>
      <c r="AE16" s="19">
        <v>192</v>
      </c>
      <c r="AF16" s="19">
        <v>1</v>
      </c>
      <c r="AG16" s="19">
        <v>9</v>
      </c>
      <c r="AH16" s="19">
        <v>1</v>
      </c>
      <c r="AI16" s="19">
        <v>4</v>
      </c>
      <c r="AJ16" s="19">
        <v>0</v>
      </c>
      <c r="AK16" s="19">
        <v>4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V16" s="19">
        <v>0</v>
      </c>
      <c r="AW16" s="19">
        <v>176</v>
      </c>
      <c r="AX16" s="19">
        <v>0</v>
      </c>
      <c r="AY16" s="19">
        <v>2</v>
      </c>
      <c r="AZ16" s="19">
        <v>0</v>
      </c>
      <c r="BA16" s="19">
        <v>0</v>
      </c>
      <c r="BB16" s="19">
        <v>0</v>
      </c>
      <c r="BC16" s="19">
        <v>0</v>
      </c>
      <c r="BE16" s="15"/>
      <c r="BF16" s="15">
        <v>43.451999999999998</v>
      </c>
      <c r="BG16" s="15"/>
      <c r="BH16" s="15"/>
      <c r="BI16" s="15"/>
      <c r="BJ16" s="15"/>
      <c r="BK16" s="15"/>
      <c r="BL16" s="15"/>
    </row>
    <row r="17" spans="1:66" x14ac:dyDescent="0.35">
      <c r="A17" s="5" t="s">
        <v>78</v>
      </c>
      <c r="B17" s="1" t="s">
        <v>39</v>
      </c>
      <c r="C17" s="19">
        <v>1</v>
      </c>
      <c r="D17" s="19">
        <v>63</v>
      </c>
      <c r="E17" s="19">
        <v>4</v>
      </c>
      <c r="F17" s="19">
        <v>97.619718309859095</v>
      </c>
      <c r="G17" s="19">
        <v>32.380281690140798</v>
      </c>
      <c r="H17" s="19">
        <v>10</v>
      </c>
      <c r="I17" s="19">
        <v>8</v>
      </c>
      <c r="J17" s="19">
        <v>4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2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5</v>
      </c>
      <c r="AD17" s="19">
        <v>52</v>
      </c>
      <c r="AE17" s="19">
        <v>324</v>
      </c>
      <c r="AF17" s="19">
        <v>3</v>
      </c>
      <c r="AG17" s="19">
        <v>6</v>
      </c>
      <c r="AH17" s="19">
        <v>27</v>
      </c>
      <c r="AI17" s="19">
        <v>26</v>
      </c>
      <c r="AJ17" s="19">
        <v>0</v>
      </c>
      <c r="AK17" s="19">
        <v>4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V17" s="19">
        <v>2</v>
      </c>
      <c r="AW17" s="19">
        <v>5</v>
      </c>
      <c r="AX17" s="19">
        <v>0</v>
      </c>
      <c r="AY17" s="19">
        <v>0</v>
      </c>
      <c r="AZ17" s="19">
        <v>9</v>
      </c>
      <c r="BA17" s="19">
        <v>0</v>
      </c>
      <c r="BB17" s="19">
        <v>0</v>
      </c>
      <c r="BC17" s="19">
        <v>1</v>
      </c>
      <c r="BE17" s="15"/>
      <c r="BF17" s="15"/>
      <c r="BG17" s="15"/>
      <c r="BH17" s="15"/>
      <c r="BI17" s="15"/>
      <c r="BJ17" s="15"/>
      <c r="BK17" s="15"/>
      <c r="BL17" s="15"/>
    </row>
    <row r="18" spans="1:66" x14ac:dyDescent="0.35">
      <c r="A18" s="5" t="s">
        <v>78</v>
      </c>
      <c r="B18" s="1" t="s">
        <v>40</v>
      </c>
      <c r="C18" s="19">
        <v>0</v>
      </c>
      <c r="D18" s="19">
        <v>25</v>
      </c>
      <c r="E18" s="19">
        <v>4</v>
      </c>
      <c r="F18" s="19">
        <v>50.473684210526301</v>
      </c>
      <c r="G18" s="19">
        <v>54.5263157894736</v>
      </c>
      <c r="H18" s="19">
        <v>6</v>
      </c>
      <c r="I18" s="19">
        <v>5</v>
      </c>
      <c r="J18" s="19">
        <v>2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D18" s="19">
        <v>33</v>
      </c>
      <c r="AE18" s="19">
        <v>200</v>
      </c>
      <c r="AF18" s="19">
        <v>0</v>
      </c>
      <c r="AG18" s="19">
        <v>15</v>
      </c>
      <c r="AH18" s="19">
        <v>6</v>
      </c>
      <c r="AI18" s="19">
        <v>19</v>
      </c>
      <c r="AJ18" s="19">
        <v>0</v>
      </c>
      <c r="AK18" s="19">
        <v>3</v>
      </c>
      <c r="AM18" s="19">
        <v>1</v>
      </c>
      <c r="AN18" s="19">
        <v>1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1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E18" s="15"/>
      <c r="BF18" s="15"/>
      <c r="BG18" s="15"/>
      <c r="BH18" s="15"/>
      <c r="BI18" s="15"/>
      <c r="BJ18" s="15"/>
      <c r="BK18" s="15"/>
      <c r="BL18" s="15"/>
    </row>
    <row r="19" spans="1:66" x14ac:dyDescent="0.35">
      <c r="A19" s="5" t="s">
        <v>78</v>
      </c>
      <c r="B19" s="1" t="s">
        <v>41</v>
      </c>
      <c r="C19" s="19">
        <v>1</v>
      </c>
      <c r="D19" s="19">
        <v>22</v>
      </c>
      <c r="E19" s="19">
        <v>3</v>
      </c>
      <c r="F19" s="19">
        <v>66</v>
      </c>
      <c r="G19" s="19">
        <v>9</v>
      </c>
      <c r="H19" s="19">
        <v>20</v>
      </c>
      <c r="I19" s="19">
        <v>12</v>
      </c>
      <c r="J19" s="19">
        <v>10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2</v>
      </c>
      <c r="AD19" s="19">
        <v>51</v>
      </c>
      <c r="AE19" s="19">
        <v>175</v>
      </c>
      <c r="AF19" s="19">
        <v>0</v>
      </c>
      <c r="AG19" s="19">
        <v>3</v>
      </c>
      <c r="AH19" s="19">
        <v>2</v>
      </c>
      <c r="AI19" s="19">
        <v>40</v>
      </c>
      <c r="AJ19" s="19">
        <v>0</v>
      </c>
      <c r="AK19" s="19">
        <v>4</v>
      </c>
      <c r="AM19" s="19">
        <v>0</v>
      </c>
      <c r="AN19" s="19">
        <v>0</v>
      </c>
      <c r="AO19" s="19">
        <v>0</v>
      </c>
      <c r="AP19" s="19">
        <v>1</v>
      </c>
      <c r="AQ19" s="19">
        <v>0</v>
      </c>
      <c r="AR19" s="19">
        <v>1</v>
      </c>
      <c r="AS19" s="19">
        <v>0</v>
      </c>
      <c r="AT19" s="19">
        <v>2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E19" s="15"/>
      <c r="BF19" s="15"/>
      <c r="BG19" s="15"/>
      <c r="BH19" s="15"/>
      <c r="BI19" s="15"/>
      <c r="BJ19" s="15"/>
      <c r="BK19" s="15"/>
      <c r="BL19" s="15"/>
    </row>
    <row r="20" spans="1:66" x14ac:dyDescent="0.35">
      <c r="A20" s="5" t="s">
        <v>78</v>
      </c>
      <c r="B20" s="1" t="s">
        <v>42</v>
      </c>
      <c r="C20" s="19">
        <v>1</v>
      </c>
      <c r="D20" s="19">
        <v>5</v>
      </c>
      <c r="E20" s="19">
        <v>12</v>
      </c>
      <c r="F20" s="19">
        <v>20</v>
      </c>
      <c r="G20" s="19">
        <v>21</v>
      </c>
      <c r="H20" s="19">
        <v>21</v>
      </c>
      <c r="I20" s="19">
        <v>7</v>
      </c>
      <c r="J20" s="19">
        <v>7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D20" s="19">
        <v>8</v>
      </c>
      <c r="AE20" s="19">
        <v>5</v>
      </c>
      <c r="AF20" s="19">
        <v>0</v>
      </c>
      <c r="AG20" s="19">
        <v>2</v>
      </c>
      <c r="AH20" s="19">
        <v>1</v>
      </c>
      <c r="AI20" s="19">
        <v>13</v>
      </c>
      <c r="AJ20" s="19">
        <v>0</v>
      </c>
      <c r="AK20" s="19">
        <v>3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E20" s="15"/>
      <c r="BF20" s="15"/>
      <c r="BG20" s="15"/>
      <c r="BH20" s="15"/>
      <c r="BI20" s="15"/>
      <c r="BJ20" s="15"/>
      <c r="BK20" s="15"/>
      <c r="BL20" s="15"/>
    </row>
    <row r="21" spans="1:66" x14ac:dyDescent="0.35">
      <c r="A21" s="5" t="s">
        <v>78</v>
      </c>
      <c r="B21" s="1" t="s">
        <v>43</v>
      </c>
      <c r="C21" s="19">
        <v>0</v>
      </c>
      <c r="D21" s="19">
        <v>5</v>
      </c>
      <c r="E21" s="19">
        <v>1</v>
      </c>
      <c r="F21" s="19">
        <v>15</v>
      </c>
      <c r="G21" s="19">
        <v>4</v>
      </c>
      <c r="H21" s="19">
        <v>7</v>
      </c>
      <c r="I21" s="19">
        <v>3</v>
      </c>
      <c r="J21" s="19">
        <v>4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D21" s="19">
        <v>5</v>
      </c>
      <c r="AE21" s="19">
        <v>16</v>
      </c>
      <c r="AF21" s="19">
        <v>0</v>
      </c>
      <c r="AG21" s="19">
        <v>2</v>
      </c>
      <c r="AH21" s="19">
        <v>1</v>
      </c>
      <c r="AI21" s="19">
        <v>10</v>
      </c>
      <c r="AJ21" s="19">
        <v>0</v>
      </c>
      <c r="AK21" s="19">
        <v>3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E21" s="15"/>
      <c r="BF21" s="15"/>
      <c r="BG21" s="15"/>
      <c r="BH21" s="15"/>
      <c r="BI21" s="15"/>
      <c r="BJ21" s="15"/>
      <c r="BK21" s="15"/>
      <c r="BL21" s="15"/>
    </row>
    <row r="22" spans="1:66" x14ac:dyDescent="0.35">
      <c r="A22" s="5" t="s">
        <v>78</v>
      </c>
      <c r="B22" s="1" t="s">
        <v>44</v>
      </c>
      <c r="C22" s="19">
        <v>0</v>
      </c>
      <c r="D22" s="19">
        <v>4</v>
      </c>
      <c r="E22" s="19">
        <v>3</v>
      </c>
      <c r="F22" s="19">
        <v>31</v>
      </c>
      <c r="G22" s="19">
        <v>3</v>
      </c>
      <c r="H22" s="19">
        <v>15</v>
      </c>
      <c r="I22" s="19">
        <v>7</v>
      </c>
      <c r="J22" s="19">
        <v>12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3</v>
      </c>
      <c r="Z22" s="19">
        <v>0</v>
      </c>
      <c r="AA22" s="19">
        <v>0</v>
      </c>
      <c r="AB22" s="19">
        <v>0</v>
      </c>
      <c r="AD22" s="19">
        <v>5</v>
      </c>
      <c r="AE22" s="19">
        <v>20</v>
      </c>
      <c r="AF22" s="19">
        <v>1</v>
      </c>
      <c r="AG22" s="19">
        <v>3</v>
      </c>
      <c r="AH22" s="19">
        <v>1</v>
      </c>
      <c r="AI22" s="19">
        <v>25</v>
      </c>
      <c r="AJ22" s="19">
        <v>0</v>
      </c>
      <c r="AK22" s="19">
        <v>5</v>
      </c>
      <c r="AM22" s="19">
        <v>0</v>
      </c>
      <c r="AN22" s="19">
        <v>2</v>
      </c>
      <c r="AO22" s="19">
        <v>0</v>
      </c>
      <c r="AP22" s="19">
        <v>0</v>
      </c>
      <c r="AQ22" s="19">
        <v>0</v>
      </c>
      <c r="AR22" s="19">
        <v>1</v>
      </c>
      <c r="AS22" s="19">
        <v>0</v>
      </c>
      <c r="AT22" s="19">
        <v>1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E22" s="15"/>
      <c r="BF22" s="15"/>
      <c r="BG22" s="15"/>
      <c r="BH22" s="15"/>
      <c r="BI22" s="15"/>
      <c r="BJ22" s="15"/>
      <c r="BK22" s="15"/>
      <c r="BL22" s="15"/>
    </row>
    <row r="23" spans="1:66" x14ac:dyDescent="0.35">
      <c r="A23" s="5" t="s">
        <v>78</v>
      </c>
      <c r="B23" s="1" t="s">
        <v>45</v>
      </c>
      <c r="C23" s="19">
        <v>1</v>
      </c>
      <c r="D23" s="19">
        <v>1</v>
      </c>
      <c r="E23" s="19">
        <v>2</v>
      </c>
      <c r="F23" s="19">
        <v>13</v>
      </c>
      <c r="G23" s="19">
        <v>1</v>
      </c>
      <c r="H23" s="19">
        <v>6</v>
      </c>
      <c r="I23" s="19">
        <v>2</v>
      </c>
      <c r="J23" s="19">
        <v>1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D23" s="19">
        <v>4</v>
      </c>
      <c r="AE23" s="19">
        <v>24</v>
      </c>
      <c r="AF23" s="19">
        <v>0</v>
      </c>
      <c r="AG23" s="19">
        <v>0</v>
      </c>
      <c r="AH23" s="19">
        <v>1</v>
      </c>
      <c r="AI23" s="19">
        <v>10</v>
      </c>
      <c r="AJ23" s="19">
        <v>0</v>
      </c>
      <c r="AK23" s="19">
        <v>1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E23" s="15"/>
      <c r="BF23" s="15"/>
      <c r="BG23" s="15"/>
      <c r="BH23" s="15"/>
      <c r="BI23" s="15"/>
      <c r="BJ23" s="15"/>
      <c r="BK23" s="15"/>
      <c r="BL23" s="15"/>
    </row>
    <row r="24" spans="1:66" x14ac:dyDescent="0.35">
      <c r="A24" s="5" t="s">
        <v>78</v>
      </c>
      <c r="B24" s="1" t="s">
        <v>46</v>
      </c>
      <c r="C24" s="19">
        <v>0</v>
      </c>
      <c r="D24" s="19">
        <v>4</v>
      </c>
      <c r="E24" s="19">
        <v>3</v>
      </c>
      <c r="F24" s="19">
        <v>9</v>
      </c>
      <c r="G24" s="19">
        <v>1</v>
      </c>
      <c r="H24" s="19">
        <v>8</v>
      </c>
      <c r="I24" s="19">
        <v>5</v>
      </c>
      <c r="J24" s="19">
        <v>1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D24" s="19">
        <v>9</v>
      </c>
      <c r="AE24" s="19">
        <v>6</v>
      </c>
      <c r="AF24" s="19">
        <v>0</v>
      </c>
      <c r="AG24" s="19">
        <v>0</v>
      </c>
      <c r="AH24" s="19">
        <v>1</v>
      </c>
      <c r="AI24" s="19">
        <v>9</v>
      </c>
      <c r="AJ24" s="19">
        <v>0</v>
      </c>
      <c r="AK24" s="19">
        <v>2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E24" s="15"/>
      <c r="BF24" s="15"/>
      <c r="BG24" s="15"/>
      <c r="BH24" s="15"/>
      <c r="BI24" s="15"/>
      <c r="BJ24" s="15"/>
      <c r="BK24" s="15"/>
      <c r="BL24" s="15"/>
    </row>
    <row r="25" spans="1:66" x14ac:dyDescent="0.35">
      <c r="A25" s="5" t="s">
        <v>78</v>
      </c>
      <c r="B25" s="1" t="s">
        <v>47</v>
      </c>
      <c r="C25" s="19">
        <v>0</v>
      </c>
      <c r="D25" s="19">
        <v>1</v>
      </c>
      <c r="E25" s="19">
        <v>5</v>
      </c>
      <c r="F25" s="19">
        <v>24</v>
      </c>
      <c r="G25" s="19">
        <v>2</v>
      </c>
      <c r="H25" s="19">
        <v>17</v>
      </c>
      <c r="I25" s="19">
        <v>9.3333333333333304</v>
      </c>
      <c r="J25" s="19">
        <v>5.6666666666666599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D25" s="19">
        <v>4</v>
      </c>
      <c r="AE25" s="19">
        <v>14</v>
      </c>
      <c r="AF25" s="19">
        <v>0</v>
      </c>
      <c r="AG25" s="19">
        <v>0</v>
      </c>
      <c r="AH25" s="19">
        <v>0</v>
      </c>
      <c r="AI25" s="19">
        <v>16</v>
      </c>
      <c r="AJ25" s="19">
        <v>0</v>
      </c>
      <c r="AK25" s="19">
        <v>2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E25" s="15">
        <v>22.6</v>
      </c>
      <c r="BF25" s="15"/>
      <c r="BG25" s="15"/>
      <c r="BH25" s="15"/>
      <c r="BI25" s="15"/>
      <c r="BJ25" s="15"/>
      <c r="BK25" s="15"/>
      <c r="BL25" s="15"/>
    </row>
    <row r="26" spans="1:66" x14ac:dyDescent="0.35">
      <c r="A26" s="5" t="s">
        <v>80</v>
      </c>
      <c r="B26" s="1" t="s">
        <v>48</v>
      </c>
      <c r="F26">
        <v>1</v>
      </c>
      <c r="L26" s="15"/>
      <c r="M26" s="15"/>
      <c r="N26" s="15"/>
      <c r="O26" s="15">
        <v>1</v>
      </c>
      <c r="P26" s="15"/>
      <c r="Q26" s="15"/>
      <c r="R26" s="15"/>
      <c r="S26" s="15"/>
      <c r="U26" s="15"/>
      <c r="V26" s="15"/>
      <c r="W26" s="15"/>
      <c r="X26" s="15">
        <v>1</v>
      </c>
      <c r="Y26" s="15"/>
      <c r="Z26" s="15"/>
      <c r="AA26" s="15"/>
      <c r="AB26" s="15"/>
      <c r="AD26" s="15"/>
      <c r="AE26" s="15"/>
      <c r="AF26" s="15"/>
      <c r="AG26" s="15">
        <v>1</v>
      </c>
      <c r="AH26" s="15"/>
      <c r="AI26" s="15"/>
      <c r="AJ26" s="15"/>
      <c r="AK26" s="15"/>
      <c r="AM26" s="15"/>
      <c r="AN26" s="15"/>
      <c r="AO26" s="15"/>
      <c r="AP26" s="15">
        <v>1</v>
      </c>
      <c r="AQ26" s="15"/>
      <c r="AR26" s="15"/>
      <c r="AS26" s="15"/>
      <c r="AT26" s="15"/>
      <c r="AV26" s="15"/>
      <c r="AW26" s="15"/>
      <c r="AX26" s="15"/>
      <c r="AY26" s="15">
        <v>1</v>
      </c>
      <c r="AZ26" s="15"/>
      <c r="BA26" s="15"/>
      <c r="BB26" s="15"/>
      <c r="BC26" s="15"/>
      <c r="BE26" s="15"/>
      <c r="BF26" s="15"/>
      <c r="BG26" s="15"/>
      <c r="BH26" s="15">
        <v>1</v>
      </c>
      <c r="BI26" s="15"/>
      <c r="BJ26" s="15"/>
      <c r="BK26" s="15"/>
      <c r="BL26" s="15"/>
      <c r="BN26" t="s">
        <v>81</v>
      </c>
    </row>
    <row r="27" spans="1:66" x14ac:dyDescent="0.35">
      <c r="A27" s="5" t="s">
        <v>80</v>
      </c>
      <c r="B27" s="1" t="s">
        <v>49</v>
      </c>
      <c r="F27">
        <v>1</v>
      </c>
      <c r="L27" s="15">
        <v>1</v>
      </c>
      <c r="M27" s="15"/>
      <c r="N27" s="15"/>
      <c r="O27" s="15"/>
      <c r="P27" s="15"/>
      <c r="Q27" s="15"/>
      <c r="R27" s="15"/>
      <c r="S27" s="15"/>
      <c r="U27" s="15">
        <v>1</v>
      </c>
      <c r="V27" s="15"/>
      <c r="W27" s="15"/>
      <c r="X27" s="15"/>
      <c r="Y27" s="15"/>
      <c r="Z27" s="15"/>
      <c r="AA27" s="15"/>
      <c r="AB27" s="15"/>
      <c r="AD27" s="15">
        <v>1</v>
      </c>
      <c r="AE27" s="15"/>
      <c r="AF27" s="15"/>
      <c r="AG27" s="15"/>
      <c r="AH27" s="15"/>
      <c r="AI27" s="15"/>
      <c r="AJ27" s="15"/>
      <c r="AK27" s="15"/>
      <c r="AM27" s="15">
        <v>1</v>
      </c>
      <c r="AN27" s="15"/>
      <c r="AO27" s="15"/>
      <c r="AP27" s="15"/>
      <c r="AQ27" s="15"/>
      <c r="AR27" s="15"/>
      <c r="AS27" s="15"/>
      <c r="AT27" s="15"/>
      <c r="AV27" s="15">
        <v>1</v>
      </c>
      <c r="AW27" s="15"/>
      <c r="AX27" s="15"/>
      <c r="AY27" s="15"/>
      <c r="AZ27" s="15"/>
      <c r="BA27" s="15"/>
      <c r="BB27" s="15"/>
      <c r="BC27" s="15"/>
      <c r="BE27" s="15">
        <v>1</v>
      </c>
      <c r="BF27" s="15"/>
      <c r="BG27" s="15"/>
      <c r="BH27" s="15"/>
      <c r="BI27" s="15"/>
      <c r="BJ27" s="15"/>
      <c r="BK27" s="15"/>
      <c r="BL27" s="15"/>
      <c r="BN27" t="s">
        <v>82</v>
      </c>
    </row>
    <row r="28" spans="1:66" x14ac:dyDescent="0.35">
      <c r="A28" s="5" t="s">
        <v>74</v>
      </c>
      <c r="B28" s="1" t="s">
        <v>50</v>
      </c>
      <c r="F28" s="15">
        <v>156.19919999999999</v>
      </c>
      <c r="H28" s="15">
        <v>52.066400000000002</v>
      </c>
      <c r="I28" s="15">
        <v>52.066400000000002</v>
      </c>
      <c r="L28" s="15"/>
      <c r="M28" s="15"/>
      <c r="N28" s="15"/>
      <c r="O28" s="15"/>
      <c r="P28" s="15"/>
      <c r="Q28" s="15"/>
      <c r="R28" s="15"/>
      <c r="S28" s="15"/>
      <c r="U28" s="15"/>
      <c r="V28" s="15"/>
      <c r="W28" s="15"/>
      <c r="X28" s="15"/>
      <c r="Y28" s="15"/>
      <c r="AA28" s="15"/>
      <c r="AB28" s="17">
        <v>591.68500000000006</v>
      </c>
      <c r="AD28" s="15"/>
      <c r="AE28" s="15">
        <v>217.392</v>
      </c>
      <c r="AF28" s="15"/>
      <c r="AG28" s="15"/>
      <c r="AH28" s="15"/>
      <c r="AI28" s="15"/>
      <c r="AJ28" s="15"/>
      <c r="AK28" s="15"/>
      <c r="AM28" s="15"/>
      <c r="AN28" s="15"/>
      <c r="AO28" s="15"/>
      <c r="AQ28" s="15"/>
      <c r="AR28" s="15"/>
      <c r="AS28" s="15"/>
      <c r="AT28" s="15">
        <v>20.681999999999999</v>
      </c>
      <c r="AV28" s="15"/>
      <c r="AW28" s="15"/>
      <c r="AX28" s="15"/>
      <c r="AY28" s="15"/>
      <c r="AZ28" s="15"/>
      <c r="BA28" s="15"/>
      <c r="BB28" s="15"/>
      <c r="BC28" s="15"/>
      <c r="BE28" s="15"/>
      <c r="BF28" s="15"/>
      <c r="BG28" s="15"/>
      <c r="BH28" s="15"/>
      <c r="BI28" s="15"/>
      <c r="BJ28" s="15"/>
      <c r="BK28" s="15"/>
      <c r="BL28" s="15"/>
      <c r="BN28" t="s">
        <v>83</v>
      </c>
    </row>
    <row r="30" spans="1:66" x14ac:dyDescent="0.35">
      <c r="A30" s="20" t="s">
        <v>84</v>
      </c>
    </row>
    <row r="31" spans="1:66" x14ac:dyDescent="0.35">
      <c r="A31" s="21" t="s">
        <v>85</v>
      </c>
      <c r="AB31" s="22" t="s">
        <v>86</v>
      </c>
    </row>
    <row r="32" spans="1:66" x14ac:dyDescent="0.35">
      <c r="A32" s="21" t="s">
        <v>87</v>
      </c>
      <c r="AB32" s="22" t="s">
        <v>88</v>
      </c>
    </row>
    <row r="33" spans="1:28" x14ac:dyDescent="0.35">
      <c r="A33" s="21" t="s">
        <v>89</v>
      </c>
      <c r="AB33" s="23"/>
    </row>
    <row r="34" spans="1:28" x14ac:dyDescent="0.35">
      <c r="AB34" s="22" t="s">
        <v>90</v>
      </c>
    </row>
    <row r="35" spans="1:28" x14ac:dyDescent="0.35">
      <c r="A35" s="20" t="s">
        <v>91</v>
      </c>
      <c r="AB35" s="22" t="s">
        <v>92</v>
      </c>
    </row>
    <row r="36" spans="1:28" x14ac:dyDescent="0.35">
      <c r="A36" s="5" t="s">
        <v>93</v>
      </c>
      <c r="AB36" s="22" t="s">
        <v>94</v>
      </c>
    </row>
    <row r="37" spans="1:28" x14ac:dyDescent="0.35">
      <c r="A37" s="5" t="s">
        <v>95</v>
      </c>
      <c r="AB37" s="22" t="s">
        <v>96</v>
      </c>
    </row>
    <row r="38" spans="1:28" x14ac:dyDescent="0.35">
      <c r="AB38" s="22" t="s">
        <v>97</v>
      </c>
    </row>
    <row r="39" spans="1:28" x14ac:dyDescent="0.35">
      <c r="A39" s="20" t="s">
        <v>98</v>
      </c>
      <c r="AB39" s="24"/>
    </row>
    <row r="40" spans="1:28" x14ac:dyDescent="0.35">
      <c r="A40" s="5" t="s">
        <v>99</v>
      </c>
    </row>
    <row r="41" spans="1:28" x14ac:dyDescent="0.35">
      <c r="A41" s="5" t="s">
        <v>100</v>
      </c>
    </row>
    <row r="42" spans="1:28" x14ac:dyDescent="0.35">
      <c r="A42" s="5" t="s">
        <v>101</v>
      </c>
    </row>
    <row r="43" spans="1:28" x14ac:dyDescent="0.35">
      <c r="A43" s="5" t="s">
        <v>102</v>
      </c>
    </row>
    <row r="44" spans="1:28" x14ac:dyDescent="0.35">
      <c r="A44" s="5" t="s">
        <v>103</v>
      </c>
    </row>
    <row r="45" spans="1:28" x14ac:dyDescent="0.35">
      <c r="A45" s="25" t="s">
        <v>104</v>
      </c>
    </row>
    <row r="46" spans="1:28" x14ac:dyDescent="0.35">
      <c r="A46" s="5" t="s">
        <v>105</v>
      </c>
    </row>
    <row r="47" spans="1:28" x14ac:dyDescent="0.35">
      <c r="A47" s="5" t="s">
        <v>106</v>
      </c>
    </row>
  </sheetData>
  <hyperlinks>
    <hyperlink ref="A45" r:id="rId1" xr:uid="{EAEF6607-C569-460A-96A6-896D1D3DE224}"/>
  </hyperlinks>
  <pageMargins left="0.7" right="0.7" top="0.75" bottom="0.75" header="0.3" footer="0.3"/>
  <pageSetup orientation="portrait"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3F2A9-DB39-4839-9475-3FC91EBA54C5}">
  <dimension ref="B2:C27"/>
  <sheetViews>
    <sheetView topLeftCell="A5" workbookViewId="0">
      <selection activeCell="C19" sqref="C19"/>
    </sheetView>
  </sheetViews>
  <sheetFormatPr defaultRowHeight="14.5" x14ac:dyDescent="0.35"/>
  <cols>
    <col min="2" max="2" width="42.26953125" bestFit="1" customWidth="1"/>
  </cols>
  <sheetData>
    <row r="2" spans="2:3" x14ac:dyDescent="0.35">
      <c r="C2" t="s">
        <v>107</v>
      </c>
    </row>
    <row r="3" spans="2:3" x14ac:dyDescent="0.35">
      <c r="B3" t="s">
        <v>26</v>
      </c>
      <c r="C3">
        <f>(SUMIFS('BPFUbIP-Summed Data by Industry'!C4:BL4,'BPFUbIP-Summed Data by Industry'!$C$3:$BL$3,"Nonboiler heat")+SUMIFS('BPFUbIP-Summed Data by Industry'!C4:BL4,'BPFUbIP-Summed Data by Industry'!$C$3:$BL$3,"Boilers"))/SUM('BPFUbIP-Summed Data by Industry'!C4:BL4)</f>
        <v>0.31033233291513068</v>
      </c>
    </row>
    <row r="4" spans="2:3" x14ac:dyDescent="0.35">
      <c r="B4" t="s">
        <v>27</v>
      </c>
      <c r="C4">
        <f>(SUMIFS('BPFUbIP-Summed Data by Industry'!C5:BL5,'BPFUbIP-Summed Data by Industry'!$C$3:$BL$3,"Nonboiler heat")+SUMIFS('BPFUbIP-Summed Data by Industry'!C5:BL5,'BPFUbIP-Summed Data by Industry'!$C$3:$BL$3,"Boilers"))/SUM('BPFUbIP-Summed Data by Industry'!C5:BL5)</f>
        <v>0</v>
      </c>
    </row>
    <row r="5" spans="2:3" x14ac:dyDescent="0.35">
      <c r="B5" t="s">
        <v>28</v>
      </c>
      <c r="C5">
        <f>(SUMIFS('BPFUbIP-Summed Data by Industry'!C6:BL6,'BPFUbIP-Summed Data by Industry'!$C$3:$BL$3,"Nonboiler heat")+SUMIFS('BPFUbIP-Summed Data by Industry'!C6:BL6,'BPFUbIP-Summed Data by Industry'!$C$3:$BL$3,"Boilers"))/SUM('BPFUbIP-Summed Data by Industry'!C6:BL6)</f>
        <v>0.55501925030630439</v>
      </c>
    </row>
    <row r="6" spans="2:3" x14ac:dyDescent="0.35">
      <c r="B6" t="s">
        <v>29</v>
      </c>
      <c r="C6">
        <f>(SUMIFS('BPFUbIP-Summed Data by Industry'!C7:BL7,'BPFUbIP-Summed Data by Industry'!$C$3:$BL$3,"Nonboiler heat")+SUMIFS('BPFUbIP-Summed Data by Industry'!C7:BL7,'BPFUbIP-Summed Data by Industry'!$C$3:$BL$3,"Boilers"))/SUM('BPFUbIP-Summed Data by Industry'!C7:BL7)</f>
        <v>0.47906040149384799</v>
      </c>
    </row>
    <row r="7" spans="2:3" x14ac:dyDescent="0.35">
      <c r="B7" t="s">
        <v>30</v>
      </c>
      <c r="C7">
        <f>(SUMIFS('BPFUbIP-Summed Data by Industry'!C8:BL8,'BPFUbIP-Summed Data by Industry'!$C$3:$BL$3,"Nonboiler heat")+SUMIFS('BPFUbIP-Summed Data by Industry'!C8:BL8,'BPFUbIP-Summed Data by Industry'!$C$3:$BL$3,"Boilers"))/SUM('BPFUbIP-Summed Data by Industry'!C8:BL8)</f>
        <v>0.63987949274854616</v>
      </c>
    </row>
    <row r="8" spans="2:3" x14ac:dyDescent="0.35">
      <c r="B8" t="s">
        <v>31</v>
      </c>
      <c r="C8">
        <f>(SUMIFS('BPFUbIP-Summed Data by Industry'!C9:BL9,'BPFUbIP-Summed Data by Industry'!$C$3:$BL$3,"Nonboiler heat")+SUMIFS('BPFUbIP-Summed Data by Industry'!C9:BL9,'BPFUbIP-Summed Data by Industry'!$C$3:$BL$3,"Boilers"))/SUM('BPFUbIP-Summed Data by Industry'!C9:BL9)</f>
        <v>0.4</v>
      </c>
    </row>
    <row r="9" spans="2:3" x14ac:dyDescent="0.35">
      <c r="B9" t="s">
        <v>32</v>
      </c>
      <c r="C9">
        <f>(SUMIFS('BPFUbIP-Summed Data by Industry'!C10:BL10,'BPFUbIP-Summed Data by Industry'!$C$3:$BL$3,"Nonboiler heat")+SUMIFS('BPFUbIP-Summed Data by Industry'!C10:BL10,'BPFUbIP-Summed Data by Industry'!$C$3:$BL$3,"Boilers"))/SUM('BPFUbIP-Summed Data by Industry'!C10:BL10)</f>
        <v>0.86973788721207312</v>
      </c>
    </row>
    <row r="10" spans="2:3" x14ac:dyDescent="0.35">
      <c r="B10" t="s">
        <v>33</v>
      </c>
      <c r="C10">
        <f>(SUMIFS('BPFUbIP-Summed Data by Industry'!C11:BL11,'BPFUbIP-Summed Data by Industry'!$C$3:$BL$3,"Nonboiler heat")+SUMIFS('BPFUbIP-Summed Data by Industry'!C11:BL11,'BPFUbIP-Summed Data by Industry'!$C$3:$BL$3,"Boilers"))/SUM('BPFUbIP-Summed Data by Industry'!C11:BL11)</f>
        <v>0.85513134401761959</v>
      </c>
    </row>
    <row r="11" spans="2:3" x14ac:dyDescent="0.35">
      <c r="B11" t="s">
        <v>34</v>
      </c>
      <c r="C11">
        <f>(SUMIFS('BPFUbIP-Summed Data by Industry'!C12:BL12,'BPFUbIP-Summed Data by Industry'!$C$3:$BL$3,"Nonboiler heat")+SUMIFS('BPFUbIP-Summed Data by Industry'!C12:BL12,'BPFUbIP-Summed Data by Industry'!$C$3:$BL$3,"Boilers"))/SUM('BPFUbIP-Summed Data by Industry'!C12:BL12)</f>
        <v>0.77536793183578623</v>
      </c>
    </row>
    <row r="12" spans="2:3" x14ac:dyDescent="0.35">
      <c r="B12" t="s">
        <v>35</v>
      </c>
      <c r="C12">
        <f>(SUMIFS('BPFUbIP-Summed Data by Industry'!C13:BL13,'BPFUbIP-Summed Data by Industry'!$C$3:$BL$3,"Nonboiler heat")+SUMIFS('BPFUbIP-Summed Data by Industry'!C13:BL13,'BPFUbIP-Summed Data by Industry'!$C$3:$BL$3,"Boilers"))/SUM('BPFUbIP-Summed Data by Industry'!C13:BL13)</f>
        <v>0.71612700408676522</v>
      </c>
    </row>
    <row r="13" spans="2:3" x14ac:dyDescent="0.35">
      <c r="B13" t="s">
        <v>36</v>
      </c>
      <c r="C13">
        <f>(SUMIFS('BPFUbIP-Summed Data by Industry'!C14:BL14,'BPFUbIP-Summed Data by Industry'!$C$3:$BL$3,"Nonboiler heat")+SUMIFS('BPFUbIP-Summed Data by Industry'!C14:BL14,'BPFUbIP-Summed Data by Industry'!$C$3:$BL$3,"Boilers"))/SUM('BPFUbIP-Summed Data by Industry'!C14:BL14)</f>
        <v>0.28205128205128205</v>
      </c>
    </row>
    <row r="14" spans="2:3" x14ac:dyDescent="0.35">
      <c r="B14" t="s">
        <v>37</v>
      </c>
      <c r="C14">
        <f>(SUMIFS('BPFUbIP-Summed Data by Industry'!C15:BL15,'BPFUbIP-Summed Data by Industry'!$C$3:$BL$3,"Nonboiler heat")+SUMIFS('BPFUbIP-Summed Data by Industry'!C15:BL15,'BPFUbIP-Summed Data by Industry'!$C$3:$BL$3,"Boilers"))/SUM('BPFUbIP-Summed Data by Industry'!C15:BL15)</f>
        <v>0.75135135135135134</v>
      </c>
    </row>
    <row r="15" spans="2:3" x14ac:dyDescent="0.35">
      <c r="B15" t="s">
        <v>38</v>
      </c>
      <c r="C15">
        <f>(SUMIFS('BPFUbIP-Summed Data by Industry'!C16:BL16,'BPFUbIP-Summed Data by Industry'!$C$3:$BL$3,"Nonboiler heat")+SUMIFS('BPFUbIP-Summed Data by Industry'!C16:BL16,'BPFUbIP-Summed Data by Industry'!$C$3:$BL$3,"Boilers"))/SUM('BPFUbIP-Summed Data by Industry'!C16:BL16)</f>
        <v>0.84923168466505305</v>
      </c>
    </row>
    <row r="16" spans="2:3" x14ac:dyDescent="0.35">
      <c r="B16" t="s">
        <v>39</v>
      </c>
      <c r="C16">
        <f>(SUMIFS('BPFUbIP-Summed Data by Industry'!C17:BL17,'BPFUbIP-Summed Data by Industry'!$C$3:$BL$3,"Nonboiler heat")+SUMIFS('BPFUbIP-Summed Data by Industry'!C17:BL17,'BPFUbIP-Summed Data by Industry'!$C$3:$BL$3,"Boilers"))/SUM('BPFUbIP-Summed Data by Industry'!C17:BL17)</f>
        <v>0.65160349854227417</v>
      </c>
    </row>
    <row r="17" spans="2:3" x14ac:dyDescent="0.35">
      <c r="B17" t="s">
        <v>40</v>
      </c>
      <c r="C17">
        <f>(SUMIFS('BPFUbIP-Summed Data by Industry'!C18:BL18,'BPFUbIP-Summed Data by Industry'!$C$3:$BL$3,"Nonboiler heat")+SUMIFS('BPFUbIP-Summed Data by Industry'!C18:BL18,'BPFUbIP-Summed Data by Industry'!$C$3:$BL$3,"Boilers"))/SUM('BPFUbIP-Summed Data by Industry'!C18:BL18)</f>
        <v>0.60889929742388771</v>
      </c>
    </row>
    <row r="18" spans="2:3" x14ac:dyDescent="0.35">
      <c r="B18" t="s">
        <v>41</v>
      </c>
      <c r="C18">
        <f>(SUMIFS('BPFUbIP-Summed Data by Industry'!C19:BL19,'BPFUbIP-Summed Data by Industry'!$C$3:$BL$3,"Nonboiler heat")+SUMIFS('BPFUbIP-Summed Data by Industry'!C19:BL19,'BPFUbIP-Summed Data by Industry'!$C$3:$BL$3,"Boilers"))/SUM('BPFUbIP-Summed Data by Industry'!C19:BL19)</f>
        <v>0.58726415094339623</v>
      </c>
    </row>
    <row r="19" spans="2:3" x14ac:dyDescent="0.35">
      <c r="B19" t="s">
        <v>42</v>
      </c>
      <c r="C19">
        <f>(SUMIFS('BPFUbIP-Summed Data by Industry'!C20:BL20,'BPFUbIP-Summed Data by Industry'!$C$3:$BL$3,"Nonboiler heat")+SUMIFS('BPFUbIP-Summed Data by Industry'!C20:BL20,'BPFUbIP-Summed Data by Industry'!$C$3:$BL$3,"Boilers"))/SUM('BPFUbIP-Summed Data by Industry'!C20:BL20)</f>
        <v>0.15079365079365079</v>
      </c>
    </row>
    <row r="20" spans="2:3" x14ac:dyDescent="0.35">
      <c r="B20" t="s">
        <v>43</v>
      </c>
      <c r="C20">
        <f>(SUMIFS('BPFUbIP-Summed Data by Industry'!C21:BL21,'BPFUbIP-Summed Data by Industry'!$C$3:$BL$3,"Nonboiler heat")+SUMIFS('BPFUbIP-Summed Data by Industry'!C21:BL21,'BPFUbIP-Summed Data by Industry'!$C$3:$BL$3,"Boilers"))/SUM('BPFUbIP-Summed Data by Industry'!C21:BL21)</f>
        <v>0.34210526315789475</v>
      </c>
    </row>
    <row r="21" spans="2:3" x14ac:dyDescent="0.35">
      <c r="B21" t="s">
        <v>44</v>
      </c>
      <c r="C21">
        <f>(SUMIFS('BPFUbIP-Summed Data by Industry'!C22:BL22,'BPFUbIP-Summed Data by Industry'!$C$3:$BL$3,"Nonboiler heat")+SUMIFS('BPFUbIP-Summed Data by Industry'!C22:BL22,'BPFUbIP-Summed Data by Industry'!$C$3:$BL$3,"Boilers"))/SUM('BPFUbIP-Summed Data by Industry'!C22:BL22)</f>
        <v>0.21830985915492956</v>
      </c>
    </row>
    <row r="22" spans="2:3" x14ac:dyDescent="0.35">
      <c r="B22" t="s">
        <v>45</v>
      </c>
      <c r="C22">
        <f>(SUMIFS('BPFUbIP-Summed Data by Industry'!C23:BL23,'BPFUbIP-Summed Data by Industry'!$C$3:$BL$3,"Nonboiler heat")+SUMIFS('BPFUbIP-Summed Data by Industry'!C23:BL23,'BPFUbIP-Summed Data by Industry'!$C$3:$BL$3,"Boilers"))/SUM('BPFUbIP-Summed Data by Industry'!C23:BL23)</f>
        <v>0.44776119402985076</v>
      </c>
    </row>
    <row r="23" spans="2:3" x14ac:dyDescent="0.35">
      <c r="B23" t="s">
        <v>46</v>
      </c>
      <c r="C23">
        <f>(SUMIFS('BPFUbIP-Summed Data by Industry'!C24:BL24,'BPFUbIP-Summed Data by Industry'!$C$3:$BL$3,"Nonboiler heat")+SUMIFS('BPFUbIP-Summed Data by Industry'!C24:BL24,'BPFUbIP-Summed Data by Industry'!$C$3:$BL$3,"Boilers"))/SUM('BPFUbIP-Summed Data by Industry'!C24:BL24)</f>
        <v>0.32758620689655171</v>
      </c>
    </row>
    <row r="24" spans="2:3" x14ac:dyDescent="0.35">
      <c r="B24" t="s">
        <v>47</v>
      </c>
      <c r="C24">
        <f>(SUMIFS('BPFUbIP-Summed Data by Industry'!C25:BL25,'BPFUbIP-Summed Data by Industry'!$C$3:$BL$3,"Nonboiler heat")+SUMIFS('BPFUbIP-Summed Data by Industry'!C25:BL25,'BPFUbIP-Summed Data by Industry'!$C$3:$BL$3,"Boilers"))/SUM('BPFUbIP-Summed Data by Industry'!C25:BL25)</f>
        <v>0.33931484502446985</v>
      </c>
    </row>
    <row r="25" spans="2:3" x14ac:dyDescent="0.35">
      <c r="B25" t="s">
        <v>48</v>
      </c>
      <c r="C25">
        <f>(SUMIFS('BPFUbIP-Summed Data by Industry'!C26:BL26,'BPFUbIP-Summed Data by Industry'!$C$3:$BL$3,"Nonboiler heat")+SUMIFS('BPFUbIP-Summed Data by Industry'!C26:BL26,'BPFUbIP-Summed Data by Industry'!$C$3:$BL$3,"Boilers"))/SUM('BPFUbIP-Summed Data by Industry'!C26:BL26)</f>
        <v>0</v>
      </c>
    </row>
    <row r="26" spans="2:3" x14ac:dyDescent="0.35">
      <c r="B26" t="s">
        <v>49</v>
      </c>
      <c r="C26">
        <f>(SUMIFS('BPFUbIP-Summed Data by Industry'!C27:BL27,'BPFUbIP-Summed Data by Industry'!$C$3:$BL$3,"Nonboiler heat")+SUMIFS('BPFUbIP-Summed Data by Industry'!C27:BL27,'BPFUbIP-Summed Data by Industry'!$C$3:$BL$3,"Boilers"))/SUM('BPFUbIP-Summed Data by Industry'!C27:BL27)</f>
        <v>0.8571428571428571</v>
      </c>
    </row>
    <row r="27" spans="2:3" x14ac:dyDescent="0.35">
      <c r="B27" t="s">
        <v>50</v>
      </c>
      <c r="C27">
        <f>(SUMIFS('BPFUbIP-Summed Data by Industry'!C28:BL28,'BPFUbIP-Summed Data by Industry'!$C$3:$BL$3,"Nonboiler heat")+SUMIFS('BPFUbIP-Summed Data by Industry'!C28:BL28,'BPFUbIP-Summed Data by Industry'!$C$3:$BL$3,"Boilers"))/SUM('BPFUbIP-Summed Data by Industry'!C28:BL28)</f>
        <v>0.19942555254561314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4D4F2-9192-4557-9476-0BAD41DB5078}">
  <sheetPr>
    <tabColor theme="3"/>
  </sheetPr>
  <dimension ref="A1:B26"/>
  <sheetViews>
    <sheetView zoomScale="90" workbookViewId="0">
      <selection activeCell="B18" sqref="A18:B19"/>
    </sheetView>
  </sheetViews>
  <sheetFormatPr defaultRowHeight="14.5" x14ac:dyDescent="0.35"/>
  <cols>
    <col min="1" max="1" width="45.453125" bestFit="1" customWidth="1"/>
  </cols>
  <sheetData>
    <row r="1" spans="1:2" x14ac:dyDescent="0.35">
      <c r="A1" t="s">
        <v>53</v>
      </c>
      <c r="B1" t="s">
        <v>9</v>
      </c>
    </row>
    <row r="2" spans="1:2" x14ac:dyDescent="0.35">
      <c r="A2" t="s">
        <v>26</v>
      </c>
      <c r="B2" s="8">
        <f>IFERROR((SUMIFS('EU Data'!$D$23:$D$35,'EU Data'!$H$23:$H$35,WHRPbI!A2)+SUMIFS('EU Data'!$D$23:$D$35,'EU Data'!$I$23:$I$35,WHRPbI!A2)+SUMIFS('EU Data'!$D$23:$D$35,'EU Data'!$J$23:$J$35,WHRPbI!A2))/Calcs!$C3,0)</f>
        <v>0</v>
      </c>
    </row>
    <row r="3" spans="1:2" x14ac:dyDescent="0.35">
      <c r="A3" t="s">
        <v>27</v>
      </c>
      <c r="B3" s="8">
        <f>IFERROR((SUMIFS('EU Data'!$D$23:$D$35,'EU Data'!$H$23:$H$35,WHRPbI!A3)+SUMIFS('EU Data'!$D$23:$D$35,'EU Data'!$I$23:$I$35,WHRPbI!A3)+SUMIFS('EU Data'!$D$23:$D$35,'EU Data'!$J$23:$J$35,WHRPbI!A3))/Calcs!$C4,0)</f>
        <v>0</v>
      </c>
    </row>
    <row r="4" spans="1:2" x14ac:dyDescent="0.35">
      <c r="A4" t="s">
        <v>28</v>
      </c>
      <c r="B4" s="8">
        <f>IFERROR((SUMIFS('EU Data'!$D$23:$D$35,'EU Data'!$H$23:$H$35,WHRPbI!A4)+SUMIFS('EU Data'!$D$23:$D$35,'EU Data'!$I$23:$I$35,WHRPbI!A4)+SUMIFS('EU Data'!$D$23:$D$35,'EU Data'!$J$23:$J$35,WHRPbI!A4))/Calcs!$C5,0)</f>
        <v>0</v>
      </c>
    </row>
    <row r="5" spans="1:2" x14ac:dyDescent="0.35">
      <c r="A5" t="s">
        <v>29</v>
      </c>
      <c r="B5" s="8">
        <f>IFERROR((SUMIFS('EU Data'!$D$23:$D$35,'EU Data'!$H$23:$H$35,WHRPbI!A5)+SUMIFS('EU Data'!$D$23:$D$35,'EU Data'!$I$23:$I$35,WHRPbI!A5)+SUMIFS('EU Data'!$D$23:$D$35,'EU Data'!$J$23:$J$35,WHRPbI!A5))/Calcs!$C6,0)</f>
        <v>1.0437097252055405E-2</v>
      </c>
    </row>
    <row r="6" spans="1:2" x14ac:dyDescent="0.35">
      <c r="A6" t="s">
        <v>30</v>
      </c>
      <c r="B6" s="8">
        <f>IFERROR((SUMIFS('EU Data'!$D$23:$D$35,'EU Data'!$H$23:$H$35,WHRPbI!A6)+SUMIFS('EU Data'!$D$23:$D$35,'EU Data'!$I$23:$I$35,WHRPbI!A6)+SUMIFS('EU Data'!$D$23:$D$35,'EU Data'!$J$23:$J$35,WHRPbI!A6))/Calcs!$C7,0)</f>
        <v>9.2204861491295309E-2</v>
      </c>
    </row>
    <row r="7" spans="1:2" x14ac:dyDescent="0.35">
      <c r="A7" t="s">
        <v>31</v>
      </c>
      <c r="B7" s="8">
        <f>IFERROR((SUMIFS('EU Data'!$D$23:$D$35,'EU Data'!$H$23:$H$35,WHRPbI!A7)+SUMIFS('EU Data'!$D$23:$D$35,'EU Data'!$I$23:$I$35,WHRPbI!A7)+SUMIFS('EU Data'!$D$23:$D$35,'EU Data'!$J$23:$J$35,WHRPbI!A7))/Calcs!$C8,0)</f>
        <v>2.2499999999999996E-2</v>
      </c>
    </row>
    <row r="8" spans="1:2" x14ac:dyDescent="0.35">
      <c r="A8" t="s">
        <v>32</v>
      </c>
      <c r="B8" s="8">
        <f>IFERROR((SUMIFS('EU Data'!$D$23:$D$35,'EU Data'!$H$23:$H$35,WHRPbI!A8)+SUMIFS('EU Data'!$D$23:$D$35,'EU Data'!$I$23:$I$35,WHRPbI!A8)+SUMIFS('EU Data'!$D$23:$D$35,'EU Data'!$J$23:$J$35,WHRPbI!A8))/Calcs!$C9,0)</f>
        <v>9.1981735159817352E-3</v>
      </c>
    </row>
    <row r="9" spans="1:2" x14ac:dyDescent="0.35">
      <c r="A9" t="s">
        <v>33</v>
      </c>
      <c r="B9" s="8">
        <f>IFERROR((SUMIFS('EU Data'!$D$23:$D$35,'EU Data'!$H$23:$H$35,WHRPbI!A9)+SUMIFS('EU Data'!$D$23:$D$35,'EU Data'!$I$23:$I$35,WHRPbI!A9)+SUMIFS('EU Data'!$D$23:$D$35,'EU Data'!$J$23:$J$35,WHRPbI!A9))/Calcs!$C10,0)</f>
        <v>5.2623494992685933E-2</v>
      </c>
    </row>
    <row r="10" spans="1:2" x14ac:dyDescent="0.35">
      <c r="A10" t="s">
        <v>34</v>
      </c>
      <c r="B10" s="8">
        <f>IFERROR((SUMIFS('EU Data'!$D$23:$D$35,'EU Data'!$H$23:$H$35,WHRPbI!A10)+SUMIFS('EU Data'!$D$23:$D$35,'EU Data'!$I$23:$I$35,WHRPbI!A10)+SUMIFS('EU Data'!$D$23:$D$35,'EU Data'!$J$23:$J$35,WHRPbI!A10))/Calcs!$C11,0)</f>
        <v>0</v>
      </c>
    </row>
    <row r="11" spans="1:2" x14ac:dyDescent="0.35">
      <c r="A11" t="s">
        <v>35</v>
      </c>
      <c r="B11" s="8">
        <f>IFERROR((SUMIFS('EU Data'!$D$23:$D$35,'EU Data'!$H$23:$H$35,WHRPbI!A11)+SUMIFS('EU Data'!$D$23:$D$35,'EU Data'!$I$23:$I$35,WHRPbI!A11)+SUMIFS('EU Data'!$D$23:$D$35,'EU Data'!$J$23:$J$35,WHRPbI!A11))/Calcs!$C12,0)</f>
        <v>7.9594820017559256E-2</v>
      </c>
    </row>
    <row r="12" spans="1:2" x14ac:dyDescent="0.35">
      <c r="A12" t="s">
        <v>36</v>
      </c>
      <c r="B12" s="8">
        <f>IFERROR((SUMIFS('EU Data'!$D$23:$D$35,'EU Data'!$H$23:$H$35,WHRPbI!A12)+SUMIFS('EU Data'!$D$23:$D$35,'EU Data'!$I$23:$I$35,WHRPbI!A12)+SUMIFS('EU Data'!$D$23:$D$35,'EU Data'!$J$23:$J$35,WHRPbI!A12))/Calcs!$C13,0)</f>
        <v>0.11700000000000001</v>
      </c>
    </row>
    <row r="13" spans="1:2" x14ac:dyDescent="0.35">
      <c r="A13" t="s">
        <v>37</v>
      </c>
      <c r="B13" s="8">
        <f>IFERROR((SUMIFS('EU Data'!$D$23:$D$35,'EU Data'!$H$23:$H$35,WHRPbI!A13)+SUMIFS('EU Data'!$D$23:$D$35,'EU Data'!$I$23:$I$35,WHRPbI!A13)+SUMIFS('EU Data'!$D$23:$D$35,'EU Data'!$J$23:$J$35,WHRPbI!A13))/Calcs!$C14,0)</f>
        <v>9.8489208633093517E-2</v>
      </c>
    </row>
    <row r="14" spans="1:2" x14ac:dyDescent="0.35">
      <c r="A14" t="s">
        <v>38</v>
      </c>
      <c r="B14" s="8">
        <f>IFERROR((SUMIFS('EU Data'!$D$23:$D$35,'EU Data'!$H$23:$H$35,WHRPbI!A14)+SUMIFS('EU Data'!$D$23:$D$35,'EU Data'!$I$23:$I$35,WHRPbI!A14)+SUMIFS('EU Data'!$D$23:$D$35,'EU Data'!$J$23:$J$35,WHRPbI!A14))/Calcs!$C15,0)</f>
        <v>8.7137587228844932E-2</v>
      </c>
    </row>
    <row r="15" spans="1:2" x14ac:dyDescent="0.35">
      <c r="A15" t="s">
        <v>39</v>
      </c>
      <c r="B15" s="8">
        <f>IFERROR((SUMIFS('EU Data'!$D$23:$D$35,'EU Data'!$H$23:$H$35,WHRPbI!A15)+SUMIFS('EU Data'!$D$23:$D$35,'EU Data'!$I$23:$I$35,WHRPbI!A15)+SUMIFS('EU Data'!$D$23:$D$35,'EU Data'!$J$23:$J$35,WHRPbI!A15))/Calcs!$C16,0)</f>
        <v>0.13965548098434002</v>
      </c>
    </row>
    <row r="16" spans="1:2" x14ac:dyDescent="0.35">
      <c r="A16" t="s">
        <v>40</v>
      </c>
      <c r="B16" s="8">
        <f>IFERROR((SUMIFS('EU Data'!$D$23:$D$35,'EU Data'!$H$23:$H$35,WHRPbI!A16)+SUMIFS('EU Data'!$D$23:$D$35,'EU Data'!$I$23:$I$35,WHRPbI!A16)+SUMIFS('EU Data'!$D$23:$D$35,'EU Data'!$J$23:$J$35,WHRPbI!A16))/Calcs!$C17,0)</f>
        <v>3.9415384615384609E-2</v>
      </c>
    </row>
    <row r="17" spans="1:2" x14ac:dyDescent="0.35">
      <c r="A17" t="s">
        <v>41</v>
      </c>
      <c r="B17" s="8">
        <f>IFERROR((SUMIFS('EU Data'!$D$23:$D$35,'EU Data'!$H$23:$H$35,WHRPbI!A17)+SUMIFS('EU Data'!$D$23:$D$35,'EU Data'!$I$23:$I$35,WHRPbI!A17)+SUMIFS('EU Data'!$D$23:$D$35,'EU Data'!$J$23:$J$35,WHRPbI!A17))/Calcs!$C18,0)</f>
        <v>5.6192771084337352E-2</v>
      </c>
    </row>
    <row r="18" spans="1:2" x14ac:dyDescent="0.35">
      <c r="A18" t="s">
        <v>42</v>
      </c>
      <c r="B18" s="8">
        <f>IFERROR((SUMIFS('EU Data'!$D$23:$D$35,'EU Data'!$H$23:$H$35,WHRPbI!A18)+SUMIFS('EU Data'!$D$23:$D$35,'EU Data'!$I$23:$I$35,WHRPbI!A18)+SUMIFS('EU Data'!$D$23:$D$35,'EU Data'!$J$23:$J$35,WHRPbI!A18))/Calcs!$C19,0)</f>
        <v>0.21884210526315792</v>
      </c>
    </row>
    <row r="19" spans="1:2" x14ac:dyDescent="0.35">
      <c r="A19" t="s">
        <v>43</v>
      </c>
      <c r="B19" s="8">
        <f>IFERROR((SUMIFS('EU Data'!$D$23:$D$35,'EU Data'!$H$23:$H$35,WHRPbI!A19)+SUMIFS('EU Data'!$D$23:$D$35,'EU Data'!$I$23:$I$35,WHRPbI!A19)+SUMIFS('EU Data'!$D$23:$D$35,'EU Data'!$J$23:$J$35,WHRPbI!A19))/Calcs!$C20,0)</f>
        <v>9.646153846153846E-2</v>
      </c>
    </row>
    <row r="20" spans="1:2" x14ac:dyDescent="0.35">
      <c r="A20" t="s">
        <v>44</v>
      </c>
      <c r="B20" s="8">
        <f>IFERROR((SUMIFS('EU Data'!$D$23:$D$35,'EU Data'!$H$23:$H$35,WHRPbI!A20)+SUMIFS('EU Data'!$D$23:$D$35,'EU Data'!$I$23:$I$35,WHRPbI!A20)+SUMIFS('EU Data'!$D$23:$D$35,'EU Data'!$J$23:$J$35,WHRPbI!A20))/Calcs!$C21,0)</f>
        <v>0.15116129032258066</v>
      </c>
    </row>
    <row r="21" spans="1:2" x14ac:dyDescent="0.35">
      <c r="A21" t="s">
        <v>45</v>
      </c>
      <c r="B21" s="8">
        <f>IFERROR((SUMIFS('EU Data'!$D$23:$D$35,'EU Data'!$H$23:$H$35,WHRPbI!A21)+SUMIFS('EU Data'!$D$23:$D$35,'EU Data'!$I$23:$I$35,WHRPbI!A21)+SUMIFS('EU Data'!$D$23:$D$35,'EU Data'!$J$23:$J$35,WHRPbI!A21))/Calcs!$C22,0)</f>
        <v>2.9033333333333331E-2</v>
      </c>
    </row>
    <row r="22" spans="1:2" x14ac:dyDescent="0.35">
      <c r="A22" t="s">
        <v>46</v>
      </c>
      <c r="B22" s="8">
        <f>IFERROR((SUMIFS('EU Data'!$D$23:$D$35,'EU Data'!$H$23:$H$35,WHRPbI!A22)+SUMIFS('EU Data'!$D$23:$D$35,'EU Data'!$I$23:$I$35,WHRPbI!A22)+SUMIFS('EU Data'!$D$23:$D$35,'EU Data'!$J$23:$J$35,WHRPbI!A22))/Calcs!$C23,0)</f>
        <v>3.9684210526315787E-2</v>
      </c>
    </row>
    <row r="23" spans="1:2" x14ac:dyDescent="0.35">
      <c r="A23" t="s">
        <v>47</v>
      </c>
      <c r="B23" s="8">
        <f>IFERROR((SUMIFS('EU Data'!$D$23:$D$35,'EU Data'!$H$23:$H$35,WHRPbI!A23)+SUMIFS('EU Data'!$D$23:$D$35,'EU Data'!$I$23:$I$35,WHRPbI!A23)+SUMIFS('EU Data'!$D$23:$D$35,'EU Data'!$J$23:$J$35,WHRPbI!A23))/Calcs!$C24,0)</f>
        <v>9.7254807692307696E-2</v>
      </c>
    </row>
    <row r="24" spans="1:2" x14ac:dyDescent="0.35">
      <c r="A24" t="s">
        <v>48</v>
      </c>
      <c r="B24" s="8">
        <f>IFERROR((SUMIFS('EU Data'!$D$23:$D$35,'EU Data'!$H$23:$H$35,WHRPbI!A24)+SUMIFS('EU Data'!$D$23:$D$35,'EU Data'!$I$23:$I$35,WHRPbI!A24)+SUMIFS('EU Data'!$D$23:$D$35,'EU Data'!$J$23:$J$35,WHRPbI!A24))/Calcs!$C25,0)</f>
        <v>0</v>
      </c>
    </row>
    <row r="25" spans="1:2" x14ac:dyDescent="0.35">
      <c r="A25" t="s">
        <v>49</v>
      </c>
      <c r="B25" s="8">
        <f>IFERROR((SUMIFS('EU Data'!$D$23:$D$35,'EU Data'!$H$23:$H$35,WHRPbI!A25)+SUMIFS('EU Data'!$D$23:$D$35,'EU Data'!$I$23:$I$35,WHRPbI!A25)+SUMIFS('EU Data'!$D$23:$D$35,'EU Data'!$J$23:$J$35,WHRPbI!A25))/Calcs!$C26,0)</f>
        <v>0</v>
      </c>
    </row>
    <row r="26" spans="1:2" x14ac:dyDescent="0.35">
      <c r="A26" t="s">
        <v>50</v>
      </c>
      <c r="B26" s="8">
        <f>IFERROR((SUMIFS('EU Data'!$D$23:$D$35,'EU Data'!$H$23:$H$35,WHRPbI!A26)+SUMIFS('EU Data'!$D$23:$D$35,'EU Data'!$I$23:$I$35,WHRPbI!A26)+SUMIFS('EU Data'!$D$23:$D$35,'EU Data'!$J$23:$J$35,WHRPbI!A26))/Calcs!$C27,0)</f>
        <v>8.023044086258925E-2</v>
      </c>
    </row>
  </sheetData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EU Data</vt:lpstr>
      <vt:lpstr>BPFUbIP-Summed Data by Industry</vt:lpstr>
      <vt:lpstr>Calcs</vt:lpstr>
      <vt:lpstr>WHRPbI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2014-03-20T21:01:41Z</dcterms:created>
  <dcterms:modified xsi:type="dcterms:W3CDTF">2026-02-24T11:12:13Z</dcterms:modified>
</cp:coreProperties>
</file>