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WHRPbI\"/>
    </mc:Choice>
  </mc:AlternateContent>
  <xr:revisionPtr revIDLastSave="0" documentId="13_ncr:1_{B2328D90-1737-4CD1-BA3B-E386F2BD6510}" xr6:coauthVersionLast="47" xr6:coauthVersionMax="47" xr10:uidLastSave="{00000000-0000-0000-0000-000000000000}"/>
  <bookViews>
    <workbookView xWindow="-120" yWindow="-120" windowWidth="29040" windowHeight="17520" tabRatio="770" xr2:uid="{7D5963C0-FA73-4A20-914D-C5C19178119F}"/>
  </bookViews>
  <sheets>
    <sheet name="About" sheetId="1" r:id="rId1"/>
    <sheet name="EU Data" sheetId="149" r:id="rId2"/>
    <sheet name="WHRPbI" sheetId="14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148" l="1"/>
  <c r="B25" i="148"/>
  <c r="B24" i="148"/>
  <c r="B23" i="148"/>
  <c r="B22" i="148"/>
  <c r="B21" i="148"/>
  <c r="B20" i="148"/>
  <c r="B19" i="148"/>
  <c r="B18" i="148"/>
  <c r="B17" i="148"/>
  <c r="B16" i="148"/>
  <c r="B15" i="148"/>
  <c r="B14" i="148"/>
  <c r="B13" i="148"/>
  <c r="B12" i="148"/>
  <c r="B11" i="148"/>
  <c r="B10" i="148"/>
  <c r="B9" i="148"/>
  <c r="B8" i="148"/>
  <c r="B7" i="148"/>
  <c r="B6" i="148"/>
  <c r="B5" i="148"/>
  <c r="B4" i="148"/>
  <c r="B3" i="148"/>
  <c r="B2" i="148"/>
</calcChain>
</file>

<file path=xl/sharedStrings.xml><?xml version="1.0" encoding="utf-8"?>
<sst xmlns="http://schemas.openxmlformats.org/spreadsheetml/2006/main" count="74" uniqueCount="55">
  <si>
    <t>Sources:</t>
  </si>
  <si>
    <t>Notes:</t>
  </si>
  <si>
    <t>WHRPbI Waste Heat Recovery Potential by Industry</t>
  </si>
  <si>
    <t>Recovery Potential</t>
  </si>
  <si>
    <t>Energ. Ecol. Environ.</t>
  </si>
  <si>
    <t>Estimating the waste heat recovery in the European Union Industry</t>
  </si>
  <si>
    <t>https://link.springer.com/article/10.1007/s40974-019-00132-7</t>
  </si>
  <si>
    <t>Fig. 7</t>
  </si>
  <si>
    <t>Indst</t>
  </si>
  <si>
    <t>Potential</t>
  </si>
  <si>
    <t>LT</t>
  </si>
  <si>
    <t>MT</t>
  </si>
  <si>
    <t>HT</t>
  </si>
  <si>
    <t>NS</t>
  </si>
  <si>
    <t>C</t>
  </si>
  <si>
    <t>W&amp;WP</t>
  </si>
  <si>
    <t>M</t>
  </si>
  <si>
    <t>TE</t>
  </si>
  <si>
    <t>PPP</t>
  </si>
  <si>
    <t>T&amp;L</t>
  </si>
  <si>
    <t>F&amp;T</t>
  </si>
  <si>
    <t>M&amp;Q</t>
  </si>
  <si>
    <t>NMM</t>
  </si>
  <si>
    <t>C&amp;P</t>
  </si>
  <si>
    <t>NFM</t>
  </si>
  <si>
    <t>I&amp;S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</si>
  <si>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</si>
  <si>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</si>
  <si>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</si>
  <si>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</si>
  <si>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</si>
  <si>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</si>
  <si>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</si>
  <si>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</si>
  <si>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</si>
  <si>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</si>
  <si>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</si>
  <si>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</si>
  <si>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</si>
  <si>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</si>
  <si>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</si>
  <si>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</si>
  <si>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</si>
  <si>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</si>
  <si>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</si>
  <si>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</si>
  <si>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</si>
  <si>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</si>
  <si>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</si>
  <si>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</si>
  <si>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</si>
  <si>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Potential (TWh)</t>
  </si>
  <si>
    <t>Potential (%)</t>
  </si>
  <si>
    <t>dmnl</t>
  </si>
  <si>
    <t>EPS ISIC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</si>
</sst>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70" formatCode="0.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11" fillId="0" borderId="0"/>
    <xf numFmtId="0" fontId="11" fillId="0" borderId="0" applyNumberFormat="0" applyFill="0" applyBorder="0" applyAlignment="0" applyProtection="0"/>
    <xf numFmtId="0" fontId="9" fillId="0" borderId="10" applyNumberFormat="0" applyProtection="0">
      <alignment wrapText="1"/>
    </xf>
    <xf numFmtId="0" fontId="12" fillId="0" borderId="0" applyNumberFormat="0" applyProtection="0">
      <alignment horizontal="left"/>
    </xf>
    <xf numFmtId="0" fontId="9" fillId="0" borderId="9" applyNumberFormat="0" applyProtection="0">
      <alignment wrapText="1"/>
    </xf>
    <xf numFmtId="0" fontId="11" fillId="0" borderId="8" applyNumberFormat="0" applyFont="0" applyProtection="0">
      <alignment wrapText="1"/>
    </xf>
    <xf numFmtId="0" fontId="11" fillId="0" borderId="11" applyNumberFormat="0" applyProtection="0">
      <alignment wrapText="1"/>
    </xf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14" applyNumberFormat="0" applyAlignment="0" applyProtection="0"/>
    <xf numFmtId="0" fontId="20" fillId="7" borderId="15" applyNumberFormat="0" applyAlignment="0" applyProtection="0"/>
    <xf numFmtId="0" fontId="21" fillId="7" borderId="14" applyNumberFormat="0" applyAlignment="0" applyProtection="0"/>
    <xf numFmtId="0" fontId="22" fillId="0" borderId="16" applyNumberFormat="0" applyFill="0" applyAlignment="0" applyProtection="0"/>
    <xf numFmtId="0" fontId="23" fillId="8" borderId="17" applyNumberFormat="0" applyAlignment="0" applyProtection="0"/>
    <xf numFmtId="0" fontId="10" fillId="0" borderId="0" applyNumberFormat="0" applyFill="0" applyBorder="0" applyAlignment="0" applyProtection="0"/>
    <xf numFmtId="0" fontId="7" fillId="9" borderId="18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5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5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5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5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5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5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6" fillId="5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7" fillId="9" borderId="18" applyNumberFormat="0" applyFont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27" fillId="0" borderId="0"/>
    <xf numFmtId="0" fontId="7" fillId="0" borderId="0"/>
    <xf numFmtId="0" fontId="7" fillId="0" borderId="0"/>
    <xf numFmtId="43" fontId="27" fillId="0" borderId="0" applyFont="0" applyFill="0" applyBorder="0" applyAlignment="0" applyProtection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7" fillId="0" borderId="0"/>
    <xf numFmtId="0" fontId="11" fillId="0" borderId="8">
      <alignment wrapText="1"/>
    </xf>
    <xf numFmtId="0" fontId="11" fillId="0" borderId="0"/>
    <xf numFmtId="0" fontId="11" fillId="0" borderId="11">
      <alignment wrapText="1"/>
    </xf>
    <xf numFmtId="0" fontId="9" fillId="0" borderId="10">
      <alignment wrapText="1"/>
    </xf>
    <xf numFmtId="0" fontId="9" fillId="0" borderId="9">
      <alignment wrapText="1"/>
    </xf>
    <xf numFmtId="0" fontId="12" fillId="0" borderId="0">
      <alignment horizontal="left"/>
    </xf>
    <xf numFmtId="0" fontId="28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9" fillId="0" borderId="9" xfId="23">
      <alignment wrapText="1"/>
    </xf>
    <xf numFmtId="0" fontId="0" fillId="0" borderId="8" xfId="24" applyFont="1">
      <alignment wrapText="1"/>
    </xf>
    <xf numFmtId="0" fontId="0" fillId="0" borderId="0" xfId="0" applyAlignment="1">
      <alignment horizontal="left"/>
    </xf>
    <xf numFmtId="0" fontId="0" fillId="34" borderId="0" xfId="0" applyFill="1"/>
    <xf numFmtId="10" fontId="0" fillId="0" borderId="0" xfId="0" applyNumberFormat="1"/>
    <xf numFmtId="170" fontId="0" fillId="0" borderId="0" xfId="18" applyNumberFormat="1" applyFont="1"/>
  </cellXfs>
  <cellStyles count="106">
    <cellStyle name="20% - Accent1" xfId="43" builtinId="30" customBuiltin="1"/>
    <cellStyle name="20% - Accent1 2" xfId="68" xr:uid="{00000000-0005-0000-0000-000001000000}"/>
    <cellStyle name="20% - Accent2" xfId="46" builtinId="34" customBuiltin="1"/>
    <cellStyle name="20% - Accent2 2" xfId="70" xr:uid="{00000000-0005-0000-0000-000003000000}"/>
    <cellStyle name="20% - Accent3" xfId="49" builtinId="38" customBuiltin="1"/>
    <cellStyle name="20% - Accent3 2" xfId="72" xr:uid="{00000000-0005-0000-0000-000005000000}"/>
    <cellStyle name="20% - Accent4" xfId="52" builtinId="42" customBuiltin="1"/>
    <cellStyle name="20% - Accent4 2" xfId="74" xr:uid="{00000000-0005-0000-0000-000007000000}"/>
    <cellStyle name="20% - Accent5" xfId="55" builtinId="46" customBuiltin="1"/>
    <cellStyle name="20% - Accent5 2" xfId="76" xr:uid="{00000000-0005-0000-0000-000009000000}"/>
    <cellStyle name="20% - Accent6" xfId="58" builtinId="50" customBuiltin="1"/>
    <cellStyle name="20% - Accent6 2" xfId="78" xr:uid="{00000000-0005-0000-0000-00000B000000}"/>
    <cellStyle name="40% - Accent1" xfId="44" builtinId="31" customBuiltin="1"/>
    <cellStyle name="40% - Accent1 2" xfId="69" xr:uid="{00000000-0005-0000-0000-00000D000000}"/>
    <cellStyle name="40% - Accent2" xfId="47" builtinId="35" customBuiltin="1"/>
    <cellStyle name="40% - Accent2 2" xfId="71" xr:uid="{00000000-0005-0000-0000-00000F000000}"/>
    <cellStyle name="40% - Accent3" xfId="50" builtinId="39" customBuiltin="1"/>
    <cellStyle name="40% - Accent3 2" xfId="73" xr:uid="{00000000-0005-0000-0000-000011000000}"/>
    <cellStyle name="40% - Accent4" xfId="53" builtinId="43" customBuiltin="1"/>
    <cellStyle name="40% - Accent4 2" xfId="75" xr:uid="{00000000-0005-0000-0000-000013000000}"/>
    <cellStyle name="40% - Accent5" xfId="56" builtinId="47" customBuiltin="1"/>
    <cellStyle name="40% - Accent5 2" xfId="77" xr:uid="{00000000-0005-0000-0000-000015000000}"/>
    <cellStyle name="40% - Accent6" xfId="59" builtinId="51" customBuiltin="1"/>
    <cellStyle name="40% - Accent6 2" xfId="79" xr:uid="{00000000-0005-0000-0000-000017000000}"/>
    <cellStyle name="60% - Accent1 2" xfId="61" xr:uid="{00000000-0005-0000-0000-000018000000}"/>
    <cellStyle name="60% - Accent2 2" xfId="62" xr:uid="{00000000-0005-0000-0000-000019000000}"/>
    <cellStyle name="60% - Accent3 2" xfId="63" xr:uid="{00000000-0005-0000-0000-00001A000000}"/>
    <cellStyle name="60% - Accent4 2" xfId="64" xr:uid="{00000000-0005-0000-0000-00001B000000}"/>
    <cellStyle name="60% - Accent5 2" xfId="65" xr:uid="{00000000-0005-0000-0000-00001C000000}"/>
    <cellStyle name="60% - Accent6 2" xfId="66" xr:uid="{00000000-0005-0000-0000-00001D000000}"/>
    <cellStyle name="Accent1" xfId="42" builtinId="29" customBuiltin="1"/>
    <cellStyle name="Accent2" xfId="45" builtinId="33" customBuiltin="1"/>
    <cellStyle name="Accent3" xfId="48" builtinId="37" customBuiltin="1"/>
    <cellStyle name="Accent4" xfId="51" builtinId="41" customBuiltin="1"/>
    <cellStyle name="Accent5" xfId="54" builtinId="45" customBuiltin="1"/>
    <cellStyle name="Accent6" xfId="57" builtinId="49" customBuiltin="1"/>
    <cellStyle name="Bad" xfId="32" builtinId="27" customBuiltin="1"/>
    <cellStyle name="Body: normal cell" xfId="2" xr:uid="{00000000-0005-0000-0000-000025000000}"/>
    <cellStyle name="Body: normal cell 2" xfId="24" xr:uid="{00000000-0005-0000-0000-000026000000}"/>
    <cellStyle name="Body: normal cell 2 2" xfId="99" xr:uid="{F9FD22FD-A8AD-4FDF-A2F8-00447604C49E}"/>
    <cellStyle name="Body: normal cell 3" xfId="92" xr:uid="{BCD0E873-A543-467A-9A49-B4333F53A44A}"/>
    <cellStyle name="Body: normal cell 4" xfId="84" xr:uid="{E9DA1D56-D392-4FDD-9AB9-AFD697ADE56D}"/>
    <cellStyle name="Calculation" xfId="35" builtinId="22" customBuiltin="1"/>
    <cellStyle name="Check Cell" xfId="37" builtinId="23" customBuiltin="1"/>
    <cellStyle name="Comma 2" xfId="83" xr:uid="{B0EABCB8-8FF6-4E8E-9CBF-73B9F155E41F}"/>
    <cellStyle name="Explanatory Text" xfId="40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20" xr:uid="{00000000-0005-0000-0000-00002C000000}"/>
    <cellStyle name="Font: Calibri, 9pt regular 2 2" xfId="100" xr:uid="{B45A806B-4A6D-4EC3-B426-2C89AA8B79A9}"/>
    <cellStyle name="Font: Calibri, 9pt regular 3" xfId="93" xr:uid="{BA946337-1538-435C-8E51-43B0AD91BF5A}"/>
    <cellStyle name="Font: Calibri, 9pt regular 4" xfId="85" xr:uid="{C0C14341-A837-4ACD-830F-CFF774233564}"/>
    <cellStyle name="Footnotes: all except top row" xfId="11" xr:uid="{00000000-0005-0000-0000-00002D000000}"/>
    <cellStyle name="Footnotes: top row" xfId="6" xr:uid="{00000000-0005-0000-0000-00002E000000}"/>
    <cellStyle name="Footnotes: top row 2" xfId="25" xr:uid="{00000000-0005-0000-0000-00002F000000}"/>
    <cellStyle name="Footnotes: top row 2 2" xfId="101" xr:uid="{C7EE84B0-8C49-4B63-9BD7-34489D085E46}"/>
    <cellStyle name="Footnotes: top row 3" xfId="94" xr:uid="{E3E59C82-1234-429D-A303-A098EFBA290B}"/>
    <cellStyle name="Footnotes: top row 4" xfId="86" xr:uid="{CBF38FF4-CA2B-4979-BAFC-2FFC5E5B1247}"/>
    <cellStyle name="Good" xfId="31" builtinId="26" customBuiltin="1"/>
    <cellStyle name="Header: bottom row" xfId="1" xr:uid="{00000000-0005-0000-0000-000031000000}"/>
    <cellStyle name="Header: bottom row 2" xfId="21" xr:uid="{00000000-0005-0000-0000-000032000000}"/>
    <cellStyle name="Header: bottom row 2 2" xfId="102" xr:uid="{C73D1EBF-7DC1-46CB-A671-492692A5A459}"/>
    <cellStyle name="Header: bottom row 3" xfId="95" xr:uid="{912610F7-0778-467E-9676-43060E7D57E0}"/>
    <cellStyle name="Header: bottom row 4" xfId="87" xr:uid="{7CFDEFF3-E240-4C16-B4FF-E452E1A33A89}"/>
    <cellStyle name="Header: top rows" xfId="3" xr:uid="{00000000-0005-0000-0000-000033000000}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yperlink" xfId="9" builtinId="8" customBuiltin="1"/>
    <cellStyle name="Input" xfId="33" builtinId="20" customBuiltin="1"/>
    <cellStyle name="Linked Cell" xfId="36" builtinId="24" customBuiltin="1"/>
    <cellStyle name="Neutral 2" xfId="60" xr:uid="{00000000-0005-0000-0000-00003B000000}"/>
    <cellStyle name="Normal" xfId="0" builtinId="0"/>
    <cellStyle name="Normal 2" xfId="19" xr:uid="{00000000-0005-0000-0000-00003D000000}"/>
    <cellStyle name="Normal 2 2" xfId="81" xr:uid="{82E402D6-1DF0-4E6A-9068-58786E0D42A2}"/>
    <cellStyle name="Normal 3" xfId="13" xr:uid="{00000000-0005-0000-0000-00003E000000}"/>
    <cellStyle name="Normal 3 2" xfId="80" xr:uid="{B36BF01F-9627-47E6-A0B3-E5842EE99611}"/>
    <cellStyle name="Normal 3 3" xfId="98" xr:uid="{F0C73D6E-A8BF-448C-9446-33B6D604CC21}"/>
    <cellStyle name="Normal 4" xfId="14" xr:uid="{00000000-0005-0000-0000-00003F000000}"/>
    <cellStyle name="Normal 4 2" xfId="91" xr:uid="{BCB90021-FF8C-42F7-ADA2-B9BDFF66101D}"/>
    <cellStyle name="Normal 4 2 2" xfId="82" xr:uid="{EA7BF279-956F-47C2-9A73-0954A56A37C4}"/>
    <cellStyle name="Normal 5" xfId="15" xr:uid="{00000000-0005-0000-0000-000040000000}"/>
    <cellStyle name="Normal 5 2" xfId="90" xr:uid="{74ACA4FB-164B-4107-894D-BF7311D394C2}"/>
    <cellStyle name="Normal 58" xfId="17" xr:uid="{00000000-0005-0000-0000-000041000000}"/>
    <cellStyle name="Normal 6" xfId="16" xr:uid="{00000000-0005-0000-0000-000042000000}"/>
    <cellStyle name="Normal 7" xfId="105" xr:uid="{35BE7235-CAC0-40FA-9182-826A605313D0}"/>
    <cellStyle name="Note" xfId="39" builtinId="10" customBuiltin="1"/>
    <cellStyle name="Note 2" xfId="67" xr:uid="{00000000-0005-0000-0000-000044000000}"/>
    <cellStyle name="Output" xfId="34" builtinId="21" customBuiltin="1"/>
    <cellStyle name="Parent row" xfId="5" xr:uid="{00000000-0005-0000-0000-000046000000}"/>
    <cellStyle name="Parent row 2" xfId="23" xr:uid="{00000000-0005-0000-0000-000047000000}"/>
    <cellStyle name="Parent row 2 2" xfId="103" xr:uid="{EF0020EF-F33F-4704-88B1-D5A04CF8DC57}"/>
    <cellStyle name="Parent row 3" xfId="96" xr:uid="{C835EB3A-4936-4519-9DBE-CDE5CF793B46}"/>
    <cellStyle name="Parent row 4" xfId="88" xr:uid="{335202ED-D721-43A9-8167-8FF1E1325660}"/>
    <cellStyle name="Percent" xfId="18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2" xr:uid="{00000000-0005-0000-0000-00004C000000}"/>
    <cellStyle name="Table title 2 2" xfId="104" xr:uid="{DC566D5F-CC97-4643-A661-EAD010A341CF}"/>
    <cellStyle name="Table title 3" xfId="97" xr:uid="{F228EAD7-26BA-4DDB-A128-195B3D3E1B50}"/>
    <cellStyle name="Table title 4" xfId="89" xr:uid="{2C10D0B8-A63F-4CB3-A438-90EC30484F3F}"/>
    <cellStyle name="Title" xfId="26" builtinId="15" customBuiltin="1"/>
    <cellStyle name="Total" xfId="41" builtinId="25" customBuiltin="1"/>
    <cellStyle name="Warning Text" xfId="3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420097</xdr:colOff>
      <xdr:row>19</xdr:row>
      <xdr:rowOff>162400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4D82CD-B7F4-2C7F-91B7-467A7D6E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144747" cy="340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2" sqref="A12:A13"/>
    </sheetView>
  </sheetViews>
  <sheetFormatPr defaultColWidth="8.85546875" defaultRowHeight="15" x14ac:dyDescent="0.25"/>
  <cols>
    <col min="2" max="2" width="76.5703125" customWidth="1"/>
    <col min="3" max="3" width="5.140625" customWidth="1"/>
    <col min="4" max="4" width="57.85546875" bestFit="1" customWidth="1"/>
    <col min="5" max="5" width="60.42578125" customWidth="1"/>
  </cols>
  <sheetData>
    <row r="1" spans="1:4" x14ac:dyDescent="0.25">
      <c r="A1" s="1" t="s">
        <v>2</v>
      </c>
    </row>
    <row r="2" spans="1:4" x14ac:dyDescent="0.25">
      <c r="A2" s="1"/>
    </row>
    <row r="4" spans="1:4" x14ac:dyDescent="0.25">
      <c r="A4" s="1" t="s">
        <v>0</v>
      </c>
      <c r="B4" s="2" t="s">
        <v>3</v>
      </c>
    </row>
    <row r="5" spans="1:4" x14ac:dyDescent="0.25">
      <c r="B5" t="s">
        <v>4</v>
      </c>
    </row>
    <row r="6" spans="1:4" x14ac:dyDescent="0.25">
      <c r="B6" s="5">
        <v>2019</v>
      </c>
    </row>
    <row r="7" spans="1:4" x14ac:dyDescent="0.25">
      <c r="B7" t="s">
        <v>5</v>
      </c>
    </row>
    <row r="8" spans="1:4" x14ac:dyDescent="0.25">
      <c r="B8" t="s">
        <v>6</v>
      </c>
    </row>
    <row r="9" spans="1:4" x14ac:dyDescent="0.25">
      <c r="B9" t="s">
        <v>7</v>
      </c>
    </row>
    <row r="11" spans="1:4" x14ac:dyDescent="0.25">
      <c r="A11" s="1" t="s">
        <v>1</v>
      </c>
    </row>
    <row r="12" spans="1:4" x14ac:dyDescent="0.25">
      <c r="D12" s="4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  <row r="16" spans="1:4" x14ac:dyDescent="0.25">
      <c r="D16" s="4"/>
    </row>
    <row r="17" spans="4:4" x14ac:dyDescent="0.25">
      <c r="D17" s="4"/>
    </row>
    <row r="18" spans="4:4" x14ac:dyDescent="0.25">
      <c r="D18" s="3"/>
    </row>
    <row r="19" spans="4:4" x14ac:dyDescent="0.25">
      <c r="D19" s="4"/>
    </row>
    <row r="20" spans="4:4" x14ac:dyDescent="0.25">
      <c r="D20" s="3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7B78-5F3A-4024-A428-861147EC67D3}">
  <dimension ref="B22:J35"/>
  <sheetViews>
    <sheetView workbookViewId="0">
      <selection activeCell="J30" sqref="J30"/>
    </sheetView>
  </sheetViews>
  <sheetFormatPr defaultRowHeight="15" x14ac:dyDescent="0.25"/>
  <cols>
    <col min="3" max="3" width="15.140625" bestFit="1" customWidth="1"/>
    <col min="4" max="4" width="12.5703125" bestFit="1" customWidth="1"/>
  </cols>
  <sheetData>
    <row r="22" spans="2:10" x14ac:dyDescent="0.25">
      <c r="B22" s="6" t="s">
        <v>8</v>
      </c>
      <c r="C22" s="6" t="s">
        <v>51</v>
      </c>
      <c r="D22" s="6" t="s">
        <v>52</v>
      </c>
      <c r="E22" s="6" t="s">
        <v>10</v>
      </c>
      <c r="F22" s="6" t="s">
        <v>11</v>
      </c>
      <c r="G22" s="6" t="s">
        <v>12</v>
      </c>
      <c r="H22" s="6" t="s">
        <v>54</v>
      </c>
    </row>
    <row r="23" spans="2:10" x14ac:dyDescent="0.25">
      <c r="B23" t="s">
        <v>13</v>
      </c>
      <c r="C23">
        <v>19.899999999999999</v>
      </c>
      <c r="D23" s="7">
        <v>3.3000000000000002E-2</v>
      </c>
      <c r="E23">
        <v>35.4</v>
      </c>
      <c r="F23">
        <v>17.899999999999999</v>
      </c>
      <c r="G23">
        <v>46.7</v>
      </c>
      <c r="H23" t="s">
        <v>47</v>
      </c>
      <c r="I23" t="s">
        <v>41</v>
      </c>
      <c r="J23" t="s">
        <v>36</v>
      </c>
    </row>
    <row r="24" spans="2:10" x14ac:dyDescent="0.25">
      <c r="B24" t="s">
        <v>14</v>
      </c>
      <c r="C24">
        <v>9.6</v>
      </c>
      <c r="D24" s="7">
        <v>1.6E-2</v>
      </c>
      <c r="E24">
        <v>15.2</v>
      </c>
      <c r="F24">
        <v>33.200000000000003</v>
      </c>
      <c r="G24">
        <v>51.6</v>
      </c>
      <c r="H24" t="s">
        <v>50</v>
      </c>
    </row>
    <row r="25" spans="2:10" x14ac:dyDescent="0.25">
      <c r="B25" t="s">
        <v>15</v>
      </c>
      <c r="C25">
        <v>4.8</v>
      </c>
      <c r="D25" s="7">
        <v>8.0000000000000002E-3</v>
      </c>
      <c r="E25">
        <v>73.900000000000006</v>
      </c>
      <c r="F25">
        <v>4</v>
      </c>
      <c r="G25">
        <v>22.1</v>
      </c>
      <c r="H25" t="s">
        <v>32</v>
      </c>
    </row>
    <row r="26" spans="2:10" x14ac:dyDescent="0.25">
      <c r="B26" t="s">
        <v>16</v>
      </c>
      <c r="C26">
        <v>19.600000000000001</v>
      </c>
      <c r="D26" s="7">
        <v>3.3000000000000002E-2</v>
      </c>
      <c r="E26">
        <v>36.799999999999997</v>
      </c>
      <c r="F26">
        <v>6.2</v>
      </c>
      <c r="G26">
        <v>57</v>
      </c>
      <c r="H26" t="s">
        <v>44</v>
      </c>
      <c r="I26" t="s">
        <v>42</v>
      </c>
      <c r="J26" t="s">
        <v>43</v>
      </c>
    </row>
    <row r="27" spans="2:10" x14ac:dyDescent="0.25">
      <c r="B27" t="s">
        <v>17</v>
      </c>
      <c r="C27">
        <v>7.9</v>
      </c>
      <c r="D27" s="7">
        <v>1.2999999999999999E-2</v>
      </c>
      <c r="E27">
        <v>40.700000000000003</v>
      </c>
      <c r="F27">
        <v>5.8</v>
      </c>
      <c r="G27">
        <v>53.5</v>
      </c>
      <c r="H27" t="s">
        <v>45</v>
      </c>
      <c r="I27" t="s">
        <v>46</v>
      </c>
    </row>
    <row r="28" spans="2:10" x14ac:dyDescent="0.25">
      <c r="B28" t="s">
        <v>18</v>
      </c>
      <c r="C28">
        <v>27</v>
      </c>
      <c r="D28" s="7">
        <v>4.4999999999999998E-2</v>
      </c>
      <c r="E28">
        <v>43.8</v>
      </c>
      <c r="F28">
        <v>6.8</v>
      </c>
      <c r="G28">
        <v>49.4</v>
      </c>
      <c r="H28" t="s">
        <v>33</v>
      </c>
    </row>
    <row r="29" spans="2:10" x14ac:dyDescent="0.25">
      <c r="B29" t="s">
        <v>19</v>
      </c>
      <c r="C29">
        <v>5.5</v>
      </c>
      <c r="D29" s="7">
        <v>8.9999999999999993E-3</v>
      </c>
      <c r="E29">
        <v>26.2</v>
      </c>
      <c r="F29">
        <v>5.9</v>
      </c>
      <c r="G29">
        <v>67.900000000000006</v>
      </c>
      <c r="H29" t="s">
        <v>31</v>
      </c>
    </row>
    <row r="30" spans="2:10" x14ac:dyDescent="0.25">
      <c r="B30" t="s">
        <v>20</v>
      </c>
      <c r="C30">
        <v>35.1</v>
      </c>
      <c r="D30" s="7">
        <v>5.8999999999999997E-2</v>
      </c>
      <c r="E30">
        <v>25.1</v>
      </c>
      <c r="F30">
        <v>9.1</v>
      </c>
      <c r="G30">
        <v>65.8</v>
      </c>
      <c r="H30" t="s">
        <v>30</v>
      </c>
    </row>
    <row r="31" spans="2:10" x14ac:dyDescent="0.25">
      <c r="B31" t="s">
        <v>21</v>
      </c>
      <c r="C31">
        <v>3.3</v>
      </c>
      <c r="D31" s="7">
        <v>5.0000000000000001E-3</v>
      </c>
      <c r="E31">
        <v>27</v>
      </c>
      <c r="F31">
        <v>20.6</v>
      </c>
      <c r="G31">
        <v>52.4</v>
      </c>
      <c r="H31" t="s">
        <v>29</v>
      </c>
    </row>
    <row r="32" spans="2:10" x14ac:dyDescent="0.25">
      <c r="B32" t="s">
        <v>22</v>
      </c>
      <c r="C32">
        <v>43.8</v>
      </c>
      <c r="D32" s="7">
        <v>7.3999999999999996E-2</v>
      </c>
      <c r="E32">
        <v>0.6</v>
      </c>
      <c r="F32">
        <v>15</v>
      </c>
      <c r="G32">
        <v>84.4</v>
      </c>
      <c r="H32" t="s">
        <v>38</v>
      </c>
      <c r="I32" t="s">
        <v>37</v>
      </c>
    </row>
    <row r="33" spans="2:8" x14ac:dyDescent="0.25">
      <c r="B33" t="s">
        <v>23</v>
      </c>
      <c r="C33">
        <v>33.9</v>
      </c>
      <c r="D33" s="7">
        <v>5.7000000000000002E-2</v>
      </c>
      <c r="E33">
        <v>37.1</v>
      </c>
      <c r="F33">
        <v>62.9</v>
      </c>
      <c r="G33">
        <v>0</v>
      </c>
      <c r="H33" t="s">
        <v>35</v>
      </c>
    </row>
    <row r="34" spans="2:8" x14ac:dyDescent="0.25">
      <c r="B34" t="s">
        <v>24</v>
      </c>
      <c r="C34">
        <v>14.1</v>
      </c>
      <c r="D34" s="7">
        <v>2.4E-2</v>
      </c>
      <c r="E34">
        <v>1.8</v>
      </c>
      <c r="F34">
        <v>4.5</v>
      </c>
      <c r="G34">
        <v>93.7</v>
      </c>
      <c r="H34" t="s">
        <v>40</v>
      </c>
    </row>
    <row r="35" spans="2:8" x14ac:dyDescent="0.25">
      <c r="B35" t="s">
        <v>25</v>
      </c>
      <c r="C35">
        <v>54.3</v>
      </c>
      <c r="D35" s="7">
        <v>9.0999999999999998E-2</v>
      </c>
      <c r="E35">
        <v>11.1</v>
      </c>
      <c r="F35">
        <v>29.8</v>
      </c>
      <c r="G35">
        <v>59.1</v>
      </c>
      <c r="H35" t="s">
        <v>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D4F2-9192-4557-9476-0BAD41DB5078}">
  <sheetPr>
    <tabColor theme="3"/>
  </sheetPr>
  <dimension ref="A1:B26"/>
  <sheetViews>
    <sheetView workbookViewId="0">
      <selection activeCell="A39" sqref="A39"/>
    </sheetView>
  </sheetViews>
  <sheetFormatPr defaultRowHeight="15" x14ac:dyDescent="0.25"/>
  <cols>
    <col min="1" max="1" width="45.42578125" bestFit="1" customWidth="1"/>
  </cols>
  <sheetData>
    <row r="1" spans="1:2" x14ac:dyDescent="0.25">
      <c r="A1" t="s">
        <v>53</v>
      </c>
      <c r="B1" t="s">
        <v>9</v>
      </c>
    </row>
    <row r="2" spans="1:2" x14ac:dyDescent="0.25">
      <c r="A2" t="s">
        <v>26</v>
      </c>
      <c r="B2" s="8">
        <f>SUMIFS('EU Data'!$D$23:$D$35,'EU Data'!$H$23:$H$35,WHRPbI!A2)+SUMIFS('EU Data'!$D$23:$D$35,'EU Data'!$I$23:$I$35,WHRPbI!A2)+SUMIFS('EU Data'!$D$23:$D$35,'EU Data'!$J$23:$J$35,WHRPbI!A2)</f>
        <v>0</v>
      </c>
    </row>
    <row r="3" spans="1:2" x14ac:dyDescent="0.25">
      <c r="A3" t="s">
        <v>27</v>
      </c>
      <c r="B3" s="8">
        <f>SUMIFS('EU Data'!$D$23:$D$35,'EU Data'!$H$23:$H$35,WHRPbI!A3)+SUMIFS('EU Data'!$D$23:$D$35,'EU Data'!$I$23:$I$35,WHRPbI!A3)+SUMIFS('EU Data'!$D$23:$D$35,'EU Data'!$J$23:$J$35,WHRPbI!A3)</f>
        <v>0</v>
      </c>
    </row>
    <row r="4" spans="1:2" x14ac:dyDescent="0.25">
      <c r="A4" t="s">
        <v>28</v>
      </c>
      <c r="B4" s="8">
        <f>SUMIFS('EU Data'!$D$23:$D$35,'EU Data'!$H$23:$H$35,WHRPbI!A4)+SUMIFS('EU Data'!$D$23:$D$35,'EU Data'!$I$23:$I$35,WHRPbI!A4)+SUMIFS('EU Data'!$D$23:$D$35,'EU Data'!$J$23:$J$35,WHRPbI!A4)</f>
        <v>0</v>
      </c>
    </row>
    <row r="5" spans="1:2" x14ac:dyDescent="0.25">
      <c r="A5" t="s">
        <v>29</v>
      </c>
      <c r="B5" s="8">
        <f>SUMIFS('EU Data'!$D$23:$D$35,'EU Data'!$H$23:$H$35,WHRPbI!A5)+SUMIFS('EU Data'!$D$23:$D$35,'EU Data'!$I$23:$I$35,WHRPbI!A5)+SUMIFS('EU Data'!$D$23:$D$35,'EU Data'!$J$23:$J$35,WHRPbI!A5)</f>
        <v>5.0000000000000001E-3</v>
      </c>
    </row>
    <row r="6" spans="1:2" x14ac:dyDescent="0.25">
      <c r="A6" t="s">
        <v>30</v>
      </c>
      <c r="B6" s="8">
        <f>SUMIFS('EU Data'!$D$23:$D$35,'EU Data'!$H$23:$H$35,WHRPbI!A6)+SUMIFS('EU Data'!$D$23:$D$35,'EU Data'!$I$23:$I$35,WHRPbI!A6)+SUMIFS('EU Data'!$D$23:$D$35,'EU Data'!$J$23:$J$35,WHRPbI!A6)</f>
        <v>5.8999999999999997E-2</v>
      </c>
    </row>
    <row r="7" spans="1:2" x14ac:dyDescent="0.25">
      <c r="A7" t="s">
        <v>31</v>
      </c>
      <c r="B7" s="8">
        <f>SUMIFS('EU Data'!$D$23:$D$35,'EU Data'!$H$23:$H$35,WHRPbI!A7)+SUMIFS('EU Data'!$D$23:$D$35,'EU Data'!$I$23:$I$35,WHRPbI!A7)+SUMIFS('EU Data'!$D$23:$D$35,'EU Data'!$J$23:$J$35,WHRPbI!A7)</f>
        <v>8.9999999999999993E-3</v>
      </c>
    </row>
    <row r="8" spans="1:2" x14ac:dyDescent="0.25">
      <c r="A8" t="s">
        <v>32</v>
      </c>
      <c r="B8" s="8">
        <f>SUMIFS('EU Data'!$D$23:$D$35,'EU Data'!$H$23:$H$35,WHRPbI!A8)+SUMIFS('EU Data'!$D$23:$D$35,'EU Data'!$I$23:$I$35,WHRPbI!A8)+SUMIFS('EU Data'!$D$23:$D$35,'EU Data'!$J$23:$J$35,WHRPbI!A8)</f>
        <v>8.0000000000000002E-3</v>
      </c>
    </row>
    <row r="9" spans="1:2" x14ac:dyDescent="0.25">
      <c r="A9" t="s">
        <v>33</v>
      </c>
      <c r="B9" s="8">
        <f>SUMIFS('EU Data'!$D$23:$D$35,'EU Data'!$H$23:$H$35,WHRPbI!A9)+SUMIFS('EU Data'!$D$23:$D$35,'EU Data'!$I$23:$I$35,WHRPbI!A9)+SUMIFS('EU Data'!$D$23:$D$35,'EU Data'!$J$23:$J$35,WHRPbI!A9)</f>
        <v>4.4999999999999998E-2</v>
      </c>
    </row>
    <row r="10" spans="1:2" x14ac:dyDescent="0.25">
      <c r="A10" t="s">
        <v>34</v>
      </c>
      <c r="B10" s="8">
        <f>SUMIFS('EU Data'!$D$23:$D$35,'EU Data'!$H$23:$H$35,WHRPbI!A10)+SUMIFS('EU Data'!$D$23:$D$35,'EU Data'!$I$23:$I$35,WHRPbI!A10)+SUMIFS('EU Data'!$D$23:$D$35,'EU Data'!$J$23:$J$35,WHRPbI!A10)</f>
        <v>0</v>
      </c>
    </row>
    <row r="11" spans="1:2" x14ac:dyDescent="0.25">
      <c r="A11" t="s">
        <v>35</v>
      </c>
      <c r="B11" s="8">
        <f>SUMIFS('EU Data'!$D$23:$D$35,'EU Data'!$H$23:$H$35,WHRPbI!A11)+SUMIFS('EU Data'!$D$23:$D$35,'EU Data'!$I$23:$I$35,WHRPbI!A11)+SUMIFS('EU Data'!$D$23:$D$35,'EU Data'!$J$23:$J$35,WHRPbI!A11)</f>
        <v>5.7000000000000002E-2</v>
      </c>
    </row>
    <row r="12" spans="1:2" x14ac:dyDescent="0.25">
      <c r="A12" t="s">
        <v>36</v>
      </c>
      <c r="B12" s="8">
        <f>SUMIFS('EU Data'!$D$23:$D$35,'EU Data'!$H$23:$H$35,WHRPbI!A12)+SUMIFS('EU Data'!$D$23:$D$35,'EU Data'!$I$23:$I$35,WHRPbI!A12)+SUMIFS('EU Data'!$D$23:$D$35,'EU Data'!$J$23:$J$35,WHRPbI!A12)</f>
        <v>3.3000000000000002E-2</v>
      </c>
    </row>
    <row r="13" spans="1:2" x14ac:dyDescent="0.25">
      <c r="A13" t="s">
        <v>37</v>
      </c>
      <c r="B13" s="8">
        <f>SUMIFS('EU Data'!$D$23:$D$35,'EU Data'!$H$23:$H$35,WHRPbI!A13)+SUMIFS('EU Data'!$D$23:$D$35,'EU Data'!$I$23:$I$35,WHRPbI!A13)+SUMIFS('EU Data'!$D$23:$D$35,'EU Data'!$J$23:$J$35,WHRPbI!A13)</f>
        <v>7.3999999999999996E-2</v>
      </c>
    </row>
    <row r="14" spans="1:2" x14ac:dyDescent="0.25">
      <c r="A14" t="s">
        <v>38</v>
      </c>
      <c r="B14" s="8">
        <f>SUMIFS('EU Data'!$D$23:$D$35,'EU Data'!$H$23:$H$35,WHRPbI!A14)+SUMIFS('EU Data'!$D$23:$D$35,'EU Data'!$I$23:$I$35,WHRPbI!A14)+SUMIFS('EU Data'!$D$23:$D$35,'EU Data'!$J$23:$J$35,WHRPbI!A14)</f>
        <v>7.3999999999999996E-2</v>
      </c>
    </row>
    <row r="15" spans="1:2" x14ac:dyDescent="0.25">
      <c r="A15" t="s">
        <v>39</v>
      </c>
      <c r="B15" s="8">
        <f>SUMIFS('EU Data'!$D$23:$D$35,'EU Data'!$H$23:$H$35,WHRPbI!A15)+SUMIFS('EU Data'!$D$23:$D$35,'EU Data'!$I$23:$I$35,WHRPbI!A15)+SUMIFS('EU Data'!$D$23:$D$35,'EU Data'!$J$23:$J$35,WHRPbI!A15)</f>
        <v>9.0999999999999998E-2</v>
      </c>
    </row>
    <row r="16" spans="1:2" x14ac:dyDescent="0.25">
      <c r="A16" t="s">
        <v>40</v>
      </c>
      <c r="B16" s="8">
        <f>SUMIFS('EU Data'!$D$23:$D$35,'EU Data'!$H$23:$H$35,WHRPbI!A16)+SUMIFS('EU Data'!$D$23:$D$35,'EU Data'!$I$23:$I$35,WHRPbI!A16)+SUMIFS('EU Data'!$D$23:$D$35,'EU Data'!$J$23:$J$35,WHRPbI!A16)</f>
        <v>2.4E-2</v>
      </c>
    </row>
    <row r="17" spans="1:2" x14ac:dyDescent="0.25">
      <c r="A17" t="s">
        <v>41</v>
      </c>
      <c r="B17" s="8">
        <f>SUMIFS('EU Data'!$D$23:$D$35,'EU Data'!$H$23:$H$35,WHRPbI!A17)+SUMIFS('EU Data'!$D$23:$D$35,'EU Data'!$I$23:$I$35,WHRPbI!A17)+SUMIFS('EU Data'!$D$23:$D$35,'EU Data'!$J$23:$J$35,WHRPbI!A17)</f>
        <v>3.3000000000000002E-2</v>
      </c>
    </row>
    <row r="18" spans="1:2" x14ac:dyDescent="0.25">
      <c r="A18" t="s">
        <v>42</v>
      </c>
      <c r="B18" s="8">
        <f>SUMIFS('EU Data'!$D$23:$D$35,'EU Data'!$H$23:$H$35,WHRPbI!A18)+SUMIFS('EU Data'!$D$23:$D$35,'EU Data'!$I$23:$I$35,WHRPbI!A18)+SUMIFS('EU Data'!$D$23:$D$35,'EU Data'!$J$23:$J$35,WHRPbI!A18)</f>
        <v>3.3000000000000002E-2</v>
      </c>
    </row>
    <row r="19" spans="1:2" x14ac:dyDescent="0.25">
      <c r="A19" t="s">
        <v>43</v>
      </c>
      <c r="B19" s="8">
        <f>SUMIFS('EU Data'!$D$23:$D$35,'EU Data'!$H$23:$H$35,WHRPbI!A19)+SUMIFS('EU Data'!$D$23:$D$35,'EU Data'!$I$23:$I$35,WHRPbI!A19)+SUMIFS('EU Data'!$D$23:$D$35,'EU Data'!$J$23:$J$35,WHRPbI!A19)</f>
        <v>3.3000000000000002E-2</v>
      </c>
    </row>
    <row r="20" spans="1:2" x14ac:dyDescent="0.25">
      <c r="A20" t="s">
        <v>44</v>
      </c>
      <c r="B20" s="8">
        <f>SUMIFS('EU Data'!$D$23:$D$35,'EU Data'!$H$23:$H$35,WHRPbI!A20)+SUMIFS('EU Data'!$D$23:$D$35,'EU Data'!$I$23:$I$35,WHRPbI!A20)+SUMIFS('EU Data'!$D$23:$D$35,'EU Data'!$J$23:$J$35,WHRPbI!A20)</f>
        <v>3.3000000000000002E-2</v>
      </c>
    </row>
    <row r="21" spans="1:2" x14ac:dyDescent="0.25">
      <c r="A21" t="s">
        <v>45</v>
      </c>
      <c r="B21" s="8">
        <f>SUMIFS('EU Data'!$D$23:$D$35,'EU Data'!$H$23:$H$35,WHRPbI!A21)+SUMIFS('EU Data'!$D$23:$D$35,'EU Data'!$I$23:$I$35,WHRPbI!A21)+SUMIFS('EU Data'!$D$23:$D$35,'EU Data'!$J$23:$J$35,WHRPbI!A21)</f>
        <v>1.2999999999999999E-2</v>
      </c>
    </row>
    <row r="22" spans="1:2" x14ac:dyDescent="0.25">
      <c r="A22" t="s">
        <v>46</v>
      </c>
      <c r="B22" s="8">
        <f>SUMIFS('EU Data'!$D$23:$D$35,'EU Data'!$H$23:$H$35,WHRPbI!A22)+SUMIFS('EU Data'!$D$23:$D$35,'EU Data'!$I$23:$I$35,WHRPbI!A22)+SUMIFS('EU Data'!$D$23:$D$35,'EU Data'!$J$23:$J$35,WHRPbI!A22)</f>
        <v>1.2999999999999999E-2</v>
      </c>
    </row>
    <row r="23" spans="1:2" x14ac:dyDescent="0.25">
      <c r="A23" t="s">
        <v>47</v>
      </c>
      <c r="B23" s="8">
        <f>SUMIFS('EU Data'!$D$23:$D$35,'EU Data'!$H$23:$H$35,WHRPbI!A23)+SUMIFS('EU Data'!$D$23:$D$35,'EU Data'!$I$23:$I$35,WHRPbI!A23)+SUMIFS('EU Data'!$D$23:$D$35,'EU Data'!$J$23:$J$35,WHRPbI!A23)</f>
        <v>3.3000000000000002E-2</v>
      </c>
    </row>
    <row r="24" spans="1:2" x14ac:dyDescent="0.25">
      <c r="A24" t="s">
        <v>48</v>
      </c>
      <c r="B24" s="8">
        <f>SUMIFS('EU Data'!$D$23:$D$35,'EU Data'!$H$23:$H$35,WHRPbI!A24)+SUMIFS('EU Data'!$D$23:$D$35,'EU Data'!$I$23:$I$35,WHRPbI!A24)+SUMIFS('EU Data'!$D$23:$D$35,'EU Data'!$J$23:$J$35,WHRPbI!A24)</f>
        <v>0</v>
      </c>
    </row>
    <row r="25" spans="1:2" x14ac:dyDescent="0.25">
      <c r="A25" t="s">
        <v>49</v>
      </c>
      <c r="B25" s="8">
        <f>SUMIFS('EU Data'!$D$23:$D$35,'EU Data'!$H$23:$H$35,WHRPbI!A25)+SUMIFS('EU Data'!$D$23:$D$35,'EU Data'!$I$23:$I$35,WHRPbI!A25)+SUMIFS('EU Data'!$D$23:$D$35,'EU Data'!$J$23:$J$35,WHRPbI!A25)</f>
        <v>0</v>
      </c>
    </row>
    <row r="26" spans="1:2" x14ac:dyDescent="0.25">
      <c r="A26" t="s">
        <v>50</v>
      </c>
      <c r="B26" s="8">
        <f>SUMIFS('EU Data'!$D$23:$D$35,'EU Data'!$H$23:$H$35,WHRPbI!A26)+SUMIFS('EU Data'!$D$23:$D$35,'EU Data'!$I$23:$I$35,WHRPbI!A26)+SUMIFS('EU Data'!$D$23:$D$35,'EU Data'!$J$23:$J$35,WHRPbI!A26)</f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EU Data</vt:lpstr>
      <vt:lpstr>WHRPbI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2014-03-20T21:01:41Z</dcterms:created>
  <dcterms:modified xsi:type="dcterms:W3CDTF">2025-11-03T14:40:39Z</dcterms:modified>
</cp:coreProperties>
</file>