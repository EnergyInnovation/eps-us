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35" yWindow="45" windowWidth="25665" windowHeight="1683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CS Data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Industry EE" sheetId="4" state="visible" r:id="rId4"/>
    <sheet xmlns:r="http://schemas.openxmlformats.org/officeDocument/2006/relationships" name="SoCaOMSbRI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2"/>
    <xf numFmtId="164" fontId="0" fillId="0" borderId="0" pivotButton="0" quotePrefix="0" xfId="1"/>
    <xf numFmtId="0" fontId="2" fillId="2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12</col>
      <colOff>103778</colOff>
      <row>23</row>
      <rowOff>56595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1428" cy="44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39</row>
      <rowOff>0</rowOff>
    </from>
    <to>
      <col>11</col>
      <colOff>408617</colOff>
      <row>83</row>
      <rowOff>18000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429500"/>
          <a:ext cx="7666667" cy="84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21</col>
      <colOff>265067</colOff>
      <row>26</row>
      <rowOff>189857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066667" cy="51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lobalccsinstitute.com/archive/hub/publications/201688/global-ccs-cost-updatev4.pdf" TargetMode="External" Id="rId1"/><Relationship Type="http://schemas.openxmlformats.org/officeDocument/2006/relationships/hyperlink" Target="https://www.sciencedirect.com/science/article/abs/pii/S026499931630709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tabSelected="1" topLeftCell="A1" workbookViewId="0">
      <selection activeCell="A1" sqref="A1"/>
    </sheetView>
  </sheetViews>
  <sheetFormatPr baseColWidth="8" defaultRowHeight="15"/>
  <sheetData>
    <row r="1">
      <c r="A1" s="1" t="inlineStr">
        <is>
          <t>SoCaOMSbRIC Share of Capital and OM Spending by Recipient ISIC Code</t>
        </is>
      </c>
    </row>
    <row r="2"/>
    <row r="3">
      <c r="A3" s="1" t="inlineStr">
        <is>
          <t>Sources:</t>
        </is>
      </c>
      <c r="B3" s="4" t="inlineStr">
        <is>
          <t>CCS Costs</t>
        </is>
      </c>
      <c r="C3" s="4" t="n"/>
      <c r="D3" s="4" t="n"/>
      <c r="E3" s="4" t="n"/>
      <c r="F3" s="6" t="n"/>
      <c r="G3" s="6" t="n"/>
    </row>
    <row r="4">
      <c r="B4" t="inlineStr">
        <is>
          <t>Global CCS Institute</t>
        </is>
      </c>
    </row>
    <row r="5">
      <c r="B5" s="5" t="n">
        <v>2017</v>
      </c>
    </row>
    <row r="6">
      <c r="B6" t="inlineStr">
        <is>
          <t>GLOBAL COSTS OF CARBON CAPTURE AND STORAGE</t>
        </is>
      </c>
    </row>
    <row r="7">
      <c r="B7" s="2" t="inlineStr">
        <is>
          <t>https://www.globalccsinstitute.com/archive/hub/publications/201688/global-ccs-cost-updatev4.pdf</t>
        </is>
      </c>
    </row>
    <row r="8">
      <c r="B8" t="inlineStr">
        <is>
          <t>Tables C and E</t>
        </is>
      </c>
    </row>
    <row r="9"/>
    <row r="10">
      <c r="B10" s="4" t="inlineStr">
        <is>
          <t>Industrial EE Costs</t>
        </is>
      </c>
      <c r="C10" s="6" t="n"/>
      <c r="D10" s="6" t="n"/>
      <c r="E10" s="6" t="n"/>
      <c r="F10" s="6" t="n"/>
      <c r="G10" s="6" t="n"/>
    </row>
    <row r="11">
      <c r="B11" t="inlineStr">
        <is>
          <t>Heidi Garrett-Peltier</t>
        </is>
      </c>
    </row>
    <row r="12">
      <c r="B12" s="5" t="n">
        <v>2017</v>
      </c>
    </row>
    <row r="13">
      <c r="B13" t="inlineStr">
        <is>
          <t>Green versus brown: Comparing the employment impacts of energy efficiency, renewable energy, and fossil fuels using an input-output model</t>
        </is>
      </c>
    </row>
    <row r="14">
      <c r="B14" s="2" t="inlineStr">
        <is>
          <t>https://www.sciencedirect.com/science/article/abs/pii/S026499931630709X</t>
        </is>
      </c>
    </row>
    <row r="15">
      <c r="B15" t="inlineStr">
        <is>
          <t>Table 2</t>
        </is>
      </c>
    </row>
    <row r="16"/>
    <row r="17">
      <c r="A17" s="1" t="inlineStr">
        <is>
          <t>Notes:</t>
        </is>
      </c>
    </row>
    <row r="18">
      <c r="A18" t="inlineStr">
        <is>
          <t>We compared two data sources on costs for industrial CCS and industrial energy efficiency</t>
        </is>
      </c>
    </row>
    <row r="19">
      <c r="A19" t="inlineStr">
        <is>
          <t>and found that the breakdown between labor (construction), machinery, and other</t>
        </is>
      </c>
    </row>
    <row r="20">
      <c r="A20" t="inlineStr">
        <is>
          <t>business services is comparable across studies. We therefore use a single set of assumptions</t>
        </is>
      </c>
    </row>
    <row r="21">
      <c r="A21" t="inlineStr">
        <is>
          <t>to cover the allocation of capital and OM expensies for industry energy efficiency and CCS.</t>
        </is>
      </c>
    </row>
    <row r="22"/>
    <row r="23">
      <c r="A23" t="inlineStr">
        <is>
          <t>A different input variable governs the breakdown of revenues due to Process Emissions policies.</t>
        </is>
      </c>
    </row>
    <row r="25">
      <c r="A25" s="9" t="inlineStr">
        <is>
          <t>42-code sibling (build_sector_shares_42):</t>
        </is>
      </c>
    </row>
    <row r="26">
      <c r="A26" s="10" t="inlineStr">
        <is>
          <t>This workbook is the 42-code (un-split) sibling of the 52-code expansion. The 42 scheme is the 52 scheme with the six OECD-native parents</t>
        </is>
      </c>
    </row>
    <row r="27">
      <c r="A27" s="10" t="inlineStr">
        <is>
          <t>left merged (ISIC 01T03, 07T08, 30, 49T53, 69T82, 90T96); the BEA carves ISIC 231/239 and 351/352T353 are retained (present in both</t>
        </is>
      </c>
    </row>
    <row r="28">
      <c r="A28" s="10" t="inlineStr">
        <is>
          <t>schemes).</t>
        </is>
      </c>
    </row>
    <row r="30">
      <c r="A30" s="10" t="inlineStr">
        <is>
          <t>The output tabs are the stock derivation, unchanged and live: the stock workbook is natively 42-code (its output columns already are the</t>
        </is>
      </c>
    </row>
    <row r="31">
      <c r="A31" s="10" t="inlineStr">
        <is>
          <t>42-code ISIC list, in canonical order), so no child split is applied here.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5:H112"/>
  <sheetViews>
    <sheetView workbookViewId="0">
      <selection activeCell="A1" sqref="A1"/>
    </sheetView>
  </sheetViews>
  <sheetFormatPr baseColWidth="8" defaultRowHeight="15"/>
  <cols>
    <col width="17.42578125" bestFit="1" customWidth="1" style="7" min="1" max="1"/>
  </cols>
  <sheetData>
    <row r="25">
      <c r="A25" t="inlineStr">
        <is>
          <t>Shares by Industry</t>
        </is>
      </c>
      <c r="B25" t="inlineStr">
        <is>
          <t>Iron and Steel</t>
        </is>
      </c>
      <c r="C25" t="inlineStr">
        <is>
          <t>Cement</t>
        </is>
      </c>
      <c r="D25" t="inlineStr">
        <is>
          <t>Nat Gas</t>
        </is>
      </c>
      <c r="E25" t="inlineStr">
        <is>
          <t>Fertilizer</t>
        </is>
      </c>
      <c r="F25" t="inlineStr">
        <is>
          <t>Biomass-to-ethanol</t>
        </is>
      </c>
    </row>
    <row r="26">
      <c r="A26" t="inlineStr">
        <is>
          <t>equipment</t>
        </is>
      </c>
      <c r="B26" t="n">
        <v>57</v>
      </c>
      <c r="C26" t="n">
        <v>34</v>
      </c>
      <c r="D26" t="n">
        <v>22</v>
      </c>
      <c r="E26" t="n">
        <v>7</v>
      </c>
      <c r="F26" t="n">
        <v>22</v>
      </c>
    </row>
    <row r="27">
      <c r="A27" t="inlineStr">
        <is>
          <t>materials</t>
        </is>
      </c>
      <c r="B27" t="n">
        <v>19</v>
      </c>
      <c r="C27" t="n">
        <v>12</v>
      </c>
      <c r="D27" t="n">
        <v>4</v>
      </c>
      <c r="E27" t="n">
        <v>1</v>
      </c>
      <c r="F27" t="n">
        <v>4</v>
      </c>
    </row>
    <row r="28">
      <c r="A28" t="inlineStr">
        <is>
          <t>labor</t>
        </is>
      </c>
      <c r="B28" t="n">
        <v>46</v>
      </c>
      <c r="C28" t="n">
        <v>28</v>
      </c>
      <c r="D28" t="n">
        <v>11</v>
      </c>
      <c r="E28" t="n">
        <v>4</v>
      </c>
      <c r="F28" t="n">
        <v>11</v>
      </c>
    </row>
    <row r="29">
      <c r="A29" t="inlineStr">
        <is>
          <t>Eng/CM/HO/Fees</t>
        </is>
      </c>
      <c r="B29" t="n">
        <v>11</v>
      </c>
      <c r="C29" t="n">
        <v>7</v>
      </c>
      <c r="D29" t="n">
        <v>4</v>
      </c>
      <c r="E29" t="n">
        <v>1</v>
      </c>
      <c r="F29" t="n">
        <v>4</v>
      </c>
    </row>
    <row r="30">
      <c r="A30" t="inlineStr">
        <is>
          <t>Contingencies</t>
        </is>
      </c>
      <c r="B30">
        <f>14+26</f>
        <v/>
      </c>
      <c r="C30">
        <f>8+16</f>
        <v/>
      </c>
      <c r="D30" t="n">
        <v>8</v>
      </c>
      <c r="E30" t="n">
        <v>2</v>
      </c>
      <c r="F30" t="n">
        <v>8</v>
      </c>
    </row>
    <row r="32">
      <c r="A32" t="inlineStr">
        <is>
          <t>Shares by Industry</t>
        </is>
      </c>
      <c r="B32" t="inlineStr">
        <is>
          <t>Iron and Steel</t>
        </is>
      </c>
      <c r="C32" t="inlineStr">
        <is>
          <t>Cement</t>
        </is>
      </c>
      <c r="D32" t="inlineStr">
        <is>
          <t>Nat Gas</t>
        </is>
      </c>
      <c r="E32" t="inlineStr">
        <is>
          <t>Fertilizer</t>
        </is>
      </c>
      <c r="F32" t="inlineStr">
        <is>
          <t>Biomass-to-ethanol</t>
        </is>
      </c>
      <c r="H32" t="inlineStr">
        <is>
          <t>Average</t>
        </is>
      </c>
    </row>
    <row r="33">
      <c r="A33" t="inlineStr">
        <is>
          <t>equipment</t>
        </is>
      </c>
      <c r="B33" s="3">
        <f>B26/SUM(B$26:B$30)</f>
        <v/>
      </c>
      <c r="C33" s="3">
        <f>C26/SUM(C$26:C$30)</f>
        <v/>
      </c>
      <c r="D33" s="3">
        <f>D26/SUM(D$26:D$30)</f>
        <v/>
      </c>
      <c r="E33" s="3">
        <f>E26/SUM(E$26:E$30)</f>
        <v/>
      </c>
      <c r="F33" s="3">
        <f>F26/SUM(F$26:F$30)</f>
        <v/>
      </c>
      <c r="H33">
        <f>AVERAGE(B33:F33)</f>
        <v/>
      </c>
    </row>
    <row r="34">
      <c r="A34" t="inlineStr">
        <is>
          <t>materials</t>
        </is>
      </c>
      <c r="B34" s="3">
        <f>B27/SUM(B$26:B$30)</f>
        <v/>
      </c>
      <c r="C34" s="3">
        <f>C27/SUM(C$26:C$30)</f>
        <v/>
      </c>
      <c r="D34" s="3">
        <f>D27/SUM(D$26:D$30)</f>
        <v/>
      </c>
      <c r="E34" s="3">
        <f>E27/SUM(E$26:E$30)</f>
        <v/>
      </c>
      <c r="F34" s="3">
        <f>F27/SUM(F$26:F$30)</f>
        <v/>
      </c>
      <c r="H34">
        <f>AVERAGE(B34:F34)</f>
        <v/>
      </c>
    </row>
    <row r="35">
      <c r="A35" t="inlineStr">
        <is>
          <t>labor</t>
        </is>
      </c>
      <c r="B35" s="3">
        <f>B28/SUM(B$26:B$30)</f>
        <v/>
      </c>
      <c r="C35" s="3">
        <f>C28/SUM(C$26:C$30)</f>
        <v/>
      </c>
      <c r="D35" s="3">
        <f>D28/SUM(D$26:D$30)</f>
        <v/>
      </c>
      <c r="E35" s="3">
        <f>E28/SUM(E$26:E$30)</f>
        <v/>
      </c>
      <c r="F35" s="3">
        <f>F28/SUM(F$26:F$30)</f>
        <v/>
      </c>
      <c r="H35">
        <f>AVERAGE(B35:F35)</f>
        <v/>
      </c>
    </row>
    <row r="36">
      <c r="A36" t="inlineStr">
        <is>
          <t>Eng/CM/HO/Fees</t>
        </is>
      </c>
      <c r="B36" s="3">
        <f>B29/SUM(B$26:B$30)</f>
        <v/>
      </c>
      <c r="C36" s="3">
        <f>C29/SUM(C$26:C$30)</f>
        <v/>
      </c>
      <c r="D36" s="3">
        <f>D29/SUM(D$26:D$30)</f>
        <v/>
      </c>
      <c r="E36" s="3">
        <f>E29/SUM(E$26:E$30)</f>
        <v/>
      </c>
      <c r="F36" s="3">
        <f>F29/SUM(F$26:F$30)</f>
        <v/>
      </c>
      <c r="H36">
        <f>AVERAGE(B36:F36)</f>
        <v/>
      </c>
    </row>
    <row r="37">
      <c r="A37" t="inlineStr">
        <is>
          <t>Contingencies</t>
        </is>
      </c>
      <c r="B37" s="3">
        <f>B30/SUM(B$26:B$30)</f>
        <v/>
      </c>
      <c r="C37" s="3">
        <f>C30/SUM(C$26:C$30)</f>
        <v/>
      </c>
      <c r="D37" s="3">
        <f>D30/SUM(D$26:D$30)</f>
        <v/>
      </c>
      <c r="E37" s="3">
        <f>E30/SUM(E$26:E$30)</f>
        <v/>
      </c>
      <c r="F37" s="3">
        <f>F30/SUM(F$26:F$30)</f>
        <v/>
      </c>
      <c r="H37">
        <f>AVERAGE(B37:F37)</f>
        <v/>
      </c>
    </row>
    <row r="85">
      <c r="A85" t="inlineStr">
        <is>
          <t>Incremental O&amp;M</t>
        </is>
      </c>
      <c r="B85" t="inlineStr">
        <is>
          <t>PCS1</t>
        </is>
      </c>
    </row>
    <row r="86">
      <c r="A86" t="inlineStr">
        <is>
          <t>VOM</t>
        </is>
      </c>
    </row>
    <row r="87">
      <c r="A87" t="inlineStr">
        <is>
          <t>equipment</t>
        </is>
      </c>
      <c r="B87">
        <f>6.03-3.19</f>
        <v/>
      </c>
    </row>
    <row r="88">
      <c r="A88" t="inlineStr">
        <is>
          <t>material</t>
        </is>
      </c>
      <c r="B88">
        <f>2.89-1.63</f>
        <v/>
      </c>
    </row>
    <row r="89">
      <c r="A89" t="inlineStr">
        <is>
          <t>labor</t>
        </is>
      </c>
      <c r="B89">
        <f>8.92-4.82</f>
        <v/>
      </c>
    </row>
    <row r="90">
      <c r="A90" t="inlineStr">
        <is>
          <t>FOM</t>
        </is>
      </c>
    </row>
    <row r="91">
      <c r="A91" t="inlineStr">
        <is>
          <t>equipment</t>
        </is>
      </c>
      <c r="B91" t="n">
        <v>0</v>
      </c>
    </row>
    <row r="92">
      <c r="A92" t="inlineStr">
        <is>
          <t>material</t>
        </is>
      </c>
      <c r="B92">
        <f>19.3-11.6</f>
        <v/>
      </c>
    </row>
    <row r="93">
      <c r="A93" t="inlineStr">
        <is>
          <t>labor</t>
        </is>
      </c>
      <c r="B93">
        <f>13.8-11</f>
        <v/>
      </c>
    </row>
    <row r="95">
      <c r="A95" t="inlineStr">
        <is>
          <t>Incremental O&amp;M %</t>
        </is>
      </c>
    </row>
    <row r="96">
      <c r="A96" t="inlineStr">
        <is>
          <t>VOM</t>
        </is>
      </c>
    </row>
    <row r="97">
      <c r="A97" t="inlineStr">
        <is>
          <t>equipment</t>
        </is>
      </c>
      <c r="B97">
        <f>B87/SUM(B$87:B$89)</f>
        <v/>
      </c>
    </row>
    <row r="98">
      <c r="A98" t="inlineStr">
        <is>
          <t>material</t>
        </is>
      </c>
      <c r="B98">
        <f>B88/SUM(B$87:B$89)</f>
        <v/>
      </c>
    </row>
    <row r="99">
      <c r="A99" t="inlineStr">
        <is>
          <t>labor</t>
        </is>
      </c>
      <c r="B99">
        <f>B89/SUM(B$87:B$89)</f>
        <v/>
      </c>
    </row>
    <row r="100">
      <c r="A100" t="inlineStr">
        <is>
          <t>FOM</t>
        </is>
      </c>
    </row>
    <row r="101">
      <c r="A101" t="inlineStr">
        <is>
          <t>equipment</t>
        </is>
      </c>
      <c r="B101">
        <f>B91/SUM(B$91:B$93)</f>
        <v/>
      </c>
    </row>
    <row r="102">
      <c r="A102" t="inlineStr">
        <is>
          <t>material</t>
        </is>
      </c>
      <c r="B102">
        <f>B92/SUM(B$91:B$93)</f>
        <v/>
      </c>
    </row>
    <row r="103">
      <c r="A103" t="inlineStr">
        <is>
          <t>labor</t>
        </is>
      </c>
      <c r="B103">
        <f>B93/SUM(B$91:B$93)</f>
        <v/>
      </c>
    </row>
    <row r="105">
      <c r="A105" t="inlineStr">
        <is>
          <t>Estimated FOM and VOM costs at 50% CF</t>
        </is>
      </c>
    </row>
    <row r="106">
      <c r="A106">
        <f>22600000</f>
        <v/>
      </c>
      <c r="B106" t="inlineStr">
        <is>
          <t>FOM</t>
        </is>
      </c>
    </row>
    <row r="107">
      <c r="A107">
        <f>9.64*550*8760*0.5</f>
        <v/>
      </c>
      <c r="B107" t="inlineStr">
        <is>
          <t>VOM</t>
        </is>
      </c>
    </row>
    <row r="109">
      <c r="A109" t="inlineStr">
        <is>
          <t>Share OM Costs</t>
        </is>
      </c>
    </row>
    <row r="110">
      <c r="A110" t="inlineStr">
        <is>
          <t>equipment</t>
        </is>
      </c>
      <c r="B110">
        <f>A$106/SUM($A$106:$A$107)*B101+A$107/SUM($A$106:$A$107)*B97</f>
        <v/>
      </c>
    </row>
    <row r="111">
      <c r="A111" t="inlineStr">
        <is>
          <t>material</t>
        </is>
      </c>
      <c r="B111">
        <f>A$106/SUM($A$106:$A$107)*B102+A$107/SUM($A$106:$A$107)*B98</f>
        <v/>
      </c>
    </row>
    <row r="112">
      <c r="A112" t="inlineStr">
        <is>
          <t>labor</t>
        </is>
      </c>
      <c r="B112">
        <f>A$106/SUM($A$106:$A$107)*B103+A$107/SUM($A$106:$A$107)*B99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style="7" min="1" max="1"/>
    <col width="14" customWidth="1" style="7" min="2" max="2"/>
  </cols>
  <sheetData>
    <row r="1">
      <c r="A1" s="9" t="inlineStr">
        <is>
          <t>Validation checks (42-code sibling)</t>
        </is>
      </c>
    </row>
    <row r="2">
      <c r="A2" s="10" t="inlineStr">
        <is>
          <t>Allocation output rows sum to 1 across the 42 ISIC codes (rate files excluded — see note).</t>
        </is>
      </c>
    </row>
    <row r="4">
      <c r="A4" s="9" t="inlineStr">
        <is>
          <t>SoCaOMSbRIC.csv</t>
        </is>
      </c>
    </row>
    <row r="5">
      <c r="A5" t="inlineStr">
        <is>
          <t xml:space="preserve">  Share of Costs by ISIC Code</t>
        </is>
      </c>
      <c r="B5">
        <f>SUM('SoCaOMSbRIC'!B2:AQ2)</f>
        <v/>
      </c>
      <c r="C5" s="9">
        <f>IF(ABS(B5-1)&lt;0.000001,"=1",IF(ABS(B5)&lt;0.000001,"=0","CHECK"))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5.42578125" customWidth="1" style="7" min="1" max="1"/>
    <col width="9.85546875" customWidth="1" style="7" min="2" max="26"/>
    <col width="12.85546875" customWidth="1" style="7" min="27" max="27"/>
    <col width="10.5703125" customWidth="1" style="7" min="28" max="28"/>
    <col width="9.85546875" customWidth="1" style="7" min="29" max="43"/>
  </cols>
  <sheetData>
    <row r="1">
      <c r="A1" t="inlineStr">
        <is>
          <t>Unit: %</t>
        </is>
      </c>
      <c r="B1" s="8" t="inlineStr">
        <is>
          <t>ISIC 01T03</t>
        </is>
      </c>
      <c r="C1" s="8" t="inlineStr">
        <is>
          <t>ISIC 05</t>
        </is>
      </c>
      <c r="D1" s="8" t="inlineStr">
        <is>
          <t>ISIC 06</t>
        </is>
      </c>
      <c r="E1" s="8" t="inlineStr">
        <is>
          <t>ISIC 07T08</t>
        </is>
      </c>
      <c r="F1" s="8" t="inlineStr">
        <is>
          <t>ISIC 09</t>
        </is>
      </c>
      <c r="G1" s="8" t="inlineStr">
        <is>
          <t>ISIC 10T12</t>
        </is>
      </c>
      <c r="H1" s="8" t="inlineStr">
        <is>
          <t>ISIC 13T15</t>
        </is>
      </c>
      <c r="I1" s="8" t="inlineStr">
        <is>
          <t>ISIC 16</t>
        </is>
      </c>
      <c r="J1" s="8" t="inlineStr">
        <is>
          <t>ISIC 17T18</t>
        </is>
      </c>
      <c r="K1" s="8" t="inlineStr">
        <is>
          <t>ISIC 19</t>
        </is>
      </c>
      <c r="L1" s="8" t="inlineStr">
        <is>
          <t>ISIC 20</t>
        </is>
      </c>
      <c r="M1" s="8" t="inlineStr">
        <is>
          <t>ISIC 21</t>
        </is>
      </c>
      <c r="N1" s="8" t="inlineStr">
        <is>
          <t>ISIC 22</t>
        </is>
      </c>
      <c r="O1" s="8" t="inlineStr">
        <is>
          <t>ISIC 231</t>
        </is>
      </c>
      <c r="P1" s="8" t="inlineStr">
        <is>
          <t>ISIC 239</t>
        </is>
      </c>
      <c r="Q1" s="8" t="inlineStr">
        <is>
          <t>ISIC 241</t>
        </is>
      </c>
      <c r="R1" s="8" t="inlineStr">
        <is>
          <t>ISIC 242</t>
        </is>
      </c>
      <c r="S1" s="8" t="inlineStr">
        <is>
          <t>ISIC 25</t>
        </is>
      </c>
      <c r="T1" s="8" t="inlineStr">
        <is>
          <t>ISIC 26</t>
        </is>
      </c>
      <c r="U1" s="8" t="inlineStr">
        <is>
          <t>ISIC 27</t>
        </is>
      </c>
      <c r="V1" s="8" t="inlineStr">
        <is>
          <t>ISIC 28</t>
        </is>
      </c>
      <c r="W1" s="8" t="inlineStr">
        <is>
          <t>ISIC 29</t>
        </is>
      </c>
      <c r="X1" s="8" t="inlineStr">
        <is>
          <t>ISIC 30</t>
        </is>
      </c>
      <c r="Y1" s="8" t="inlineStr">
        <is>
          <t>ISIC 31T33</t>
        </is>
      </c>
      <c r="Z1" s="8" t="inlineStr">
        <is>
          <t>ISIC 351</t>
        </is>
      </c>
      <c r="AA1" s="8" t="inlineStr">
        <is>
          <t>ISIC 352T353</t>
        </is>
      </c>
      <c r="AB1" s="8" t="inlineStr">
        <is>
          <t>ISIC 36T39</t>
        </is>
      </c>
      <c r="AC1" s="8" t="inlineStr">
        <is>
          <t>ISIC 41T43</t>
        </is>
      </c>
      <c r="AD1" s="8" t="inlineStr">
        <is>
          <t>ISIC 45T47</t>
        </is>
      </c>
      <c r="AE1" s="8" t="inlineStr">
        <is>
          <t>ISIC 49T53</t>
        </is>
      </c>
      <c r="AF1" s="8" t="inlineStr">
        <is>
          <t>ISIC 55T56</t>
        </is>
      </c>
      <c r="AG1" s="8" t="inlineStr">
        <is>
          <t>ISIC 58T60</t>
        </is>
      </c>
      <c r="AH1" s="8" t="inlineStr">
        <is>
          <t>ISIC 61</t>
        </is>
      </c>
      <c r="AI1" s="8" t="inlineStr">
        <is>
          <t>ISIC 62T63</t>
        </is>
      </c>
      <c r="AJ1" s="8" t="inlineStr">
        <is>
          <t>ISIC 64T66</t>
        </is>
      </c>
      <c r="AK1" s="8" t="inlineStr">
        <is>
          <t>ISIC 68</t>
        </is>
      </c>
      <c r="AL1" s="8" t="inlineStr">
        <is>
          <t>ISIC 69T82</t>
        </is>
      </c>
      <c r="AM1" s="8" t="inlineStr">
        <is>
          <t>ISIC 84</t>
        </is>
      </c>
      <c r="AN1" s="8" t="inlineStr">
        <is>
          <t>ISIC 85</t>
        </is>
      </c>
      <c r="AO1" s="8" t="inlineStr">
        <is>
          <t>ISIC 86T88</t>
        </is>
      </c>
      <c r="AP1" s="8" t="inlineStr">
        <is>
          <t>ISIC 90T96</t>
        </is>
      </c>
      <c r="AQ1" s="8" t="inlineStr">
        <is>
          <t>ISIC 97T98</t>
        </is>
      </c>
    </row>
    <row r="2">
      <c r="A2" t="inlineStr">
        <is>
          <t>Share of Costs by ISIC Code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Robbie Orvis</dc:creator>
  <dcterms:created xmlns:dcterms="http://purl.org/dc/terms/" xmlns:xsi="http://www.w3.org/2001/XMLSchema-instance" xsi:type="dcterms:W3CDTF">2020-08-20T21:19:16Z</dcterms:created>
  <dcterms:modified xmlns:dcterms="http://purl.org/dc/terms/" xmlns:xsi="http://www.w3.org/2001/XMLSchema-instance" xsi:type="dcterms:W3CDTF">2026-07-21T20:48:10Z</dcterms:modified>
  <cp:lastModifiedBy>Jeffrey Rissman</cp:lastModifiedBy>
</cp:coreProperties>
</file>