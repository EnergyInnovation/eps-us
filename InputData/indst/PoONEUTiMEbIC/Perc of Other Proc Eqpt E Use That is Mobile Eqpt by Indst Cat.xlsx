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O'Brien\Models\EPS\US\eps-us\InputData\indst\PoONEUTiMEbIC\"/>
    </mc:Choice>
  </mc:AlternateContent>
  <xr:revisionPtr revIDLastSave="0" documentId="13_ncr:1_{BCC2C865-2974-428F-8A0E-7142E0711519}" xr6:coauthVersionLast="47" xr6:coauthVersionMax="47" xr10:uidLastSave="{00000000-0000-0000-0000-000000000000}"/>
  <bookViews>
    <workbookView xWindow="2160" yWindow="540" windowWidth="25350" windowHeight="15045" tabRatio="713" xr2:uid="{0EFD7D2D-3818-4E99-A112-4A3FD8AE68FC}"/>
  </bookViews>
  <sheets>
    <sheet name="About" sheetId="1" r:id="rId1"/>
    <sheet name="Mobile vs Stationary" sheetId="34" r:id="rId2"/>
    <sheet name="PoONEUTiMEbIC" sheetId="33" r:id="rId3"/>
  </sheets>
  <externalReferences>
    <externalReference r:id="rId4"/>
    <externalReference r:id="rId5"/>
    <externalReference r:id="rId6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33" l="1"/>
  <c r="B5" i="33"/>
  <c r="B3" i="33"/>
  <c r="B2" i="33"/>
  <c r="P30" i="34"/>
  <c r="O30" i="34"/>
  <c r="N30" i="34"/>
  <c r="M30" i="34"/>
  <c r="L30" i="34"/>
  <c r="K30" i="34"/>
  <c r="J30" i="34"/>
  <c r="I30" i="34"/>
  <c r="H30" i="34"/>
  <c r="G30" i="34"/>
  <c r="F30" i="34"/>
  <c r="P29" i="34"/>
  <c r="O29" i="34"/>
  <c r="N29" i="34"/>
  <c r="M29" i="34"/>
  <c r="L29" i="34"/>
  <c r="K29" i="34"/>
  <c r="J29" i="34"/>
  <c r="I29" i="34"/>
  <c r="H29" i="34"/>
  <c r="G29" i="34"/>
  <c r="F29" i="34"/>
  <c r="P28" i="34"/>
  <c r="O28" i="34"/>
  <c r="N28" i="34"/>
  <c r="M28" i="34"/>
  <c r="L28" i="34"/>
  <c r="K28" i="34"/>
  <c r="J28" i="34"/>
  <c r="I28" i="34"/>
  <c r="H28" i="34"/>
  <c r="G28" i="34"/>
  <c r="F28" i="34"/>
</calcChain>
</file>

<file path=xl/sharedStrings.xml><?xml version="1.0" encoding="utf-8"?>
<sst xmlns="http://schemas.openxmlformats.org/spreadsheetml/2006/main" count="159" uniqueCount="57">
  <si>
    <t>Source: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</si>
  <si>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</si>
  <si>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</si>
  <si>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</si>
  <si>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</si>
  <si>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</si>
  <si>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</si>
  <si>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</si>
  <si>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</si>
  <si>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</si>
  <si>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</si>
  <si>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</si>
  <si>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</si>
  <si>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</si>
  <si>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</si>
  <si>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</si>
  <si>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</si>
  <si>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</si>
  <si>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</si>
  <si>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</si>
  <si>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</si>
  <si>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</si>
  <si>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</si>
  <si>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</si>
  <si>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</si>
  <si>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</si>
  <si>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Notes</t>
  </si>
  <si>
    <t>Unit: dimensionless (share of energy by category)</t>
  </si>
  <si>
    <t>Share by Category</t>
  </si>
  <si>
    <t>This file defines the share of energy used by the "other process" industrial process that is for</t>
  </si>
  <si>
    <t xml:space="preserve">mobile equipment like agricultural tractors, mining equipment, and construction heavy equipment. </t>
  </si>
  <si>
    <t>PoOPEUTiMEbIC Perc of Other Nonprocess Eqpt E Use That is Mobile Eqpt by Indst Category</t>
  </si>
  <si>
    <t>Stationary vs. Mobile Energy Use in Construction/Mining</t>
  </si>
  <si>
    <t>Global Change Analysis Model (GCAM) by JGCRI</t>
  </si>
  <si>
    <t>Model Outputs - Consult EI philanthropy team for data</t>
  </si>
  <si>
    <t>https://jgcri.github.io/gcam-doc/index.html</t>
  </si>
  <si>
    <t>GCAM Data - USA, Energy Innovation Internal Global Emissions Baseline</t>
  </si>
  <si>
    <t>agricultural energy use</t>
  </si>
  <si>
    <t>mobile</t>
  </si>
  <si>
    <t>H2 wholesale dispensing</t>
  </si>
  <si>
    <t>hydrogen</t>
  </si>
  <si>
    <t>EJ</t>
  </si>
  <si>
    <t>elect_td_ind</t>
  </si>
  <si>
    <t>electricity</t>
  </si>
  <si>
    <t>refined liquids industrial</t>
  </si>
  <si>
    <t>refined liquids</t>
  </si>
  <si>
    <t>stationary</t>
  </si>
  <si>
    <t>delivered biomass</t>
  </si>
  <si>
    <t>biomass</t>
  </si>
  <si>
    <t>delivered coal</t>
  </si>
  <si>
    <t>coal</t>
  </si>
  <si>
    <t>wholesale gas</t>
  </si>
  <si>
    <t>gas</t>
  </si>
  <si>
    <t>construction energy use</t>
  </si>
  <si>
    <t>construction feedstocks</t>
  </si>
  <si>
    <t>mining energy use</t>
  </si>
  <si>
    <t>%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</si>
</sst>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  <charset val="161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1" applyNumberFormat="0" applyProtection="0">
      <alignment wrapText="1"/>
    </xf>
    <xf numFmtId="0" fontId="2" fillId="0" borderId="2" applyNumberFormat="0" applyFont="0" applyProtection="0">
      <alignment wrapText="1"/>
    </xf>
    <xf numFmtId="0" fontId="2" fillId="0" borderId="3" applyNumberFormat="0" applyProtection="0">
      <alignment vertical="top" wrapText="1"/>
    </xf>
    <xf numFmtId="0" fontId="5" fillId="0" borderId="0"/>
    <xf numFmtId="0" fontId="7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  <xf numFmtId="0" fontId="6" fillId="0" borderId="0" xfId="0" applyFont="1" applyAlignment="1">
      <alignment horizontal="left" wrapText="1"/>
    </xf>
    <xf numFmtId="0" fontId="1" fillId="2" borderId="0" xfId="0" applyFont="1" applyFill="1"/>
    <xf numFmtId="0" fontId="0" fillId="0" borderId="0" xfId="0" applyAlignment="1">
      <alignment horizontal="left"/>
    </xf>
    <xf numFmtId="0" fontId="7" fillId="0" borderId="0" xfId="7"/>
    <xf numFmtId="0" fontId="8" fillId="3" borderId="0" xfId="0" applyFont="1" applyFill="1"/>
    <xf numFmtId="0" fontId="0" fillId="3" borderId="0" xfId="0" applyFill="1"/>
    <xf numFmtId="11" fontId="0" fillId="0" borderId="0" xfId="0" applyNumberFormat="1"/>
    <xf numFmtId="164" fontId="0" fillId="0" borderId="0" xfId="0" applyNumberFormat="1"/>
  </cellXfs>
  <cellStyles count="8">
    <cellStyle name="Body: normal cell" xfId="4" xr:uid="{9CBF0D45-E1DA-43A4-8590-A8BBDD790AA5}"/>
    <cellStyle name="Font: Calibri, 9pt regular" xfId="1" xr:uid="{E426FB1A-5EA5-4830-B0C0-B4330985F5AF}"/>
    <cellStyle name="Footnotes: top row" xfId="5" xr:uid="{3E561AC0-8CDC-453E-978A-76F7E4B3BFC8}"/>
    <cellStyle name="Hyperlink" xfId="7" builtinId="8"/>
    <cellStyle name="Normal" xfId="0" builtinId="0"/>
    <cellStyle name="Normal 2" xfId="6" xr:uid="{B4C16846-13A5-40F8-B747-5EB3FB2E7E01}"/>
    <cellStyle name="Parent row" xfId="3" xr:uid="{99482F86-B14D-4406-9A24-86C60D6BCD1D}"/>
    <cellStyle name="Table title" xfId="2" xr:uid="{E539729D-D9F0-4788-816E-0E3AFB7769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>
        <row r="12">
          <cell r="C12">
            <v>28</v>
          </cell>
        </row>
        <row r="13">
          <cell r="C13">
            <v>265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Transport Refrigeration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>
        <row r="31">
          <cell r="A31">
            <v>1000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>
        <row r="123">
          <cell r="A123">
            <v>1000000000000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F932-1B15-4A52-AD06-8D3DCB32C304}">
  <dimension ref="A1:B11"/>
  <sheetViews>
    <sheetView tabSelected="1" workbookViewId="0">
      <selection activeCell="B19" sqref="B19"/>
    </sheetView>
  </sheetViews>
  <sheetFormatPr defaultRowHeight="15" x14ac:dyDescent="0.25"/>
  <cols>
    <col min="2" max="2" width="97.28515625" customWidth="1"/>
  </cols>
  <sheetData>
    <row r="1" spans="1:2" x14ac:dyDescent="0.25">
      <c r="A1" s="1" t="s">
        <v>31</v>
      </c>
    </row>
    <row r="3" spans="1:2" x14ac:dyDescent="0.25">
      <c r="A3" s="1" t="s">
        <v>0</v>
      </c>
      <c r="B3" s="4" t="s">
        <v>32</v>
      </c>
    </row>
    <row r="4" spans="1:2" x14ac:dyDescent="0.25">
      <c r="A4" s="1"/>
      <c r="B4" t="s">
        <v>33</v>
      </c>
    </row>
    <row r="5" spans="1:2" x14ac:dyDescent="0.25">
      <c r="B5" s="5">
        <v>2025</v>
      </c>
    </row>
    <row r="6" spans="1:2" x14ac:dyDescent="0.25">
      <c r="B6" t="s">
        <v>34</v>
      </c>
    </row>
    <row r="7" spans="1:2" x14ac:dyDescent="0.25">
      <c r="B7" s="6" t="s">
        <v>35</v>
      </c>
    </row>
    <row r="9" spans="1:2" x14ac:dyDescent="0.25">
      <c r="A9" s="1" t="s">
        <v>26</v>
      </c>
    </row>
    <row r="10" spans="1:2" x14ac:dyDescent="0.25">
      <c r="A10" t="s">
        <v>29</v>
      </c>
    </row>
    <row r="11" spans="1:2" x14ac:dyDescent="0.25">
      <c r="A11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58D32-8A7A-4C51-936F-33F8775DBB43}">
  <dimension ref="A2:Q30"/>
  <sheetViews>
    <sheetView workbookViewId="0">
      <selection activeCell="H28" sqref="H28"/>
    </sheetView>
  </sheetViews>
  <sheetFormatPr defaultRowHeight="15" x14ac:dyDescent="0.25"/>
  <cols>
    <col min="2" max="2" width="22.5703125" bestFit="1" customWidth="1"/>
    <col min="3" max="3" width="14.140625" bestFit="1" customWidth="1"/>
  </cols>
  <sheetData>
    <row r="2" spans="1:17" x14ac:dyDescent="0.25">
      <c r="A2" s="7" t="s">
        <v>36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4" spans="1:17" x14ac:dyDescent="0.25">
      <c r="F4">
        <v>1990</v>
      </c>
      <c r="G4">
        <v>2005</v>
      </c>
      <c r="H4">
        <v>2010</v>
      </c>
      <c r="I4">
        <v>2015</v>
      </c>
      <c r="J4">
        <v>2020</v>
      </c>
      <c r="K4">
        <v>2025</v>
      </c>
      <c r="L4">
        <v>2030</v>
      </c>
      <c r="M4">
        <v>2035</v>
      </c>
      <c r="N4">
        <v>2040</v>
      </c>
      <c r="O4">
        <v>2045</v>
      </c>
      <c r="P4">
        <v>2050</v>
      </c>
    </row>
    <row r="5" spans="1:17" x14ac:dyDescent="0.25">
      <c r="B5" t="s">
        <v>37</v>
      </c>
      <c r="C5" t="s">
        <v>38</v>
      </c>
      <c r="D5" t="s">
        <v>39</v>
      </c>
      <c r="E5" t="s">
        <v>40</v>
      </c>
      <c r="F5">
        <v>0</v>
      </c>
      <c r="G5">
        <v>0</v>
      </c>
      <c r="H5">
        <v>0</v>
      </c>
      <c r="I5">
        <v>0</v>
      </c>
      <c r="J5">
        <v>0</v>
      </c>
      <c r="K5">
        <v>4.2913099999999996E-3</v>
      </c>
      <c r="L5">
        <v>1.5791219999999901E-2</v>
      </c>
      <c r="M5">
        <v>3.018581E-2</v>
      </c>
      <c r="N5">
        <v>4.0925309999999999E-2</v>
      </c>
      <c r="O5">
        <v>5.1022459999999999E-2</v>
      </c>
      <c r="P5">
        <v>5.7552260000000001E-2</v>
      </c>
      <c r="Q5" t="s">
        <v>41</v>
      </c>
    </row>
    <row r="6" spans="1:17" x14ac:dyDescent="0.25">
      <c r="B6" t="s">
        <v>37</v>
      </c>
      <c r="C6" t="s">
        <v>38</v>
      </c>
      <c r="D6" t="s">
        <v>42</v>
      </c>
      <c r="E6" t="s">
        <v>43</v>
      </c>
      <c r="F6">
        <v>0</v>
      </c>
      <c r="G6">
        <v>0</v>
      </c>
      <c r="H6">
        <v>0</v>
      </c>
      <c r="I6">
        <v>0</v>
      </c>
      <c r="J6">
        <v>0</v>
      </c>
      <c r="K6">
        <v>2.2921399999999998E-3</v>
      </c>
      <c r="L6">
        <v>9.4475300000000009E-3</v>
      </c>
      <c r="M6">
        <v>2.0550389999999901E-2</v>
      </c>
      <c r="N6">
        <v>3.2982503999999899E-2</v>
      </c>
      <c r="O6">
        <v>5.193159E-2</v>
      </c>
      <c r="P6">
        <v>7.4532790000000002E-2</v>
      </c>
      <c r="Q6" t="s">
        <v>41</v>
      </c>
    </row>
    <row r="7" spans="1:17" x14ac:dyDescent="0.25">
      <c r="B7" t="s">
        <v>37</v>
      </c>
      <c r="C7" t="s">
        <v>38</v>
      </c>
      <c r="D7" t="s">
        <v>44</v>
      </c>
      <c r="E7" t="s">
        <v>45</v>
      </c>
      <c r="F7">
        <v>0.48236099999999998</v>
      </c>
      <c r="G7">
        <v>0.54156800000000005</v>
      </c>
      <c r="H7">
        <v>0.52562799999999998</v>
      </c>
      <c r="I7">
        <v>0.50446299999999999</v>
      </c>
      <c r="J7">
        <v>0.51644699999999999</v>
      </c>
      <c r="K7">
        <v>0.51002360000000002</v>
      </c>
      <c r="L7">
        <v>0.48335309999999998</v>
      </c>
      <c r="M7">
        <v>0.44560869999999903</v>
      </c>
      <c r="N7">
        <v>0.41092240000000002</v>
      </c>
      <c r="O7">
        <v>0.3632358</v>
      </c>
      <c r="P7">
        <v>0.31364799999999998</v>
      </c>
      <c r="Q7" t="s">
        <v>41</v>
      </c>
    </row>
    <row r="8" spans="1:17" x14ac:dyDescent="0.25">
      <c r="B8" t="s">
        <v>37</v>
      </c>
      <c r="C8" t="s">
        <v>46</v>
      </c>
      <c r="D8" t="s">
        <v>47</v>
      </c>
      <c r="E8" t="s">
        <v>48</v>
      </c>
      <c r="F8">
        <v>0</v>
      </c>
      <c r="G8">
        <v>7.9115000000000001E-3</v>
      </c>
      <c r="H8">
        <v>5.6804E-2</v>
      </c>
      <c r="I8">
        <v>3.9766999999999997E-2</v>
      </c>
      <c r="J8">
        <v>4.1652129999999898E-2</v>
      </c>
      <c r="K8">
        <v>4.8173229999999997E-2</v>
      </c>
      <c r="L8">
        <v>5.546384E-2</v>
      </c>
      <c r="M8">
        <v>5.9785699999999997E-2</v>
      </c>
      <c r="N8">
        <v>5.8879019999999997E-2</v>
      </c>
      <c r="O8">
        <v>5.5339619999999999E-2</v>
      </c>
      <c r="P8">
        <v>5.0862939999999898E-2</v>
      </c>
      <c r="Q8" t="s">
        <v>41</v>
      </c>
    </row>
    <row r="9" spans="1:17" x14ac:dyDescent="0.25">
      <c r="B9" t="s">
        <v>37</v>
      </c>
      <c r="C9" t="s">
        <v>46</v>
      </c>
      <c r="D9" t="s">
        <v>49</v>
      </c>
      <c r="E9" t="s">
        <v>50</v>
      </c>
      <c r="F9">
        <v>0</v>
      </c>
      <c r="G9">
        <v>1.79998E-2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41</v>
      </c>
    </row>
    <row r="10" spans="1:17" x14ac:dyDescent="0.25">
      <c r="B10" t="s">
        <v>37</v>
      </c>
      <c r="C10" t="s">
        <v>46</v>
      </c>
      <c r="D10" t="s">
        <v>42</v>
      </c>
      <c r="E10" t="s">
        <v>43</v>
      </c>
      <c r="F10">
        <v>0</v>
      </c>
      <c r="G10">
        <v>8.9465699999999995E-2</v>
      </c>
      <c r="H10">
        <v>7.9559500000000005E-2</v>
      </c>
      <c r="I10">
        <v>7.2741700000000006E-2</v>
      </c>
      <c r="J10">
        <v>7.71564E-2</v>
      </c>
      <c r="K10">
        <v>8.2328899999999997E-2</v>
      </c>
      <c r="L10">
        <v>9.0449479999999999E-2</v>
      </c>
      <c r="M10">
        <v>9.44884E-2</v>
      </c>
      <c r="N10">
        <v>9.4409939999999998E-2</v>
      </c>
      <c r="O10">
        <v>9.3717529999999993E-2</v>
      </c>
      <c r="P10">
        <v>9.2163109999999895E-2</v>
      </c>
      <c r="Q10" t="s">
        <v>41</v>
      </c>
    </row>
    <row r="11" spans="1:17" x14ac:dyDescent="0.25">
      <c r="B11" t="s">
        <v>37</v>
      </c>
      <c r="C11" t="s">
        <v>46</v>
      </c>
      <c r="D11" t="s">
        <v>44</v>
      </c>
      <c r="E11" t="s">
        <v>45</v>
      </c>
      <c r="F11">
        <v>0.12059</v>
      </c>
      <c r="G11">
        <v>0.13539200000000001</v>
      </c>
      <c r="H11">
        <v>0.131407</v>
      </c>
      <c r="I11">
        <v>0.12611600000000001</v>
      </c>
      <c r="J11">
        <v>0.1261198</v>
      </c>
      <c r="K11">
        <v>0.1208002</v>
      </c>
      <c r="L11">
        <v>0.110585499999999</v>
      </c>
      <c r="M11">
        <v>0.10559375</v>
      </c>
      <c r="N11">
        <v>0.10834626999999999</v>
      </c>
      <c r="O11">
        <v>0.11519991</v>
      </c>
      <c r="P11">
        <v>0.12683116</v>
      </c>
      <c r="Q11" t="s">
        <v>41</v>
      </c>
    </row>
    <row r="12" spans="1:17" x14ac:dyDescent="0.25">
      <c r="B12" t="s">
        <v>37</v>
      </c>
      <c r="C12" t="s">
        <v>46</v>
      </c>
      <c r="D12" t="s">
        <v>51</v>
      </c>
      <c r="E12" t="s">
        <v>52</v>
      </c>
      <c r="F12">
        <v>0</v>
      </c>
      <c r="G12">
        <v>7.6938699999999999E-2</v>
      </c>
      <c r="H12">
        <v>6.2496999999999997E-2</v>
      </c>
      <c r="I12">
        <v>6.0655100000000003E-2</v>
      </c>
      <c r="J12">
        <v>6.1629699999999898E-2</v>
      </c>
      <c r="K12">
        <v>5.9060429999999997E-2</v>
      </c>
      <c r="L12">
        <v>5.8157479999999998E-2</v>
      </c>
      <c r="M12">
        <v>5.9445680000000001E-2</v>
      </c>
      <c r="N12">
        <v>6.1397569999999999E-2</v>
      </c>
      <c r="O12">
        <v>6.1151669999999998E-2</v>
      </c>
      <c r="P12">
        <v>5.7389700000000002E-2</v>
      </c>
      <c r="Q12" t="s">
        <v>41</v>
      </c>
    </row>
    <row r="13" spans="1:17" x14ac:dyDescent="0.25">
      <c r="B13" t="s">
        <v>53</v>
      </c>
      <c r="C13" t="s">
        <v>38</v>
      </c>
      <c r="D13" t="s">
        <v>39</v>
      </c>
      <c r="E13" t="s">
        <v>40</v>
      </c>
      <c r="F13">
        <v>0</v>
      </c>
      <c r="G13">
        <v>0</v>
      </c>
      <c r="H13">
        <v>0</v>
      </c>
      <c r="I13">
        <v>0</v>
      </c>
      <c r="J13">
        <v>0</v>
      </c>
      <c r="K13">
        <v>2.6706400000000002E-3</v>
      </c>
      <c r="L13">
        <v>9.3915400000000003E-3</v>
      </c>
      <c r="M13">
        <v>1.7987860000000001E-2</v>
      </c>
      <c r="N13">
        <v>2.4747112000000002E-2</v>
      </c>
      <c r="O13">
        <v>3.1811119999999998E-2</v>
      </c>
      <c r="P13">
        <v>3.7306499999999999E-2</v>
      </c>
      <c r="Q13" t="s">
        <v>41</v>
      </c>
    </row>
    <row r="14" spans="1:17" x14ac:dyDescent="0.25">
      <c r="B14" t="s">
        <v>53</v>
      </c>
      <c r="C14" t="s">
        <v>38</v>
      </c>
      <c r="D14" t="s">
        <v>42</v>
      </c>
      <c r="E14" t="s">
        <v>43</v>
      </c>
      <c r="F14">
        <v>0</v>
      </c>
      <c r="G14">
        <v>0</v>
      </c>
      <c r="H14">
        <v>0</v>
      </c>
      <c r="I14">
        <v>0</v>
      </c>
      <c r="J14">
        <v>0</v>
      </c>
      <c r="K14" s="9">
        <v>6.4778299999999997E-4</v>
      </c>
      <c r="L14">
        <v>2.6796699999999999E-3</v>
      </c>
      <c r="M14">
        <v>6.0352909999999999E-3</v>
      </c>
      <c r="N14">
        <v>1.0144502E-2</v>
      </c>
      <c r="O14">
        <v>1.7076095999999999E-2</v>
      </c>
      <c r="P14">
        <v>2.6250463000000002E-2</v>
      </c>
      <c r="Q14" t="s">
        <v>41</v>
      </c>
    </row>
    <row r="15" spans="1:17" x14ac:dyDescent="0.25">
      <c r="B15" t="s">
        <v>53</v>
      </c>
      <c r="C15" t="s">
        <v>38</v>
      </c>
      <c r="D15" t="s">
        <v>44</v>
      </c>
      <c r="E15" t="s">
        <v>45</v>
      </c>
      <c r="F15">
        <v>3.3220199999999998E-2</v>
      </c>
      <c r="G15">
        <v>5.6628199999999997E-2</v>
      </c>
      <c r="H15">
        <v>4.29316E-2</v>
      </c>
      <c r="I15">
        <v>0.24851400000000001</v>
      </c>
      <c r="J15">
        <v>0.253691</v>
      </c>
      <c r="K15">
        <v>0.25044830000000001</v>
      </c>
      <c r="L15">
        <v>0.23849779999999901</v>
      </c>
      <c r="M15">
        <v>0.221410779999999</v>
      </c>
      <c r="N15">
        <v>0.20525860000000001</v>
      </c>
      <c r="O15">
        <v>0.18261169999999999</v>
      </c>
      <c r="P15">
        <v>0.15786929999999999</v>
      </c>
      <c r="Q15" t="s">
        <v>41</v>
      </c>
    </row>
    <row r="16" spans="1:17" x14ac:dyDescent="0.25">
      <c r="B16" t="s">
        <v>53</v>
      </c>
      <c r="C16" t="s">
        <v>46</v>
      </c>
      <c r="D16" t="s">
        <v>42</v>
      </c>
      <c r="E16" t="s">
        <v>43</v>
      </c>
      <c r="F16">
        <v>0</v>
      </c>
      <c r="G16">
        <v>0.120347</v>
      </c>
      <c r="H16">
        <v>0.20088600000000001</v>
      </c>
      <c r="I16">
        <v>0.219053</v>
      </c>
      <c r="J16">
        <v>0.22620480000000001</v>
      </c>
      <c r="K16">
        <v>0.23277729999999999</v>
      </c>
      <c r="L16">
        <v>0.2416316</v>
      </c>
      <c r="M16">
        <v>0.24627265000000001</v>
      </c>
      <c r="N16">
        <v>0.24577309999999999</v>
      </c>
      <c r="O16">
        <v>0.24301110000000001</v>
      </c>
      <c r="P16">
        <v>0.2385138</v>
      </c>
      <c r="Q16" t="s">
        <v>41</v>
      </c>
    </row>
    <row r="17" spans="2:17" x14ac:dyDescent="0.25">
      <c r="B17" t="s">
        <v>53</v>
      </c>
      <c r="C17" t="s">
        <v>46</v>
      </c>
      <c r="D17" t="s">
        <v>44</v>
      </c>
      <c r="E17" t="s">
        <v>45</v>
      </c>
      <c r="F17">
        <v>8.3050199999999998E-3</v>
      </c>
      <c r="G17">
        <v>1.4157100000000001E-2</v>
      </c>
      <c r="H17">
        <v>1.07329E-2</v>
      </c>
      <c r="I17">
        <v>6.2128599999999999E-2</v>
      </c>
      <c r="J17">
        <v>6.0819600000000001E-2</v>
      </c>
      <c r="K17">
        <v>5.6391169999999997E-2</v>
      </c>
      <c r="L17">
        <v>4.8851430000000001E-2</v>
      </c>
      <c r="M17">
        <v>4.5074389999999999E-2</v>
      </c>
      <c r="N17">
        <v>4.6164759999999999E-2</v>
      </c>
      <c r="O17">
        <v>4.8856700000000003E-2</v>
      </c>
      <c r="P17">
        <v>5.3671730000000001E-2</v>
      </c>
      <c r="Q17" t="s">
        <v>41</v>
      </c>
    </row>
    <row r="18" spans="2:17" x14ac:dyDescent="0.25">
      <c r="B18" t="s">
        <v>53</v>
      </c>
      <c r="C18" t="s">
        <v>46</v>
      </c>
      <c r="D18" t="s">
        <v>51</v>
      </c>
      <c r="E18" t="s">
        <v>52</v>
      </c>
      <c r="F18">
        <v>0</v>
      </c>
      <c r="G18">
        <v>0.23253199999999999</v>
      </c>
      <c r="H18">
        <v>1.5739400000000001E-2</v>
      </c>
      <c r="I18">
        <v>1.28092E-2</v>
      </c>
      <c r="J18">
        <v>1.2720789999999999E-2</v>
      </c>
      <c r="K18">
        <v>1.180613E-2</v>
      </c>
      <c r="L18">
        <v>1.096775E-2</v>
      </c>
      <c r="M18">
        <v>1.0866646000000001E-2</v>
      </c>
      <c r="N18">
        <v>1.1210260999999999E-2</v>
      </c>
      <c r="O18">
        <v>1.1121871E-2</v>
      </c>
      <c r="P18">
        <v>1.0417183999999999E-2</v>
      </c>
      <c r="Q18" t="s">
        <v>41</v>
      </c>
    </row>
    <row r="19" spans="2:17" x14ac:dyDescent="0.25">
      <c r="B19" t="s">
        <v>54</v>
      </c>
      <c r="C19" t="s">
        <v>45</v>
      </c>
      <c r="D19" t="s">
        <v>44</v>
      </c>
      <c r="E19" t="s">
        <v>45</v>
      </c>
      <c r="F19">
        <v>1.1682300000000001</v>
      </c>
      <c r="G19">
        <v>1.3207199999999999</v>
      </c>
      <c r="H19">
        <v>0.87508300000000006</v>
      </c>
      <c r="I19">
        <v>0.82790699999999995</v>
      </c>
      <c r="J19">
        <v>0.86580199999999996</v>
      </c>
      <c r="K19">
        <v>0.89540399999999998</v>
      </c>
      <c r="L19">
        <v>0.92721900000000002</v>
      </c>
      <c r="M19">
        <v>0.96150199999999997</v>
      </c>
      <c r="N19">
        <v>0.99458899999999995</v>
      </c>
      <c r="O19">
        <v>1.0272699999999999</v>
      </c>
      <c r="P19">
        <v>1.0608900000000001</v>
      </c>
      <c r="Q19" t="s">
        <v>41</v>
      </c>
    </row>
    <row r="20" spans="2:17" x14ac:dyDescent="0.25">
      <c r="B20" t="s">
        <v>55</v>
      </c>
      <c r="C20" t="s">
        <v>38</v>
      </c>
      <c r="D20" t="s">
        <v>39</v>
      </c>
      <c r="E20" t="s">
        <v>40</v>
      </c>
      <c r="F20">
        <v>0</v>
      </c>
      <c r="G20">
        <v>0</v>
      </c>
      <c r="H20">
        <v>0</v>
      </c>
      <c r="I20">
        <v>0</v>
      </c>
      <c r="J20">
        <v>0</v>
      </c>
      <c r="K20" s="9">
        <v>8.8465799999999997E-4</v>
      </c>
      <c r="L20">
        <v>3.19068E-3</v>
      </c>
      <c r="M20">
        <v>6.1139109999999997E-3</v>
      </c>
      <c r="N20">
        <v>8.3979640000000008E-3</v>
      </c>
      <c r="O20">
        <v>1.06906449999999E-2</v>
      </c>
      <c r="P20">
        <v>1.2361591999999999E-2</v>
      </c>
      <c r="Q20" t="s">
        <v>41</v>
      </c>
    </row>
    <row r="21" spans="2:17" x14ac:dyDescent="0.25">
      <c r="B21" t="s">
        <v>55</v>
      </c>
      <c r="C21" t="s">
        <v>38</v>
      </c>
      <c r="D21" t="s">
        <v>42</v>
      </c>
      <c r="E21" t="s">
        <v>43</v>
      </c>
      <c r="F21">
        <v>0</v>
      </c>
      <c r="G21">
        <v>0</v>
      </c>
      <c r="H21">
        <v>0</v>
      </c>
      <c r="I21">
        <v>0</v>
      </c>
      <c r="J21">
        <v>0</v>
      </c>
      <c r="K21" s="9">
        <v>2.6928800000000001E-4</v>
      </c>
      <c r="L21">
        <v>1.1269019999999999E-3</v>
      </c>
      <c r="M21">
        <v>2.5147889999999999E-3</v>
      </c>
      <c r="N21">
        <v>4.1843139999999997E-3</v>
      </c>
      <c r="O21">
        <v>6.9014430000000002E-3</v>
      </c>
      <c r="P21">
        <v>1.0371052999999899E-2</v>
      </c>
      <c r="Q21" t="s">
        <v>41</v>
      </c>
    </row>
    <row r="22" spans="2:17" x14ac:dyDescent="0.25">
      <c r="B22" t="s">
        <v>55</v>
      </c>
      <c r="C22" t="s">
        <v>38</v>
      </c>
      <c r="D22" t="s">
        <v>44</v>
      </c>
      <c r="E22" t="s">
        <v>45</v>
      </c>
      <c r="F22">
        <v>0</v>
      </c>
      <c r="G22">
        <v>0</v>
      </c>
      <c r="H22">
        <v>0</v>
      </c>
      <c r="I22">
        <v>8.8106900000000002E-2</v>
      </c>
      <c r="J22">
        <v>9.0261499999999995E-2</v>
      </c>
      <c r="K22">
        <v>8.9121900000000004E-2</v>
      </c>
      <c r="L22">
        <v>8.5267349999999895E-2</v>
      </c>
      <c r="M22">
        <v>7.9310510000000001E-2</v>
      </c>
      <c r="N22">
        <v>7.3627689999999996E-2</v>
      </c>
      <c r="O22">
        <v>6.5423159999999994E-2</v>
      </c>
      <c r="P22">
        <v>5.6423509999999899E-2</v>
      </c>
      <c r="Q22" t="s">
        <v>41</v>
      </c>
    </row>
    <row r="23" spans="2:17" x14ac:dyDescent="0.25">
      <c r="B23" t="s">
        <v>55</v>
      </c>
      <c r="C23" t="s">
        <v>46</v>
      </c>
      <c r="D23" t="s">
        <v>49</v>
      </c>
      <c r="E23" t="s">
        <v>50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41</v>
      </c>
    </row>
    <row r="24" spans="2:17" x14ac:dyDescent="0.25">
      <c r="B24" t="s">
        <v>55</v>
      </c>
      <c r="C24" t="s">
        <v>46</v>
      </c>
      <c r="D24" t="s">
        <v>42</v>
      </c>
      <c r="E24" t="s">
        <v>43</v>
      </c>
      <c r="F24">
        <v>0.12085</v>
      </c>
      <c r="G24">
        <v>9.9668699999999999E-2</v>
      </c>
      <c r="H24">
        <v>0.121561</v>
      </c>
      <c r="I24">
        <v>0.14085900000000001</v>
      </c>
      <c r="J24">
        <v>0.14710029999999999</v>
      </c>
      <c r="K24">
        <v>0.1551689</v>
      </c>
      <c r="L24">
        <v>0.165272</v>
      </c>
      <c r="M24">
        <v>0.16986760000000001</v>
      </c>
      <c r="N24">
        <v>0.1698287</v>
      </c>
      <c r="O24">
        <v>0.1700711</v>
      </c>
      <c r="P24">
        <v>0.1719801</v>
      </c>
      <c r="Q24" t="s">
        <v>41</v>
      </c>
    </row>
    <row r="25" spans="2:17" x14ac:dyDescent="0.25">
      <c r="B25" t="s">
        <v>55</v>
      </c>
      <c r="C25" t="s">
        <v>46</v>
      </c>
      <c r="D25" t="s">
        <v>44</v>
      </c>
      <c r="E25" t="s">
        <v>45</v>
      </c>
      <c r="F25">
        <v>0</v>
      </c>
      <c r="G25">
        <v>0</v>
      </c>
      <c r="H25">
        <v>0</v>
      </c>
      <c r="I25">
        <v>2.20267E-2</v>
      </c>
      <c r="J25">
        <v>2.1756879999999999E-2</v>
      </c>
      <c r="K25">
        <v>2.0613090000000001E-2</v>
      </c>
      <c r="L25">
        <v>1.8327139999999999E-2</v>
      </c>
      <c r="M25">
        <v>1.7137962E-2</v>
      </c>
      <c r="N25">
        <v>1.75894799999999E-2</v>
      </c>
      <c r="O25">
        <v>1.8873769999999901E-2</v>
      </c>
      <c r="P25">
        <v>2.14099099999999E-2</v>
      </c>
      <c r="Q25" t="s">
        <v>41</v>
      </c>
    </row>
    <row r="26" spans="2:17" x14ac:dyDescent="0.25">
      <c r="B26" t="s">
        <v>55</v>
      </c>
      <c r="C26" t="s">
        <v>46</v>
      </c>
      <c r="D26" t="s">
        <v>51</v>
      </c>
      <c r="E26" t="s">
        <v>52</v>
      </c>
      <c r="F26">
        <v>0</v>
      </c>
      <c r="G26">
        <v>6.4506300000000003E-2</v>
      </c>
      <c r="H26">
        <v>7.7064300000000002E-2</v>
      </c>
      <c r="I26">
        <v>0.102515</v>
      </c>
      <c r="J26">
        <v>0.1027922</v>
      </c>
      <c r="K26">
        <v>9.7460199999999997E-2</v>
      </c>
      <c r="L26">
        <v>9.3030730000000006E-2</v>
      </c>
      <c r="M26">
        <v>9.3261960000000005E-2</v>
      </c>
      <c r="N26">
        <v>9.6409270000000005E-2</v>
      </c>
      <c r="O26">
        <v>9.6854819999999994E-2</v>
      </c>
      <c r="P26">
        <v>9.3296049999999894E-2</v>
      </c>
      <c r="Q26" t="s">
        <v>41</v>
      </c>
    </row>
    <row r="28" spans="2:17" x14ac:dyDescent="0.25">
      <c r="B28" t="s">
        <v>37</v>
      </c>
      <c r="C28" t="s">
        <v>56</v>
      </c>
      <c r="D28" t="s">
        <v>44</v>
      </c>
      <c r="E28" t="s">
        <v>44</v>
      </c>
      <c r="F28">
        <f>F7/SUM(F7,F11)</f>
        <v>0.80000033170191276</v>
      </c>
      <c r="G28">
        <f t="shared" ref="G28:P28" si="0">G7/SUM(G7,G11)</f>
        <v>0.8</v>
      </c>
      <c r="H28">
        <f t="shared" si="0"/>
        <v>0.79999999999999993</v>
      </c>
      <c r="I28">
        <f t="shared" si="0"/>
        <v>0.79999968283117573</v>
      </c>
      <c r="J28">
        <f t="shared" si="0"/>
        <v>0.80372499793017627</v>
      </c>
      <c r="K28">
        <f t="shared" si="0"/>
        <v>0.80850405453947671</v>
      </c>
      <c r="L28">
        <f t="shared" si="0"/>
        <v>0.81380987866422694</v>
      </c>
      <c r="M28">
        <f t="shared" si="0"/>
        <v>0.80843018749281648</v>
      </c>
      <c r="N28">
        <f t="shared" si="0"/>
        <v>0.79134833996435805</v>
      </c>
      <c r="O28">
        <f t="shared" si="0"/>
        <v>0.75921548581731069</v>
      </c>
      <c r="P28">
        <f t="shared" si="0"/>
        <v>0.71206092928437292</v>
      </c>
    </row>
    <row r="29" spans="2:17" x14ac:dyDescent="0.25">
      <c r="B29" t="s">
        <v>53</v>
      </c>
      <c r="C29" t="s">
        <v>56</v>
      </c>
      <c r="D29" t="s">
        <v>44</v>
      </c>
      <c r="E29" t="s">
        <v>44</v>
      </c>
      <c r="F29">
        <f>F15/SUM(F15,F17)</f>
        <v>0.80000057796201918</v>
      </c>
      <c r="G29">
        <f t="shared" ref="G29:P29" si="1">G15/SUM(G15,G17)</f>
        <v>0.79999943491092074</v>
      </c>
      <c r="H29">
        <f t="shared" si="1"/>
        <v>0.79999999999999993</v>
      </c>
      <c r="I29">
        <f t="shared" si="1"/>
        <v>0.79999974246932015</v>
      </c>
      <c r="J29">
        <f t="shared" si="1"/>
        <v>0.80662146204293284</v>
      </c>
      <c r="K29">
        <f t="shared" si="1"/>
        <v>0.81621930842208801</v>
      </c>
      <c r="L29">
        <f t="shared" si="1"/>
        <v>0.8299928278909946</v>
      </c>
      <c r="M29">
        <f t="shared" si="1"/>
        <v>0.83085591592207486</v>
      </c>
      <c r="N29">
        <f t="shared" si="1"/>
        <v>0.81638635328077724</v>
      </c>
      <c r="O29">
        <f t="shared" si="1"/>
        <v>0.78892712784984897</v>
      </c>
      <c r="P29">
        <f t="shared" si="1"/>
        <v>0.74628217514115347</v>
      </c>
    </row>
    <row r="30" spans="2:17" x14ac:dyDescent="0.25">
      <c r="B30" t="s">
        <v>55</v>
      </c>
      <c r="C30" t="s">
        <v>56</v>
      </c>
      <c r="D30" t="s">
        <v>44</v>
      </c>
      <c r="E30" t="s">
        <v>44</v>
      </c>
      <c r="F30" t="e">
        <f>F22/SUM(F22,F25)</f>
        <v>#DIV/0!</v>
      </c>
      <c r="G30" t="e">
        <f t="shared" ref="G30:P30" si="2">G22/SUM(G22,G25)</f>
        <v>#DIV/0!</v>
      </c>
      <c r="H30" t="e">
        <f t="shared" si="2"/>
        <v>#DIV/0!</v>
      </c>
      <c r="I30">
        <f t="shared" si="2"/>
        <v>0.80000018159762332</v>
      </c>
      <c r="J30">
        <f t="shared" si="2"/>
        <v>0.80577401672832616</v>
      </c>
      <c r="K30">
        <f t="shared" si="2"/>
        <v>0.81215572170736061</v>
      </c>
      <c r="L30">
        <f t="shared" si="2"/>
        <v>0.82308769510810831</v>
      </c>
      <c r="M30">
        <f t="shared" si="2"/>
        <v>0.82230965774138953</v>
      </c>
      <c r="N30">
        <f t="shared" si="2"/>
        <v>0.80716919851821833</v>
      </c>
      <c r="O30">
        <f t="shared" si="2"/>
        <v>0.77610370864039857</v>
      </c>
      <c r="P30">
        <f t="shared" si="2"/>
        <v>0.72492651614178139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DEC72-A646-472F-997F-4BF3BE195462}">
  <sheetPr>
    <tabColor theme="4" tint="-0.249977111117893"/>
  </sheetPr>
  <dimension ref="A1:B26"/>
  <sheetViews>
    <sheetView workbookViewId="0">
      <selection activeCell="B22" sqref="B22"/>
    </sheetView>
  </sheetViews>
  <sheetFormatPr defaultRowHeight="15" x14ac:dyDescent="0.25"/>
  <cols>
    <col min="1" max="1" width="48.42578125" customWidth="1"/>
    <col min="2" max="9" width="15.140625" customWidth="1"/>
  </cols>
  <sheetData>
    <row r="1" spans="1:2" s="2" customFormat="1" ht="30" x14ac:dyDescent="0.25">
      <c r="A1" s="3" t="s">
        <v>27</v>
      </c>
      <c r="B1" s="2" t="s">
        <v>28</v>
      </c>
    </row>
    <row r="2" spans="1:2" x14ac:dyDescent="0.25">
      <c r="A2" t="s">
        <v>1</v>
      </c>
      <c r="B2" s="10">
        <f>'Mobile vs Stationary'!H28</f>
        <v>0.79999999999999993</v>
      </c>
    </row>
    <row r="3" spans="1:2" x14ac:dyDescent="0.25">
      <c r="A3" t="s">
        <v>2</v>
      </c>
      <c r="B3" s="10">
        <f>'Mobile vs Stationary'!I30</f>
        <v>0.80000018159762332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 s="10">
        <f>'Mobile vs Stationary'!I30</f>
        <v>0.80000018159762332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 s="10">
        <f>'Mobile vs Stationary'!I29</f>
        <v>0.79999974246932015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Mobile vs Stationary</vt:lpstr>
      <vt:lpstr>PoONEUTiMEbIC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Dan O'Brien</cp:lastModifiedBy>
  <dcterms:created xsi:type="dcterms:W3CDTF">2023-07-22T00:57:51Z</dcterms:created>
  <dcterms:modified xsi:type="dcterms:W3CDTF">2026-02-06T17:34:48Z</dcterms:modified>
</cp:coreProperties>
</file>