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Derivation" sheetId="2" state="visible" r:id="rId2"/>
    <sheet name="Checks" sheetId="3" state="visible" r:id="rId3"/>
    <sheet name="CNBEI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ergy.gov/eere/amo/articles/bandwidth-study-energy-use-and-potential-energy-savings-opportunities-us-cement" TargetMode="External" Id="rId1" /><Relationship Type="http://schemas.openxmlformats.org/officeDocument/2006/relationships/hyperlink" Target="https://www.iea.org/reports/technology-roadmap-low-carbon-transition-in-the-cement-industry" TargetMode="External" Id="rId2" /><Relationship Type="http://schemas.openxmlformats.org/officeDocument/2006/relationships/hyperlink" Target="https://www.energyinnovation.org/" TargetMode="External" Id="rId3" /></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4" customWidth="1" min="1" max="1"/>
    <col width="110" customWidth="1" min="2" max="2"/>
  </cols>
  <sheetData>
    <row r="1">
      <c r="A1" s="1" t="inlineStr">
        <is>
          <t>CNBEIR Cement New Build Energy Intensity Ratio</t>
        </is>
      </c>
    </row>
    <row r="3">
      <c r="A3" s="1" t="inlineStr">
        <is>
          <t>Sources:</t>
        </is>
      </c>
      <c r="B3" s="2" t="inlineStr">
        <is>
          <t>US fleet-typical and best-available-technology (BAT) thermal energy intensity</t>
        </is>
      </c>
    </row>
    <row r="4">
      <c r="B4" s="3" t="inlineStr">
        <is>
          <t>U.S. Department of Energy (DOE)</t>
        </is>
      </c>
    </row>
    <row r="5">
      <c r="B5" s="3" t="inlineStr">
        <is>
          <t>Bandwidth Study on Energy Use and Potential Energy Savings Opportunities in U.S. Cement Manufacturing</t>
        </is>
      </c>
    </row>
    <row r="6">
      <c r="B6" s="3" t="n">
        <v>2017</v>
      </c>
    </row>
    <row r="7">
      <c r="B7" s="4" t="inlineStr">
        <is>
          <t>https://www.energy.gov/eere/amo/articles/bandwidth-study-energy-use-and-potential-energy-savings-opportunities-us-cement</t>
        </is>
      </c>
    </row>
    <row r="8">
      <c r="B8" s="3" t="inlineStr">
        <is>
          <t>State-of-the-art (best practice / BAT) dry-process pyroprocessing thermal energy intensity is reported at approximately 2.9 GJ/metric ton clinker. Current US fleet-typical thermal energy intensity is reported at 1,554 Btu/lb clinker, which converts to approximately 3.43 MMBtu per metric ton (see Derivation tab for the unit conversion, matching the convention used elsewhere in this module, e.g. CEIbPaF). [PROXY - figures read from the Bandwidth Study's summary tables/press coverage, not a full line-by-line reproduction of the underlying DOE workbook]</t>
        </is>
      </c>
    </row>
    <row r="10">
      <c r="B10" s="2" t="inlineStr">
        <is>
          <t>International BAT thermal energy benchmarks (cross-check on the 2.9 GJ/t BAT figure)</t>
        </is>
      </c>
    </row>
    <row r="11">
      <c r="B11" s="3" t="inlineStr">
        <is>
          <t>International Energy Agency (IEA)</t>
        </is>
      </c>
    </row>
    <row r="12">
      <c r="B12" s="3" t="inlineStr">
        <is>
          <t>Technology Roadmap: Low-Carbon Transition in the Cement Industry (BAT benchmarking)</t>
        </is>
      </c>
    </row>
    <row r="13">
      <c r="B13" s="3" t="n">
        <v>2018</v>
      </c>
    </row>
    <row r="14">
      <c r="B14" s="4" t="inlineStr">
        <is>
          <t>https://www.iea.org/reports/technology-roadmap-low-carbon-transition-in-the-cement-industry</t>
        </is>
      </c>
    </row>
    <row r="15">
      <c r="B15" s="3" t="inlineStr">
        <is>
          <t>IEA/IEA-CSI benchmarking of best-available dry-kiln-with-preheater-precalciner technology reports thermal energy intensities in a similar ~2.9-3.0 GJ/t clinker range, corroborating the DOE Bandwidth Study BAT figure used here. [PROXY - report-level cross-check, not an independent primary derivation]</t>
        </is>
      </c>
    </row>
    <row r="17">
      <c r="B17" s="2" t="inlineStr">
        <is>
          <t>Per-pathway fuel totals used as the CCS kiln-component vs. amine-adder split (CEIbPaF)</t>
        </is>
      </c>
    </row>
    <row r="18">
      <c r="B18" s="3" t="inlineStr">
        <is>
          <t>Energy Innovation (internal, see CEIbPaF workbook)</t>
        </is>
      </c>
    </row>
    <row r="19">
      <c r="B19" s="3" t="inlineStr">
        <is>
          <t>Cement Energy Intensity by Pathway and Fuel (CEIbPaF) input workbook, this repo</t>
        </is>
      </c>
    </row>
    <row r="20">
      <c r="B20" s="3" t="n">
        <v>2026</v>
      </c>
    </row>
    <row r="21">
      <c r="B21" s="4" t="inlineStr">
        <is>
          <t>https://www.energyinnovation.org/</t>
        </is>
      </c>
    </row>
    <row r="22">
      <c r="B22" s="3" t="inlineStr">
        <is>
          <t>CEIbPaF.csv gives, per pathway, the full fuel-energy total per metric ton clinker: dry kiln with precalciner sums to 4,020,000 BTU/t; dry kiln with CCS sums to 6,270,000 BTU/t (the 2,250,000 BTU/t difference is the CCS amine-regeneration/compression energy adder). These totals are the component weights used to blend the BAT credit across the CCS pathway - see Derivation tab. [DIRECT reference to an internal EPS input]</t>
        </is>
      </c>
    </row>
    <row r="25">
      <c r="A25" s="1" t="inlineStr">
        <is>
          <t>Notes:</t>
        </is>
      </c>
    </row>
    <row r="26">
      <c r="A26" s="1" t="inlineStr">
        <is>
          <t>Definition</t>
        </is>
      </c>
      <c r="B26" s="3" t="inlineStr">
        <is>
          <t>CNBEIR (Cement New Build Energy Intensity Ratio), subscripted by Cement Production Pathway, is the ratio of best-available-technology (BAT) thermal energy intensity for new-build capacity to the current US fleet-typical thermal energy intensity, applied per pathway. It scales the energy intensity assumed for newly built capacity on each pathway relative to the existing fleet average used elsewhere in the module (e.g. CEIbPaF).</t>
        </is>
      </c>
    </row>
    <row r="27">
      <c r="A27" s="1" t="inlineStr">
        <is>
          <t>Precalciner derivation</t>
        </is>
      </c>
      <c r="B27" s="3" t="inlineStr">
        <is>
          <t>0.846 = 2.9 GJ/metric ton clinker (DOE Bandwidth Study BAT thermal energy intensity) divided by 3.43 GJ/metric ton clinker (fleet-typical thermal energy intensity, itself converted from the DOE Bandwidth Study's 1,554 Btu/lb clinker figure: 1,554 Btu/lb x 2,204.62 lb/metric ton = 3,425,982 Btu/metric ton = 3.43 MMBtu/metric ton), rounded to 3 decimal places (2.9/3.426 = 0.8464... -&gt; 0.846). This conversion matches the convention used in the CEIbPaF workbook for the same DOE source figure.</t>
        </is>
      </c>
    </row>
    <row r="28">
      <c r="A28" s="1" t="inlineStr">
        <is>
          <t>CCS derivation and its simplification</t>
        </is>
      </c>
      <c r="B28" s="3" t="inlineStr">
        <is>
          <t>The dry-kiln-with-CCS pathway blends the 0.846 BAT credit onto only the kiln-thermal component of its energy total, leaving the CCS-specific amine-regeneration/compression energy adder undiscounted (since that adder is CCS-process energy, not clinker-kiln pyroprocessing energy, and BAT kiln improvements do not reduce it): (0.846 x 4,020,000 + 1.0 x 2,250,000) / 6,270,000 = 0.901 (rounded to 3 decimal places), where 4,020,000 and 6,270,000 BTU/t are the CEIbPaF precalciner and CCS pathway fuel totals respectively, and 2,250,000 = 6,270,000 - 4,020,000 is the amine-adder difference. DOCUMENTED SIMPLIFICATION: this blended scalar is exact on total pathway energy (applying it to the CEIbPaF CCS total reproduces the intended 0.901-weighted reduction) but slightly misallocates the discount across individual fuels within the pathway, since CNBEIR is a single scalar applied uniformly to the pathway's fuel mix rather than a fuel-by-fuel adjustment that would apply 0.846 only to the kiln-thermal fuels and 1.0 only to the amine-adder fuels. This is judged acceptable because the model consumes CNBEIR as a single pathway-level multiplier.</t>
        </is>
      </c>
    </row>
    <row r="29">
      <c r="A29" s="1" t="inlineStr">
        <is>
          <t>Electric kiln and alternative chemistry = 1.0 - EI judgment</t>
        </is>
      </c>
      <c r="B29" s="3" t="inlineStr">
        <is>
          <t>These two pathways are held at 1.0 (no BAT discount) because their CEIbPaF energy-intensity values (4,000,000 and 2,500,000 BTU/t respectively) are already forward-looking, new-technology engineering estimates with no existing legacy fleet to benchmark against - there is no fleet-typical vs. BAT gap to capture for a technology that does not yet have commercial-scale deployment. Applying a BAT discount on top of an already-BAT-level estimate would double-count the efficiency gain. This 1.0 assignment is an EI judgment, not a sourced figure.</t>
        </is>
      </c>
    </row>
    <row r="30">
      <c r="A30" s="1" t="inlineStr">
        <is>
          <t>Held flat 2021-2050</t>
        </is>
      </c>
      <c r="B30" s="3" t="inlineStr">
        <is>
          <t>Each pathway's ratio is held flat across the full 2021-2050 horizon: for the precalciner and CCS pathways because published roadmaps (DOE Bandwidth Study, IEA Technology Roadmap) treat BAT dry-kiln thermal efficiency as already near-optimal with little further gain expected through 2050; for electric kiln and alternative chemistry because 1.0 is a structural (no-discount) assignment rather than a trended estimate. This is an EI judgment reflecting the roadmap assumption rather than a year-by-year sourced projection for any pathway.</t>
        </is>
      </c>
    </row>
    <row r="31">
      <c r="A31" s="1" t="inlineStr">
        <is>
          <t>DRAFT status</t>
        </is>
      </c>
      <c r="B31" s="3" t="inlineStr">
        <is>
          <t>This is an input for staff review, not a finished or approved EI position; treat as a starting point pending team sign-off. Verify all cited figures against the primary sources before use in any work product.</t>
        </is>
      </c>
    </row>
    <row r="32">
      <c r="A32" s="1" t="inlineStr">
        <is>
          <t>Provenance</t>
        </is>
      </c>
      <c r="B32" s="3" t="inlineStr">
        <is>
          <t>Written by Claude Code (Fable/Sonnet agent session), cement industry breakout, worktree cement-industry-breakout-f901fc, 2026-08-26. Updated to the 4-pathway subscripted shape following adversarial review, 2026-08-26. Reviewed by: (pending).</t>
        </is>
      </c>
    </row>
  </sheetData>
  <hyperlinks>
    <hyperlink xmlns:r="http://schemas.openxmlformats.org/officeDocument/2006/relationships" ref="B7" r:id="rId1"/>
    <hyperlink xmlns:r="http://schemas.openxmlformats.org/officeDocument/2006/relationships" ref="B14" r:id="rId2"/>
    <hyperlink xmlns:r="http://schemas.openxmlformats.org/officeDocument/2006/relationships" ref="B21"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CNBEIR derivation by Cement Production Pathway</t>
        </is>
      </c>
    </row>
    <row r="3">
      <c r="A3" s="1" t="inlineStr">
        <is>
          <t>Dry kiln with precalciner</t>
        </is>
      </c>
    </row>
    <row r="4">
      <c r="A4" t="inlineStr">
        <is>
          <t>BAT thermal energy intensity (GJ/metric ton clinker, DOE Bandwidth Study)</t>
        </is>
      </c>
      <c r="B4" t="n">
        <v>2.9</v>
      </c>
    </row>
    <row r="5">
      <c r="A5" t="inlineStr">
        <is>
          <t>Fleet-typical thermal energy intensity (Btu/lb clinker, DOE Bandwidth Study)</t>
        </is>
      </c>
      <c r="B5" t="n">
        <v>1554</v>
      </c>
    </row>
    <row r="6">
      <c r="A6" t="inlineStr">
        <is>
          <t>Unit conversion factor (lb per metric ton)</t>
        </is>
      </c>
      <c r="B6" t="n">
        <v>2204.62</v>
      </c>
    </row>
    <row r="7">
      <c r="A7" t="inlineStr">
        <is>
          <t>Fleet-typical thermal energy intensity (MMBtu/metric ton; matches CEIbPaF convention)</t>
        </is>
      </c>
      <c r="B7">
        <f>B5*B6/1000000</f>
        <v/>
      </c>
    </row>
    <row r="8">
      <c r="A8" t="inlineStr">
        <is>
          <t>Precalciner CNBEIR (unrounded) = BAT (GJ/t, converted to MMBtu at 1.05506 GJ per MMBtu) / fleet-typical (MMBtu/t)</t>
        </is>
      </c>
      <c r="B8">
        <f>B4/1.05506/B7</f>
        <v/>
      </c>
    </row>
    <row r="9">
      <c r="A9" s="1" t="inlineStr">
        <is>
          <t>Precalciner CNBEIR (rounded to 3 decimal places)</t>
        </is>
      </c>
      <c r="B9" s="1">
        <f>ROUND(B8,3)</f>
        <v/>
      </c>
    </row>
    <row r="11">
      <c r="A11" s="1" t="inlineStr">
        <is>
          <t>Dry kiln with CCS: equals the dry kiln since 2026-10-01 (CEIbPaF CCS row is kiln-only; capture energy is booked by the CCS sector)</t>
        </is>
      </c>
    </row>
    <row r="12">
      <c r="A12" t="inlineStr">
        <is>
          <t>CEIbPaF precalciner pathway fuel total (BTU/metric ton clinker)</t>
        </is>
      </c>
      <c r="B12" t="n">
        <v>4020000</v>
      </c>
    </row>
    <row r="13">
      <c r="A13" t="inlineStr">
        <is>
          <t>CEIbPaF CCS pathway fuel total (BTU/metric ton clinker)</t>
        </is>
      </c>
      <c r="B13" t="n">
        <v>6270000</v>
      </c>
    </row>
    <row r="14">
      <c r="A14" t="inlineStr">
        <is>
          <t>CCS amine-regeneration/compression adder = CCS total - precalciner total</t>
        </is>
      </c>
      <c r="B14">
        <f>B13-B12</f>
        <v/>
      </c>
    </row>
    <row r="15">
      <c r="A15" t="inlineStr">
        <is>
          <t>Precalciner CNBEIR applied to the kiln-thermal component</t>
        </is>
      </c>
      <c r="B15">
        <f>B9</f>
        <v/>
      </c>
    </row>
    <row r="16">
      <c r="A16" t="inlineStr">
        <is>
          <t>BAT credit on the amine adder (1.0 = no discount; process energy, not kiln pyroprocessing)</t>
        </is>
      </c>
      <c r="B16" t="n">
        <v>1</v>
      </c>
    </row>
    <row r="17">
      <c r="A17" t="inlineStr">
        <is>
          <t>CCS CNBEIR (unrounded) = (precalciner CNBEIR x kiln component + 1.0 x amine adder) / CCS total</t>
        </is>
      </c>
      <c r="B17">
        <f>B9</f>
        <v/>
      </c>
    </row>
    <row r="18">
      <c r="A18" s="1" t="inlineStr">
        <is>
          <t>CCS CNBEIR (rounded to 3 decimal places)</t>
        </is>
      </c>
      <c r="B18" s="1">
        <f>ROUND(B17,3)</f>
        <v/>
      </c>
    </row>
    <row r="20">
      <c r="A20" s="1" t="inlineStr">
        <is>
          <t>Electric kiln</t>
        </is>
      </c>
    </row>
    <row r="21">
      <c r="A21" t="inlineStr">
        <is>
          <t>CNBEIR = 1.0 (EI judgment: CEIbPaF value already a forward-looking new-technology estimate, no legacy fleet to benchmark against)</t>
        </is>
      </c>
      <c r="B21" t="n">
        <v>1</v>
      </c>
    </row>
    <row r="23">
      <c r="A23" s="1" t="inlineStr">
        <is>
          <t>Alternative chemistry cement</t>
        </is>
      </c>
    </row>
    <row r="24">
      <c r="A24" t="inlineStr">
        <is>
          <t>CNBEIR = 1.0 (EI judgment: CEIbPaF value already a forward-looking new-technology estimate, no legacy fleet to benchmark against)</t>
        </is>
      </c>
      <c r="B24" t="n">
        <v>1</v>
      </c>
    </row>
    <row r="26">
      <c r="A26" s="1" t="inlineStr">
        <is>
          <t>Held flat 2021-2050 for all four pathways (see About Notes). Unit fix 2026-10-01: the earlier 0.846 divided GJ by MMBtu without converting.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6"/>
  <sheetViews>
    <sheetView workbookViewId="0">
      <selection activeCell="A1" sqref="A1"/>
    </sheetView>
  </sheetViews>
  <sheetFormatPr baseColWidth="8" defaultRowHeight="15"/>
  <sheetData>
    <row r="1">
      <c r="A1" s="1" t="inlineStr">
        <is>
          <t>Cross-check: 'CNBEIR' export-tab literal values vs. Derivation formula results, all pathways x years</t>
        </is>
      </c>
    </row>
    <row r="2"/>
    <row r="3">
      <c r="A3" s="1" t="inlineStr">
        <is>
          <t>Pathway</t>
        </is>
      </c>
      <c r="B3" s="1" t="n">
        <v>2021</v>
      </c>
      <c r="C3" s="1" t="n">
        <v>2022</v>
      </c>
      <c r="D3" s="1" t="n">
        <v>2023</v>
      </c>
      <c r="E3" s="1" t="n">
        <v>2024</v>
      </c>
      <c r="F3" s="1" t="n">
        <v>2025</v>
      </c>
      <c r="G3" s="1" t="n">
        <v>2026</v>
      </c>
      <c r="H3" s="1" t="n">
        <v>2027</v>
      </c>
      <c r="I3" s="1" t="n">
        <v>2028</v>
      </c>
      <c r="J3" s="1" t="n">
        <v>2029</v>
      </c>
      <c r="K3" s="1" t="n">
        <v>2030</v>
      </c>
      <c r="L3" s="1" t="n">
        <v>2031</v>
      </c>
      <c r="M3" s="1" t="n">
        <v>2032</v>
      </c>
      <c r="N3" s="1" t="n">
        <v>2033</v>
      </c>
      <c r="O3" s="1" t="n">
        <v>2034</v>
      </c>
      <c r="P3" s="1" t="n">
        <v>2035</v>
      </c>
      <c r="Q3" s="1" t="n">
        <v>2036</v>
      </c>
      <c r="R3" s="1" t="n">
        <v>2037</v>
      </c>
      <c r="S3" s="1" t="n">
        <v>2038</v>
      </c>
      <c r="T3" s="1" t="n">
        <v>2039</v>
      </c>
      <c r="U3" s="1" t="n">
        <v>2040</v>
      </c>
      <c r="V3" s="1" t="n">
        <v>2041</v>
      </c>
      <c r="W3" s="1" t="n">
        <v>2042</v>
      </c>
      <c r="X3" s="1" t="n">
        <v>2043</v>
      </c>
      <c r="Y3" s="1" t="n">
        <v>2044</v>
      </c>
      <c r="Z3" s="1" t="n">
        <v>2045</v>
      </c>
      <c r="AA3" s="1" t="n">
        <v>2046</v>
      </c>
      <c r="AB3" s="1" t="n">
        <v>2047</v>
      </c>
      <c r="AC3" s="1" t="n">
        <v>2048</v>
      </c>
      <c r="AD3" s="1" t="n">
        <v>2049</v>
      </c>
      <c r="AE3" s="1" t="n">
        <v>2050</v>
      </c>
    </row>
    <row r="4">
      <c r="A4" t="inlineStr">
        <is>
          <t>dry kiln with precalciner - export literal</t>
        </is>
      </c>
      <c r="B4" t="n">
        <v>0.802</v>
      </c>
      <c r="C4" t="n">
        <v>0.802</v>
      </c>
      <c r="D4" t="n">
        <v>0.802</v>
      </c>
      <c r="E4" t="n">
        <v>0.802</v>
      </c>
      <c r="F4" t="n">
        <v>0.802</v>
      </c>
      <c r="G4" t="n">
        <v>0.802</v>
      </c>
      <c r="H4" t="n">
        <v>0.802</v>
      </c>
      <c r="I4" t="n">
        <v>0.802</v>
      </c>
      <c r="J4" t="n">
        <v>0.802</v>
      </c>
      <c r="K4" t="n">
        <v>0.802</v>
      </c>
      <c r="L4" t="n">
        <v>0.802</v>
      </c>
      <c r="M4" t="n">
        <v>0.802</v>
      </c>
      <c r="N4" t="n">
        <v>0.802</v>
      </c>
      <c r="O4" t="n">
        <v>0.802</v>
      </c>
      <c r="P4" t="n">
        <v>0.802</v>
      </c>
      <c r="Q4" t="n">
        <v>0.802</v>
      </c>
      <c r="R4" t="n">
        <v>0.802</v>
      </c>
      <c r="S4" t="n">
        <v>0.802</v>
      </c>
      <c r="T4" t="n">
        <v>0.802</v>
      </c>
      <c r="U4" t="n">
        <v>0.802</v>
      </c>
      <c r="V4" t="n">
        <v>0.802</v>
      </c>
      <c r="W4" t="n">
        <v>0.802</v>
      </c>
      <c r="X4" t="n">
        <v>0.802</v>
      </c>
      <c r="Y4" t="n">
        <v>0.802</v>
      </c>
      <c r="Z4" t="n">
        <v>0.802</v>
      </c>
      <c r="AA4" t="n">
        <v>0.802</v>
      </c>
      <c r="AB4" t="n">
        <v>0.802</v>
      </c>
      <c r="AC4" t="n">
        <v>0.802</v>
      </c>
      <c r="AD4" t="n">
        <v>0.802</v>
      </c>
      <c r="AE4" t="n">
        <v>0.802</v>
      </c>
    </row>
    <row r="5">
      <c r="A5" t="inlineStr">
        <is>
          <t>dry kiln with precalciner - derivation formula</t>
        </is>
      </c>
      <c r="B5">
        <f>Derivation!B9</f>
        <v/>
      </c>
      <c r="C5">
        <f>Derivation!B9</f>
        <v/>
      </c>
      <c r="D5">
        <f>Derivation!B9</f>
        <v/>
      </c>
      <c r="E5">
        <f>Derivation!B9</f>
        <v/>
      </c>
      <c r="F5">
        <f>Derivation!B9</f>
        <v/>
      </c>
      <c r="G5">
        <f>Derivation!B9</f>
        <v/>
      </c>
      <c r="H5">
        <f>Derivation!B9</f>
        <v/>
      </c>
      <c r="I5">
        <f>Derivation!B9</f>
        <v/>
      </c>
      <c r="J5">
        <f>Derivation!B9</f>
        <v/>
      </c>
      <c r="K5">
        <f>Derivation!B9</f>
        <v/>
      </c>
      <c r="L5">
        <f>Derivation!B9</f>
        <v/>
      </c>
      <c r="M5">
        <f>Derivation!B9</f>
        <v/>
      </c>
      <c r="N5">
        <f>Derivation!B9</f>
        <v/>
      </c>
      <c r="O5">
        <f>Derivation!B9</f>
        <v/>
      </c>
      <c r="P5">
        <f>Derivation!B9</f>
        <v/>
      </c>
      <c r="Q5">
        <f>Derivation!B9</f>
        <v/>
      </c>
      <c r="R5">
        <f>Derivation!B9</f>
        <v/>
      </c>
      <c r="S5">
        <f>Derivation!B9</f>
        <v/>
      </c>
      <c r="T5">
        <f>Derivation!B9</f>
        <v/>
      </c>
      <c r="U5">
        <f>Derivation!B9</f>
        <v/>
      </c>
      <c r="V5">
        <f>Derivation!B9</f>
        <v/>
      </c>
      <c r="W5">
        <f>Derivation!B9</f>
        <v/>
      </c>
      <c r="X5">
        <f>Derivation!B9</f>
        <v/>
      </c>
      <c r="Y5">
        <f>Derivation!B9</f>
        <v/>
      </c>
      <c r="Z5">
        <f>Derivation!B9</f>
        <v/>
      </c>
      <c r="AA5">
        <f>Derivation!B9</f>
        <v/>
      </c>
      <c r="AB5">
        <f>Derivation!B9</f>
        <v/>
      </c>
      <c r="AC5">
        <f>Derivation!B9</f>
        <v/>
      </c>
      <c r="AD5">
        <f>Derivation!B9</f>
        <v/>
      </c>
      <c r="AE5">
        <f>Derivation!B9</f>
        <v/>
      </c>
    </row>
    <row r="6">
      <c r="A6" t="inlineStr">
        <is>
          <t>dry kiln with precalciner - ABS(export - derivation)</t>
        </is>
      </c>
      <c r="B6">
        <f>ABS(B4-B5)</f>
        <v/>
      </c>
      <c r="C6">
        <f>ABS(C4-C5)</f>
        <v/>
      </c>
      <c r="D6">
        <f>ABS(D4-D5)</f>
        <v/>
      </c>
      <c r="E6">
        <f>ABS(E4-E5)</f>
        <v/>
      </c>
      <c r="F6">
        <f>ABS(F4-F5)</f>
        <v/>
      </c>
      <c r="G6">
        <f>ABS(G4-G5)</f>
        <v/>
      </c>
      <c r="H6">
        <f>ABS(H4-H5)</f>
        <v/>
      </c>
      <c r="I6">
        <f>ABS(I4-I5)</f>
        <v/>
      </c>
      <c r="J6">
        <f>ABS(J4-J5)</f>
        <v/>
      </c>
      <c r="K6">
        <f>ABS(K4-K5)</f>
        <v/>
      </c>
      <c r="L6">
        <f>ABS(L4-L5)</f>
        <v/>
      </c>
      <c r="M6">
        <f>ABS(M4-M5)</f>
        <v/>
      </c>
      <c r="N6">
        <f>ABS(N4-N5)</f>
        <v/>
      </c>
      <c r="O6">
        <f>ABS(O4-O5)</f>
        <v/>
      </c>
      <c r="P6">
        <f>ABS(P4-P5)</f>
        <v/>
      </c>
      <c r="Q6">
        <f>ABS(Q4-Q5)</f>
        <v/>
      </c>
      <c r="R6">
        <f>ABS(R4-R5)</f>
        <v/>
      </c>
      <c r="S6">
        <f>ABS(S4-S5)</f>
        <v/>
      </c>
      <c r="T6">
        <f>ABS(T4-T5)</f>
        <v/>
      </c>
      <c r="U6">
        <f>ABS(U4-U5)</f>
        <v/>
      </c>
      <c r="V6">
        <f>ABS(V4-V5)</f>
        <v/>
      </c>
      <c r="W6">
        <f>ABS(W4-W5)</f>
        <v/>
      </c>
      <c r="X6">
        <f>ABS(X4-X5)</f>
        <v/>
      </c>
      <c r="Y6">
        <f>ABS(Y4-Y5)</f>
        <v/>
      </c>
      <c r="Z6">
        <f>ABS(Z4-Z5)</f>
        <v/>
      </c>
      <c r="AA6">
        <f>ABS(AA4-AA5)</f>
        <v/>
      </c>
      <c r="AB6">
        <f>ABS(AB4-AB5)</f>
        <v/>
      </c>
      <c r="AC6">
        <f>ABS(AC4-AC5)</f>
        <v/>
      </c>
      <c r="AD6">
        <f>ABS(AD4-AD5)</f>
        <v/>
      </c>
      <c r="AE6">
        <f>ABS(AE4-AE5)</f>
        <v/>
      </c>
    </row>
    <row r="7"/>
    <row r="8">
      <c r="A8" t="inlineStr">
        <is>
          <t>dry kiln with CCS - export literal</t>
        </is>
      </c>
      <c r="B8" t="n">
        <v>0.802</v>
      </c>
      <c r="C8" t="n">
        <v>0.802</v>
      </c>
      <c r="D8" t="n">
        <v>0.802</v>
      </c>
      <c r="E8" t="n">
        <v>0.802</v>
      </c>
      <c r="F8" t="n">
        <v>0.802</v>
      </c>
      <c r="G8" t="n">
        <v>0.802</v>
      </c>
      <c r="H8" t="n">
        <v>0.802</v>
      </c>
      <c r="I8" t="n">
        <v>0.802</v>
      </c>
      <c r="J8" t="n">
        <v>0.802</v>
      </c>
      <c r="K8" t="n">
        <v>0.802</v>
      </c>
      <c r="L8" t="n">
        <v>0.802</v>
      </c>
      <c r="M8" t="n">
        <v>0.802</v>
      </c>
      <c r="N8" t="n">
        <v>0.802</v>
      </c>
      <c r="O8" t="n">
        <v>0.802</v>
      </c>
      <c r="P8" t="n">
        <v>0.802</v>
      </c>
      <c r="Q8" t="n">
        <v>0.802</v>
      </c>
      <c r="R8" t="n">
        <v>0.802</v>
      </c>
      <c r="S8" t="n">
        <v>0.802</v>
      </c>
      <c r="T8" t="n">
        <v>0.802</v>
      </c>
      <c r="U8" t="n">
        <v>0.802</v>
      </c>
      <c r="V8" t="n">
        <v>0.802</v>
      </c>
      <c r="W8" t="n">
        <v>0.802</v>
      </c>
      <c r="X8" t="n">
        <v>0.802</v>
      </c>
      <c r="Y8" t="n">
        <v>0.802</v>
      </c>
      <c r="Z8" t="n">
        <v>0.802</v>
      </c>
      <c r="AA8" t="n">
        <v>0.802</v>
      </c>
      <c r="AB8" t="n">
        <v>0.802</v>
      </c>
      <c r="AC8" t="n">
        <v>0.802</v>
      </c>
      <c r="AD8" t="n">
        <v>0.802</v>
      </c>
      <c r="AE8" t="n">
        <v>0.802</v>
      </c>
    </row>
    <row r="9">
      <c r="A9" t="inlineStr">
        <is>
          <t>dry kiln with CCS - derivation formula</t>
        </is>
      </c>
      <c r="B9">
        <f>Derivation!B18</f>
        <v/>
      </c>
      <c r="C9">
        <f>Derivation!B18</f>
        <v/>
      </c>
      <c r="D9">
        <f>Derivation!B18</f>
        <v/>
      </c>
      <c r="E9">
        <f>Derivation!B18</f>
        <v/>
      </c>
      <c r="F9">
        <f>Derivation!B18</f>
        <v/>
      </c>
      <c r="G9">
        <f>Derivation!B18</f>
        <v/>
      </c>
      <c r="H9">
        <f>Derivation!B18</f>
        <v/>
      </c>
      <c r="I9">
        <f>Derivation!B18</f>
        <v/>
      </c>
      <c r="J9">
        <f>Derivation!B18</f>
        <v/>
      </c>
      <c r="K9">
        <f>Derivation!B18</f>
        <v/>
      </c>
      <c r="L9">
        <f>Derivation!B18</f>
        <v/>
      </c>
      <c r="M9">
        <f>Derivation!B18</f>
        <v/>
      </c>
      <c r="N9">
        <f>Derivation!B18</f>
        <v/>
      </c>
      <c r="O9">
        <f>Derivation!B18</f>
        <v/>
      </c>
      <c r="P9">
        <f>Derivation!B18</f>
        <v/>
      </c>
      <c r="Q9">
        <f>Derivation!B18</f>
        <v/>
      </c>
      <c r="R9">
        <f>Derivation!B18</f>
        <v/>
      </c>
      <c r="S9">
        <f>Derivation!B18</f>
        <v/>
      </c>
      <c r="T9">
        <f>Derivation!B18</f>
        <v/>
      </c>
      <c r="U9">
        <f>Derivation!B18</f>
        <v/>
      </c>
      <c r="V9">
        <f>Derivation!B18</f>
        <v/>
      </c>
      <c r="W9">
        <f>Derivation!B18</f>
        <v/>
      </c>
      <c r="X9">
        <f>Derivation!B18</f>
        <v/>
      </c>
      <c r="Y9">
        <f>Derivation!B18</f>
        <v/>
      </c>
      <c r="Z9">
        <f>Derivation!B18</f>
        <v/>
      </c>
      <c r="AA9">
        <f>Derivation!B18</f>
        <v/>
      </c>
      <c r="AB9">
        <f>Derivation!B18</f>
        <v/>
      </c>
      <c r="AC9">
        <f>Derivation!B18</f>
        <v/>
      </c>
      <c r="AD9">
        <f>Derivation!B18</f>
        <v/>
      </c>
      <c r="AE9">
        <f>Derivation!B18</f>
        <v/>
      </c>
    </row>
    <row r="10">
      <c r="A10" t="inlineStr">
        <is>
          <t>dry kiln with CCS - ABS(export - derivation)</t>
        </is>
      </c>
      <c r="B10">
        <f>ABS(B8-B9)</f>
        <v/>
      </c>
      <c r="C10">
        <f>ABS(C8-C9)</f>
        <v/>
      </c>
      <c r="D10">
        <f>ABS(D8-D9)</f>
        <v/>
      </c>
      <c r="E10">
        <f>ABS(E8-E9)</f>
        <v/>
      </c>
      <c r="F10">
        <f>ABS(F8-F9)</f>
        <v/>
      </c>
      <c r="G10">
        <f>ABS(G8-G9)</f>
        <v/>
      </c>
      <c r="H10">
        <f>ABS(H8-H9)</f>
        <v/>
      </c>
      <c r="I10">
        <f>ABS(I8-I9)</f>
        <v/>
      </c>
      <c r="J10">
        <f>ABS(J8-J9)</f>
        <v/>
      </c>
      <c r="K10">
        <f>ABS(K8-K9)</f>
        <v/>
      </c>
      <c r="L10">
        <f>ABS(L8-L9)</f>
        <v/>
      </c>
      <c r="M10">
        <f>ABS(M8-M9)</f>
        <v/>
      </c>
      <c r="N10">
        <f>ABS(N8-N9)</f>
        <v/>
      </c>
      <c r="O10">
        <f>ABS(O8-O9)</f>
        <v/>
      </c>
      <c r="P10">
        <f>ABS(P8-P9)</f>
        <v/>
      </c>
      <c r="Q10">
        <f>ABS(Q8-Q9)</f>
        <v/>
      </c>
      <c r="R10">
        <f>ABS(R8-R9)</f>
        <v/>
      </c>
      <c r="S10">
        <f>ABS(S8-S9)</f>
        <v/>
      </c>
      <c r="T10">
        <f>ABS(T8-T9)</f>
        <v/>
      </c>
      <c r="U10">
        <f>ABS(U8-U9)</f>
        <v/>
      </c>
      <c r="V10">
        <f>ABS(V8-V9)</f>
        <v/>
      </c>
      <c r="W10">
        <f>ABS(W8-W9)</f>
        <v/>
      </c>
      <c r="X10">
        <f>ABS(X8-X9)</f>
        <v/>
      </c>
      <c r="Y10">
        <f>ABS(Y8-Y9)</f>
        <v/>
      </c>
      <c r="Z10">
        <f>ABS(Z8-Z9)</f>
        <v/>
      </c>
      <c r="AA10">
        <f>ABS(AA8-AA9)</f>
        <v/>
      </c>
      <c r="AB10">
        <f>ABS(AB8-AB9)</f>
        <v/>
      </c>
      <c r="AC10">
        <f>ABS(AC8-AC9)</f>
        <v/>
      </c>
      <c r="AD10">
        <f>ABS(AD8-AD9)</f>
        <v/>
      </c>
      <c r="AE10">
        <f>ABS(AE8-AE9)</f>
        <v/>
      </c>
    </row>
    <row r="11"/>
    <row r="12">
      <c r="A12" t="inlineStr">
        <is>
          <t>electric kiln - export literal</t>
        </is>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row>
    <row r="13">
      <c r="A13" t="inlineStr">
        <is>
          <t>electric kiln - derivation formula</t>
        </is>
      </c>
      <c r="B13">
        <f>Derivation!B21</f>
        <v/>
      </c>
      <c r="C13">
        <f>Derivation!B21</f>
        <v/>
      </c>
      <c r="D13">
        <f>Derivation!B21</f>
        <v/>
      </c>
      <c r="E13">
        <f>Derivation!B21</f>
        <v/>
      </c>
      <c r="F13">
        <f>Derivation!B21</f>
        <v/>
      </c>
      <c r="G13">
        <f>Derivation!B21</f>
        <v/>
      </c>
      <c r="H13">
        <f>Derivation!B21</f>
        <v/>
      </c>
      <c r="I13">
        <f>Derivation!B21</f>
        <v/>
      </c>
      <c r="J13">
        <f>Derivation!B21</f>
        <v/>
      </c>
      <c r="K13">
        <f>Derivation!B21</f>
        <v/>
      </c>
      <c r="L13">
        <f>Derivation!B21</f>
        <v/>
      </c>
      <c r="M13">
        <f>Derivation!B21</f>
        <v/>
      </c>
      <c r="N13">
        <f>Derivation!B21</f>
        <v/>
      </c>
      <c r="O13">
        <f>Derivation!B21</f>
        <v/>
      </c>
      <c r="P13">
        <f>Derivation!B21</f>
        <v/>
      </c>
      <c r="Q13">
        <f>Derivation!B21</f>
        <v/>
      </c>
      <c r="R13">
        <f>Derivation!B21</f>
        <v/>
      </c>
      <c r="S13">
        <f>Derivation!B21</f>
        <v/>
      </c>
      <c r="T13">
        <f>Derivation!B21</f>
        <v/>
      </c>
      <c r="U13">
        <f>Derivation!B21</f>
        <v/>
      </c>
      <c r="V13">
        <f>Derivation!B21</f>
        <v/>
      </c>
      <c r="W13">
        <f>Derivation!B21</f>
        <v/>
      </c>
      <c r="X13">
        <f>Derivation!B21</f>
        <v/>
      </c>
      <c r="Y13">
        <f>Derivation!B21</f>
        <v/>
      </c>
      <c r="Z13">
        <f>Derivation!B21</f>
        <v/>
      </c>
      <c r="AA13">
        <f>Derivation!B21</f>
        <v/>
      </c>
      <c r="AB13">
        <f>Derivation!B21</f>
        <v/>
      </c>
      <c r="AC13">
        <f>Derivation!B21</f>
        <v/>
      </c>
      <c r="AD13">
        <f>Derivation!B21</f>
        <v/>
      </c>
      <c r="AE13">
        <f>Derivation!B21</f>
        <v/>
      </c>
    </row>
    <row r="14">
      <c r="A14" t="inlineStr">
        <is>
          <t>electric kiln - ABS(export - derivation)</t>
        </is>
      </c>
      <c r="B14">
        <f>ABS(B12-B13)</f>
        <v/>
      </c>
      <c r="C14">
        <f>ABS(C12-C13)</f>
        <v/>
      </c>
      <c r="D14">
        <f>ABS(D12-D13)</f>
        <v/>
      </c>
      <c r="E14">
        <f>ABS(E12-E13)</f>
        <v/>
      </c>
      <c r="F14">
        <f>ABS(F12-F13)</f>
        <v/>
      </c>
      <c r="G14">
        <f>ABS(G12-G13)</f>
        <v/>
      </c>
      <c r="H14">
        <f>ABS(H12-H13)</f>
        <v/>
      </c>
      <c r="I14">
        <f>ABS(I12-I13)</f>
        <v/>
      </c>
      <c r="J14">
        <f>ABS(J12-J13)</f>
        <v/>
      </c>
      <c r="K14">
        <f>ABS(K12-K13)</f>
        <v/>
      </c>
      <c r="L14">
        <f>ABS(L12-L13)</f>
        <v/>
      </c>
      <c r="M14">
        <f>ABS(M12-M13)</f>
        <v/>
      </c>
      <c r="N14">
        <f>ABS(N12-N13)</f>
        <v/>
      </c>
      <c r="O14">
        <f>ABS(O12-O13)</f>
        <v/>
      </c>
      <c r="P14">
        <f>ABS(P12-P13)</f>
        <v/>
      </c>
      <c r="Q14">
        <f>ABS(Q12-Q13)</f>
        <v/>
      </c>
      <c r="R14">
        <f>ABS(R12-R13)</f>
        <v/>
      </c>
      <c r="S14">
        <f>ABS(S12-S13)</f>
        <v/>
      </c>
      <c r="T14">
        <f>ABS(T12-T13)</f>
        <v/>
      </c>
      <c r="U14">
        <f>ABS(U12-U13)</f>
        <v/>
      </c>
      <c r="V14">
        <f>ABS(V12-V13)</f>
        <v/>
      </c>
      <c r="W14">
        <f>ABS(W12-W13)</f>
        <v/>
      </c>
      <c r="X14">
        <f>ABS(X12-X13)</f>
        <v/>
      </c>
      <c r="Y14">
        <f>ABS(Y12-Y13)</f>
        <v/>
      </c>
      <c r="Z14">
        <f>ABS(Z12-Z13)</f>
        <v/>
      </c>
      <c r="AA14">
        <f>ABS(AA12-AA13)</f>
        <v/>
      </c>
      <c r="AB14">
        <f>ABS(AB12-AB13)</f>
        <v/>
      </c>
      <c r="AC14">
        <f>ABS(AC12-AC13)</f>
        <v/>
      </c>
      <c r="AD14">
        <f>ABS(AD12-AD13)</f>
        <v/>
      </c>
      <c r="AE14">
        <f>ABS(AE12-AE13)</f>
        <v/>
      </c>
    </row>
    <row r="15"/>
    <row r="16">
      <c r="A16" t="inlineStr">
        <is>
          <t>alternative chemistry cement - export literal</t>
        </is>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row>
    <row r="17">
      <c r="A17" t="inlineStr">
        <is>
          <t>alternative chemistry cement - derivation formula</t>
        </is>
      </c>
      <c r="B17">
        <f>Derivation!B24</f>
        <v/>
      </c>
      <c r="C17">
        <f>Derivation!B24</f>
        <v/>
      </c>
      <c r="D17">
        <f>Derivation!B24</f>
        <v/>
      </c>
      <c r="E17">
        <f>Derivation!B24</f>
        <v/>
      </c>
      <c r="F17">
        <f>Derivation!B24</f>
        <v/>
      </c>
      <c r="G17">
        <f>Derivation!B24</f>
        <v/>
      </c>
      <c r="H17">
        <f>Derivation!B24</f>
        <v/>
      </c>
      <c r="I17">
        <f>Derivation!B24</f>
        <v/>
      </c>
      <c r="J17">
        <f>Derivation!B24</f>
        <v/>
      </c>
      <c r="K17">
        <f>Derivation!B24</f>
        <v/>
      </c>
      <c r="L17">
        <f>Derivation!B24</f>
        <v/>
      </c>
      <c r="M17">
        <f>Derivation!B24</f>
        <v/>
      </c>
      <c r="N17">
        <f>Derivation!B24</f>
        <v/>
      </c>
      <c r="O17">
        <f>Derivation!B24</f>
        <v/>
      </c>
      <c r="P17">
        <f>Derivation!B24</f>
        <v/>
      </c>
      <c r="Q17">
        <f>Derivation!B24</f>
        <v/>
      </c>
      <c r="R17">
        <f>Derivation!B24</f>
        <v/>
      </c>
      <c r="S17">
        <f>Derivation!B24</f>
        <v/>
      </c>
      <c r="T17">
        <f>Derivation!B24</f>
        <v/>
      </c>
      <c r="U17">
        <f>Derivation!B24</f>
        <v/>
      </c>
      <c r="V17">
        <f>Derivation!B24</f>
        <v/>
      </c>
      <c r="W17">
        <f>Derivation!B24</f>
        <v/>
      </c>
      <c r="X17">
        <f>Derivation!B24</f>
        <v/>
      </c>
      <c r="Y17">
        <f>Derivation!B24</f>
        <v/>
      </c>
      <c r="Z17">
        <f>Derivation!B24</f>
        <v/>
      </c>
      <c r="AA17">
        <f>Derivation!B24</f>
        <v/>
      </c>
      <c r="AB17">
        <f>Derivation!B24</f>
        <v/>
      </c>
      <c r="AC17">
        <f>Derivation!B24</f>
        <v/>
      </c>
      <c r="AD17">
        <f>Derivation!B24</f>
        <v/>
      </c>
      <c r="AE17">
        <f>Derivation!B24</f>
        <v/>
      </c>
    </row>
    <row r="18">
      <c r="A18" t="inlineStr">
        <is>
          <t>alternative chemistry cement - ABS(export - derivation)</t>
        </is>
      </c>
      <c r="B18">
        <f>ABS(B16-B17)</f>
        <v/>
      </c>
      <c r="C18">
        <f>ABS(C16-C17)</f>
        <v/>
      </c>
      <c r="D18">
        <f>ABS(D16-D17)</f>
        <v/>
      </c>
      <c r="E18">
        <f>ABS(E16-E17)</f>
        <v/>
      </c>
      <c r="F18">
        <f>ABS(F16-F17)</f>
        <v/>
      </c>
      <c r="G18">
        <f>ABS(G16-G17)</f>
        <v/>
      </c>
      <c r="H18">
        <f>ABS(H16-H17)</f>
        <v/>
      </c>
      <c r="I18">
        <f>ABS(I16-I17)</f>
        <v/>
      </c>
      <c r="J18">
        <f>ABS(J16-J17)</f>
        <v/>
      </c>
      <c r="K18">
        <f>ABS(K16-K17)</f>
        <v/>
      </c>
      <c r="L18">
        <f>ABS(L16-L17)</f>
        <v/>
      </c>
      <c r="M18">
        <f>ABS(M16-M17)</f>
        <v/>
      </c>
      <c r="N18">
        <f>ABS(N16-N17)</f>
        <v/>
      </c>
      <c r="O18">
        <f>ABS(O16-O17)</f>
        <v/>
      </c>
      <c r="P18">
        <f>ABS(P16-P17)</f>
        <v/>
      </c>
      <c r="Q18">
        <f>ABS(Q16-Q17)</f>
        <v/>
      </c>
      <c r="R18">
        <f>ABS(R16-R17)</f>
        <v/>
      </c>
      <c r="S18">
        <f>ABS(S16-S17)</f>
        <v/>
      </c>
      <c r="T18">
        <f>ABS(T16-T17)</f>
        <v/>
      </c>
      <c r="U18">
        <f>ABS(U16-U17)</f>
        <v/>
      </c>
      <c r="V18">
        <f>ABS(V16-V17)</f>
        <v/>
      </c>
      <c r="W18">
        <f>ABS(W16-W17)</f>
        <v/>
      </c>
      <c r="X18">
        <f>ABS(X16-X17)</f>
        <v/>
      </c>
      <c r="Y18">
        <f>ABS(Y16-Y17)</f>
        <v/>
      </c>
      <c r="Z18">
        <f>ABS(Z16-Z17)</f>
        <v/>
      </c>
      <c r="AA18">
        <f>ABS(AA16-AA17)</f>
        <v/>
      </c>
      <c r="AB18">
        <f>ABS(AB16-AB17)</f>
        <v/>
      </c>
      <c r="AC18">
        <f>ABS(AC16-AC17)</f>
        <v/>
      </c>
      <c r="AD18">
        <f>ABS(AD16-AD17)</f>
        <v/>
      </c>
      <c r="AE18">
        <f>ABS(AE16-AE17)</f>
        <v/>
      </c>
    </row>
    <row r="19"/>
    <row r="20"/>
    <row r="21">
      <c r="A21" s="1" t="inlineStr">
        <is>
          <t>Max abs diff, and range check 0.5 &lt;= CNBEIR &lt;= 1.0, per pathway</t>
        </is>
      </c>
    </row>
    <row r="22">
      <c r="A22" s="1" t="inlineStr">
        <is>
          <t>Pathway</t>
        </is>
      </c>
      <c r="B22" s="1" t="inlineStr">
        <is>
          <t>Max abs diff</t>
        </is>
      </c>
      <c r="C22" s="1" t="inlineStr">
        <is>
          <t>Diff result</t>
        </is>
      </c>
      <c r="D22" s="1" t="inlineStr">
        <is>
          <t>Value (2021)</t>
        </is>
      </c>
      <c r="E22" s="1" t="inlineStr">
        <is>
          <t>Range check</t>
        </is>
      </c>
    </row>
    <row r="23">
      <c r="A23" t="inlineStr">
        <is>
          <t>dry kiln with precalciner</t>
        </is>
      </c>
      <c r="B23">
        <f>MAX(B6:AE6)</f>
        <v/>
      </c>
      <c r="C23">
        <f>IF(B23&lt;0.000001,"PASS","FAIL")</f>
        <v/>
      </c>
      <c r="D23">
        <f>Derivation!B9</f>
        <v/>
      </c>
      <c r="E23">
        <f>IF(AND(D23&gt;=0.5,D23&lt;=1.0),"PASS","FAIL")</f>
        <v/>
      </c>
    </row>
    <row r="24">
      <c r="A24" t="inlineStr">
        <is>
          <t>dry kiln with CCS</t>
        </is>
      </c>
      <c r="B24">
        <f>MAX(B10:AE10)</f>
        <v/>
      </c>
      <c r="C24">
        <f>IF(B24&lt;0.000001,"PASS","FAIL")</f>
        <v/>
      </c>
      <c r="D24">
        <f>Derivation!B18</f>
        <v/>
      </c>
      <c r="E24">
        <f>IF(AND(D24&gt;=0.5,D24&lt;=1.0),"PASS","FAIL")</f>
        <v/>
      </c>
    </row>
    <row r="25">
      <c r="A25" t="inlineStr">
        <is>
          <t>electric kiln</t>
        </is>
      </c>
      <c r="B25">
        <f>MAX(B14:AE14)</f>
        <v/>
      </c>
      <c r="C25">
        <f>IF(B25&lt;0.000001,"PASS","FAIL")</f>
        <v/>
      </c>
      <c r="D25">
        <f>Derivation!B21</f>
        <v/>
      </c>
      <c r="E25">
        <f>IF(AND(D25&gt;=0.5,D25&lt;=1.0),"PASS","FAIL")</f>
        <v/>
      </c>
    </row>
    <row r="26">
      <c r="A26" t="inlineStr">
        <is>
          <t>alternative chemistry cement</t>
        </is>
      </c>
      <c r="B26">
        <f>MAX(B18:AE18)</f>
        <v/>
      </c>
      <c r="C26">
        <f>IF(B26&lt;0.000001,"PASS","FAIL")</f>
        <v/>
      </c>
      <c r="D26">
        <f>Derivation!B24</f>
        <v/>
      </c>
      <c r="E26">
        <f>IF(AND(D26&gt;=0.5,D26&lt;=1.0),"PASS","FAIL")</f>
        <v/>
      </c>
    </row>
  </sheetData>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AE5"/>
  <sheetViews>
    <sheetView workbookViewId="0">
      <selection activeCell="A1" sqref="A1"/>
    </sheetView>
  </sheetViews>
  <sheetFormatPr baseColWidth="8" defaultRowHeight="15"/>
  <sheetData>
    <row r="1">
      <c r="A1" t="inlineStr">
        <is>
          <t>Unit: dimensionless (DRAFT by pathway: precalciner 0.802 = 2.9 GJ/t BAT over 3.43 MMBtu/t fleet-typical, DOE Bandwidth, GJ-to-MMBtu corrected 2026-10-01; CCS = dry kiln value (CEIbPaF CCS row is kiln-only since 2026-10-01; capture energy sits in the CCS sector); electric/alt-chem 1.0 already-BAT - verify before release)</t>
        </is>
      </c>
      <c r="B1" t="n">
        <v>2021</v>
      </c>
      <c r="C1" t="n">
        <v>2022</v>
      </c>
      <c r="D1" t="n">
        <v>2023</v>
      </c>
      <c r="E1" t="n">
        <v>2024</v>
      </c>
      <c r="F1" t="n">
        <v>2025</v>
      </c>
      <c r="G1" t="n">
        <v>2026</v>
      </c>
      <c r="H1" t="n">
        <v>2027</v>
      </c>
      <c r="I1" t="n">
        <v>2028</v>
      </c>
      <c r="J1" t="n">
        <v>2029</v>
      </c>
      <c r="K1" t="n">
        <v>2030</v>
      </c>
      <c r="L1" t="n">
        <v>2031</v>
      </c>
      <c r="M1" t="n">
        <v>2032</v>
      </c>
      <c r="N1" t="n">
        <v>2033</v>
      </c>
      <c r="O1" t="n">
        <v>2034</v>
      </c>
      <c r="P1" t="n">
        <v>2035</v>
      </c>
      <c r="Q1" t="n">
        <v>2036</v>
      </c>
      <c r="R1" t="n">
        <v>2037</v>
      </c>
      <c r="S1" t="n">
        <v>2038</v>
      </c>
      <c r="T1" t="n">
        <v>2039</v>
      </c>
      <c r="U1" t="n">
        <v>2040</v>
      </c>
      <c r="V1" t="n">
        <v>2041</v>
      </c>
      <c r="W1" t="n">
        <v>2042</v>
      </c>
      <c r="X1" t="n">
        <v>2043</v>
      </c>
      <c r="Y1" t="n">
        <v>2044</v>
      </c>
      <c r="Z1" t="n">
        <v>2045</v>
      </c>
      <c r="AA1" t="n">
        <v>2046</v>
      </c>
      <c r="AB1" t="n">
        <v>2047</v>
      </c>
      <c r="AC1" t="n">
        <v>2048</v>
      </c>
      <c r="AD1" t="n">
        <v>2049</v>
      </c>
      <c r="AE1" t="n">
        <v>2050</v>
      </c>
    </row>
    <row r="2">
      <c r="A2" t="inlineStr">
        <is>
          <t>dry kiln with precalciner</t>
        </is>
      </c>
      <c r="B2" t="n">
        <v>0.802</v>
      </c>
      <c r="C2" t="n">
        <v>0.802</v>
      </c>
      <c r="D2" t="n">
        <v>0.802</v>
      </c>
      <c r="E2" t="n">
        <v>0.802</v>
      </c>
      <c r="F2" t="n">
        <v>0.802</v>
      </c>
      <c r="G2" t="n">
        <v>0.802</v>
      </c>
      <c r="H2" t="n">
        <v>0.802</v>
      </c>
      <c r="I2" t="n">
        <v>0.802</v>
      </c>
      <c r="J2" t="n">
        <v>0.802</v>
      </c>
      <c r="K2" t="n">
        <v>0.802</v>
      </c>
      <c r="L2" t="n">
        <v>0.802</v>
      </c>
      <c r="M2" t="n">
        <v>0.802</v>
      </c>
      <c r="N2" t="n">
        <v>0.802</v>
      </c>
      <c r="O2" t="n">
        <v>0.802</v>
      </c>
      <c r="P2" t="n">
        <v>0.802</v>
      </c>
      <c r="Q2" t="n">
        <v>0.802</v>
      </c>
      <c r="R2" t="n">
        <v>0.802</v>
      </c>
      <c r="S2" t="n">
        <v>0.802</v>
      </c>
      <c r="T2" t="n">
        <v>0.802</v>
      </c>
      <c r="U2" t="n">
        <v>0.802</v>
      </c>
      <c r="V2" t="n">
        <v>0.802</v>
      </c>
      <c r="W2" t="n">
        <v>0.802</v>
      </c>
      <c r="X2" t="n">
        <v>0.802</v>
      </c>
      <c r="Y2" t="n">
        <v>0.802</v>
      </c>
      <c r="Z2" t="n">
        <v>0.802</v>
      </c>
      <c r="AA2" t="n">
        <v>0.802</v>
      </c>
      <c r="AB2" t="n">
        <v>0.802</v>
      </c>
      <c r="AC2" t="n">
        <v>0.802</v>
      </c>
      <c r="AD2" t="n">
        <v>0.802</v>
      </c>
      <c r="AE2" t="n">
        <v>0.802</v>
      </c>
    </row>
    <row r="3">
      <c r="A3" t="inlineStr">
        <is>
          <t>dry kiln with CCS</t>
        </is>
      </c>
      <c r="B3" t="n">
        <v>0.802</v>
      </c>
      <c r="C3" t="n">
        <v>0.802</v>
      </c>
      <c r="D3" t="n">
        <v>0.802</v>
      </c>
      <c r="E3" t="n">
        <v>0.802</v>
      </c>
      <c r="F3" t="n">
        <v>0.802</v>
      </c>
      <c r="G3" t="n">
        <v>0.802</v>
      </c>
      <c r="H3" t="n">
        <v>0.802</v>
      </c>
      <c r="I3" t="n">
        <v>0.802</v>
      </c>
      <c r="J3" t="n">
        <v>0.802</v>
      </c>
      <c r="K3" t="n">
        <v>0.802</v>
      </c>
      <c r="L3" t="n">
        <v>0.802</v>
      </c>
      <c r="M3" t="n">
        <v>0.802</v>
      </c>
      <c r="N3" t="n">
        <v>0.802</v>
      </c>
      <c r="O3" t="n">
        <v>0.802</v>
      </c>
      <c r="P3" t="n">
        <v>0.802</v>
      </c>
      <c r="Q3" t="n">
        <v>0.802</v>
      </c>
      <c r="R3" t="n">
        <v>0.802</v>
      </c>
      <c r="S3" t="n">
        <v>0.802</v>
      </c>
      <c r="T3" t="n">
        <v>0.802</v>
      </c>
      <c r="U3" t="n">
        <v>0.802</v>
      </c>
      <c r="V3" t="n">
        <v>0.802</v>
      </c>
      <c r="W3" t="n">
        <v>0.802</v>
      </c>
      <c r="X3" t="n">
        <v>0.802</v>
      </c>
      <c r="Y3" t="n">
        <v>0.802</v>
      </c>
      <c r="Z3" t="n">
        <v>0.802</v>
      </c>
      <c r="AA3" t="n">
        <v>0.802</v>
      </c>
      <c r="AB3" t="n">
        <v>0.802</v>
      </c>
      <c r="AC3" t="n">
        <v>0.802</v>
      </c>
      <c r="AD3" t="n">
        <v>0.802</v>
      </c>
      <c r="AE3" t="n">
        <v>0.802</v>
      </c>
    </row>
    <row r="4">
      <c r="A4" t="inlineStr">
        <is>
          <t>electric kiln</t>
        </is>
      </c>
      <c r="B4" t="n">
        <v>1</v>
      </c>
      <c r="C4" t="n">
        <v>1</v>
      </c>
      <c r="D4" t="n">
        <v>1</v>
      </c>
      <c r="E4" t="n">
        <v>1</v>
      </c>
      <c r="F4" t="n">
        <v>1</v>
      </c>
      <c r="G4" t="n">
        <v>1</v>
      </c>
      <c r="H4" t="n">
        <v>1</v>
      </c>
      <c r="I4" t="n">
        <v>1</v>
      </c>
      <c r="J4" t="n">
        <v>1</v>
      </c>
      <c r="K4" t="n">
        <v>1</v>
      </c>
      <c r="L4" t="n">
        <v>1</v>
      </c>
      <c r="M4" t="n">
        <v>1</v>
      </c>
      <c r="N4" t="n">
        <v>1</v>
      </c>
      <c r="O4" t="n">
        <v>1</v>
      </c>
      <c r="P4" t="n">
        <v>1</v>
      </c>
      <c r="Q4" t="n">
        <v>1</v>
      </c>
      <c r="R4" t="n">
        <v>1</v>
      </c>
      <c r="S4" t="n">
        <v>1</v>
      </c>
      <c r="T4" t="n">
        <v>1</v>
      </c>
      <c r="U4" t="n">
        <v>1</v>
      </c>
      <c r="V4" t="n">
        <v>1</v>
      </c>
      <c r="W4" t="n">
        <v>1</v>
      </c>
      <c r="X4" t="n">
        <v>1</v>
      </c>
      <c r="Y4" t="n">
        <v>1</v>
      </c>
      <c r="Z4" t="n">
        <v>1</v>
      </c>
      <c r="AA4" t="n">
        <v>1</v>
      </c>
      <c r="AB4" t="n">
        <v>1</v>
      </c>
      <c r="AC4" t="n">
        <v>1</v>
      </c>
      <c r="AD4" t="n">
        <v>1</v>
      </c>
      <c r="AE4" t="n">
        <v>1</v>
      </c>
    </row>
    <row r="5">
      <c r="A5" t="inlineStr">
        <is>
          <t>alternative chemistry cement</t>
        </is>
      </c>
      <c r="B5" t="n">
        <v>1</v>
      </c>
      <c r="C5" t="n">
        <v>1</v>
      </c>
      <c r="D5" t="n">
        <v>1</v>
      </c>
      <c r="E5" t="n">
        <v>1</v>
      </c>
      <c r="F5" t="n">
        <v>1</v>
      </c>
      <c r="G5" t="n">
        <v>1</v>
      </c>
      <c r="H5" t="n">
        <v>1</v>
      </c>
      <c r="I5" t="n">
        <v>1</v>
      </c>
      <c r="J5" t="n">
        <v>1</v>
      </c>
      <c r="K5" t="n">
        <v>1</v>
      </c>
      <c r="L5" t="n">
        <v>1</v>
      </c>
      <c r="M5" t="n">
        <v>1</v>
      </c>
      <c r="N5" t="n">
        <v>1</v>
      </c>
      <c r="O5" t="n">
        <v>1</v>
      </c>
      <c r="P5" t="n">
        <v>1</v>
      </c>
      <c r="Q5" t="n">
        <v>1</v>
      </c>
      <c r="R5" t="n">
        <v>1</v>
      </c>
      <c r="S5" t="n">
        <v>1</v>
      </c>
      <c r="T5" t="n">
        <v>1</v>
      </c>
      <c r="U5" t="n">
        <v>1</v>
      </c>
      <c r="V5" t="n">
        <v>1</v>
      </c>
      <c r="W5" t="n">
        <v>1</v>
      </c>
      <c r="X5" t="n">
        <v>1</v>
      </c>
      <c r="Y5" t="n">
        <v>1</v>
      </c>
      <c r="Z5" t="n">
        <v>1</v>
      </c>
      <c r="AA5" t="n">
        <v>1</v>
      </c>
      <c r="AB5" t="n">
        <v>1</v>
      </c>
      <c r="AC5" t="n">
        <v>1</v>
      </c>
      <c r="AD5" t="n">
        <v>1</v>
      </c>
      <c r="AE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2026-08-26T15:09:27Z</dcterms:created>
  <dcterms:modified xsi:type="dcterms:W3CDTF">2026-10-01T19:24:38Z</dcterms:modified>
</cp:coreProperties>
</file>