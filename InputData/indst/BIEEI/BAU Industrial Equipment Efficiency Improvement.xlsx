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IEEI\"/>
    </mc:Choice>
  </mc:AlternateContent>
  <xr:revisionPtr revIDLastSave="0" documentId="13_ncr:1_{1ADC6EF6-932B-43F5-99A2-CA5298BF71F4}" xr6:coauthVersionLast="47" xr6:coauthVersionMax="47" xr10:uidLastSave="{00000000-0000-0000-0000-000000000000}"/>
  <bookViews>
    <workbookView xWindow="300" yWindow="1260" windowWidth="25665" windowHeight="15090" tabRatio="770" xr2:uid="{7D5963C0-FA73-4A20-914D-C5C19178119F}"/>
  </bookViews>
  <sheets>
    <sheet name="About" sheetId="1" r:id="rId1"/>
    <sheet name="MECS" sheetId="149" r:id="rId2"/>
    <sheet name="BIEEI-elec" sheetId="146" r:id="rId3"/>
    <sheet name="BIEEI-other" sheetId="14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E9" i="148" l="1"/>
  <c r="AD9" i="148"/>
  <c r="AC9" i="148"/>
  <c r="AB9" i="148"/>
  <c r="AA9" i="148"/>
  <c r="Z9" i="148"/>
  <c r="Y9" i="148"/>
  <c r="X9" i="148"/>
  <c r="W9" i="148"/>
  <c r="V9" i="148"/>
  <c r="U9" i="148"/>
  <c r="T9" i="148"/>
  <c r="S9" i="148"/>
  <c r="R9" i="148"/>
  <c r="Q9" i="148"/>
  <c r="P9" i="148"/>
  <c r="O9" i="148"/>
  <c r="N9" i="148"/>
  <c r="M9" i="148"/>
  <c r="L9" i="148"/>
  <c r="K9" i="148"/>
  <c r="J9" i="148"/>
  <c r="I9" i="148"/>
  <c r="H9" i="148"/>
  <c r="G9" i="148"/>
  <c r="F9" i="148"/>
  <c r="E9" i="148"/>
  <c r="D9" i="148"/>
  <c r="C9" i="148"/>
  <c r="AE8" i="148"/>
  <c r="AD8" i="148"/>
  <c r="AC8" i="148"/>
  <c r="AB8" i="148"/>
  <c r="AA8" i="148"/>
  <c r="Z8" i="148"/>
  <c r="Y8" i="148"/>
  <c r="X8" i="148"/>
  <c r="W8" i="148"/>
  <c r="V8" i="148"/>
  <c r="U8" i="148"/>
  <c r="T8" i="148"/>
  <c r="S8" i="148"/>
  <c r="R8" i="148"/>
  <c r="Q8" i="148"/>
  <c r="P8" i="148"/>
  <c r="O8" i="148"/>
  <c r="N8" i="148"/>
  <c r="M8" i="148"/>
  <c r="L8" i="148"/>
  <c r="K8" i="148"/>
  <c r="J8" i="148"/>
  <c r="I8" i="148"/>
  <c r="H8" i="148"/>
  <c r="G8" i="148"/>
  <c r="F8" i="148"/>
  <c r="E8" i="148"/>
  <c r="D8" i="148"/>
  <c r="C8" i="148"/>
  <c r="AE7" i="148"/>
  <c r="AD7" i="148"/>
  <c r="AC7" i="148"/>
  <c r="AB7" i="148"/>
  <c r="AA7" i="148"/>
  <c r="Z7" i="148"/>
  <c r="Y7" i="148"/>
  <c r="X7" i="148"/>
  <c r="W7" i="148"/>
  <c r="V7" i="148"/>
  <c r="U7" i="148"/>
  <c r="T7" i="148"/>
  <c r="S7" i="148"/>
  <c r="R7" i="148"/>
  <c r="Q7" i="148"/>
  <c r="P7" i="148"/>
  <c r="O7" i="148"/>
  <c r="N7" i="148"/>
  <c r="M7" i="148"/>
  <c r="L7" i="148"/>
  <c r="K7" i="148"/>
  <c r="J7" i="148"/>
  <c r="I7" i="148"/>
  <c r="H7" i="148"/>
  <c r="G7" i="148"/>
  <c r="F7" i="148"/>
  <c r="E7" i="148"/>
  <c r="D7" i="148"/>
  <c r="C7" i="148"/>
  <c r="AE6" i="148"/>
  <c r="AD6" i="148"/>
  <c r="AC6" i="148"/>
  <c r="AB6" i="148"/>
  <c r="AA6" i="148"/>
  <c r="Z6" i="148"/>
  <c r="Y6" i="148"/>
  <c r="X6" i="148"/>
  <c r="W6" i="148"/>
  <c r="V6" i="148"/>
  <c r="U6" i="148"/>
  <c r="T6" i="148"/>
  <c r="S6" i="148"/>
  <c r="R6" i="148"/>
  <c r="Q6" i="148"/>
  <c r="P6" i="148"/>
  <c r="O6" i="148"/>
  <c r="N6" i="148"/>
  <c r="M6" i="148"/>
  <c r="L6" i="148"/>
  <c r="K6" i="148"/>
  <c r="J6" i="148"/>
  <c r="I6" i="148"/>
  <c r="H6" i="148"/>
  <c r="G6" i="148"/>
  <c r="F6" i="148"/>
  <c r="E6" i="148"/>
  <c r="D6" i="148"/>
  <c r="C6" i="148"/>
  <c r="AE5" i="148"/>
  <c r="AD5" i="148"/>
  <c r="AC5" i="148"/>
  <c r="AB5" i="148"/>
  <c r="AA5" i="148"/>
  <c r="Z5" i="148"/>
  <c r="Y5" i="148"/>
  <c r="X5" i="148"/>
  <c r="W5" i="148"/>
  <c r="V5" i="148"/>
  <c r="U5" i="148"/>
  <c r="T5" i="148"/>
  <c r="S5" i="148"/>
  <c r="R5" i="148"/>
  <c r="Q5" i="148"/>
  <c r="P5" i="148"/>
  <c r="O5" i="148"/>
  <c r="N5" i="148"/>
  <c r="M5" i="148"/>
  <c r="L5" i="148"/>
  <c r="K5" i="148"/>
  <c r="J5" i="148"/>
  <c r="I5" i="148"/>
  <c r="H5" i="148"/>
  <c r="G5" i="148"/>
  <c r="F5" i="148"/>
  <c r="E5" i="148"/>
  <c r="D5" i="148"/>
  <c r="C5" i="148"/>
  <c r="AE4" i="148"/>
  <c r="AD4" i="148"/>
  <c r="AC4" i="148"/>
  <c r="AB4" i="148"/>
  <c r="AA4" i="148"/>
  <c r="Z4" i="148"/>
  <c r="Y4" i="148"/>
  <c r="X4" i="148"/>
  <c r="W4" i="148"/>
  <c r="V4" i="148"/>
  <c r="U4" i="148"/>
  <c r="T4" i="148"/>
  <c r="S4" i="148"/>
  <c r="R4" i="148"/>
  <c r="Q4" i="148"/>
  <c r="P4" i="148"/>
  <c r="O4" i="148"/>
  <c r="N4" i="148"/>
  <c r="M4" i="148"/>
  <c r="L4" i="148"/>
  <c r="K4" i="148"/>
  <c r="J4" i="148"/>
  <c r="I4" i="148"/>
  <c r="H4" i="148"/>
  <c r="G4" i="148"/>
  <c r="F4" i="148"/>
  <c r="E4" i="148"/>
  <c r="D4" i="148"/>
  <c r="C4" i="148"/>
  <c r="AE3" i="148"/>
  <c r="AD3" i="148"/>
  <c r="AC3" i="148"/>
  <c r="AB3" i="148"/>
  <c r="AA3" i="148"/>
  <c r="Z3" i="148"/>
  <c r="Y3" i="148"/>
  <c r="X3" i="148"/>
  <c r="W3" i="148"/>
  <c r="V3" i="148"/>
  <c r="U3" i="148"/>
  <c r="T3" i="148"/>
  <c r="S3" i="148"/>
  <c r="R3" i="148"/>
  <c r="Q3" i="148"/>
  <c r="P3" i="148"/>
  <c r="O3" i="148"/>
  <c r="N3" i="148"/>
  <c r="M3" i="148"/>
  <c r="L3" i="148"/>
  <c r="K3" i="148"/>
  <c r="J3" i="148"/>
  <c r="I3" i="148"/>
  <c r="H3" i="148"/>
  <c r="G3" i="148"/>
  <c r="F3" i="148"/>
  <c r="E3" i="148"/>
  <c r="D3" i="148"/>
  <c r="C3" i="148"/>
  <c r="AE2" i="148"/>
  <c r="AD2" i="148"/>
  <c r="AC2" i="148"/>
  <c r="AB2" i="148"/>
  <c r="AA2" i="148"/>
  <c r="Z2" i="148"/>
  <c r="Y2" i="148"/>
  <c r="X2" i="148"/>
  <c r="W2" i="148"/>
  <c r="V2" i="148"/>
  <c r="U2" i="148"/>
  <c r="T2" i="148"/>
  <c r="S2" i="148"/>
  <c r="R2" i="148"/>
  <c r="Q2" i="148"/>
  <c r="P2" i="148"/>
  <c r="O2" i="148"/>
  <c r="N2" i="148"/>
  <c r="M2" i="148"/>
  <c r="L2" i="148"/>
  <c r="K2" i="148"/>
  <c r="J2" i="148"/>
  <c r="I2" i="148"/>
  <c r="H2" i="148"/>
  <c r="G2" i="148"/>
  <c r="F2" i="148"/>
  <c r="E2" i="148"/>
  <c r="D2" i="148"/>
  <c r="C2" i="148"/>
  <c r="AE9" i="146"/>
  <c r="AD9" i="146"/>
  <c r="AC9" i="146"/>
  <c r="AB9" i="146"/>
  <c r="AA9" i="146"/>
  <c r="Z9" i="146"/>
  <c r="Y9" i="146"/>
  <c r="X9" i="146"/>
  <c r="W9" i="146"/>
  <c r="V9" i="146"/>
  <c r="U9" i="146"/>
  <c r="T9" i="146"/>
  <c r="S9" i="146"/>
  <c r="R9" i="146"/>
  <c r="Q9" i="146"/>
  <c r="P9" i="146"/>
  <c r="O9" i="146"/>
  <c r="N9" i="146"/>
  <c r="M9" i="146"/>
  <c r="L9" i="146"/>
  <c r="K9" i="146"/>
  <c r="J9" i="146"/>
  <c r="I9" i="146"/>
  <c r="H9" i="146"/>
  <c r="G9" i="146"/>
  <c r="F9" i="146"/>
  <c r="E9" i="146"/>
  <c r="D9" i="146"/>
  <c r="C9" i="146"/>
  <c r="AE8" i="146"/>
  <c r="AD8" i="146"/>
  <c r="AC8" i="146"/>
  <c r="AB8" i="146"/>
  <c r="AA8" i="146"/>
  <c r="Z8" i="146"/>
  <c r="Y8" i="146"/>
  <c r="X8" i="146"/>
  <c r="W8" i="146"/>
  <c r="V8" i="146"/>
  <c r="U8" i="146"/>
  <c r="T8" i="146"/>
  <c r="S8" i="146"/>
  <c r="R8" i="146"/>
  <c r="Q8" i="146"/>
  <c r="P8" i="146"/>
  <c r="O8" i="146"/>
  <c r="N8" i="146"/>
  <c r="M8" i="146"/>
  <c r="L8" i="146"/>
  <c r="K8" i="146"/>
  <c r="J8" i="146"/>
  <c r="I8" i="146"/>
  <c r="H8" i="146"/>
  <c r="G8" i="146"/>
  <c r="F8" i="146"/>
  <c r="E8" i="146"/>
  <c r="D8" i="146"/>
  <c r="C8" i="146"/>
  <c r="AE7" i="146"/>
  <c r="AD7" i="146"/>
  <c r="AC7" i="146"/>
  <c r="AB7" i="146"/>
  <c r="AA7" i="146"/>
  <c r="Z7" i="146"/>
  <c r="Y7" i="146"/>
  <c r="X7" i="146"/>
  <c r="W7" i="146"/>
  <c r="V7" i="146"/>
  <c r="U7" i="146"/>
  <c r="T7" i="146"/>
  <c r="S7" i="146"/>
  <c r="R7" i="146"/>
  <c r="Q7" i="146"/>
  <c r="P7" i="146"/>
  <c r="O7" i="146"/>
  <c r="N7" i="146"/>
  <c r="M7" i="146"/>
  <c r="L7" i="146"/>
  <c r="K7" i="146"/>
  <c r="J7" i="146"/>
  <c r="I7" i="146"/>
  <c r="H7" i="146"/>
  <c r="G7" i="146"/>
  <c r="F7" i="146"/>
  <c r="E7" i="146"/>
  <c r="D7" i="146"/>
  <c r="C7" i="146"/>
  <c r="AE6" i="146"/>
  <c r="AD6" i="146"/>
  <c r="AC6" i="146"/>
  <c r="AB6" i="146"/>
  <c r="AA6" i="146"/>
  <c r="Z6" i="146"/>
  <c r="Y6" i="146"/>
  <c r="X6" i="146"/>
  <c r="W6" i="146"/>
  <c r="V6" i="146"/>
  <c r="U6" i="146"/>
  <c r="T6" i="146"/>
  <c r="S6" i="146"/>
  <c r="R6" i="146"/>
  <c r="Q6" i="146"/>
  <c r="P6" i="146"/>
  <c r="O6" i="146"/>
  <c r="N6" i="146"/>
  <c r="M6" i="146"/>
  <c r="L6" i="146"/>
  <c r="K6" i="146"/>
  <c r="J6" i="146"/>
  <c r="I6" i="146"/>
  <c r="H6" i="146"/>
  <c r="G6" i="146"/>
  <c r="F6" i="146"/>
  <c r="E6" i="146"/>
  <c r="D6" i="146"/>
  <c r="C6" i="146"/>
  <c r="AE5" i="146"/>
  <c r="AD5" i="146"/>
  <c r="AC5" i="146"/>
  <c r="AB5" i="146"/>
  <c r="AA5" i="146"/>
  <c r="Z5" i="146"/>
  <c r="Y5" i="146"/>
  <c r="X5" i="146"/>
  <c r="W5" i="146"/>
  <c r="V5" i="146"/>
  <c r="U5" i="146"/>
  <c r="T5" i="146"/>
  <c r="S5" i="146"/>
  <c r="R5" i="146"/>
  <c r="Q5" i="146"/>
  <c r="P5" i="146"/>
  <c r="O5" i="146"/>
  <c r="N5" i="146"/>
  <c r="M5" i="146"/>
  <c r="L5" i="146"/>
  <c r="K5" i="146"/>
  <c r="J5" i="146"/>
  <c r="I5" i="146"/>
  <c r="H5" i="146"/>
  <c r="G5" i="146"/>
  <c r="F5" i="146"/>
  <c r="E5" i="146"/>
  <c r="D5" i="146"/>
  <c r="C5" i="146"/>
  <c r="AE4" i="146"/>
  <c r="AD4" i="146"/>
  <c r="AC4" i="146"/>
  <c r="AB4" i="146"/>
  <c r="AA4" i="146"/>
  <c r="Z4" i="146"/>
  <c r="Y4" i="146"/>
  <c r="X4" i="146"/>
  <c r="W4" i="146"/>
  <c r="V4" i="146"/>
  <c r="U4" i="146"/>
  <c r="T4" i="146"/>
  <c r="S4" i="146"/>
  <c r="R4" i="146"/>
  <c r="Q4" i="146"/>
  <c r="P4" i="146"/>
  <c r="O4" i="146"/>
  <c r="N4" i="146"/>
  <c r="M4" i="146"/>
  <c r="L4" i="146"/>
  <c r="K4" i="146"/>
  <c r="J4" i="146"/>
  <c r="I4" i="146"/>
  <c r="H4" i="146"/>
  <c r="G4" i="146"/>
  <c r="F4" i="146"/>
  <c r="E4" i="146"/>
  <c r="D4" i="146"/>
  <c r="C4" i="146"/>
  <c r="AE3" i="146"/>
  <c r="AD3" i="146"/>
  <c r="AC3" i="146"/>
  <c r="AB3" i="146"/>
  <c r="AA3" i="146"/>
  <c r="Z3" i="146"/>
  <c r="Y3" i="146"/>
  <c r="X3" i="146"/>
  <c r="W3" i="146"/>
  <c r="V3" i="146"/>
  <c r="U3" i="146"/>
  <c r="T3" i="146"/>
  <c r="S3" i="146"/>
  <c r="R3" i="146"/>
  <c r="Q3" i="146"/>
  <c r="P3" i="146"/>
  <c r="O3" i="146"/>
  <c r="N3" i="146"/>
  <c r="M3" i="146"/>
  <c r="L3" i="146"/>
  <c r="K3" i="146"/>
  <c r="J3" i="146"/>
  <c r="I3" i="146"/>
  <c r="H3" i="146"/>
  <c r="G3" i="146"/>
  <c r="F3" i="146"/>
  <c r="E3" i="146"/>
  <c r="D3" i="146"/>
  <c r="C3" i="146"/>
  <c r="AE2" i="146"/>
  <c r="AD2" i="146"/>
  <c r="AC2" i="146"/>
  <c r="AB2" i="146"/>
  <c r="AA2" i="146"/>
  <c r="Z2" i="146"/>
  <c r="Y2" i="146"/>
  <c r="X2" i="146"/>
  <c r="W2" i="146"/>
  <c r="V2" i="146"/>
  <c r="U2" i="146"/>
  <c r="T2" i="146"/>
  <c r="S2" i="146"/>
  <c r="R2" i="146"/>
  <c r="Q2" i="146"/>
  <c r="P2" i="146"/>
  <c r="O2" i="146"/>
  <c r="N2" i="146"/>
  <c r="M2" i="146"/>
  <c r="L2" i="146"/>
  <c r="K2" i="146"/>
  <c r="J2" i="146"/>
  <c r="I2" i="146"/>
  <c r="H2" i="146"/>
  <c r="G2" i="146"/>
  <c r="F2" i="146"/>
  <c r="E2" i="146"/>
  <c r="D2" i="146"/>
  <c r="C2" i="146"/>
  <c r="M28" i="149"/>
  <c r="M27" i="149"/>
  <c r="M26" i="149"/>
  <c r="M25" i="149"/>
  <c r="M24" i="149"/>
  <c r="M23" i="149"/>
  <c r="M22" i="149"/>
  <c r="M21" i="149"/>
  <c r="M20" i="149"/>
  <c r="K28" i="149" l="1"/>
  <c r="K27" i="149"/>
  <c r="K26" i="149"/>
  <c r="K25" i="149"/>
  <c r="K24" i="149"/>
  <c r="K23" i="149"/>
  <c r="K22" i="149"/>
  <c r="K21" i="149"/>
  <c r="K20" i="149"/>
  <c r="J28" i="149"/>
  <c r="J27" i="149"/>
  <c r="J26" i="149"/>
  <c r="J25" i="149"/>
  <c r="J24" i="149"/>
  <c r="J23" i="149"/>
  <c r="J22" i="149"/>
  <c r="J21" i="149"/>
  <c r="J20" i="149"/>
  <c r="I28" i="149" a="1"/>
  <c r="I28" i="149" s="1"/>
  <c r="I27" i="149" a="1"/>
  <c r="I27" i="149" s="1"/>
  <c r="I26" i="149" a="1"/>
  <c r="I26" i="149" s="1"/>
  <c r="I25" i="149" a="1"/>
  <c r="I25" i="149" s="1"/>
  <c r="I24" i="149" a="1"/>
  <c r="I24" i="149" s="1"/>
  <c r="I23" i="149" a="1"/>
  <c r="I23" i="149" s="1"/>
  <c r="I22" i="149" a="1"/>
  <c r="I22" i="149" s="1"/>
  <c r="I21" i="149" a="1"/>
  <c r="I21" i="149" s="1"/>
  <c r="I20" i="149" a="1"/>
  <c r="I20" i="14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<sst xmlns="http://schemas.openxmlformats.org/spreadsheetml/2006/main" count="57" uniqueCount="38">
  <si>
    <t>Sources:</t>
  </si>
  <si>
    <t>Unit: BTU</t>
  </si>
  <si>
    <t>BIEEI BAU Industrial Equipment Efficiency Improvement</t>
  </si>
  <si>
    <t>Notes:</t>
  </si>
  <si>
    <t xml:space="preserve">This variable should contain the BAU annual efficiency improvement of industrial equipment </t>
  </si>
  <si>
    <t xml:space="preserve">subscripted by industrial process. 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</si>
  <si>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</si>
  <si>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</si>
  <si>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</si>
  <si>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</si>
  <si>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</si>
  <si>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</si>
  <si>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</si>
  <si>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</si>
  <si>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annual improvement</t>
  </si>
  <si>
    <t>Heat</t>
  </si>
  <si>
    <t>Natural gas</t>
  </si>
  <si>
    <t>UEC 2018 (trillion British thermal</t>
  </si>
  <si>
    <t>REI 2050</t>
  </si>
  <si>
    <t>Fuel</t>
  </si>
  <si>
    <t>units per billion 2012$ of shipments)</t>
  </si>
  <si>
    <t>existing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</si>
  <si>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</si>
  <si>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</si>
  <si>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</si>
  <si>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</si>
  <si>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</si>
  <si>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</si>
  <si>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</si>
  <si>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End use</t>
  </si>
  <si>
    <t>new REI</t>
  </si>
  <si>
    <t>Energy Information Administration</t>
  </si>
  <si>
    <t>Annual Energy Outlook</t>
  </si>
  <si>
    <t>Assumptions to the Annual Energy Outlook 2025: Industrial Demand Module</t>
  </si>
  <si>
    <t>https://www.eia.gov/outlooks/aeo/assumptions/</t>
  </si>
  <si>
    <t>Table 3</t>
  </si>
  <si>
    <t>over model run</t>
  </si>
  <si>
    <t>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</si>
</sst>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5" formatCode="0.00000"/>
    <numFmt numFmtId="171" formatCode="0.00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6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0" fontId="11" fillId="0" borderId="0" applyNumberFormat="0" applyFill="0" applyBorder="0" applyAlignment="0" applyProtection="0"/>
    <xf numFmtId="0" fontId="9" fillId="0" borderId="10" applyNumberFormat="0" applyProtection="0">
      <alignment wrapText="1"/>
    </xf>
    <xf numFmtId="0" fontId="12" fillId="0" borderId="0" applyNumberFormat="0" applyProtection="0">
      <alignment horizontal="left"/>
    </xf>
    <xf numFmtId="0" fontId="9" fillId="0" borderId="9" applyNumberFormat="0" applyProtection="0">
      <alignment wrapText="1"/>
    </xf>
    <xf numFmtId="0" fontId="11" fillId="0" borderId="8" applyNumberFormat="0" applyFont="0" applyProtection="0">
      <alignment wrapText="1"/>
    </xf>
    <xf numFmtId="0" fontId="11" fillId="0" borderId="11" applyNumberFormat="0" applyProtection="0">
      <alignment wrapText="1"/>
    </xf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12" applyNumberFormat="0" applyFill="0" applyAlignment="0" applyProtection="0"/>
    <xf numFmtId="0" fontId="16" fillId="0" borderId="13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14" applyNumberFormat="0" applyAlignment="0" applyProtection="0"/>
    <xf numFmtId="0" fontId="20" fillId="7" borderId="15" applyNumberFormat="0" applyAlignment="0" applyProtection="0"/>
    <xf numFmtId="0" fontId="21" fillId="7" borderId="14" applyNumberFormat="0" applyAlignment="0" applyProtection="0"/>
    <xf numFmtId="0" fontId="22" fillId="0" borderId="16" applyNumberFormat="0" applyFill="0" applyAlignment="0" applyProtection="0"/>
    <xf numFmtId="0" fontId="23" fillId="8" borderId="17" applyNumberFormat="0" applyAlignment="0" applyProtection="0"/>
    <xf numFmtId="0" fontId="10" fillId="0" borderId="0" applyNumberFormat="0" applyFill="0" applyBorder="0" applyAlignment="0" applyProtection="0"/>
    <xf numFmtId="0" fontId="7" fillId="9" borderId="18" applyNumberFormat="0" applyFont="0" applyAlignment="0" applyProtection="0"/>
    <xf numFmtId="0" fontId="24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5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5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5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5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5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5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6" fillId="5" borderId="0" applyNumberFormat="0" applyBorder="0" applyAlignment="0" applyProtection="0"/>
    <xf numFmtId="0" fontId="25" fillId="13" borderId="0" applyNumberFormat="0" applyBorder="0" applyAlignment="0" applyProtection="0"/>
    <xf numFmtId="0" fontId="25" fillId="17" borderId="0" applyNumberFormat="0" applyBorder="0" applyAlignment="0" applyProtection="0"/>
    <xf numFmtId="0" fontId="25" fillId="21" borderId="0" applyNumberFormat="0" applyBorder="0" applyAlignment="0" applyProtection="0"/>
    <xf numFmtId="0" fontId="25" fillId="25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7" fillId="9" borderId="18" applyNumberFormat="0" applyFont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7" fillId="0" borderId="0"/>
    <xf numFmtId="0" fontId="7" fillId="0" borderId="0"/>
    <xf numFmtId="0" fontId="7" fillId="0" borderId="0"/>
    <xf numFmtId="43" fontId="27" fillId="0" borderId="0" applyFont="0" applyFill="0" applyBorder="0" applyAlignment="0" applyProtection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28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9" fillId="0" borderId="9" xfId="23">
      <alignment wrapText="1"/>
    </xf>
    <xf numFmtId="0" fontId="0" fillId="0" borderId="8" xfId="24" applyFont="1">
      <alignment wrapText="1"/>
    </xf>
    <xf numFmtId="9" fontId="0" fillId="0" borderId="0" xfId="18" applyFont="1"/>
    <xf numFmtId="171" fontId="0" fillId="0" borderId="0" xfId="0" applyNumberFormat="1"/>
    <xf numFmtId="0" fontId="0" fillId="0" borderId="0" xfId="0" applyFill="1"/>
    <xf numFmtId="0" fontId="0" fillId="0" borderId="0" xfId="0" applyFill="1" applyAlignment="1">
      <alignment horizontal="left"/>
    </xf>
    <xf numFmtId="10" fontId="0" fillId="0" borderId="0" xfId="18" applyNumberFormat="1" applyFont="1"/>
    <xf numFmtId="165" fontId="0" fillId="34" borderId="0" xfId="0" applyNumberFormat="1" applyFill="1"/>
    <xf numFmtId="165" fontId="0" fillId="35" borderId="0" xfId="0" applyNumberFormat="1" applyFill="1"/>
    <xf numFmtId="165" fontId="0" fillId="36" borderId="0" xfId="0" applyNumberFormat="1" applyFill="1"/>
    <xf numFmtId="165" fontId="0" fillId="37" borderId="0" xfId="0" applyNumberFormat="1" applyFill="1"/>
    <xf numFmtId="165" fontId="0" fillId="38" borderId="0" xfId="0" applyNumberFormat="1" applyFill="1"/>
  </cellXfs>
  <cellStyles count="106">
    <cellStyle name="20% - Accent1" xfId="43" builtinId="30" customBuiltin="1"/>
    <cellStyle name="20% - Accent1 2" xfId="68" xr:uid="{00000000-0005-0000-0000-000001000000}"/>
    <cellStyle name="20% - Accent2" xfId="46" builtinId="34" customBuiltin="1"/>
    <cellStyle name="20% - Accent2 2" xfId="70" xr:uid="{00000000-0005-0000-0000-000003000000}"/>
    <cellStyle name="20% - Accent3" xfId="49" builtinId="38" customBuiltin="1"/>
    <cellStyle name="20% - Accent3 2" xfId="72" xr:uid="{00000000-0005-0000-0000-000005000000}"/>
    <cellStyle name="20% - Accent4" xfId="52" builtinId="42" customBuiltin="1"/>
    <cellStyle name="20% - Accent4 2" xfId="74" xr:uid="{00000000-0005-0000-0000-000007000000}"/>
    <cellStyle name="20% - Accent5" xfId="55" builtinId="46" customBuiltin="1"/>
    <cellStyle name="20% - Accent5 2" xfId="76" xr:uid="{00000000-0005-0000-0000-000009000000}"/>
    <cellStyle name="20% - Accent6" xfId="58" builtinId="50" customBuiltin="1"/>
    <cellStyle name="20% - Accent6 2" xfId="78" xr:uid="{00000000-0005-0000-0000-00000B000000}"/>
    <cellStyle name="40% - Accent1" xfId="44" builtinId="31" customBuiltin="1"/>
    <cellStyle name="40% - Accent1 2" xfId="69" xr:uid="{00000000-0005-0000-0000-00000D000000}"/>
    <cellStyle name="40% - Accent2" xfId="47" builtinId="35" customBuiltin="1"/>
    <cellStyle name="40% - Accent2 2" xfId="71" xr:uid="{00000000-0005-0000-0000-00000F000000}"/>
    <cellStyle name="40% - Accent3" xfId="50" builtinId="39" customBuiltin="1"/>
    <cellStyle name="40% - Accent3 2" xfId="73" xr:uid="{00000000-0005-0000-0000-000011000000}"/>
    <cellStyle name="40% - Accent4" xfId="53" builtinId="43" customBuiltin="1"/>
    <cellStyle name="40% - Accent4 2" xfId="75" xr:uid="{00000000-0005-0000-0000-000013000000}"/>
    <cellStyle name="40% - Accent5" xfId="56" builtinId="47" customBuiltin="1"/>
    <cellStyle name="40% - Accent5 2" xfId="77" xr:uid="{00000000-0005-0000-0000-000015000000}"/>
    <cellStyle name="40% - Accent6" xfId="59" builtinId="51" customBuiltin="1"/>
    <cellStyle name="40% - Accent6 2" xfId="79" xr:uid="{00000000-0005-0000-0000-000017000000}"/>
    <cellStyle name="60% - Accent1 2" xfId="61" xr:uid="{00000000-0005-0000-0000-000018000000}"/>
    <cellStyle name="60% - Accent2 2" xfId="62" xr:uid="{00000000-0005-0000-0000-000019000000}"/>
    <cellStyle name="60% - Accent3 2" xfId="63" xr:uid="{00000000-0005-0000-0000-00001A000000}"/>
    <cellStyle name="60% - Accent4 2" xfId="64" xr:uid="{00000000-0005-0000-0000-00001B000000}"/>
    <cellStyle name="60% - Accent5 2" xfId="65" xr:uid="{00000000-0005-0000-0000-00001C000000}"/>
    <cellStyle name="60% - Accent6 2" xfId="66" xr:uid="{00000000-0005-0000-0000-00001D000000}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Bad" xfId="32" builtinId="27" customBuiltin="1"/>
    <cellStyle name="Body: normal cell" xfId="2" xr:uid="{00000000-0005-0000-0000-000025000000}"/>
    <cellStyle name="Body: normal cell 2" xfId="24" xr:uid="{00000000-0005-0000-0000-000026000000}"/>
    <cellStyle name="Body: normal cell 2 2" xfId="99" xr:uid="{F9FD22FD-A8AD-4FDF-A2F8-00447604C49E}"/>
    <cellStyle name="Body: normal cell 3" xfId="92" xr:uid="{BCD0E873-A543-467A-9A49-B4333F53A44A}"/>
    <cellStyle name="Body: normal cell 4" xfId="84" xr:uid="{E9DA1D56-D392-4FDD-9AB9-AFD697ADE56D}"/>
    <cellStyle name="Calculation" xfId="35" builtinId="22" customBuiltin="1"/>
    <cellStyle name="Check Cell" xfId="37" builtinId="23" customBuiltin="1"/>
    <cellStyle name="Comma 2" xfId="83" xr:uid="{B0EABCB8-8FF6-4E8E-9CBF-73B9F155E41F}"/>
    <cellStyle name="Explanatory Text" xfId="40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20" xr:uid="{00000000-0005-0000-0000-00002C000000}"/>
    <cellStyle name="Font: Calibri, 9pt regular 2 2" xfId="100" xr:uid="{B45A806B-4A6D-4EC3-B426-2C89AA8B79A9}"/>
    <cellStyle name="Font: Calibri, 9pt regular 3" xfId="93" xr:uid="{BA946337-1538-435C-8E51-43B0AD91BF5A}"/>
    <cellStyle name="Font: Calibri, 9pt regular 4" xfId="85" xr:uid="{C0C14341-A837-4ACD-830F-CFF774233564}"/>
    <cellStyle name="Footnotes: all except top row" xfId="11" xr:uid="{00000000-0005-0000-0000-00002D000000}"/>
    <cellStyle name="Footnotes: top row" xfId="6" xr:uid="{00000000-0005-0000-0000-00002E000000}"/>
    <cellStyle name="Footnotes: top row 2" xfId="25" xr:uid="{00000000-0005-0000-0000-00002F000000}"/>
    <cellStyle name="Footnotes: top row 2 2" xfId="101" xr:uid="{C7EE84B0-8C49-4B63-9BD7-34489D085E46}"/>
    <cellStyle name="Footnotes: top row 3" xfId="94" xr:uid="{E3E59C82-1234-429D-A303-A098EFBA290B}"/>
    <cellStyle name="Footnotes: top row 4" xfId="86" xr:uid="{CBF38FF4-CA2B-4979-BAFC-2FFC5E5B1247}"/>
    <cellStyle name="Good" xfId="31" builtinId="26" customBuiltin="1"/>
    <cellStyle name="Header: bottom row" xfId="1" xr:uid="{00000000-0005-0000-0000-000031000000}"/>
    <cellStyle name="Header: bottom row 2" xfId="21" xr:uid="{00000000-0005-0000-0000-000032000000}"/>
    <cellStyle name="Header: bottom row 2 2" xfId="102" xr:uid="{C73D1EBF-7DC1-46CB-A671-492692A5A459}"/>
    <cellStyle name="Header: bottom row 3" xfId="95" xr:uid="{912610F7-0778-467E-9676-43060E7D57E0}"/>
    <cellStyle name="Header: bottom row 4" xfId="87" xr:uid="{7CFDEFF3-E240-4C16-B4FF-E452E1A33A89}"/>
    <cellStyle name="Header: top rows" xfId="3" xr:uid="{00000000-0005-0000-0000-000033000000}"/>
    <cellStyle name="Heading 1" xfId="27" builtinId="16" customBuiltin="1"/>
    <cellStyle name="Heading 2" xfId="28" builtinId="17" customBuiltin="1"/>
    <cellStyle name="Heading 3" xfId="29" builtinId="18" customBuiltin="1"/>
    <cellStyle name="Heading 4" xfId="30" builtinId="19" customBuiltin="1"/>
    <cellStyle name="Hyperlink" xfId="9" builtinId="8" customBuiltin="1"/>
    <cellStyle name="Input" xfId="33" builtinId="20" customBuiltin="1"/>
    <cellStyle name="Linked Cell" xfId="36" builtinId="24" customBuiltin="1"/>
    <cellStyle name="Neutral 2" xfId="60" xr:uid="{00000000-0005-0000-0000-00003B000000}"/>
    <cellStyle name="Normal" xfId="0" builtinId="0"/>
    <cellStyle name="Normal 2" xfId="19" xr:uid="{00000000-0005-0000-0000-00003D000000}"/>
    <cellStyle name="Normal 2 2" xfId="81" xr:uid="{82E402D6-1DF0-4E6A-9068-58786E0D42A2}"/>
    <cellStyle name="Normal 3" xfId="13" xr:uid="{00000000-0005-0000-0000-00003E000000}"/>
    <cellStyle name="Normal 3 2" xfId="80" xr:uid="{B36BF01F-9627-47E6-A0B3-E5842EE99611}"/>
    <cellStyle name="Normal 3 3" xfId="98" xr:uid="{F0C73D6E-A8BF-448C-9446-33B6D604CC21}"/>
    <cellStyle name="Normal 4" xfId="14" xr:uid="{00000000-0005-0000-0000-00003F000000}"/>
    <cellStyle name="Normal 4 2" xfId="91" xr:uid="{BCB90021-FF8C-42F7-ADA2-B9BDFF66101D}"/>
    <cellStyle name="Normal 4 2 2" xfId="82" xr:uid="{EA7BF279-956F-47C2-9A73-0954A56A37C4}"/>
    <cellStyle name="Normal 5" xfId="15" xr:uid="{00000000-0005-0000-0000-000040000000}"/>
    <cellStyle name="Normal 5 2" xfId="90" xr:uid="{74ACA4FB-164B-4107-894D-BF7311D394C2}"/>
    <cellStyle name="Normal 58" xfId="17" xr:uid="{00000000-0005-0000-0000-000041000000}"/>
    <cellStyle name="Normal 6" xfId="16" xr:uid="{00000000-0005-0000-0000-000042000000}"/>
    <cellStyle name="Normal 7" xfId="105" xr:uid="{35BE7235-CAC0-40FA-9182-826A605313D0}"/>
    <cellStyle name="Note" xfId="39" builtinId="10" customBuiltin="1"/>
    <cellStyle name="Note 2" xfId="67" xr:uid="{00000000-0005-0000-0000-000044000000}"/>
    <cellStyle name="Output" xfId="34" builtinId="21" customBuiltin="1"/>
    <cellStyle name="Parent row" xfId="5" xr:uid="{00000000-0005-0000-0000-000046000000}"/>
    <cellStyle name="Parent row 2" xfId="23" xr:uid="{00000000-0005-0000-0000-000047000000}"/>
    <cellStyle name="Parent row 2 2" xfId="103" xr:uid="{EF0020EF-F33F-4704-88B1-D5A04CF8DC57}"/>
    <cellStyle name="Parent row 3" xfId="96" xr:uid="{C835EB3A-4936-4519-9DBE-CDE5CF793B46}"/>
    <cellStyle name="Parent row 4" xfId="88" xr:uid="{335202ED-D721-43A9-8167-8FF1E1325660}"/>
    <cellStyle name="Percent" xfId="18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2" xr:uid="{00000000-0005-0000-0000-00004C000000}"/>
    <cellStyle name="Table title 2 2" xfId="104" xr:uid="{DC566D5F-CC97-4643-A661-EAD010A341CF}"/>
    <cellStyle name="Table title 3" xfId="97" xr:uid="{F228EAD7-26BA-4DDB-A128-195B3D3E1B50}"/>
    <cellStyle name="Table title 4" xfId="89" xr:uid="{2C10D0B8-A63F-4CB3-A438-90EC30484F3F}"/>
    <cellStyle name="Title" xfId="26" builtinId="15" customBuiltin="1"/>
    <cellStyle name="Total" xfId="41" builtinId="25" customBuiltin="1"/>
    <cellStyle name="Warning Text" xfId="3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315104</xdr:colOff>
      <xdr:row>15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305A7-405C-428C-856E-024AC5DE1D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B6" sqref="B6"/>
    </sheetView>
  </sheetViews>
  <sheetFormatPr defaultColWidth="8.85546875" defaultRowHeight="15" x14ac:dyDescent="0.25"/>
  <cols>
    <col min="2" max="2" width="76.5703125" customWidth="1"/>
    <col min="3" max="3" width="5.140625" customWidth="1"/>
    <col min="4" max="4" width="57.85546875" bestFit="1" customWidth="1"/>
    <col min="5" max="5" width="60.42578125" customWidth="1"/>
  </cols>
  <sheetData>
    <row r="1" spans="1:4" x14ac:dyDescent="0.25">
      <c r="A1" s="1" t="s">
        <v>2</v>
      </c>
    </row>
    <row r="2" spans="1:4" x14ac:dyDescent="0.25">
      <c r="A2" s="1"/>
    </row>
    <row r="4" spans="1:4" x14ac:dyDescent="0.25">
      <c r="A4" s="1" t="s">
        <v>0</v>
      </c>
      <c r="B4" s="2" t="s">
        <v>32</v>
      </c>
    </row>
    <row r="5" spans="1:4" x14ac:dyDescent="0.25">
      <c r="B5" s="7" t="s">
        <v>31</v>
      </c>
    </row>
    <row r="6" spans="1:4" x14ac:dyDescent="0.25">
      <c r="B6" s="8">
        <v>2025</v>
      </c>
    </row>
    <row r="7" spans="1:4" x14ac:dyDescent="0.25">
      <c r="B7" s="7" t="s">
        <v>33</v>
      </c>
    </row>
    <row r="8" spans="1:4" x14ac:dyDescent="0.25">
      <c r="B8" t="s">
        <v>34</v>
      </c>
    </row>
    <row r="9" spans="1:4" x14ac:dyDescent="0.25">
      <c r="B9" t="s">
        <v>35</v>
      </c>
    </row>
    <row r="11" spans="1:4" x14ac:dyDescent="0.25">
      <c r="A11" s="1" t="s">
        <v>3</v>
      </c>
    </row>
    <row r="12" spans="1:4" x14ac:dyDescent="0.25">
      <c r="A12" t="s">
        <v>4</v>
      </c>
      <c r="D12" s="4"/>
    </row>
    <row r="13" spans="1:4" x14ac:dyDescent="0.25">
      <c r="A13" t="s">
        <v>5</v>
      </c>
      <c r="D13" s="4"/>
    </row>
    <row r="14" spans="1:4" x14ac:dyDescent="0.25">
      <c r="D14" s="4"/>
    </row>
    <row r="15" spans="1:4" x14ac:dyDescent="0.25">
      <c r="D15" s="4"/>
    </row>
    <row r="16" spans="1:4" x14ac:dyDescent="0.25">
      <c r="D16" s="4"/>
    </row>
    <row r="17" spans="4:4" x14ac:dyDescent="0.25">
      <c r="D17" s="4"/>
    </row>
    <row r="18" spans="4:4" x14ac:dyDescent="0.25">
      <c r="D18" s="3"/>
    </row>
    <row r="19" spans="4:4" x14ac:dyDescent="0.25">
      <c r="D19" s="4"/>
    </row>
    <row r="20" spans="4:4" x14ac:dyDescent="0.25">
      <c r="D20" s="3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7B78-5F3A-4024-A428-861147EC67D3}">
  <dimension ref="B18:M28"/>
  <sheetViews>
    <sheetView workbookViewId="0">
      <selection activeCell="N26" sqref="N26"/>
    </sheetView>
  </sheetViews>
  <sheetFormatPr defaultRowHeight="15" x14ac:dyDescent="0.25"/>
  <cols>
    <col min="2" max="2" width="15.42578125" bestFit="1" customWidth="1"/>
    <col min="3" max="3" width="10.85546875" bestFit="1" customWidth="1"/>
    <col min="4" max="4" width="34" bestFit="1" customWidth="1"/>
    <col min="5" max="7" width="8.140625" bestFit="1" customWidth="1"/>
    <col min="11" max="11" width="15.28515625" bestFit="1" customWidth="1"/>
  </cols>
  <sheetData>
    <row r="18" spans="2:13" x14ac:dyDescent="0.25">
      <c r="D18" t="s">
        <v>17</v>
      </c>
      <c r="E18" t="s">
        <v>18</v>
      </c>
      <c r="F18">
        <v>2018</v>
      </c>
      <c r="G18">
        <v>2050</v>
      </c>
      <c r="K18" t="s">
        <v>37</v>
      </c>
    </row>
    <row r="19" spans="2:13" x14ac:dyDescent="0.25">
      <c r="B19" t="s">
        <v>29</v>
      </c>
      <c r="C19" t="s">
        <v>19</v>
      </c>
      <c r="D19" t="s">
        <v>20</v>
      </c>
      <c r="E19" t="s">
        <v>21</v>
      </c>
      <c r="F19" t="s">
        <v>30</v>
      </c>
      <c r="G19" t="s">
        <v>30</v>
      </c>
      <c r="I19">
        <v>2021</v>
      </c>
      <c r="J19">
        <v>2050</v>
      </c>
      <c r="K19" t="s">
        <v>36</v>
      </c>
      <c r="M19" t="s">
        <v>14</v>
      </c>
    </row>
    <row r="20" spans="2:13" x14ac:dyDescent="0.25">
      <c r="B20" t="s">
        <v>15</v>
      </c>
      <c r="C20" t="s">
        <v>16</v>
      </c>
      <c r="D20">
        <v>0.218</v>
      </c>
      <c r="E20">
        <v>0.84399999999999997</v>
      </c>
      <c r="F20">
        <v>0.96499999999999997</v>
      </c>
      <c r="G20">
        <v>0.81200000000000006</v>
      </c>
      <c r="I20" s="6" cm="1">
        <f t="array" ref="I20">TREND(F20:G20,$F$18:$G$18,$I$19)</f>
        <v>0.95065624999999976</v>
      </c>
      <c r="J20">
        <f>G20</f>
        <v>0.81200000000000006</v>
      </c>
      <c r="K20" s="5">
        <f>1-J20/I20</f>
        <v>0.14585319351763559</v>
      </c>
      <c r="M20" s="9">
        <f>(1+K20)^(1/($J$19-$I$19))-1</f>
        <v>4.7058484658348831E-3</v>
      </c>
    </row>
    <row r="21" spans="2:13" x14ac:dyDescent="0.25">
      <c r="B21" t="s">
        <v>15</v>
      </c>
      <c r="C21" t="s">
        <v>22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6" cm="1">
        <f t="array" ref="I21">TREND(F21:G21,$F$18:$G$18,$I$19)</f>
        <v>0.9790312499999998</v>
      </c>
      <c r="J21">
        <f t="shared" ref="J21:J28" si="0">G21</f>
        <v>0.93100000000000005</v>
      </c>
      <c r="K21" s="5">
        <f t="shared" ref="K21:K28" si="1">1-J21/I21</f>
        <v>4.9059976379711823E-2</v>
      </c>
      <c r="M21" s="9">
        <f t="shared" ref="M21:M28" si="2">(1+K21)^(1/($J$19-$I$19))-1</f>
        <v>1.6528991065023479E-3</v>
      </c>
    </row>
    <row r="22" spans="2:13" x14ac:dyDescent="0.25">
      <c r="B22" t="s">
        <v>15</v>
      </c>
      <c r="C22" t="s">
        <v>23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6" cm="1">
        <f t="array" ref="I22">TREND(F22:G22,$F$18:$G$18,$I$19)</f>
        <v>0.95084375000000065</v>
      </c>
      <c r="J22">
        <f t="shared" si="0"/>
        <v>0.81399999999999995</v>
      </c>
      <c r="K22" s="5">
        <f t="shared" si="1"/>
        <v>0.14391823051894759</v>
      </c>
      <c r="M22" s="9">
        <f t="shared" si="2"/>
        <v>4.647296846603588E-3</v>
      </c>
    </row>
    <row r="23" spans="2:13" x14ac:dyDescent="0.25">
      <c r="B23" t="s">
        <v>24</v>
      </c>
      <c r="C23" t="s">
        <v>22</v>
      </c>
      <c r="D23">
        <v>3.9E-2</v>
      </c>
      <c r="E23">
        <v>0.91400000000000003</v>
      </c>
      <c r="F23">
        <v>0.97</v>
      </c>
      <c r="G23">
        <v>0.89</v>
      </c>
      <c r="I23" s="6" cm="1">
        <f t="array" ref="I23">TREND(F23:G23,$F$18:$G$18,$I$19)</f>
        <v>0.96249999999999947</v>
      </c>
      <c r="J23">
        <f t="shared" si="0"/>
        <v>0.89</v>
      </c>
      <c r="K23" s="5">
        <f t="shared" si="1"/>
        <v>7.5324675324674795E-2</v>
      </c>
      <c r="M23" s="9">
        <f t="shared" si="2"/>
        <v>2.5073671499298289E-3</v>
      </c>
    </row>
    <row r="24" spans="2:13" x14ac:dyDescent="0.25">
      <c r="B24" t="s">
        <v>25</v>
      </c>
      <c r="C24" t="s">
        <v>16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6" cm="1">
        <f t="array" ref="I24">TREND(F24:G24,$F$18:$G$18,$I$19)</f>
        <v>0.9479375000000001</v>
      </c>
      <c r="J24">
        <f t="shared" si="0"/>
        <v>0.81200000000000006</v>
      </c>
      <c r="K24" s="5">
        <f t="shared" si="1"/>
        <v>0.14340344168260044</v>
      </c>
      <c r="M24" s="9">
        <f t="shared" si="2"/>
        <v>4.6317033277367692E-3</v>
      </c>
    </row>
    <row r="25" spans="2:13" x14ac:dyDescent="0.25">
      <c r="B25" t="s">
        <v>25</v>
      </c>
      <c r="C25" t="s">
        <v>22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6" cm="1">
        <f t="array" ref="I25">TREND(F25:G25,$F$18:$G$18,$I$19)</f>
        <v>0.97603125000000013</v>
      </c>
      <c r="J25">
        <f t="shared" si="0"/>
        <v>0.89900000000000002</v>
      </c>
      <c r="K25" s="5">
        <f t="shared" si="1"/>
        <v>7.8922934076137485E-2</v>
      </c>
      <c r="M25" s="9">
        <f t="shared" si="2"/>
        <v>2.6228564526837861E-3</v>
      </c>
    </row>
    <row r="26" spans="2:13" x14ac:dyDescent="0.25">
      <c r="B26" t="s">
        <v>26</v>
      </c>
      <c r="C26" t="s">
        <v>22</v>
      </c>
      <c r="D26">
        <v>1E-3</v>
      </c>
      <c r="E26">
        <v>0.90900000000000003</v>
      </c>
      <c r="F26">
        <v>0.97099999999999997</v>
      </c>
      <c r="G26">
        <v>0.83699999999999997</v>
      </c>
      <c r="I26" s="6" cm="1">
        <f t="array" ref="I26">TREND(F26:G26,$F$18:$G$18,$I$19)</f>
        <v>0.9584375000000005</v>
      </c>
      <c r="J26">
        <f t="shared" si="0"/>
        <v>0.83699999999999997</v>
      </c>
      <c r="K26" s="5">
        <f t="shared" si="1"/>
        <v>0.1267036191718296</v>
      </c>
      <c r="M26" s="9">
        <f t="shared" si="2"/>
        <v>4.1221354268379251E-3</v>
      </c>
    </row>
    <row r="27" spans="2:13" x14ac:dyDescent="0.25">
      <c r="B27" t="s">
        <v>27</v>
      </c>
      <c r="C27" t="s">
        <v>16</v>
      </c>
      <c r="D27">
        <v>1.0999999999999999E-2</v>
      </c>
      <c r="E27">
        <v>0.872</v>
      </c>
      <c r="F27">
        <v>0.94599999999999995</v>
      </c>
      <c r="G27">
        <v>0.82</v>
      </c>
      <c r="I27" s="6" cm="1">
        <f t="array" ref="I27">TREND(F27:G27,$F$18:$G$18,$I$19)</f>
        <v>0.93418749999999839</v>
      </c>
      <c r="J27">
        <f t="shared" si="0"/>
        <v>0.82</v>
      </c>
      <c r="K27" s="5">
        <f t="shared" si="1"/>
        <v>0.12223188599718859</v>
      </c>
      <c r="M27" s="9">
        <f t="shared" si="2"/>
        <v>3.9844499240675457E-3</v>
      </c>
    </row>
    <row r="28" spans="2:13" x14ac:dyDescent="0.25">
      <c r="B28" t="s">
        <v>28</v>
      </c>
      <c r="C28" t="s">
        <v>22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6" cm="1">
        <f t="array" ref="I28">TREND(F28:G28,$F$18:$G$18,$I$19)</f>
        <v>0.96440625000000058</v>
      </c>
      <c r="J28">
        <f t="shared" si="0"/>
        <v>0.89100000000000001</v>
      </c>
      <c r="K28" s="5">
        <f t="shared" si="1"/>
        <v>7.611548556430503E-2</v>
      </c>
      <c r="M28" s="9">
        <f t="shared" si="2"/>
        <v>2.5327808621358194E-3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4B172-C1A6-434D-B033-E39FCD33B2CE}">
  <sheetPr>
    <tabColor theme="3"/>
  </sheetPr>
  <dimension ref="A1:AE9"/>
  <sheetViews>
    <sheetView workbookViewId="0">
      <selection activeCell="C14" sqref="C14"/>
    </sheetView>
  </sheetViews>
  <sheetFormatPr defaultRowHeight="15" x14ac:dyDescent="0.25"/>
  <cols>
    <col min="1" max="1" width="45.42578125" bestFit="1" customWidth="1"/>
  </cols>
  <sheetData>
    <row r="1" spans="1:31" x14ac:dyDescent="0.2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</v>
      </c>
      <c r="B2" s="10">
        <v>0</v>
      </c>
      <c r="C2" s="10">
        <f>MECS!$M$21</f>
        <v>1.6528991065023479E-3</v>
      </c>
      <c r="D2" s="10">
        <f>MECS!$M$21</f>
        <v>1.6528991065023479E-3</v>
      </c>
      <c r="E2" s="10">
        <f>MECS!$M$21</f>
        <v>1.6528991065023479E-3</v>
      </c>
      <c r="F2" s="10">
        <f>MECS!$M$21</f>
        <v>1.6528991065023479E-3</v>
      </c>
      <c r="G2" s="10">
        <f>MECS!$M$21</f>
        <v>1.6528991065023479E-3</v>
      </c>
      <c r="H2" s="10">
        <f>MECS!$M$21</f>
        <v>1.6528991065023479E-3</v>
      </c>
      <c r="I2" s="10">
        <f>MECS!$M$21</f>
        <v>1.6528991065023479E-3</v>
      </c>
      <c r="J2" s="10">
        <f>MECS!$M$21</f>
        <v>1.6528991065023479E-3</v>
      </c>
      <c r="K2" s="10">
        <f>MECS!$M$21</f>
        <v>1.6528991065023479E-3</v>
      </c>
      <c r="L2" s="10">
        <f>MECS!$M$21</f>
        <v>1.6528991065023479E-3</v>
      </c>
      <c r="M2" s="10">
        <f>MECS!$M$21</f>
        <v>1.6528991065023479E-3</v>
      </c>
      <c r="N2" s="10">
        <f>MECS!$M$21</f>
        <v>1.6528991065023479E-3</v>
      </c>
      <c r="O2" s="10">
        <f>MECS!$M$21</f>
        <v>1.6528991065023479E-3</v>
      </c>
      <c r="P2" s="10">
        <f>MECS!$M$21</f>
        <v>1.6528991065023479E-3</v>
      </c>
      <c r="Q2" s="10">
        <f>MECS!$M$21</f>
        <v>1.6528991065023479E-3</v>
      </c>
      <c r="R2" s="10">
        <f>MECS!$M$21</f>
        <v>1.6528991065023479E-3</v>
      </c>
      <c r="S2" s="10">
        <f>MECS!$M$21</f>
        <v>1.6528991065023479E-3</v>
      </c>
      <c r="T2" s="10">
        <f>MECS!$M$21</f>
        <v>1.6528991065023479E-3</v>
      </c>
      <c r="U2" s="10">
        <f>MECS!$M$21</f>
        <v>1.6528991065023479E-3</v>
      </c>
      <c r="V2" s="10">
        <f>MECS!$M$21</f>
        <v>1.6528991065023479E-3</v>
      </c>
      <c r="W2" s="10">
        <f>MECS!$M$21</f>
        <v>1.6528991065023479E-3</v>
      </c>
      <c r="X2" s="10">
        <f>MECS!$M$21</f>
        <v>1.6528991065023479E-3</v>
      </c>
      <c r="Y2" s="10">
        <f>MECS!$M$21</f>
        <v>1.6528991065023479E-3</v>
      </c>
      <c r="Z2" s="10">
        <f>MECS!$M$21</f>
        <v>1.6528991065023479E-3</v>
      </c>
      <c r="AA2" s="10">
        <f>MECS!$M$21</f>
        <v>1.6528991065023479E-3</v>
      </c>
      <c r="AB2" s="10">
        <f>MECS!$M$21</f>
        <v>1.6528991065023479E-3</v>
      </c>
      <c r="AC2" s="10">
        <f>MECS!$M$21</f>
        <v>1.6528991065023479E-3</v>
      </c>
      <c r="AD2" s="10">
        <f>MECS!$M$21</f>
        <v>1.6528991065023479E-3</v>
      </c>
      <c r="AE2" s="10">
        <f>MECS!$M$21</f>
        <v>1.6528991065023479E-3</v>
      </c>
    </row>
    <row r="3" spans="1:31" x14ac:dyDescent="0.25">
      <c r="A3" t="s">
        <v>7</v>
      </c>
      <c r="B3" s="10">
        <v>0</v>
      </c>
      <c r="C3" s="10">
        <f>MECS!$M$21</f>
        <v>1.6528991065023479E-3</v>
      </c>
      <c r="D3" s="10">
        <f>MECS!$M$21</f>
        <v>1.6528991065023479E-3</v>
      </c>
      <c r="E3" s="10">
        <f>MECS!$M$21</f>
        <v>1.6528991065023479E-3</v>
      </c>
      <c r="F3" s="10">
        <f>MECS!$M$21</f>
        <v>1.6528991065023479E-3</v>
      </c>
      <c r="G3" s="10">
        <f>MECS!$M$21</f>
        <v>1.6528991065023479E-3</v>
      </c>
      <c r="H3" s="10">
        <f>MECS!$M$21</f>
        <v>1.6528991065023479E-3</v>
      </c>
      <c r="I3" s="10">
        <f>MECS!$M$21</f>
        <v>1.6528991065023479E-3</v>
      </c>
      <c r="J3" s="10">
        <f>MECS!$M$21</f>
        <v>1.6528991065023479E-3</v>
      </c>
      <c r="K3" s="10">
        <f>MECS!$M$21</f>
        <v>1.6528991065023479E-3</v>
      </c>
      <c r="L3" s="10">
        <f>MECS!$M$21</f>
        <v>1.6528991065023479E-3</v>
      </c>
      <c r="M3" s="10">
        <f>MECS!$M$21</f>
        <v>1.6528991065023479E-3</v>
      </c>
      <c r="N3" s="10">
        <f>MECS!$M$21</f>
        <v>1.6528991065023479E-3</v>
      </c>
      <c r="O3" s="10">
        <f>MECS!$M$21</f>
        <v>1.6528991065023479E-3</v>
      </c>
      <c r="P3" s="10">
        <f>MECS!$M$21</f>
        <v>1.6528991065023479E-3</v>
      </c>
      <c r="Q3" s="10">
        <f>MECS!$M$21</f>
        <v>1.6528991065023479E-3</v>
      </c>
      <c r="R3" s="10">
        <f>MECS!$M$21</f>
        <v>1.6528991065023479E-3</v>
      </c>
      <c r="S3" s="10">
        <f>MECS!$M$21</f>
        <v>1.6528991065023479E-3</v>
      </c>
      <c r="T3" s="10">
        <f>MECS!$M$21</f>
        <v>1.6528991065023479E-3</v>
      </c>
      <c r="U3" s="10">
        <f>MECS!$M$21</f>
        <v>1.6528991065023479E-3</v>
      </c>
      <c r="V3" s="10">
        <f>MECS!$M$21</f>
        <v>1.6528991065023479E-3</v>
      </c>
      <c r="W3" s="10">
        <f>MECS!$M$21</f>
        <v>1.6528991065023479E-3</v>
      </c>
      <c r="X3" s="10">
        <f>MECS!$M$21</f>
        <v>1.6528991065023479E-3</v>
      </c>
      <c r="Y3" s="10">
        <f>MECS!$M$21</f>
        <v>1.6528991065023479E-3</v>
      </c>
      <c r="Z3" s="10">
        <f>MECS!$M$21</f>
        <v>1.6528991065023479E-3</v>
      </c>
      <c r="AA3" s="10">
        <f>MECS!$M$21</f>
        <v>1.6528991065023479E-3</v>
      </c>
      <c r="AB3" s="10">
        <f>MECS!$M$21</f>
        <v>1.6528991065023479E-3</v>
      </c>
      <c r="AC3" s="10">
        <f>MECS!$M$21</f>
        <v>1.6528991065023479E-3</v>
      </c>
      <c r="AD3" s="10">
        <f>MECS!$M$21</f>
        <v>1.6528991065023479E-3</v>
      </c>
      <c r="AE3" s="10">
        <f>MECS!$M$21</f>
        <v>1.6528991065023479E-3</v>
      </c>
    </row>
    <row r="4" spans="1:31" x14ac:dyDescent="0.25">
      <c r="A4" t="s">
        <v>8</v>
      </c>
      <c r="B4" s="10">
        <v>0</v>
      </c>
      <c r="C4" s="10">
        <f>MECS!$M$21</f>
        <v>1.6528991065023479E-3</v>
      </c>
      <c r="D4" s="10">
        <f>MECS!$M$21</f>
        <v>1.6528991065023479E-3</v>
      </c>
      <c r="E4" s="10">
        <f>MECS!$M$21</f>
        <v>1.6528991065023479E-3</v>
      </c>
      <c r="F4" s="10">
        <f>MECS!$M$21</f>
        <v>1.6528991065023479E-3</v>
      </c>
      <c r="G4" s="10">
        <f>MECS!$M$21</f>
        <v>1.6528991065023479E-3</v>
      </c>
      <c r="H4" s="10">
        <f>MECS!$M$21</f>
        <v>1.6528991065023479E-3</v>
      </c>
      <c r="I4" s="10">
        <f>MECS!$M$21</f>
        <v>1.6528991065023479E-3</v>
      </c>
      <c r="J4" s="10">
        <f>MECS!$M$21</f>
        <v>1.6528991065023479E-3</v>
      </c>
      <c r="K4" s="10">
        <f>MECS!$M$21</f>
        <v>1.6528991065023479E-3</v>
      </c>
      <c r="L4" s="10">
        <f>MECS!$M$21</f>
        <v>1.6528991065023479E-3</v>
      </c>
      <c r="M4" s="10">
        <f>MECS!$M$21</f>
        <v>1.6528991065023479E-3</v>
      </c>
      <c r="N4" s="10">
        <f>MECS!$M$21</f>
        <v>1.6528991065023479E-3</v>
      </c>
      <c r="O4" s="10">
        <f>MECS!$M$21</f>
        <v>1.6528991065023479E-3</v>
      </c>
      <c r="P4" s="10">
        <f>MECS!$M$21</f>
        <v>1.6528991065023479E-3</v>
      </c>
      <c r="Q4" s="10">
        <f>MECS!$M$21</f>
        <v>1.6528991065023479E-3</v>
      </c>
      <c r="R4" s="10">
        <f>MECS!$M$21</f>
        <v>1.6528991065023479E-3</v>
      </c>
      <c r="S4" s="10">
        <f>MECS!$M$21</f>
        <v>1.6528991065023479E-3</v>
      </c>
      <c r="T4" s="10">
        <f>MECS!$M$21</f>
        <v>1.6528991065023479E-3</v>
      </c>
      <c r="U4" s="10">
        <f>MECS!$M$21</f>
        <v>1.6528991065023479E-3</v>
      </c>
      <c r="V4" s="10">
        <f>MECS!$M$21</f>
        <v>1.6528991065023479E-3</v>
      </c>
      <c r="W4" s="10">
        <f>MECS!$M$21</f>
        <v>1.6528991065023479E-3</v>
      </c>
      <c r="X4" s="10">
        <f>MECS!$M$21</f>
        <v>1.6528991065023479E-3</v>
      </c>
      <c r="Y4" s="10">
        <f>MECS!$M$21</f>
        <v>1.6528991065023479E-3</v>
      </c>
      <c r="Z4" s="10">
        <f>MECS!$M$21</f>
        <v>1.6528991065023479E-3</v>
      </c>
      <c r="AA4" s="10">
        <f>MECS!$M$21</f>
        <v>1.6528991065023479E-3</v>
      </c>
      <c r="AB4" s="10">
        <f>MECS!$M$21</f>
        <v>1.6528991065023479E-3</v>
      </c>
      <c r="AC4" s="10">
        <f>MECS!$M$21</f>
        <v>1.6528991065023479E-3</v>
      </c>
      <c r="AD4" s="10">
        <f>MECS!$M$21</f>
        <v>1.6528991065023479E-3</v>
      </c>
      <c r="AE4" s="10">
        <f>MECS!$M$21</f>
        <v>1.6528991065023479E-3</v>
      </c>
    </row>
    <row r="5" spans="1:31" x14ac:dyDescent="0.25">
      <c r="A5" t="s">
        <v>9</v>
      </c>
      <c r="B5" s="10">
        <v>0</v>
      </c>
      <c r="C5" s="10">
        <f>MECS!$M$21</f>
        <v>1.6528991065023479E-3</v>
      </c>
      <c r="D5" s="10">
        <f>MECS!$M$21</f>
        <v>1.6528991065023479E-3</v>
      </c>
      <c r="E5" s="10">
        <f>MECS!$M$21</f>
        <v>1.6528991065023479E-3</v>
      </c>
      <c r="F5" s="10">
        <f>MECS!$M$21</f>
        <v>1.6528991065023479E-3</v>
      </c>
      <c r="G5" s="10">
        <f>MECS!$M$21</f>
        <v>1.6528991065023479E-3</v>
      </c>
      <c r="H5" s="10">
        <f>MECS!$M$21</f>
        <v>1.6528991065023479E-3</v>
      </c>
      <c r="I5" s="10">
        <f>MECS!$M$21</f>
        <v>1.6528991065023479E-3</v>
      </c>
      <c r="J5" s="10">
        <f>MECS!$M$21</f>
        <v>1.6528991065023479E-3</v>
      </c>
      <c r="K5" s="10">
        <f>MECS!$M$21</f>
        <v>1.6528991065023479E-3</v>
      </c>
      <c r="L5" s="10">
        <f>MECS!$M$21</f>
        <v>1.6528991065023479E-3</v>
      </c>
      <c r="M5" s="10">
        <f>MECS!$M$21</f>
        <v>1.6528991065023479E-3</v>
      </c>
      <c r="N5" s="10">
        <f>MECS!$M$21</f>
        <v>1.6528991065023479E-3</v>
      </c>
      <c r="O5" s="10">
        <f>MECS!$M$21</f>
        <v>1.6528991065023479E-3</v>
      </c>
      <c r="P5" s="10">
        <f>MECS!$M$21</f>
        <v>1.6528991065023479E-3</v>
      </c>
      <c r="Q5" s="10">
        <f>MECS!$M$21</f>
        <v>1.6528991065023479E-3</v>
      </c>
      <c r="R5" s="10">
        <f>MECS!$M$21</f>
        <v>1.6528991065023479E-3</v>
      </c>
      <c r="S5" s="10">
        <f>MECS!$M$21</f>
        <v>1.6528991065023479E-3</v>
      </c>
      <c r="T5" s="10">
        <f>MECS!$M$21</f>
        <v>1.6528991065023479E-3</v>
      </c>
      <c r="U5" s="10">
        <f>MECS!$M$21</f>
        <v>1.6528991065023479E-3</v>
      </c>
      <c r="V5" s="10">
        <f>MECS!$M$21</f>
        <v>1.6528991065023479E-3</v>
      </c>
      <c r="W5" s="10">
        <f>MECS!$M$21</f>
        <v>1.6528991065023479E-3</v>
      </c>
      <c r="X5" s="10">
        <f>MECS!$M$21</f>
        <v>1.6528991065023479E-3</v>
      </c>
      <c r="Y5" s="10">
        <f>MECS!$M$21</f>
        <v>1.6528991065023479E-3</v>
      </c>
      <c r="Z5" s="10">
        <f>MECS!$M$21</f>
        <v>1.6528991065023479E-3</v>
      </c>
      <c r="AA5" s="10">
        <f>MECS!$M$21</f>
        <v>1.6528991065023479E-3</v>
      </c>
      <c r="AB5" s="10">
        <f>MECS!$M$21</f>
        <v>1.6528991065023479E-3</v>
      </c>
      <c r="AC5" s="10">
        <f>MECS!$M$21</f>
        <v>1.6528991065023479E-3</v>
      </c>
      <c r="AD5" s="10">
        <f>MECS!$M$21</f>
        <v>1.6528991065023479E-3</v>
      </c>
      <c r="AE5" s="10">
        <f>MECS!$M$21</f>
        <v>1.6528991065023479E-3</v>
      </c>
    </row>
    <row r="6" spans="1:31" x14ac:dyDescent="0.25">
      <c r="A6" t="s">
        <v>10</v>
      </c>
      <c r="B6" s="11">
        <v>0</v>
      </c>
      <c r="C6" s="11">
        <f>MECS!$M$23</f>
        <v>2.5073671499298289E-3</v>
      </c>
      <c r="D6" s="11">
        <f>MECS!$M$23</f>
        <v>2.5073671499298289E-3</v>
      </c>
      <c r="E6" s="11">
        <f>MECS!$M$23</f>
        <v>2.5073671499298289E-3</v>
      </c>
      <c r="F6" s="11">
        <f>MECS!$M$23</f>
        <v>2.5073671499298289E-3</v>
      </c>
      <c r="G6" s="11">
        <f>MECS!$M$23</f>
        <v>2.5073671499298289E-3</v>
      </c>
      <c r="H6" s="11">
        <f>MECS!$M$23</f>
        <v>2.5073671499298289E-3</v>
      </c>
      <c r="I6" s="11">
        <f>MECS!$M$23</f>
        <v>2.5073671499298289E-3</v>
      </c>
      <c r="J6" s="11">
        <f>MECS!$M$23</f>
        <v>2.5073671499298289E-3</v>
      </c>
      <c r="K6" s="11">
        <f>MECS!$M$23</f>
        <v>2.5073671499298289E-3</v>
      </c>
      <c r="L6" s="11">
        <f>MECS!$M$23</f>
        <v>2.5073671499298289E-3</v>
      </c>
      <c r="M6" s="11">
        <f>MECS!$M$23</f>
        <v>2.5073671499298289E-3</v>
      </c>
      <c r="N6" s="11">
        <f>MECS!$M$23</f>
        <v>2.5073671499298289E-3</v>
      </c>
      <c r="O6" s="11">
        <f>MECS!$M$23</f>
        <v>2.5073671499298289E-3</v>
      </c>
      <c r="P6" s="11">
        <f>MECS!$M$23</f>
        <v>2.5073671499298289E-3</v>
      </c>
      <c r="Q6" s="11">
        <f>MECS!$M$23</f>
        <v>2.5073671499298289E-3</v>
      </c>
      <c r="R6" s="11">
        <f>MECS!$M$23</f>
        <v>2.5073671499298289E-3</v>
      </c>
      <c r="S6" s="11">
        <f>MECS!$M$23</f>
        <v>2.5073671499298289E-3</v>
      </c>
      <c r="T6" s="11">
        <f>MECS!$M$23</f>
        <v>2.5073671499298289E-3</v>
      </c>
      <c r="U6" s="11">
        <f>MECS!$M$23</f>
        <v>2.5073671499298289E-3</v>
      </c>
      <c r="V6" s="11">
        <f>MECS!$M$23</f>
        <v>2.5073671499298289E-3</v>
      </c>
      <c r="W6" s="11">
        <f>MECS!$M$23</f>
        <v>2.5073671499298289E-3</v>
      </c>
      <c r="X6" s="11">
        <f>MECS!$M$23</f>
        <v>2.5073671499298289E-3</v>
      </c>
      <c r="Y6" s="11">
        <f>MECS!$M$23</f>
        <v>2.5073671499298289E-3</v>
      </c>
      <c r="Z6" s="11">
        <f>MECS!$M$23</f>
        <v>2.5073671499298289E-3</v>
      </c>
      <c r="AA6" s="11">
        <f>MECS!$M$23</f>
        <v>2.5073671499298289E-3</v>
      </c>
      <c r="AB6" s="11">
        <f>MECS!$M$23</f>
        <v>2.5073671499298289E-3</v>
      </c>
      <c r="AC6" s="11">
        <f>MECS!$M$23</f>
        <v>2.5073671499298289E-3</v>
      </c>
      <c r="AD6" s="11">
        <f>MECS!$M$23</f>
        <v>2.5073671499298289E-3</v>
      </c>
      <c r="AE6" s="11">
        <f>MECS!$M$23</f>
        <v>2.5073671499298289E-3</v>
      </c>
    </row>
    <row r="7" spans="1:31" x14ac:dyDescent="0.25">
      <c r="A7" t="s">
        <v>11</v>
      </c>
      <c r="B7" s="12">
        <v>0</v>
      </c>
      <c r="C7" s="12">
        <f>MECS!$M$25</f>
        <v>2.6228564526837861E-3</v>
      </c>
      <c r="D7" s="12">
        <f>MECS!$M$25</f>
        <v>2.6228564526837861E-3</v>
      </c>
      <c r="E7" s="12">
        <f>MECS!$M$25</f>
        <v>2.6228564526837861E-3</v>
      </c>
      <c r="F7" s="12">
        <f>MECS!$M$25</f>
        <v>2.6228564526837861E-3</v>
      </c>
      <c r="G7" s="12">
        <f>MECS!$M$25</f>
        <v>2.6228564526837861E-3</v>
      </c>
      <c r="H7" s="12">
        <f>MECS!$M$25</f>
        <v>2.6228564526837861E-3</v>
      </c>
      <c r="I7" s="12">
        <f>MECS!$M$25</f>
        <v>2.6228564526837861E-3</v>
      </c>
      <c r="J7" s="12">
        <f>MECS!$M$25</f>
        <v>2.6228564526837861E-3</v>
      </c>
      <c r="K7" s="12">
        <f>MECS!$M$25</f>
        <v>2.6228564526837861E-3</v>
      </c>
      <c r="L7" s="12">
        <f>MECS!$M$25</f>
        <v>2.6228564526837861E-3</v>
      </c>
      <c r="M7" s="12">
        <f>MECS!$M$25</f>
        <v>2.6228564526837861E-3</v>
      </c>
      <c r="N7" s="12">
        <f>MECS!$M$25</f>
        <v>2.6228564526837861E-3</v>
      </c>
      <c r="O7" s="12">
        <f>MECS!$M$25</f>
        <v>2.6228564526837861E-3</v>
      </c>
      <c r="P7" s="12">
        <f>MECS!$M$25</f>
        <v>2.6228564526837861E-3</v>
      </c>
      <c r="Q7" s="12">
        <f>MECS!$M$25</f>
        <v>2.6228564526837861E-3</v>
      </c>
      <c r="R7" s="12">
        <f>MECS!$M$25</f>
        <v>2.6228564526837861E-3</v>
      </c>
      <c r="S7" s="12">
        <f>MECS!$M$25</f>
        <v>2.6228564526837861E-3</v>
      </c>
      <c r="T7" s="12">
        <f>MECS!$M$25</f>
        <v>2.6228564526837861E-3</v>
      </c>
      <c r="U7" s="12">
        <f>MECS!$M$25</f>
        <v>2.6228564526837861E-3</v>
      </c>
      <c r="V7" s="12">
        <f>MECS!$M$25</f>
        <v>2.6228564526837861E-3</v>
      </c>
      <c r="W7" s="12">
        <f>MECS!$M$25</f>
        <v>2.6228564526837861E-3</v>
      </c>
      <c r="X7" s="12">
        <f>MECS!$M$25</f>
        <v>2.6228564526837861E-3</v>
      </c>
      <c r="Y7" s="12">
        <f>MECS!$M$25</f>
        <v>2.6228564526837861E-3</v>
      </c>
      <c r="Z7" s="12">
        <f>MECS!$M$25</f>
        <v>2.6228564526837861E-3</v>
      </c>
      <c r="AA7" s="12">
        <f>MECS!$M$25</f>
        <v>2.6228564526837861E-3</v>
      </c>
      <c r="AB7" s="12">
        <f>MECS!$M$25</f>
        <v>2.6228564526837861E-3</v>
      </c>
      <c r="AC7" s="12">
        <f>MECS!$M$25</f>
        <v>2.6228564526837861E-3</v>
      </c>
      <c r="AD7" s="12">
        <f>MECS!$M$25</f>
        <v>2.6228564526837861E-3</v>
      </c>
      <c r="AE7" s="12">
        <f>MECS!$M$25</f>
        <v>2.6228564526837861E-3</v>
      </c>
    </row>
    <row r="8" spans="1:31" x14ac:dyDescent="0.25">
      <c r="A8" t="s">
        <v>12</v>
      </c>
      <c r="B8" s="13">
        <v>0</v>
      </c>
      <c r="C8" s="13">
        <f>MECS!$M$26</f>
        <v>4.1221354268379251E-3</v>
      </c>
      <c r="D8" s="13">
        <f>MECS!$M$26</f>
        <v>4.1221354268379251E-3</v>
      </c>
      <c r="E8" s="13">
        <f>MECS!$M$26</f>
        <v>4.1221354268379251E-3</v>
      </c>
      <c r="F8" s="13">
        <f>MECS!$M$26</f>
        <v>4.1221354268379251E-3</v>
      </c>
      <c r="G8" s="13">
        <f>MECS!$M$26</f>
        <v>4.1221354268379251E-3</v>
      </c>
      <c r="H8" s="13">
        <f>MECS!$M$26</f>
        <v>4.1221354268379251E-3</v>
      </c>
      <c r="I8" s="13">
        <f>MECS!$M$26</f>
        <v>4.1221354268379251E-3</v>
      </c>
      <c r="J8" s="13">
        <f>MECS!$M$26</f>
        <v>4.1221354268379251E-3</v>
      </c>
      <c r="K8" s="13">
        <f>MECS!$M$26</f>
        <v>4.1221354268379251E-3</v>
      </c>
      <c r="L8" s="13">
        <f>MECS!$M$26</f>
        <v>4.1221354268379251E-3</v>
      </c>
      <c r="M8" s="13">
        <f>MECS!$M$26</f>
        <v>4.1221354268379251E-3</v>
      </c>
      <c r="N8" s="13">
        <f>MECS!$M$26</f>
        <v>4.1221354268379251E-3</v>
      </c>
      <c r="O8" s="13">
        <f>MECS!$M$26</f>
        <v>4.1221354268379251E-3</v>
      </c>
      <c r="P8" s="13">
        <f>MECS!$M$26</f>
        <v>4.1221354268379251E-3</v>
      </c>
      <c r="Q8" s="13">
        <f>MECS!$M$26</f>
        <v>4.1221354268379251E-3</v>
      </c>
      <c r="R8" s="13">
        <f>MECS!$M$26</f>
        <v>4.1221354268379251E-3</v>
      </c>
      <c r="S8" s="13">
        <f>MECS!$M$26</f>
        <v>4.1221354268379251E-3</v>
      </c>
      <c r="T8" s="13">
        <f>MECS!$M$26</f>
        <v>4.1221354268379251E-3</v>
      </c>
      <c r="U8" s="13">
        <f>MECS!$M$26</f>
        <v>4.1221354268379251E-3</v>
      </c>
      <c r="V8" s="13">
        <f>MECS!$M$26</f>
        <v>4.1221354268379251E-3</v>
      </c>
      <c r="W8" s="13">
        <f>MECS!$M$26</f>
        <v>4.1221354268379251E-3</v>
      </c>
      <c r="X8" s="13">
        <f>MECS!$M$26</f>
        <v>4.1221354268379251E-3</v>
      </c>
      <c r="Y8" s="13">
        <f>MECS!$M$26</f>
        <v>4.1221354268379251E-3</v>
      </c>
      <c r="Z8" s="13">
        <f>MECS!$M$26</f>
        <v>4.1221354268379251E-3</v>
      </c>
      <c r="AA8" s="13">
        <f>MECS!$M$26</f>
        <v>4.1221354268379251E-3</v>
      </c>
      <c r="AB8" s="13">
        <f>MECS!$M$26</f>
        <v>4.1221354268379251E-3</v>
      </c>
      <c r="AC8" s="13">
        <f>MECS!$M$26</f>
        <v>4.1221354268379251E-3</v>
      </c>
      <c r="AD8" s="13">
        <f>MECS!$M$26</f>
        <v>4.1221354268379251E-3</v>
      </c>
      <c r="AE8" s="13">
        <f>MECS!$M$26</f>
        <v>4.1221354268379251E-3</v>
      </c>
    </row>
    <row r="9" spans="1:31" x14ac:dyDescent="0.25">
      <c r="A9" t="s">
        <v>13</v>
      </c>
      <c r="B9" s="14">
        <v>0</v>
      </c>
      <c r="C9" s="14">
        <f>MECS!$M$28</f>
        <v>2.5327808621358194E-3</v>
      </c>
      <c r="D9" s="14">
        <f>MECS!$M$28</f>
        <v>2.5327808621358194E-3</v>
      </c>
      <c r="E9" s="14">
        <f>MECS!$M$28</f>
        <v>2.5327808621358194E-3</v>
      </c>
      <c r="F9" s="14">
        <f>MECS!$M$28</f>
        <v>2.5327808621358194E-3</v>
      </c>
      <c r="G9" s="14">
        <f>MECS!$M$28</f>
        <v>2.5327808621358194E-3</v>
      </c>
      <c r="H9" s="14">
        <f>MECS!$M$28</f>
        <v>2.5327808621358194E-3</v>
      </c>
      <c r="I9" s="14">
        <f>MECS!$M$28</f>
        <v>2.5327808621358194E-3</v>
      </c>
      <c r="J9" s="14">
        <f>MECS!$M$28</f>
        <v>2.5327808621358194E-3</v>
      </c>
      <c r="K9" s="14">
        <f>MECS!$M$28</f>
        <v>2.5327808621358194E-3</v>
      </c>
      <c r="L9" s="14">
        <f>MECS!$M$28</f>
        <v>2.5327808621358194E-3</v>
      </c>
      <c r="M9" s="14">
        <f>MECS!$M$28</f>
        <v>2.5327808621358194E-3</v>
      </c>
      <c r="N9" s="14">
        <f>MECS!$M$28</f>
        <v>2.5327808621358194E-3</v>
      </c>
      <c r="O9" s="14">
        <f>MECS!$M$28</f>
        <v>2.5327808621358194E-3</v>
      </c>
      <c r="P9" s="14">
        <f>MECS!$M$28</f>
        <v>2.5327808621358194E-3</v>
      </c>
      <c r="Q9" s="14">
        <f>MECS!$M$28</f>
        <v>2.5327808621358194E-3</v>
      </c>
      <c r="R9" s="14">
        <f>MECS!$M$28</f>
        <v>2.5327808621358194E-3</v>
      </c>
      <c r="S9" s="14">
        <f>MECS!$M$28</f>
        <v>2.5327808621358194E-3</v>
      </c>
      <c r="T9" s="14">
        <f>MECS!$M$28</f>
        <v>2.5327808621358194E-3</v>
      </c>
      <c r="U9" s="14">
        <f>MECS!$M$28</f>
        <v>2.5327808621358194E-3</v>
      </c>
      <c r="V9" s="14">
        <f>MECS!$M$28</f>
        <v>2.5327808621358194E-3</v>
      </c>
      <c r="W9" s="14">
        <f>MECS!$M$28</f>
        <v>2.5327808621358194E-3</v>
      </c>
      <c r="X9" s="14">
        <f>MECS!$M$28</f>
        <v>2.5327808621358194E-3</v>
      </c>
      <c r="Y9" s="14">
        <f>MECS!$M$28</f>
        <v>2.5327808621358194E-3</v>
      </c>
      <c r="Z9" s="14">
        <f>MECS!$M$28</f>
        <v>2.5327808621358194E-3</v>
      </c>
      <c r="AA9" s="14">
        <f>MECS!$M$28</f>
        <v>2.5327808621358194E-3</v>
      </c>
      <c r="AB9" s="14">
        <f>MECS!$M$28</f>
        <v>2.5327808621358194E-3</v>
      </c>
      <c r="AC9" s="14">
        <f>MECS!$M$28</f>
        <v>2.5327808621358194E-3</v>
      </c>
      <c r="AD9" s="14">
        <f>MECS!$M$28</f>
        <v>2.5327808621358194E-3</v>
      </c>
      <c r="AE9" s="14">
        <f>MECS!$M$28</f>
        <v>2.5327808621358194E-3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4D4F2-9192-4557-9476-0BAD41DB5078}">
  <sheetPr>
    <tabColor theme="3"/>
  </sheetPr>
  <dimension ref="A1:AE9"/>
  <sheetViews>
    <sheetView workbookViewId="0">
      <selection activeCell="C14" sqref="C14"/>
    </sheetView>
  </sheetViews>
  <sheetFormatPr defaultRowHeight="15" x14ac:dyDescent="0.25"/>
  <cols>
    <col min="1" max="1" width="45.42578125" bestFit="1" customWidth="1"/>
  </cols>
  <sheetData>
    <row r="1" spans="1:31" x14ac:dyDescent="0.2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</v>
      </c>
      <c r="B2" s="10">
        <v>0</v>
      </c>
      <c r="C2" s="10">
        <f>MECS!$M$20</f>
        <v>4.7058484658348831E-3</v>
      </c>
      <c r="D2" s="10">
        <f>MECS!$M$20</f>
        <v>4.7058484658348831E-3</v>
      </c>
      <c r="E2" s="10">
        <f>MECS!$M$20</f>
        <v>4.7058484658348831E-3</v>
      </c>
      <c r="F2" s="10">
        <f>MECS!$M$20</f>
        <v>4.7058484658348831E-3</v>
      </c>
      <c r="G2" s="10">
        <f>MECS!$M$20</f>
        <v>4.7058484658348831E-3</v>
      </c>
      <c r="H2" s="10">
        <f>MECS!$M$20</f>
        <v>4.7058484658348831E-3</v>
      </c>
      <c r="I2" s="10">
        <f>MECS!$M$20</f>
        <v>4.7058484658348831E-3</v>
      </c>
      <c r="J2" s="10">
        <f>MECS!$M$20</f>
        <v>4.7058484658348831E-3</v>
      </c>
      <c r="K2" s="10">
        <f>MECS!$M$20</f>
        <v>4.7058484658348831E-3</v>
      </c>
      <c r="L2" s="10">
        <f>MECS!$M$20</f>
        <v>4.7058484658348831E-3</v>
      </c>
      <c r="M2" s="10">
        <f>MECS!$M$20</f>
        <v>4.7058484658348831E-3</v>
      </c>
      <c r="N2" s="10">
        <f>MECS!$M$20</f>
        <v>4.7058484658348831E-3</v>
      </c>
      <c r="O2" s="10">
        <f>MECS!$M$20</f>
        <v>4.7058484658348831E-3</v>
      </c>
      <c r="P2" s="10">
        <f>MECS!$M$20</f>
        <v>4.7058484658348831E-3</v>
      </c>
      <c r="Q2" s="10">
        <f>MECS!$M$20</f>
        <v>4.7058484658348831E-3</v>
      </c>
      <c r="R2" s="10">
        <f>MECS!$M$20</f>
        <v>4.7058484658348831E-3</v>
      </c>
      <c r="S2" s="10">
        <f>MECS!$M$20</f>
        <v>4.7058484658348831E-3</v>
      </c>
      <c r="T2" s="10">
        <f>MECS!$M$20</f>
        <v>4.7058484658348831E-3</v>
      </c>
      <c r="U2" s="10">
        <f>MECS!$M$20</f>
        <v>4.7058484658348831E-3</v>
      </c>
      <c r="V2" s="10">
        <f>MECS!$M$20</f>
        <v>4.7058484658348831E-3</v>
      </c>
      <c r="W2" s="10">
        <f>MECS!$M$20</f>
        <v>4.7058484658348831E-3</v>
      </c>
      <c r="X2" s="10">
        <f>MECS!$M$20</f>
        <v>4.7058484658348831E-3</v>
      </c>
      <c r="Y2" s="10">
        <f>MECS!$M$20</f>
        <v>4.7058484658348831E-3</v>
      </c>
      <c r="Z2" s="10">
        <f>MECS!$M$20</f>
        <v>4.7058484658348831E-3</v>
      </c>
      <c r="AA2" s="10">
        <f>MECS!$M$20</f>
        <v>4.7058484658348831E-3</v>
      </c>
      <c r="AB2" s="10">
        <f>MECS!$M$20</f>
        <v>4.7058484658348831E-3</v>
      </c>
      <c r="AC2" s="10">
        <f>MECS!$M$20</f>
        <v>4.7058484658348831E-3</v>
      </c>
      <c r="AD2" s="10">
        <f>MECS!$M$20</f>
        <v>4.7058484658348831E-3</v>
      </c>
      <c r="AE2" s="10">
        <f>MECS!$M$20</f>
        <v>4.7058484658348831E-3</v>
      </c>
    </row>
    <row r="3" spans="1:31" x14ac:dyDescent="0.25">
      <c r="A3" t="s">
        <v>7</v>
      </c>
      <c r="B3" s="10">
        <v>0</v>
      </c>
      <c r="C3" s="10">
        <f>MECS!$M$20</f>
        <v>4.7058484658348831E-3</v>
      </c>
      <c r="D3" s="10">
        <f>MECS!$M$20</f>
        <v>4.7058484658348831E-3</v>
      </c>
      <c r="E3" s="10">
        <f>MECS!$M$20</f>
        <v>4.7058484658348831E-3</v>
      </c>
      <c r="F3" s="10">
        <f>MECS!$M$20</f>
        <v>4.7058484658348831E-3</v>
      </c>
      <c r="G3" s="10">
        <f>MECS!$M$20</f>
        <v>4.7058484658348831E-3</v>
      </c>
      <c r="H3" s="10">
        <f>MECS!$M$20</f>
        <v>4.7058484658348831E-3</v>
      </c>
      <c r="I3" s="10">
        <f>MECS!$M$20</f>
        <v>4.7058484658348831E-3</v>
      </c>
      <c r="J3" s="10">
        <f>MECS!$M$20</f>
        <v>4.7058484658348831E-3</v>
      </c>
      <c r="K3" s="10">
        <f>MECS!$M$20</f>
        <v>4.7058484658348831E-3</v>
      </c>
      <c r="L3" s="10">
        <f>MECS!$M$20</f>
        <v>4.7058484658348831E-3</v>
      </c>
      <c r="M3" s="10">
        <f>MECS!$M$20</f>
        <v>4.7058484658348831E-3</v>
      </c>
      <c r="N3" s="10">
        <f>MECS!$M$20</f>
        <v>4.7058484658348831E-3</v>
      </c>
      <c r="O3" s="10">
        <f>MECS!$M$20</f>
        <v>4.7058484658348831E-3</v>
      </c>
      <c r="P3" s="10">
        <f>MECS!$M$20</f>
        <v>4.7058484658348831E-3</v>
      </c>
      <c r="Q3" s="10">
        <f>MECS!$M$20</f>
        <v>4.7058484658348831E-3</v>
      </c>
      <c r="R3" s="10">
        <f>MECS!$M$20</f>
        <v>4.7058484658348831E-3</v>
      </c>
      <c r="S3" s="10">
        <f>MECS!$M$20</f>
        <v>4.7058484658348831E-3</v>
      </c>
      <c r="T3" s="10">
        <f>MECS!$M$20</f>
        <v>4.7058484658348831E-3</v>
      </c>
      <c r="U3" s="10">
        <f>MECS!$M$20</f>
        <v>4.7058484658348831E-3</v>
      </c>
      <c r="V3" s="10">
        <f>MECS!$M$20</f>
        <v>4.7058484658348831E-3</v>
      </c>
      <c r="W3" s="10">
        <f>MECS!$M$20</f>
        <v>4.7058484658348831E-3</v>
      </c>
      <c r="X3" s="10">
        <f>MECS!$M$20</f>
        <v>4.7058484658348831E-3</v>
      </c>
      <c r="Y3" s="10">
        <f>MECS!$M$20</f>
        <v>4.7058484658348831E-3</v>
      </c>
      <c r="Z3" s="10">
        <f>MECS!$M$20</f>
        <v>4.7058484658348831E-3</v>
      </c>
      <c r="AA3" s="10">
        <f>MECS!$M$20</f>
        <v>4.7058484658348831E-3</v>
      </c>
      <c r="AB3" s="10">
        <f>MECS!$M$20</f>
        <v>4.7058484658348831E-3</v>
      </c>
      <c r="AC3" s="10">
        <f>MECS!$M$20</f>
        <v>4.7058484658348831E-3</v>
      </c>
      <c r="AD3" s="10">
        <f>MECS!$M$20</f>
        <v>4.7058484658348831E-3</v>
      </c>
      <c r="AE3" s="10">
        <f>MECS!$M$20</f>
        <v>4.7058484658348831E-3</v>
      </c>
    </row>
    <row r="4" spans="1:31" x14ac:dyDescent="0.25">
      <c r="A4" t="s">
        <v>8</v>
      </c>
      <c r="B4" s="10">
        <v>0</v>
      </c>
      <c r="C4" s="10">
        <f>MECS!$M$20</f>
        <v>4.7058484658348831E-3</v>
      </c>
      <c r="D4" s="10">
        <f>MECS!$M$20</f>
        <v>4.7058484658348831E-3</v>
      </c>
      <c r="E4" s="10">
        <f>MECS!$M$20</f>
        <v>4.7058484658348831E-3</v>
      </c>
      <c r="F4" s="10">
        <f>MECS!$M$20</f>
        <v>4.7058484658348831E-3</v>
      </c>
      <c r="G4" s="10">
        <f>MECS!$M$20</f>
        <v>4.7058484658348831E-3</v>
      </c>
      <c r="H4" s="10">
        <f>MECS!$M$20</f>
        <v>4.7058484658348831E-3</v>
      </c>
      <c r="I4" s="10">
        <f>MECS!$M$20</f>
        <v>4.7058484658348831E-3</v>
      </c>
      <c r="J4" s="10">
        <f>MECS!$M$20</f>
        <v>4.7058484658348831E-3</v>
      </c>
      <c r="K4" s="10">
        <f>MECS!$M$20</f>
        <v>4.7058484658348831E-3</v>
      </c>
      <c r="L4" s="10">
        <f>MECS!$M$20</f>
        <v>4.7058484658348831E-3</v>
      </c>
      <c r="M4" s="10">
        <f>MECS!$M$20</f>
        <v>4.7058484658348831E-3</v>
      </c>
      <c r="N4" s="10">
        <f>MECS!$M$20</f>
        <v>4.7058484658348831E-3</v>
      </c>
      <c r="O4" s="10">
        <f>MECS!$M$20</f>
        <v>4.7058484658348831E-3</v>
      </c>
      <c r="P4" s="10">
        <f>MECS!$M$20</f>
        <v>4.7058484658348831E-3</v>
      </c>
      <c r="Q4" s="10">
        <f>MECS!$M$20</f>
        <v>4.7058484658348831E-3</v>
      </c>
      <c r="R4" s="10">
        <f>MECS!$M$20</f>
        <v>4.7058484658348831E-3</v>
      </c>
      <c r="S4" s="10">
        <f>MECS!$M$20</f>
        <v>4.7058484658348831E-3</v>
      </c>
      <c r="T4" s="10">
        <f>MECS!$M$20</f>
        <v>4.7058484658348831E-3</v>
      </c>
      <c r="U4" s="10">
        <f>MECS!$M$20</f>
        <v>4.7058484658348831E-3</v>
      </c>
      <c r="V4" s="10">
        <f>MECS!$M$20</f>
        <v>4.7058484658348831E-3</v>
      </c>
      <c r="W4" s="10">
        <f>MECS!$M$20</f>
        <v>4.7058484658348831E-3</v>
      </c>
      <c r="X4" s="10">
        <f>MECS!$M$20</f>
        <v>4.7058484658348831E-3</v>
      </c>
      <c r="Y4" s="10">
        <f>MECS!$M$20</f>
        <v>4.7058484658348831E-3</v>
      </c>
      <c r="Z4" s="10">
        <f>MECS!$M$20</f>
        <v>4.7058484658348831E-3</v>
      </c>
      <c r="AA4" s="10">
        <f>MECS!$M$20</f>
        <v>4.7058484658348831E-3</v>
      </c>
      <c r="AB4" s="10">
        <f>MECS!$M$20</f>
        <v>4.7058484658348831E-3</v>
      </c>
      <c r="AC4" s="10">
        <f>MECS!$M$20</f>
        <v>4.7058484658348831E-3</v>
      </c>
      <c r="AD4" s="10">
        <f>MECS!$M$20</f>
        <v>4.7058484658348831E-3</v>
      </c>
      <c r="AE4" s="10">
        <f>MECS!$M$20</f>
        <v>4.7058484658348831E-3</v>
      </c>
    </row>
    <row r="5" spans="1:31" x14ac:dyDescent="0.25">
      <c r="A5" t="s">
        <v>9</v>
      </c>
      <c r="B5" s="10">
        <v>0</v>
      </c>
      <c r="C5" s="10">
        <f>MECS!$M$20</f>
        <v>4.7058484658348831E-3</v>
      </c>
      <c r="D5" s="10">
        <f>MECS!$M$20</f>
        <v>4.7058484658348831E-3</v>
      </c>
      <c r="E5" s="10">
        <f>MECS!$M$20</f>
        <v>4.7058484658348831E-3</v>
      </c>
      <c r="F5" s="10">
        <f>MECS!$M$20</f>
        <v>4.7058484658348831E-3</v>
      </c>
      <c r="G5" s="10">
        <f>MECS!$M$20</f>
        <v>4.7058484658348831E-3</v>
      </c>
      <c r="H5" s="10">
        <f>MECS!$M$20</f>
        <v>4.7058484658348831E-3</v>
      </c>
      <c r="I5" s="10">
        <f>MECS!$M$20</f>
        <v>4.7058484658348831E-3</v>
      </c>
      <c r="J5" s="10">
        <f>MECS!$M$20</f>
        <v>4.7058484658348831E-3</v>
      </c>
      <c r="K5" s="10">
        <f>MECS!$M$20</f>
        <v>4.7058484658348831E-3</v>
      </c>
      <c r="L5" s="10">
        <f>MECS!$M$20</f>
        <v>4.7058484658348831E-3</v>
      </c>
      <c r="M5" s="10">
        <f>MECS!$M$20</f>
        <v>4.7058484658348831E-3</v>
      </c>
      <c r="N5" s="10">
        <f>MECS!$M$20</f>
        <v>4.7058484658348831E-3</v>
      </c>
      <c r="O5" s="10">
        <f>MECS!$M$20</f>
        <v>4.7058484658348831E-3</v>
      </c>
      <c r="P5" s="10">
        <f>MECS!$M$20</f>
        <v>4.7058484658348831E-3</v>
      </c>
      <c r="Q5" s="10">
        <f>MECS!$M$20</f>
        <v>4.7058484658348831E-3</v>
      </c>
      <c r="R5" s="10">
        <f>MECS!$M$20</f>
        <v>4.7058484658348831E-3</v>
      </c>
      <c r="S5" s="10">
        <f>MECS!$M$20</f>
        <v>4.7058484658348831E-3</v>
      </c>
      <c r="T5" s="10">
        <f>MECS!$M$20</f>
        <v>4.7058484658348831E-3</v>
      </c>
      <c r="U5" s="10">
        <f>MECS!$M$20</f>
        <v>4.7058484658348831E-3</v>
      </c>
      <c r="V5" s="10">
        <f>MECS!$M$20</f>
        <v>4.7058484658348831E-3</v>
      </c>
      <c r="W5" s="10">
        <f>MECS!$M$20</f>
        <v>4.7058484658348831E-3</v>
      </c>
      <c r="X5" s="10">
        <f>MECS!$M$20</f>
        <v>4.7058484658348831E-3</v>
      </c>
      <c r="Y5" s="10">
        <f>MECS!$M$20</f>
        <v>4.7058484658348831E-3</v>
      </c>
      <c r="Z5" s="10">
        <f>MECS!$M$20</f>
        <v>4.7058484658348831E-3</v>
      </c>
      <c r="AA5" s="10">
        <f>MECS!$M$20</f>
        <v>4.7058484658348831E-3</v>
      </c>
      <c r="AB5" s="10">
        <f>MECS!$M$20</f>
        <v>4.7058484658348831E-3</v>
      </c>
      <c r="AC5" s="10">
        <f>MECS!$M$20</f>
        <v>4.7058484658348831E-3</v>
      </c>
      <c r="AD5" s="10">
        <f>MECS!$M$20</f>
        <v>4.7058484658348831E-3</v>
      </c>
      <c r="AE5" s="10">
        <f>MECS!$M$20</f>
        <v>4.7058484658348831E-3</v>
      </c>
    </row>
    <row r="6" spans="1:31" x14ac:dyDescent="0.25">
      <c r="A6" t="s">
        <v>10</v>
      </c>
      <c r="B6" s="11">
        <v>0</v>
      </c>
      <c r="C6" s="11">
        <f>MECS!$M$23</f>
        <v>2.5073671499298289E-3</v>
      </c>
      <c r="D6" s="11">
        <f>MECS!$M$23</f>
        <v>2.5073671499298289E-3</v>
      </c>
      <c r="E6" s="11">
        <f>MECS!$M$23</f>
        <v>2.5073671499298289E-3</v>
      </c>
      <c r="F6" s="11">
        <f>MECS!$M$23</f>
        <v>2.5073671499298289E-3</v>
      </c>
      <c r="G6" s="11">
        <f>MECS!$M$23</f>
        <v>2.5073671499298289E-3</v>
      </c>
      <c r="H6" s="11">
        <f>MECS!$M$23</f>
        <v>2.5073671499298289E-3</v>
      </c>
      <c r="I6" s="11">
        <f>MECS!$M$23</f>
        <v>2.5073671499298289E-3</v>
      </c>
      <c r="J6" s="11">
        <f>MECS!$M$23</f>
        <v>2.5073671499298289E-3</v>
      </c>
      <c r="K6" s="11">
        <f>MECS!$M$23</f>
        <v>2.5073671499298289E-3</v>
      </c>
      <c r="L6" s="11">
        <f>MECS!$M$23</f>
        <v>2.5073671499298289E-3</v>
      </c>
      <c r="M6" s="11">
        <f>MECS!$M$23</f>
        <v>2.5073671499298289E-3</v>
      </c>
      <c r="N6" s="11">
        <f>MECS!$M$23</f>
        <v>2.5073671499298289E-3</v>
      </c>
      <c r="O6" s="11">
        <f>MECS!$M$23</f>
        <v>2.5073671499298289E-3</v>
      </c>
      <c r="P6" s="11">
        <f>MECS!$M$23</f>
        <v>2.5073671499298289E-3</v>
      </c>
      <c r="Q6" s="11">
        <f>MECS!$M$23</f>
        <v>2.5073671499298289E-3</v>
      </c>
      <c r="R6" s="11">
        <f>MECS!$M$23</f>
        <v>2.5073671499298289E-3</v>
      </c>
      <c r="S6" s="11">
        <f>MECS!$M$23</f>
        <v>2.5073671499298289E-3</v>
      </c>
      <c r="T6" s="11">
        <f>MECS!$M$23</f>
        <v>2.5073671499298289E-3</v>
      </c>
      <c r="U6" s="11">
        <f>MECS!$M$23</f>
        <v>2.5073671499298289E-3</v>
      </c>
      <c r="V6" s="11">
        <f>MECS!$M$23</f>
        <v>2.5073671499298289E-3</v>
      </c>
      <c r="W6" s="11">
        <f>MECS!$M$23</f>
        <v>2.5073671499298289E-3</v>
      </c>
      <c r="X6" s="11">
        <f>MECS!$M$23</f>
        <v>2.5073671499298289E-3</v>
      </c>
      <c r="Y6" s="11">
        <f>MECS!$M$23</f>
        <v>2.5073671499298289E-3</v>
      </c>
      <c r="Z6" s="11">
        <f>MECS!$M$23</f>
        <v>2.5073671499298289E-3</v>
      </c>
      <c r="AA6" s="11">
        <f>MECS!$M$23</f>
        <v>2.5073671499298289E-3</v>
      </c>
      <c r="AB6" s="11">
        <f>MECS!$M$23</f>
        <v>2.5073671499298289E-3</v>
      </c>
      <c r="AC6" s="11">
        <f>MECS!$M$23</f>
        <v>2.5073671499298289E-3</v>
      </c>
      <c r="AD6" s="11">
        <f>MECS!$M$23</f>
        <v>2.5073671499298289E-3</v>
      </c>
      <c r="AE6" s="11">
        <f>MECS!$M$23</f>
        <v>2.5073671499298289E-3</v>
      </c>
    </row>
    <row r="7" spans="1:31" x14ac:dyDescent="0.25">
      <c r="A7" t="s">
        <v>11</v>
      </c>
      <c r="B7" s="12">
        <v>0</v>
      </c>
      <c r="C7" s="12">
        <f>MECS!$M$24</f>
        <v>4.6317033277367692E-3</v>
      </c>
      <c r="D7" s="12">
        <f>MECS!$M$24</f>
        <v>4.6317033277367692E-3</v>
      </c>
      <c r="E7" s="12">
        <f>MECS!$M$24</f>
        <v>4.6317033277367692E-3</v>
      </c>
      <c r="F7" s="12">
        <f>MECS!$M$24</f>
        <v>4.6317033277367692E-3</v>
      </c>
      <c r="G7" s="12">
        <f>MECS!$M$24</f>
        <v>4.6317033277367692E-3</v>
      </c>
      <c r="H7" s="12">
        <f>MECS!$M$24</f>
        <v>4.6317033277367692E-3</v>
      </c>
      <c r="I7" s="12">
        <f>MECS!$M$24</f>
        <v>4.6317033277367692E-3</v>
      </c>
      <c r="J7" s="12">
        <f>MECS!$M$24</f>
        <v>4.6317033277367692E-3</v>
      </c>
      <c r="K7" s="12">
        <f>MECS!$M$24</f>
        <v>4.6317033277367692E-3</v>
      </c>
      <c r="L7" s="12">
        <f>MECS!$M$24</f>
        <v>4.6317033277367692E-3</v>
      </c>
      <c r="M7" s="12">
        <f>MECS!$M$24</f>
        <v>4.6317033277367692E-3</v>
      </c>
      <c r="N7" s="12">
        <f>MECS!$M$24</f>
        <v>4.6317033277367692E-3</v>
      </c>
      <c r="O7" s="12">
        <f>MECS!$M$24</f>
        <v>4.6317033277367692E-3</v>
      </c>
      <c r="P7" s="12">
        <f>MECS!$M$24</f>
        <v>4.6317033277367692E-3</v>
      </c>
      <c r="Q7" s="12">
        <f>MECS!$M$24</f>
        <v>4.6317033277367692E-3</v>
      </c>
      <c r="R7" s="12">
        <f>MECS!$M$24</f>
        <v>4.6317033277367692E-3</v>
      </c>
      <c r="S7" s="12">
        <f>MECS!$M$24</f>
        <v>4.6317033277367692E-3</v>
      </c>
      <c r="T7" s="12">
        <f>MECS!$M$24</f>
        <v>4.6317033277367692E-3</v>
      </c>
      <c r="U7" s="12">
        <f>MECS!$M$24</f>
        <v>4.6317033277367692E-3</v>
      </c>
      <c r="V7" s="12">
        <f>MECS!$M$24</f>
        <v>4.6317033277367692E-3</v>
      </c>
      <c r="W7" s="12">
        <f>MECS!$M$24</f>
        <v>4.6317033277367692E-3</v>
      </c>
      <c r="X7" s="12">
        <f>MECS!$M$24</f>
        <v>4.6317033277367692E-3</v>
      </c>
      <c r="Y7" s="12">
        <f>MECS!$M$24</f>
        <v>4.6317033277367692E-3</v>
      </c>
      <c r="Z7" s="12">
        <f>MECS!$M$24</f>
        <v>4.6317033277367692E-3</v>
      </c>
      <c r="AA7" s="12">
        <f>MECS!$M$24</f>
        <v>4.6317033277367692E-3</v>
      </c>
      <c r="AB7" s="12">
        <f>MECS!$M$24</f>
        <v>4.6317033277367692E-3</v>
      </c>
      <c r="AC7" s="12">
        <f>MECS!$M$24</f>
        <v>4.6317033277367692E-3</v>
      </c>
      <c r="AD7" s="12">
        <f>MECS!$M$24</f>
        <v>4.6317033277367692E-3</v>
      </c>
      <c r="AE7" s="12">
        <f>MECS!$M$24</f>
        <v>4.6317033277367692E-3</v>
      </c>
    </row>
    <row r="8" spans="1:31" x14ac:dyDescent="0.25">
      <c r="A8" t="s">
        <v>12</v>
      </c>
      <c r="B8" s="13">
        <v>0</v>
      </c>
      <c r="C8" s="13">
        <f>MECS!$M$26</f>
        <v>4.1221354268379251E-3</v>
      </c>
      <c r="D8" s="13">
        <f>MECS!$M$26</f>
        <v>4.1221354268379251E-3</v>
      </c>
      <c r="E8" s="13">
        <f>MECS!$M$26</f>
        <v>4.1221354268379251E-3</v>
      </c>
      <c r="F8" s="13">
        <f>MECS!$M$26</f>
        <v>4.1221354268379251E-3</v>
      </c>
      <c r="G8" s="13">
        <f>MECS!$M$26</f>
        <v>4.1221354268379251E-3</v>
      </c>
      <c r="H8" s="13">
        <f>MECS!$M$26</f>
        <v>4.1221354268379251E-3</v>
      </c>
      <c r="I8" s="13">
        <f>MECS!$M$26</f>
        <v>4.1221354268379251E-3</v>
      </c>
      <c r="J8" s="13">
        <f>MECS!$M$26</f>
        <v>4.1221354268379251E-3</v>
      </c>
      <c r="K8" s="13">
        <f>MECS!$M$26</f>
        <v>4.1221354268379251E-3</v>
      </c>
      <c r="L8" s="13">
        <f>MECS!$M$26</f>
        <v>4.1221354268379251E-3</v>
      </c>
      <c r="M8" s="13">
        <f>MECS!$M$26</f>
        <v>4.1221354268379251E-3</v>
      </c>
      <c r="N8" s="13">
        <f>MECS!$M$26</f>
        <v>4.1221354268379251E-3</v>
      </c>
      <c r="O8" s="13">
        <f>MECS!$M$26</f>
        <v>4.1221354268379251E-3</v>
      </c>
      <c r="P8" s="13">
        <f>MECS!$M$26</f>
        <v>4.1221354268379251E-3</v>
      </c>
      <c r="Q8" s="13">
        <f>MECS!$M$26</f>
        <v>4.1221354268379251E-3</v>
      </c>
      <c r="R8" s="13">
        <f>MECS!$M$26</f>
        <v>4.1221354268379251E-3</v>
      </c>
      <c r="S8" s="13">
        <f>MECS!$M$26</f>
        <v>4.1221354268379251E-3</v>
      </c>
      <c r="T8" s="13">
        <f>MECS!$M$26</f>
        <v>4.1221354268379251E-3</v>
      </c>
      <c r="U8" s="13">
        <f>MECS!$M$26</f>
        <v>4.1221354268379251E-3</v>
      </c>
      <c r="V8" s="13">
        <f>MECS!$M$26</f>
        <v>4.1221354268379251E-3</v>
      </c>
      <c r="W8" s="13">
        <f>MECS!$M$26</f>
        <v>4.1221354268379251E-3</v>
      </c>
      <c r="X8" s="13">
        <f>MECS!$M$26</f>
        <v>4.1221354268379251E-3</v>
      </c>
      <c r="Y8" s="13">
        <f>MECS!$M$26</f>
        <v>4.1221354268379251E-3</v>
      </c>
      <c r="Z8" s="13">
        <f>MECS!$M$26</f>
        <v>4.1221354268379251E-3</v>
      </c>
      <c r="AA8" s="13">
        <f>MECS!$M$26</f>
        <v>4.1221354268379251E-3</v>
      </c>
      <c r="AB8" s="13">
        <f>MECS!$M$26</f>
        <v>4.1221354268379251E-3</v>
      </c>
      <c r="AC8" s="13">
        <f>MECS!$M$26</f>
        <v>4.1221354268379251E-3</v>
      </c>
      <c r="AD8" s="13">
        <f>MECS!$M$26</f>
        <v>4.1221354268379251E-3</v>
      </c>
      <c r="AE8" s="13">
        <f>MECS!$M$26</f>
        <v>4.1221354268379251E-3</v>
      </c>
    </row>
    <row r="9" spans="1:31" x14ac:dyDescent="0.25">
      <c r="A9" t="s">
        <v>13</v>
      </c>
      <c r="B9" s="14">
        <v>0</v>
      </c>
      <c r="C9" s="14">
        <f>MECS!$M$28</f>
        <v>2.5327808621358194E-3</v>
      </c>
      <c r="D9" s="14">
        <f>MECS!$M$28</f>
        <v>2.5327808621358194E-3</v>
      </c>
      <c r="E9" s="14">
        <f>MECS!$M$28</f>
        <v>2.5327808621358194E-3</v>
      </c>
      <c r="F9" s="14">
        <f>MECS!$M$28</f>
        <v>2.5327808621358194E-3</v>
      </c>
      <c r="G9" s="14">
        <f>MECS!$M$28</f>
        <v>2.5327808621358194E-3</v>
      </c>
      <c r="H9" s="14">
        <f>MECS!$M$28</f>
        <v>2.5327808621358194E-3</v>
      </c>
      <c r="I9" s="14">
        <f>MECS!$M$28</f>
        <v>2.5327808621358194E-3</v>
      </c>
      <c r="J9" s="14">
        <f>MECS!$M$28</f>
        <v>2.5327808621358194E-3</v>
      </c>
      <c r="K9" s="14">
        <f>MECS!$M$28</f>
        <v>2.5327808621358194E-3</v>
      </c>
      <c r="L9" s="14">
        <f>MECS!$M$28</f>
        <v>2.5327808621358194E-3</v>
      </c>
      <c r="M9" s="14">
        <f>MECS!$M$28</f>
        <v>2.5327808621358194E-3</v>
      </c>
      <c r="N9" s="14">
        <f>MECS!$M$28</f>
        <v>2.5327808621358194E-3</v>
      </c>
      <c r="O9" s="14">
        <f>MECS!$M$28</f>
        <v>2.5327808621358194E-3</v>
      </c>
      <c r="P9" s="14">
        <f>MECS!$M$28</f>
        <v>2.5327808621358194E-3</v>
      </c>
      <c r="Q9" s="14">
        <f>MECS!$M$28</f>
        <v>2.5327808621358194E-3</v>
      </c>
      <c r="R9" s="14">
        <f>MECS!$M$28</f>
        <v>2.5327808621358194E-3</v>
      </c>
      <c r="S9" s="14">
        <f>MECS!$M$28</f>
        <v>2.5327808621358194E-3</v>
      </c>
      <c r="T9" s="14">
        <f>MECS!$M$28</f>
        <v>2.5327808621358194E-3</v>
      </c>
      <c r="U9" s="14">
        <f>MECS!$M$28</f>
        <v>2.5327808621358194E-3</v>
      </c>
      <c r="V9" s="14">
        <f>MECS!$M$28</f>
        <v>2.5327808621358194E-3</v>
      </c>
      <c r="W9" s="14">
        <f>MECS!$M$28</f>
        <v>2.5327808621358194E-3</v>
      </c>
      <c r="X9" s="14">
        <f>MECS!$M$28</f>
        <v>2.5327808621358194E-3</v>
      </c>
      <c r="Y9" s="14">
        <f>MECS!$M$28</f>
        <v>2.5327808621358194E-3</v>
      </c>
      <c r="Z9" s="14">
        <f>MECS!$M$28</f>
        <v>2.5327808621358194E-3</v>
      </c>
      <c r="AA9" s="14">
        <f>MECS!$M$28</f>
        <v>2.5327808621358194E-3</v>
      </c>
      <c r="AB9" s="14">
        <f>MECS!$M$28</f>
        <v>2.5327808621358194E-3</v>
      </c>
      <c r="AC9" s="14">
        <f>MECS!$M$28</f>
        <v>2.5327808621358194E-3</v>
      </c>
      <c r="AD9" s="14">
        <f>MECS!$M$28</f>
        <v>2.5327808621358194E-3</v>
      </c>
      <c r="AE9" s="14">
        <f>MECS!$M$28</f>
        <v>2.5327808621358194E-3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MECS</vt:lpstr>
      <vt:lpstr>BIEEI-elec</vt:lpstr>
      <vt:lpstr>BIEEI-other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2014-03-20T21:01:41Z</dcterms:created>
  <dcterms:modified xsi:type="dcterms:W3CDTF">2025-10-08T17:06:37Z</dcterms:modified>
</cp:coreProperties>
</file>