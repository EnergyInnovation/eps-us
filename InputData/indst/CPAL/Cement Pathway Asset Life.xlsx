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NZA Anchor" sheetId="2" state="visible" r:id="rId2"/>
    <sheet name="Derivation" sheetId="3" state="visible" r:id="rId3"/>
    <sheet name="Checks" sheetId="4" state="visible" r:id="rId4"/>
    <sheet name="CP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zeroamerica.princeton.edu/img/Princeton_NZA_Annex_K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CPAL Cement Pathway Asset Life</t>
        </is>
      </c>
    </row>
    <row r="3">
      <c r="A3" s="1" t="inlineStr">
        <is>
          <t>Sources:</t>
        </is>
      </c>
      <c r="B3" s="2" t="inlineStr">
        <is>
          <t>Kiln economic asset life anchor</t>
        </is>
      </c>
    </row>
    <row r="4">
      <c r="B4" s="3" t="inlineStr">
        <is>
          <t>Princeton University Net-Zero America (NZA) project / EIA</t>
        </is>
      </c>
    </row>
    <row r="5">
      <c r="B5" s="3" t="inlineStr">
        <is>
          <t>NZA Annex K, section 6.3; cross-referenced to EIA Industrial Decarbonization Model (IDM) 30-yr assumption</t>
        </is>
      </c>
    </row>
    <row r="6">
      <c r="B6" s="3" t="n">
        <v>2021</v>
      </c>
    </row>
    <row r="7">
      <c r="B7" s="4" t="inlineStr">
        <is>
          <t>https://netzeroamerica.princeton.edu/img/Princeton_NZA_Annex_K.pdf</t>
        </is>
      </c>
    </row>
    <row r="8">
      <c r="B8" s="3" t="inlineStr">
        <is>
          <t>NZA Annex K applies a 35-year kiln retirement age (EIA IDM's 30-yr assumption "extended by 5", matching NZA's observed ~36-yr US fleet age). Retrieved via reader proxy 2026-08-25 - CONFIRMED as the only public anchor for cement kiln economic life in Phase 4 verification; no source exists for 40-yr or vintage-differentiated lives. [DIRECT via proxy]</t>
        </is>
      </c>
    </row>
    <row r="11">
      <c r="A11" s="1" t="inlineStr">
        <is>
          <t>Notes:</t>
        </is>
      </c>
    </row>
    <row r="12">
      <c r="A12" s="1" t="inlineStr">
        <is>
          <t>Chosen values</t>
        </is>
      </c>
      <c r="B12" s="3" t="inlineStr">
        <is>
          <t>35/35/35/30 years for dry kiln with precalciner / dry kiln with CCS / electric kiln / alternative chemistry cement. The first three pathways use the NZA/EIA-IDM 35-yr anchor directly; alternative chemistry cement is set to 30 as an EI judgment call (no public asset-life data exists for pre-commercial alternative-chemistry cement plants).</t>
        </is>
      </c>
    </row>
    <row r="13">
      <c r="A13" s="1" t="inlineStr">
        <is>
          <t>CPAL vs. CPPL - deliberate separation</t>
        </is>
      </c>
      <c r="B13" s="3" t="inlineStr">
        <is>
          <t>CPAL (this file, economic asset life for capital amortization) and CPPL (Cement Pathway Campaign Length, the overhaul-decision recurrence interval) are kept as two separate input files even though their values currently coincide (35/35/35/30 in both). This mirrors a lesson from the steel breakout (see steel's SPAL workbook): for an integrated site that undergoes MULTIPLE reline/overhaul campaigns before ultimate retirement, asset life should exceed campaign length. For cement, however, no public evidence distinguishes a multi-campaign kiln SITE life from the single-campaign 35-yr figure the way GEM's unit-level blast-furnace data does for steel - so CPAL and CPPL are set equal here as the documented, lowest-confidence assumption that the overhaul campaign plausibly IS the economic life for cement kilns. Revisit if kiln-level campaign/vintage data (e.g. PCA Plant Information Summary) ever becomes available.</t>
        </is>
      </c>
    </row>
    <row r="14">
      <c r="A14" s="1" t="inlineStr">
        <is>
          <t>DRAFT status</t>
        </is>
      </c>
      <c r="B14" s="3" t="inlineStr">
        <is>
          <t>DRAFT - verify against primary sources before release. This workbook is an input for staff review, not a finished or approved EI position.</t>
        </is>
      </c>
    </row>
    <row r="15">
      <c r="A15" s="1" t="inlineStr">
        <is>
          <t>Provenance</t>
        </is>
      </c>
      <c r="B15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 (years)</t>
        </is>
      </c>
      <c r="C1" s="1" t="inlineStr">
        <is>
          <t>Basis</t>
        </is>
      </c>
    </row>
    <row r="2">
      <c r="A2" t="inlineStr">
        <is>
          <t>NZA Annex K kiln retirement age</t>
        </is>
      </c>
      <c r="B2" t="n">
        <v>35</v>
      </c>
      <c r="C2" t="inlineStr">
        <is>
          <t>EIA IDM 30-yr assumption extended by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Chosen economic asset life per pathway (see About tab notes)</t>
        </is>
      </c>
    </row>
    <row r="3">
      <c r="A3" s="1" t="inlineStr">
        <is>
          <t>Pathway</t>
        </is>
      </c>
      <c r="B3" s="1" t="inlineStr">
        <is>
          <t>Asset life (yr)</t>
        </is>
      </c>
      <c r="C3" s="1" t="inlineStr">
        <is>
          <t>Basis</t>
        </is>
      </c>
    </row>
    <row r="4">
      <c r="A4" t="inlineStr">
        <is>
          <t>dry kiln with precalciner</t>
        </is>
      </c>
      <c r="B4">
        <f>'NZA Anchor'!B2</f>
        <v/>
      </c>
      <c r="C4" t="inlineStr">
        <is>
          <t>NZA/EIA-IDM anchor, direct</t>
        </is>
      </c>
    </row>
    <row r="5">
      <c r="A5" t="inlineStr">
        <is>
          <t>dry kiln with CCS</t>
        </is>
      </c>
      <c r="B5">
        <f>'NZA Anchor'!B2</f>
        <v/>
      </c>
      <c r="C5" t="inlineStr">
        <is>
          <t>Mirrors dry kiln with precalciner (same underlying kiln; CCS is a capital addition)</t>
        </is>
      </c>
    </row>
    <row r="6">
      <c r="A6" t="inlineStr">
        <is>
          <t>electric kiln</t>
        </is>
      </c>
      <c r="B6">
        <f>'NZA Anchor'!B2</f>
        <v/>
      </c>
      <c r="C6" t="inlineStr">
        <is>
          <t>Mirrors the NZA/EIA-IDM anchor; no electric-kiln-specific life data exists (pilot-only)</t>
        </is>
      </c>
    </row>
    <row r="7">
      <c r="A7" t="inlineStr">
        <is>
          <t>alternative chemistry cement</t>
        </is>
      </c>
      <c r="B7" t="n">
        <v>30</v>
      </c>
      <c r="C7" t="inlineStr">
        <is>
          <t>EI judgment - no public asset-life data for pre-commercial alt-chem plants</t>
        </is>
      </c>
    </row>
    <row r="9">
      <c r="A9" s="3" t="inlineStr">
        <is>
          <t>Note: rows 4-6 are FORMULAS referencing the NZA Anchor tab; row 7 (alt-chem) is a plain literal EI judgment value, not derived from a source.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export tab literal vs. Derivation formula/value</t>
        </is>
      </c>
    </row>
    <row r="3">
      <c r="A3" t="inlineStr">
        <is>
          <t>Pathway</t>
        </is>
      </c>
      <c r="B3" t="inlineStr">
        <is>
          <t>Export tab value</t>
        </is>
      </c>
      <c r="C3" t="inlineStr">
        <is>
          <t>Derivation value</t>
        </is>
      </c>
      <c r="D3" t="inlineStr">
        <is>
          <t>Result</t>
        </is>
      </c>
    </row>
    <row r="4">
      <c r="A4" t="inlineStr">
        <is>
          <t>dry kiln with precalciner</t>
        </is>
      </c>
      <c r="B4">
        <f>CPAL!B2</f>
        <v/>
      </c>
      <c r="C4">
        <f>Derivation!B4</f>
        <v/>
      </c>
      <c r="D4">
        <f>IF(ABS(B4-C4)&lt;0.5,"PASS","FAIL")</f>
        <v/>
      </c>
    </row>
    <row r="5">
      <c r="A5" t="inlineStr">
        <is>
          <t>dry kiln with CCS</t>
        </is>
      </c>
      <c r="B5">
        <f>CPAL!B3</f>
        <v/>
      </c>
      <c r="C5">
        <f>Derivation!B5</f>
        <v/>
      </c>
      <c r="D5">
        <f>IF(ABS(B5-C5)&lt;0.5,"PASS","FAIL")</f>
        <v/>
      </c>
    </row>
    <row r="6">
      <c r="A6" t="inlineStr">
        <is>
          <t>electric kiln</t>
        </is>
      </c>
      <c r="B6">
        <f>CPAL!B4</f>
        <v/>
      </c>
      <c r="C6">
        <f>Derivation!B6</f>
        <v/>
      </c>
      <c r="D6">
        <f>IF(ABS(B6-C6)&lt;0.5,"PASS","FAIL")</f>
        <v/>
      </c>
    </row>
    <row r="7">
      <c r="A7" t="inlineStr">
        <is>
          <t>alternative chemistry cement</t>
        </is>
      </c>
      <c r="B7">
        <f>CPAL!B5</f>
        <v/>
      </c>
      <c r="C7">
        <f>Derivation!B7</f>
        <v/>
      </c>
      <c r="D7">
        <f>IF(ABS(B7-C7)&lt;0.5,"PASS","FAIL")</f>
        <v/>
      </c>
    </row>
    <row r="9">
      <c r="A9" s="1" t="inlineStr">
        <is>
          <t>Overall</t>
        </is>
      </c>
      <c r="B9">
        <f>IF(COUNTIF(D4:D7,"FAIL")=0,"ALL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years economic asset life (35 = NZA Annex K / EIA-IDM+5 anchor, the only public source; alt chem 30 judgment)</t>
        </is>
      </c>
      <c r="B1" t="inlineStr">
        <is>
          <t>Asset Life</t>
        </is>
      </c>
    </row>
    <row r="2">
      <c r="A2" t="inlineStr">
        <is>
          <t>dry kiln with precalciner</t>
        </is>
      </c>
      <c r="B2" t="n">
        <v>35</v>
      </c>
    </row>
    <row r="3">
      <c r="A3" t="inlineStr">
        <is>
          <t>dry kiln with CCS</t>
        </is>
      </c>
      <c r="B3" t="n">
        <v>35</v>
      </c>
    </row>
    <row r="4">
      <c r="A4" t="inlineStr">
        <is>
          <t>electric kiln</t>
        </is>
      </c>
      <c r="B4" t="n">
        <v>35</v>
      </c>
    </row>
    <row r="5">
      <c r="A5" t="inlineStr">
        <is>
          <t>alternative chemistry cement</t>
        </is>
      </c>
      <c r="B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2026-08-26T11:48:09Z</dcterms:modified>
</cp:coreProperties>
</file>