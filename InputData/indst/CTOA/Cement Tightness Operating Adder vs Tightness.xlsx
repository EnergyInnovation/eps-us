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gions" sheetId="2" state="visible" r:id="rId2"/>
    <sheet name="Derivation" sheetId="3" state="visible" r:id="rId3"/>
    <sheet name="Checks" sheetId="4" state="visible" r:id="rId4"/>
    <sheet name="CTOAv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s.usgs.gov/periodicals/mcs2026/mcs2026-cement.pdf" TargetMode="External" Id="rId1" /><Relationship Type="http://schemas.openxmlformats.org/officeDocument/2006/relationships/hyperlink" Target="https://www.energyinnovation.org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CTOAvT Cement Tightness Operating Adder vs Tightness</t>
        </is>
      </c>
    </row>
    <row r="2"/>
    <row r="3">
      <c r="A3" s="1" t="inlineStr">
        <is>
          <t>Sources:</t>
        </is>
      </c>
      <c r="B3" s="2" t="inlineStr">
        <is>
          <t>US import-parity congestion premium (curve saturation level)</t>
        </is>
      </c>
    </row>
    <row r="4">
      <c r="B4" s="3" t="inlineStr">
        <is>
          <t>USGS / S&amp;P Global Platts (via secondary summaries)</t>
        </is>
      </c>
    </row>
    <row r="5">
      <c r="B5" s="3" t="inlineStr">
        <is>
          <t>MCS 2026 cement (mill value $160/t) vs landed import cost (~$95-120/t); Platts Turkey CEMDEX + freight</t>
        </is>
      </c>
    </row>
    <row r="6">
      <c r="B6" s="3" t="n">
        <v>2026</v>
      </c>
    </row>
    <row r="7">
      <c r="B7" s="4" t="inlineStr">
        <is>
          <t>https://pubs.usgs.gov/periodicals/mcs2026/mcs2026-cement.pdf</t>
        </is>
      </c>
    </row>
    <row r="8">
      <c r="B8" s="3" t="inlineStr">
        <is>
          <t>Central import-parity congestion premium $15-25/t (research range $0-50/t): terminal/logistics congestion, not FOB price (imports are structurally cheaper at the coast). 0.31 x the ~$62-69/t reference new-build cost = ~$19-21/t at tau = 1. ROUGH; verify before release.</t>
        </is>
      </c>
    </row>
    <row r="9"/>
    <row r="10">
      <c r="B10" s="2" t="inlineStr">
        <is>
          <t>Curve shape</t>
        </is>
      </c>
    </row>
    <row r="11">
      <c r="B11" s="3" t="inlineStr">
        <is>
          <t>Energy Innovation (internal design memo)</t>
        </is>
      </c>
    </row>
    <row r="12">
      <c r="B12" s="3" t="inlineStr">
        <is>
          <t>Cement_Utilization_Tightness_Design.md</t>
        </is>
      </c>
    </row>
    <row r="13">
      <c r="B13" s="3" t="n">
        <v>2026</v>
      </c>
    </row>
    <row r="14">
      <c r="B14" s="4" t="inlineStr">
        <is>
          <t>https://www.energyinnovation.org/</t>
        </is>
      </c>
    </row>
    <row r="15">
      <c r="B15" s="3" t="inlineStr">
        <is>
          <t>Zero through the normal operating band (tau &lt;= 0.7, so BAU is untouched), quadratic ramp saturating at tau = 1. Shadow decision cost only: it books no cash flows. 2026-09-25 review found it INERT by construction in the US build (max ~$0.05/t) because it only enters the (1 - w) branch; removal recommended - team call.</t>
        </is>
      </c>
    </row>
    <row r="16"/>
    <row r="17"/>
    <row r="18">
      <c r="A18" s="1" t="inlineStr">
        <is>
          <t>Notes:</t>
        </is>
      </c>
    </row>
    <row r="19">
      <c r="A19" s="1" t="inlineStr">
        <is>
          <t>DRAFT status</t>
        </is>
      </c>
      <c r="B19" s="3" t="inlineStr">
        <is>
          <t>This is an input for staff review, not a finished or approved EI position; treat as a starting point pending team sign-off. Verify all cited figures against the primary sources before use.</t>
        </is>
      </c>
    </row>
    <row r="20">
      <c r="A20" s="1" t="inlineStr">
        <is>
          <t>What it is</t>
        </is>
      </c>
      <c r="B20" s="3" t="inlineStr">
        <is>
          <t>Multiplier on Average New Clinker Capacity Cost per Ton of Clinker applied to the fleet marginal cost in the retire-alternative blend, as a function of fleet tightness.</t>
        </is>
      </c>
    </row>
    <row r="21">
      <c r="A21" s="1" t="inlineStr">
        <is>
          <t>Subscript</t>
        </is>
      </c>
      <c r="B21" s="3" t="inlineStr">
        <is>
          <t>Artificial subscript element [average summer day] in EPS.mdl (SDEverywhere workaround); not pathway-specific. Changed from [dry kiln with precalciner] on 2026-09-29.</t>
        </is>
      </c>
    </row>
    <row r="22">
      <c r="A22" s="1" t="inlineStr">
        <is>
          <t>Region selector</t>
        </is>
      </c>
      <c r="B22" s="3" t="inlineStr">
        <is>
          <t>Regions!B1 picks the ramp start tau0 and the saturation multiplier; blank = TO FILL (Derivation returns zero = adder off). Export literal is the US curve; re-export after switching.</t>
        </is>
      </c>
    </row>
    <row r="23">
      <c r="A23" s="1" t="inlineStr">
        <is>
          <t>Design memo</t>
        </is>
      </c>
      <c r="B23" s="3" t="inlineStr">
        <is>
          <t>Design memo: Cement_Utilization_Tightness_Design.md (cement-industry-breakout-f901fc worktree root); anchors staging package: Cement_Utilization_Regional_Anchors/ (same root).</t>
        </is>
      </c>
    </row>
    <row r="24">
      <c r="A24" s="1" t="inlineStr">
        <is>
          <t>Provenance</t>
        </is>
      </c>
      <c r="B24" s="3" t="inlineStr">
        <is>
          <t>Built by Claude Code (Fable 5.1 session), cement section-2 review, worktree cement-calculation-flow-89da5b, 2026-09-29. Reviewed by: (pending).</t>
        </is>
      </c>
    </row>
    <row r="25">
      <c r="A25" s="1" t="inlineStr">
        <is>
          <t>Regional rows loaded 2026-10-01</t>
        </is>
      </c>
      <c r="B25" s="3" t="inlineStr">
        <is>
          <t>Non-US rows of the Regions tab loaded from Cement_Regional_Data_Draft.md (cement-calculation-flow-89da5b worktree root), passes 1 and 2; pass 2 (primary sources) wins on conflict and the conflict is kept in the row note. Flags: DIRECT = read in the primary document; SNIPPET = secondary/trade-press summary or an unopened primary; JUDGMENT = own arithmetic or estimate (written as a visible formula where computed); blank = TO FILL. Supersedes any placeholder description in the Sources block above. The US row, Derivation and export tab are unchanged. Verify every non-US value against its cited primary source before use. Loader: Cement_Regional_Rows_Loading/load_regional_rows.py.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80" customWidth="1" min="5" max="5"/>
  </cols>
  <sheetData>
    <row r="1">
      <c r="A1" s="1" t="inlineStr">
        <is>
          <t>Selected region (drop-down):</t>
        </is>
      </c>
      <c r="B1" s="5" t="inlineStr">
        <is>
          <t>United States</t>
        </is>
      </c>
    </row>
    <row r="2">
      <c r="A2" s="3" t="inlineStr">
        <is>
          <t>Change B1 to switch the Derivation to another region's row; the export tab holds literal values, so re-export the CSV after switching. Blank = TO FILL.</t>
        </is>
      </c>
    </row>
    <row r="4">
      <c r="A4" s="6" t="inlineStr">
        <is>
          <t>Region</t>
        </is>
      </c>
      <c r="B4" s="6" t="inlineStr">
        <is>
          <t>Ramp start tau0</t>
        </is>
      </c>
      <c r="C4" s="6" t="inlineStr">
        <is>
          <t>Saturation multiplier at tau=1</t>
        </is>
      </c>
      <c r="D4" s="6" t="inlineStr">
        <is>
          <t>Status</t>
        </is>
      </c>
      <c r="E4" s="6" t="inlineStr">
        <is>
          <t>Note</t>
        </is>
      </c>
    </row>
    <row r="5">
      <c r="A5" t="inlineStr">
        <is>
          <t>United States</t>
        </is>
      </c>
      <c r="B5" t="n">
        <v>0.7</v>
      </c>
      <c r="C5" t="n">
        <v>0.31</v>
      </c>
      <c r="D5" t="inlineStr">
        <is>
          <t>ROUGH</t>
        </is>
      </c>
      <c r="E5" t="inlineStr">
        <is>
          <t>import-parity premium ~$19-21/t on ~$62-69/t reference</t>
        </is>
      </c>
    </row>
    <row r="6">
      <c r="A6" t="inlineStr">
        <is>
          <t>China</t>
        </is>
      </c>
      <c r="D6" t="inlineStr">
        <is>
          <t>TO FILL</t>
        </is>
      </c>
      <c r="E6" t="inlineStr">
        <is>
          <t>regional import-parity premium not researched; blank = adder off (Derivation returns zero)</t>
        </is>
      </c>
    </row>
    <row r="7">
      <c r="A7" t="inlineStr">
        <is>
          <t>India</t>
        </is>
      </c>
      <c r="D7" t="inlineStr">
        <is>
          <t>TO FILL</t>
        </is>
      </c>
      <c r="E7" t="inlineStr">
        <is>
          <t>regional import-parity premium not researched; blank = adder off (Derivation returns zero)</t>
        </is>
      </c>
    </row>
    <row r="8">
      <c r="A8" t="inlineStr">
        <is>
          <t>EU-27</t>
        </is>
      </c>
      <c r="D8" t="inlineStr">
        <is>
          <t>TO FILL</t>
        </is>
      </c>
      <c r="E8" t="inlineStr">
        <is>
          <t>regional import-parity premium not researched; blank = adder off (Derivation returns zero)</t>
        </is>
      </c>
    </row>
    <row r="9">
      <c r="A9" t="inlineStr">
        <is>
          <t>Japan</t>
        </is>
      </c>
      <c r="D9" t="inlineStr">
        <is>
          <t>TO FILL</t>
        </is>
      </c>
      <c r="E9" t="inlineStr">
        <is>
          <t>regional import-parity premium not researched; blank = adder off (Derivation returns zero)</t>
        </is>
      </c>
    </row>
    <row r="10">
      <c r="A10" t="inlineStr">
        <is>
          <t>Brazil</t>
        </is>
      </c>
      <c r="D10" t="inlineStr">
        <is>
          <t>TO FILL</t>
        </is>
      </c>
      <c r="E10" t="inlineStr">
        <is>
          <t>regional import-parity premium not researched; blank = adder off (Derivation returns zero)</t>
        </is>
      </c>
    </row>
    <row r="11">
      <c r="A11" t="inlineStr">
        <is>
          <t>Mexico</t>
        </is>
      </c>
      <c r="D11" t="inlineStr">
        <is>
          <t>TO FILL</t>
        </is>
      </c>
      <c r="E11" t="inlineStr">
        <is>
          <t>regional import-parity premium not researched; blank = adder off (Derivation returns zero)</t>
        </is>
      </c>
    </row>
    <row r="12">
      <c r="A12" t="inlineStr">
        <is>
          <t>Canada</t>
        </is>
      </c>
      <c r="D12" t="inlineStr">
        <is>
          <t>TO FILL</t>
        </is>
      </c>
      <c r="E12" t="inlineStr">
        <is>
          <t>regional import-parity premium not researched; blank = adder off (Derivation returns zero)</t>
        </is>
      </c>
    </row>
    <row r="13">
      <c r="A13" t="inlineStr">
        <is>
          <t>Indonesia</t>
        </is>
      </c>
      <c r="D13" t="inlineStr">
        <is>
          <t>TO FILL</t>
        </is>
      </c>
      <c r="E13" t="inlineStr">
        <is>
          <t>regional import-parity premium not researched; blank = adder off (Derivation returns zero)</t>
        </is>
      </c>
    </row>
    <row r="14">
      <c r="A14" t="inlineStr">
        <is>
          <t>Australia</t>
        </is>
      </c>
      <c r="D14" t="inlineStr">
        <is>
          <t>TO FILL</t>
        </is>
      </c>
      <c r="E14" t="inlineStr">
        <is>
          <t>regional import-parity premium not researched; blank = adder off (Derivation returns zero)</t>
        </is>
      </c>
    </row>
  </sheetData>
  <dataValidations count="1">
    <dataValidation sqref="B1" showDropDown="0" showInputMessage="0" showErrorMessage="0" allowBlank="0" type="list">
      <formula1>=$A$5:$A$14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Selected region</t>
        </is>
      </c>
      <c r="B1">
        <f>Regions!B1</f>
        <v/>
      </c>
    </row>
    <row r="2">
      <c r="A2" t="inlineStr">
        <is>
          <t>tau0 (blank = 1, adder off)</t>
        </is>
      </c>
      <c r="B2">
        <f>IF(ISNUMBER(INDEX(Regions!$B$5:$B$14,MATCH(Regions!$B$1,Regions!$A$5:$A$14,0))),INDEX(Regions!$B$5:$B$14,MATCH(Regions!$B$1,Regions!$A$5:$A$14,0)),1)</f>
        <v/>
      </c>
    </row>
    <row r="3">
      <c r="A3" t="inlineStr">
        <is>
          <t>Saturation multiplier (blank = 0)</t>
        </is>
      </c>
      <c r="B3">
        <f>IF(ISNUMBER(INDEX(Regions!$C$5:$C$14,MATCH(Regions!$B$1,Regions!$A$5:$A$14,0))),INDEX(Regions!$C$5:$C$14,MATCH(Regions!$B$1,Regions!$A$5:$A$14,0)),0)</f>
        <v/>
      </c>
    </row>
    <row r="5">
      <c r="A5" t="inlineStr">
        <is>
          <t>tau</t>
        </is>
      </c>
      <c r="B5" t="n">
        <v>0</v>
      </c>
      <c r="C5" t="n">
        <v>0.05</v>
      </c>
      <c r="D5" t="n">
        <v>0.1</v>
      </c>
      <c r="E5" t="n">
        <v>0.15</v>
      </c>
      <c r="F5" t="n">
        <v>0.2</v>
      </c>
      <c r="G5" t="n">
        <v>0.25</v>
      </c>
      <c r="H5" t="n">
        <v>0.3</v>
      </c>
      <c r="I5" t="n">
        <v>0.35</v>
      </c>
      <c r="J5" t="n">
        <v>0.4</v>
      </c>
      <c r="K5" t="n">
        <v>0.45</v>
      </c>
      <c r="L5" t="n">
        <v>0.5</v>
      </c>
      <c r="M5" t="n">
        <v>0.55</v>
      </c>
      <c r="N5" t="n">
        <v>0.6</v>
      </c>
      <c r="O5" t="n">
        <v>0.65</v>
      </c>
      <c r="P5" t="n">
        <v>0.7</v>
      </c>
      <c r="Q5" t="n">
        <v>0.75</v>
      </c>
      <c r="R5" t="n">
        <v>0.8</v>
      </c>
      <c r="S5" t="n">
        <v>0.85</v>
      </c>
      <c r="T5" t="n">
        <v>0.9</v>
      </c>
      <c r="U5" t="n">
        <v>0.95</v>
      </c>
      <c r="V5" t="n">
        <v>1</v>
      </c>
    </row>
    <row r="6">
      <c r="A6" t="inlineStr">
        <is>
          <t>multiplier = 0 for tau &lt;= tau0, else sat x ((tau - tau0)/(1 - tau0))^2, rounded to 4 decimals</t>
        </is>
      </c>
      <c r="B6">
        <f>IF(B5&lt;=$B$2,0,ROUND($B$3*((B5-$B$2)/(1-$B$2))^2,4))</f>
        <v/>
      </c>
      <c r="C6">
        <f>IF(C5&lt;=$B$2,0,ROUND($B$3*((C5-$B$2)/(1-$B$2))^2,4))</f>
        <v/>
      </c>
      <c r="D6">
        <f>IF(D5&lt;=$B$2,0,ROUND($B$3*((D5-$B$2)/(1-$B$2))^2,4))</f>
        <v/>
      </c>
      <c r="E6">
        <f>IF(E5&lt;=$B$2,0,ROUND($B$3*((E5-$B$2)/(1-$B$2))^2,4))</f>
        <v/>
      </c>
      <c r="F6">
        <f>IF(F5&lt;=$B$2,0,ROUND($B$3*((F5-$B$2)/(1-$B$2))^2,4))</f>
        <v/>
      </c>
      <c r="G6">
        <f>IF(G5&lt;=$B$2,0,ROUND($B$3*((G5-$B$2)/(1-$B$2))^2,4))</f>
        <v/>
      </c>
      <c r="H6">
        <f>IF(H5&lt;=$B$2,0,ROUND($B$3*((H5-$B$2)/(1-$B$2))^2,4))</f>
        <v/>
      </c>
      <c r="I6">
        <f>IF(I5&lt;=$B$2,0,ROUND($B$3*((I5-$B$2)/(1-$B$2))^2,4))</f>
        <v/>
      </c>
      <c r="J6">
        <f>IF(J5&lt;=$B$2,0,ROUND($B$3*((J5-$B$2)/(1-$B$2))^2,4))</f>
        <v/>
      </c>
      <c r="K6">
        <f>IF(K5&lt;=$B$2,0,ROUND($B$3*((K5-$B$2)/(1-$B$2))^2,4))</f>
        <v/>
      </c>
      <c r="L6">
        <f>IF(L5&lt;=$B$2,0,ROUND($B$3*((L5-$B$2)/(1-$B$2))^2,4))</f>
        <v/>
      </c>
      <c r="M6">
        <f>IF(M5&lt;=$B$2,0,ROUND($B$3*((M5-$B$2)/(1-$B$2))^2,4))</f>
        <v/>
      </c>
      <c r="N6">
        <f>IF(N5&lt;=$B$2,0,ROUND($B$3*((N5-$B$2)/(1-$B$2))^2,4))</f>
        <v/>
      </c>
      <c r="O6">
        <f>IF(O5&lt;=$B$2,0,ROUND($B$3*((O5-$B$2)/(1-$B$2))^2,4))</f>
        <v/>
      </c>
      <c r="P6">
        <f>IF(P5&lt;=$B$2,0,ROUND($B$3*((P5-$B$2)/(1-$B$2))^2,4))</f>
        <v/>
      </c>
      <c r="Q6">
        <f>IF(Q5&lt;=$B$2,0,ROUND($B$3*((Q5-$B$2)/(1-$B$2))^2,4))</f>
        <v/>
      </c>
      <c r="R6">
        <f>IF(R5&lt;=$B$2,0,ROUND($B$3*((R5-$B$2)/(1-$B$2))^2,4))</f>
        <v/>
      </c>
      <c r="S6">
        <f>IF(S5&lt;=$B$2,0,ROUND($B$3*((S5-$B$2)/(1-$B$2))^2,4))</f>
        <v/>
      </c>
      <c r="T6">
        <f>IF(T5&lt;=$B$2,0,ROUND($B$3*((T5-$B$2)/(1-$B$2))^2,4))</f>
        <v/>
      </c>
      <c r="U6">
        <f>IF(U5&lt;=$B$2,0,ROUND($B$3*((U5-$B$2)/(1-$B$2))^2,4))</f>
        <v/>
      </c>
      <c r="V6">
        <f>IF(V5&lt;=$B$2,0,ROUND($B$3*((V5-$B$2)/(1-$B$2))^2,4))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Cross-check: 'CTOAvT' export literals vs Derivation</t>
        </is>
      </c>
    </row>
    <row r="3">
      <c r="B3" t="n">
        <v>0</v>
      </c>
      <c r="C3" t="n">
        <v>0.05</v>
      </c>
      <c r="D3" t="n">
        <v>0.1</v>
      </c>
      <c r="E3" t="n">
        <v>0.15</v>
      </c>
      <c r="F3" t="n">
        <v>0.2</v>
      </c>
      <c r="G3" t="n">
        <v>0.25</v>
      </c>
      <c r="H3" t="n">
        <v>0.3</v>
      </c>
      <c r="I3" t="n">
        <v>0.35</v>
      </c>
      <c r="J3" t="n">
        <v>0.4</v>
      </c>
      <c r="K3" t="n">
        <v>0.45</v>
      </c>
      <c r="L3" t="n">
        <v>0.5</v>
      </c>
      <c r="M3" t="n">
        <v>0.55</v>
      </c>
      <c r="N3" t="n">
        <v>0.6</v>
      </c>
      <c r="O3" t="n">
        <v>0.65</v>
      </c>
      <c r="P3" t="n">
        <v>0.7</v>
      </c>
      <c r="Q3" t="n">
        <v>0.75</v>
      </c>
      <c r="R3" t="n">
        <v>0.8</v>
      </c>
      <c r="S3" t="n">
        <v>0.85</v>
      </c>
      <c r="T3" t="n">
        <v>0.9</v>
      </c>
      <c r="U3" t="n">
        <v>0.95</v>
      </c>
      <c r="V3" t="n">
        <v>1</v>
      </c>
    </row>
    <row r="4">
      <c r="A4" t="inlineStr">
        <is>
          <t>Export literal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0.0086</v>
      </c>
      <c r="R4" t="n">
        <v>0.0344</v>
      </c>
      <c r="S4" t="n">
        <v>0.0775</v>
      </c>
      <c r="T4" t="n">
        <v>0.1378</v>
      </c>
      <c r="U4" t="n">
        <v>0.2153</v>
      </c>
      <c r="V4" t="n">
        <v>0.31</v>
      </c>
    </row>
    <row r="5">
      <c r="A5" t="inlineStr">
        <is>
          <t>Derivation</t>
        </is>
      </c>
      <c r="B5">
        <f>Derivation!B6</f>
        <v/>
      </c>
      <c r="C5">
        <f>Derivation!C6</f>
        <v/>
      </c>
      <c r="D5">
        <f>Derivation!D6</f>
        <v/>
      </c>
      <c r="E5">
        <f>Derivation!E6</f>
        <v/>
      </c>
      <c r="F5">
        <f>Derivation!F6</f>
        <v/>
      </c>
      <c r="G5">
        <f>Derivation!G6</f>
        <v/>
      </c>
      <c r="H5">
        <f>Derivation!H6</f>
        <v/>
      </c>
      <c r="I5">
        <f>Derivation!I6</f>
        <v/>
      </c>
      <c r="J5">
        <f>Derivation!J6</f>
        <v/>
      </c>
      <c r="K5">
        <f>Derivation!K6</f>
        <v/>
      </c>
      <c r="L5">
        <f>Derivation!L6</f>
        <v/>
      </c>
      <c r="M5">
        <f>Derivation!M6</f>
        <v/>
      </c>
      <c r="N5">
        <f>Derivation!N6</f>
        <v/>
      </c>
      <c r="O5">
        <f>Derivation!O6</f>
        <v/>
      </c>
      <c r="P5">
        <f>Derivation!P6</f>
        <v/>
      </c>
      <c r="Q5">
        <f>Derivation!Q6</f>
        <v/>
      </c>
      <c r="R5">
        <f>Derivation!R6</f>
        <v/>
      </c>
      <c r="S5">
        <f>Derivation!S6</f>
        <v/>
      </c>
      <c r="T5">
        <f>Derivation!T6</f>
        <v/>
      </c>
      <c r="U5">
        <f>Derivation!U6</f>
        <v/>
      </c>
      <c r="V5">
        <f>Derivation!V6</f>
        <v/>
      </c>
    </row>
    <row r="6">
      <c r="A6" t="inlineStr">
        <is>
          <t>ABS diff</t>
        </is>
      </c>
      <c r="B6">
        <f>ABS(B4-B5)</f>
        <v/>
      </c>
      <c r="C6">
        <f>ABS(C4-C5)</f>
        <v/>
      </c>
      <c r="D6">
        <f>ABS(D4-D5)</f>
        <v/>
      </c>
      <c r="E6">
        <f>ABS(E4-E5)</f>
        <v/>
      </c>
      <c r="F6">
        <f>ABS(F4-F5)</f>
        <v/>
      </c>
      <c r="G6">
        <f>ABS(G4-G5)</f>
        <v/>
      </c>
      <c r="H6">
        <f>ABS(H4-H5)</f>
        <v/>
      </c>
      <c r="I6">
        <f>ABS(I4-I5)</f>
        <v/>
      </c>
      <c r="J6">
        <f>ABS(J4-J5)</f>
        <v/>
      </c>
      <c r="K6">
        <f>ABS(K4-K5)</f>
        <v/>
      </c>
      <c r="L6">
        <f>ABS(L4-L5)</f>
        <v/>
      </c>
      <c r="M6">
        <f>ABS(M4-M5)</f>
        <v/>
      </c>
      <c r="N6">
        <f>ABS(N4-N5)</f>
        <v/>
      </c>
      <c r="O6">
        <f>ABS(O4-O5)</f>
        <v/>
      </c>
      <c r="P6">
        <f>ABS(P4-P5)</f>
        <v/>
      </c>
      <c r="Q6">
        <f>ABS(Q4-Q5)</f>
        <v/>
      </c>
      <c r="R6">
        <f>ABS(R4-R5)</f>
        <v/>
      </c>
      <c r="S6">
        <f>ABS(S4-S5)</f>
        <v/>
      </c>
      <c r="T6">
        <f>ABS(T4-T5)</f>
        <v/>
      </c>
      <c r="U6">
        <f>ABS(U4-U5)</f>
        <v/>
      </c>
      <c r="V6">
        <f>ABS(V4-V5)</f>
        <v/>
      </c>
    </row>
    <row r="8">
      <c r="A8" t="inlineStr">
        <is>
          <t>Max abs diff</t>
        </is>
      </c>
      <c r="B8">
        <f>MAX(B6:V6)</f>
        <v/>
      </c>
    </row>
    <row r="9">
      <c r="A9" t="inlineStr">
        <is>
          <t>Result</t>
        </is>
      </c>
      <c r="B9">
        <f>IF(B8&lt;1e-06,"PASS","FAIL")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(congestion operating-adder multiplier on Average New Clinker Capacity Cost per Ton vs fleet tightness tau; shadow decision cost only - books no cash flows; ROUGH US curve 2026-08-28: quadratic ramp from tau=0.7, saturating at 0.31 at tau=1 = ~$19-21/t on the ~$62-69/t reference = the central import-parity congestion premium ($15-25/t central, $0-50/t range: USGS mill value $160/t 2024-25 vs ~$95-120/t landed imports, premium arises from terminal/logistics congestion not FOB price; USGS MCS 2026 + S&amp;P Platts Turkey CEMDEX + freight - VERIFY vs primary before release; terminal-handling component is judgment. Zero through the normal operating band so BAU is untouched)</t>
        </is>
      </c>
      <c r="B1" t="n">
        <v>0</v>
      </c>
      <c r="C1" t="n">
        <v>0.05</v>
      </c>
      <c r="D1" t="n">
        <v>0.1</v>
      </c>
      <c r="E1" t="n">
        <v>0.15</v>
      </c>
      <c r="F1" t="n">
        <v>0.2</v>
      </c>
      <c r="G1" t="n">
        <v>0.25</v>
      </c>
      <c r="H1" t="n">
        <v>0.3</v>
      </c>
      <c r="I1" t="n">
        <v>0.35</v>
      </c>
      <c r="J1" t="n">
        <v>0.4</v>
      </c>
      <c r="K1" t="n">
        <v>0.45</v>
      </c>
      <c r="L1" t="n">
        <v>0.5</v>
      </c>
      <c r="M1" t="n">
        <v>0.55</v>
      </c>
      <c r="N1" t="n">
        <v>0.6</v>
      </c>
      <c r="O1" t="n">
        <v>0.65</v>
      </c>
      <c r="P1" t="n">
        <v>0.7</v>
      </c>
      <c r="Q1" t="n">
        <v>0.75</v>
      </c>
      <c r="R1" t="n">
        <v>0.8</v>
      </c>
      <c r="S1" t="n">
        <v>0.85</v>
      </c>
      <c r="T1" t="n">
        <v>0.9</v>
      </c>
      <c r="U1" t="n">
        <v>0.95</v>
      </c>
      <c r="V1" t="n">
        <v>1</v>
      </c>
    </row>
    <row r="2">
      <c r="A2" t="inlineStr">
        <is>
          <t>Cement Tightness Operating Adder Multiplier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0.0086</v>
      </c>
      <c r="R2" t="n">
        <v>0.0344</v>
      </c>
      <c r="S2" t="n">
        <v>0.0775</v>
      </c>
      <c r="T2" t="n">
        <v>0.1378</v>
      </c>
      <c r="U2" t="n">
        <v>0.2153</v>
      </c>
      <c r="V2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2026-09-29T18:40:23Z</dcterms:created>
  <dcterms:modified xsi:type="dcterms:W3CDTF">2026-10-01T20:23:34Z</dcterms:modified>
</cp:coreProperties>
</file>