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Source Data" sheetId="2" state="visible" r:id="rId2"/>
    <sheet name="Parameters" sheetId="3" state="visible" r:id="rId3"/>
    <sheet name="Calc" sheetId="4" state="visible" r:id="rId4"/>
    <sheet name="Checks" sheetId="5" state="visible" r:id="rId5"/>
    <sheet name="CEIbPaF"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3">
    <fill>
      <patternFill/>
    </fill>
    <fill>
      <patternFill patternType="gray125"/>
    </fill>
    <fill>
      <patternFill patternType="solid">
        <fgColor rgb="00D9D9D9"/>
        <bgColor rgb="00D9D9D9"/>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nergy.gov/eere/amo/articles/bandwidth-study-energy-use-and-potential-energy-savings-opportunities-us-1" TargetMode="External" Id="rId1" /><Relationship Type="http://schemas.openxmlformats.org/officeDocument/2006/relationships/hyperlink" Target="https://www.cement.org/newsroom" TargetMode="External" Id="rId2" /><Relationship Type="http://schemas.openxmlformats.org/officeDocument/2006/relationships/hyperlink" Target="https://www.eia.gov/consumption/manufacturing/data/2018/" TargetMode="External" Id="rId3" /><Relationship Type="http://schemas.openxmlformats.org/officeDocument/2006/relationships/hyperlink" Target="https://www.cement.org/" TargetMode="External" Id="rId4" /><Relationship Type="http://schemas.openxmlformats.org/officeDocument/2006/relationships/hyperlink" Target="https://ieaghg.org/publications/technical-reports/" TargetMode="External" Id="rId5" /><Relationship Type="http://schemas.openxmlformats.org/officeDocument/2006/relationships/hyperlink" Target="https://www.energyinnovation.org/" TargetMode="External" Id="rId6" /></Relationships>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cols>
    <col width="14" customWidth="1" min="1" max="1"/>
    <col width="110" customWidth="1" min="2" max="2"/>
  </cols>
  <sheetData>
    <row r="1">
      <c r="A1" s="1" t="inlineStr">
        <is>
          <t>CEIbPaF Cement Energy Intensity by Pathway and Fuel</t>
        </is>
      </c>
    </row>
    <row r="3">
      <c r="A3" s="1" t="inlineStr">
        <is>
          <t>Sources:</t>
        </is>
      </c>
      <c r="B3" s="2" t="inlineStr">
        <is>
          <t>Dry pyroprocessing thermal energy intensity (basis for the 3.43 MMBtu/t clinker thermal total)</t>
        </is>
      </c>
    </row>
    <row r="4">
      <c r="B4" s="3" t="inlineStr">
        <is>
          <t>US DOE, Advanced Manufacturing Office</t>
        </is>
      </c>
    </row>
    <row r="5">
      <c r="B5" s="3" t="inlineStr">
        <is>
          <t>Bandwidth Study on Energy Use and Potential Energy Saving Opportunities in US Cement Manufacturing, Table 3-2 ("current typical" dry pyroprocessing energy)</t>
        </is>
      </c>
    </row>
    <row r="6">
      <c r="B6" s="3" t="n">
        <v>2017</v>
      </c>
    </row>
    <row r="7">
      <c r="B7" s="4" t="inlineStr">
        <is>
          <t>https://www.energy.gov/eere/amo/articles/bandwidth-study-energy-use-and-potential-energy-savings-opportunities-us-1</t>
        </is>
      </c>
    </row>
    <row r="8">
      <c r="B8" s="3" t="inlineStr">
        <is>
          <t>[PROXY] Table 3-2 reports "current typical" dry-kiln-with-precalciner pyroprocessing energy of 1,554 Btu/lb clinker. See the Calc tab for the conversion to BTU/metric ton (x 2,204.62 lb/metric ton = ~3.43 MMBtu/t) - a prior reviewer flagged a possible "discrepancy" using the 2,000 lb/short-ton conversion instead; 2,204.62 lb/metric ton is the correct factor and is used throughout. Nothing newer supersedes this figure; the GNR (Getting the Numbers Right) global database's ~3.3-3.5 MJ-basis range is directionally consistent.</t>
        </is>
      </c>
    </row>
    <row r="10">
      <c r="B10" s="2" t="inlineStr">
        <is>
          <t>US fuel mix for cement kiln thermal energy (basis for the coal/petcoke/NG/alt-fuel split)</t>
        </is>
      </c>
    </row>
    <row r="11">
      <c r="B11" s="3" t="inlineStr">
        <is>
          <t>Portland Cement Association (PCA)</t>
        </is>
      </c>
    </row>
    <row r="12">
      <c r="B12" s="3" t="inlineStr">
        <is>
          <t>PCA 2023 Labor-Energy Input Survey, as reported in PCA press release</t>
        </is>
      </c>
    </row>
    <row r="13">
      <c r="B13" s="3" t="n">
        <v>2023</v>
      </c>
    </row>
    <row r="14">
      <c r="B14" s="4" t="inlineStr">
        <is>
          <t>https://www.cement.org/newsroom</t>
        </is>
      </c>
    </row>
    <row r="15">
      <c r="B15" s="3" t="inlineStr">
        <is>
          <t>[PROXY - accessed via PCA press release summarizing the survey, not the full survey report] Natural gas 31% (record share), alternative fuels 16%, coal + petroleum coke combined 53% of onsite thermal fuel. PCA does not separately break out coal vs. petroleum coke within the 53%.</t>
        </is>
      </c>
    </row>
    <row r="17">
      <c r="B17" s="2" t="inlineStr">
        <is>
          <t>Cross-check for the coal-vs-petcoke split within PCA's combined 53%</t>
        </is>
      </c>
    </row>
    <row r="18">
      <c r="B18" s="3" t="inlineStr">
        <is>
          <t>US Energy Information Administration (EIA)</t>
        </is>
      </c>
    </row>
    <row r="19">
      <c r="B19" s="3" t="inlineStr">
        <is>
          <t>Manufacturing Energy Consumption Survey (MECS) 2018, Table 3.2, NAICS 3273 (cement)</t>
        </is>
      </c>
    </row>
    <row r="20">
      <c r="B20" s="3" t="n">
        <v>2018</v>
      </c>
    </row>
    <row r="21">
      <c r="B21" s="4" t="inlineStr">
        <is>
          <t>https://www.eia.gov/consumption/manufacturing/data/2018/</t>
        </is>
      </c>
    </row>
    <row r="22">
      <c r="B22" s="3" t="inlineStr">
        <is>
          <t>[SNIPPET] MECS 2018 shows onsite fuel roughly 41% coal : 24% petroleum coke (~63:37 ratio between the two). This workbook's chosen 33%/20% split of PCA's 53% (~62:38 ratio, see Parameters tab) is directionally consistent with MECS but is NOT a 2023 primary split - no such split has been published for 2023. Documented EI judgment, not a direct source figure.</t>
        </is>
      </c>
    </row>
    <row r="24">
      <c r="B24" s="2" t="inlineStr">
        <is>
          <t>Cement-sector electricity intensity (basis for the electricity BTU/t clinker figure)</t>
        </is>
      </c>
    </row>
    <row r="25">
      <c r="B25" s="3" t="inlineStr">
        <is>
          <t>Portland Cement Association (PCA)</t>
        </is>
      </c>
    </row>
    <row r="26">
      <c r="B26" s="3" t="inlineStr">
        <is>
          <t>PCA plant energy survey (cited figure: 142 kWh per metric ton of cement)</t>
        </is>
      </c>
    </row>
    <row r="27">
      <c r="B27" s="3" t="n">
        <v>2008</v>
      </c>
    </row>
    <row r="28">
      <c r="B28" s="4" t="inlineStr">
        <is>
          <t>https://www.cement.org/</t>
        </is>
      </c>
    </row>
    <row r="29">
      <c r="B29" s="3" t="inlineStr">
        <is>
          <t>[PROXY - condensed/secondary citation of the PCA survey figure, primary survey report not directly accessed in this pass] 142 kWh/t CEMENT (not clinker). Converted to a per-t-clinker basis on the Calc tab by dividing by the BCtCR clinker-to-cement ratio (0.8214, sourced from the separate BCtCR input file) then multiplying by 3,412 BTU/kWh. MECS-2018-derived cross-checks put the plausible range at 132-142 kWh/t; this workbook uses the top of that range and flags re-derivation from MECS Table 3.2 + USGS for release-grade precision as a follow-up.</t>
        </is>
      </c>
    </row>
    <row r="31">
      <c r="B31" s="2" t="inlineStr">
        <is>
          <t>CCS amine-capture energy penalty (natural gas and electricity adders on the CCS pathway)</t>
        </is>
      </c>
    </row>
    <row r="32">
      <c r="B32" s="3" t="inlineStr">
        <is>
          <t>IEAGHG; Heidelberg Materials (Brevik)</t>
        </is>
      </c>
    </row>
    <row r="33">
      <c r="B33" s="3" t="inlineStr">
        <is>
          <t>IEAGHG Technical Report 2018-TR03 (cement CCS energy penalty, with-heat-recovery case); Brevik CCS project reported energy penalty</t>
        </is>
      </c>
    </row>
    <row r="34">
      <c r="B34" s="3" t="n">
        <v>2018</v>
      </c>
    </row>
    <row r="35">
      <c r="B35" s="4" t="inlineStr">
        <is>
          <t>https://ieaghg.org/publications/technical-reports/</t>
        </is>
      </c>
    </row>
    <row r="36">
      <c r="B36" s="3" t="inlineStr">
        <is>
          <t>[PROXY - the adders themselves are an EI-derived DRAFT figure; the corroboration range is from these two secondary/tertiary citations] This workbook's +2.1 MMBtu/t natural gas (capture steam) at ~0.72 t CO2 captured per t clinker implies ~2.9 GJ/t CO2 captured, which falls inside IEAGHG 2018-TR03's with-heat-recovery band (3.1-3.3 GJ/t CO2) and is close to Brevik's reported 2.7-3.0 GJ/t CO2 - corroborating the DRAFT figure's order of magnitude without being independently re-derived from either primary report.</t>
        </is>
      </c>
    </row>
    <row r="38">
      <c r="B38" s="2" t="inlineStr">
        <is>
          <t>Electric kiln and alternative-chemistry cement energy intensities</t>
        </is>
      </c>
    </row>
    <row r="39">
      <c r="B39" s="3" t="inlineStr">
        <is>
          <t>EI internal engineering estimate</t>
        </is>
      </c>
    </row>
    <row r="40">
      <c r="B40" s="3" t="inlineStr">
        <is>
          <t>(no company disclosure exists)</t>
        </is>
      </c>
    </row>
    <row r="41">
      <c r="B41" s="3" t="n">
        <v>2026</v>
      </c>
    </row>
    <row r="42">
      <c r="B42" s="4" t="inlineStr">
        <is>
          <t>https://www.energyinnovation.org/</t>
        </is>
      </c>
    </row>
    <row r="43">
      <c r="B43" s="3" t="inlineStr">
        <is>
          <t>[UNVERIFIED - EI judgment] Neither Coolbrook (electric kiln) nor Sublime Systems (alternative chemistry) has published an energy intensity figure. 4.0 MMBtu/t (electric kiln) and 2.5 MMBtu/t (alternative chemistry), both electricity-only, are internal engineering placeholders pending real disclosures.</t>
        </is>
      </c>
    </row>
    <row r="46">
      <c r="A46" s="1" t="inlineStr">
        <is>
          <t>Notes:</t>
        </is>
      </c>
    </row>
    <row r="47">
      <c r="A47" s="1" t="inlineStr">
        <is>
          <t>DRAFT status</t>
        </is>
      </c>
      <c r="B47" s="3" t="inlineStr">
        <is>
          <t>DRAFT - an input for staff review, not a finished or approved EI position. Verify every figure against primary sources before use in any work product; treat this workbook as a starting point open to further input and refinement.</t>
        </is>
      </c>
    </row>
    <row r="48">
      <c r="A48" s="1" t="inlineStr">
        <is>
          <t>Apportionment method</t>
        </is>
      </c>
      <c r="B48" s="3" t="inlineStr">
        <is>
          <t>The Calc tab computes a single thermal-energy total (DOE Bandwidth 1,554 Btu/lb x 2,204.62 lb/metric ton = ~3.426 MMBtu/t clinker), then splits it across fuels using the PCA 2023 fuel-mix shares (coal 33% / petroleum coke 20% / natural gas 31% / alternative fuels 16% - the 33/20 split of PCA's combined 53% coal+petcoke figure is an EI judgment documented on the Parameters tab). Each fuel's share of the thermal total is rounded to the nearest 10,000 BTU (matching the shipped CSV's rounding convention) via ROUND(...,-4).</t>
        </is>
      </c>
    </row>
    <row r="49">
      <c r="A49" s="1" t="inlineStr">
        <is>
          <t>Fuel-column mapping [UNVERIFIED - EI judgment on where each physical fuel rides]</t>
        </is>
      </c>
      <c r="B49" s="3" t="inlineStr">
        <is>
          <t>Petroleum coke rides the "heavy or residual fuel oil if" column - there is no dedicated petcoke element in the model's Industrial Fuel subscript. This booking is corroborated by the generic industrial structure's BIFUaF (BAU Industrial Fuel Use, feedstock) heavy/residual-oil FEEDSTOCK stream for industry code 239, which shows ~47.15 TBtu - matching module petcoke (0.686 MMBtu/t x 69 Mt ~= 47.4 TBtu) within ~1% (verify against the BIFU workbook at the Phase 1b wiring step). Alternative fuels (tires, waste-derived fuel) ride the "biomass if" column as the nearest physical fit; the generic industry-239 biomass total is zero, so a share-of-generic diagnostic reads 0 for biomass by ZIDZ (division-by-zero convention) - a known boundary item flagged for the Phase 1b calibration, not resolved in this workbook.</t>
        </is>
      </c>
    </row>
    <row r="50">
      <c r="A50" s="1" t="inlineStr">
        <is>
          <t>Electricity (590,000 BTU/t dry kiln; +150,000 on CCS) [PROXY for the base, UNVERIFIED for the CCS adder]</t>
        </is>
      </c>
      <c r="B50" s="3" t="inlineStr">
        <is>
          <t>142 kWh/t cement / 0.8214 clinker-to-cement ratio x 3,412 BTU/kWh, rounded to the nearest 10,000 BTU. The dry-kiln-with-CCS row adds a flat +150,000 BTU/t electricity for capture auxiliaries (amine pumps, compression) - an EI DRAFT figure, not independently sourced.</t>
        </is>
      </c>
    </row>
    <row r="51">
      <c r="A51" s="1" t="inlineStr">
        <is>
          <t>Dry kiln with CCS natural gas adder (+2,100,000 BTU/t) [PROXY - corroborated, not directly sourced]</t>
        </is>
      </c>
      <c r="B51" s="3" t="inlineStr">
        <is>
          <t>See the "CCS amine-capture energy penalty" source block above. Represents amine-regeneration steam energy.</t>
        </is>
      </c>
    </row>
    <row r="52">
      <c r="A52" s="1" t="inlineStr">
        <is>
          <t>Electric kiln (4,000,000 BTU/t) and alternative chemistry cement (2,500,000 BTU/t), both electricity-only [UNVERIFIED - EI judgment]</t>
        </is>
      </c>
      <c r="B52" s="3" t="inlineStr">
        <is>
          <t>Stored as literal parameters on the Parameters tab (no computable derivation exists) and referenced by formula in the export tab. Pending literature verification / company disclosure.</t>
        </is>
      </c>
    </row>
    <row r="53">
      <c r="A53" s="1" t="inlineStr">
        <is>
          <t>Zero-value fuel columns</t>
        </is>
      </c>
      <c r="B53" s="3" t="inlineStr">
        <is>
          <t>petroleum diesel, heat, crude oil, LPG/propane/butane, hydrogen, green hydrogen, and low-carbon hydrogen are zero for all four pathways in this DRAFT version - none of the source literature identifies a material use of these fuels in cement pyroprocessing today. Flagged for team review in case a hydrogen-kiln pathway is added later.</t>
        </is>
      </c>
    </row>
    <row r="54">
      <c r="A54" s="1" t="inlineStr">
        <is>
          <t>Provenance</t>
        </is>
      </c>
      <c r="B54" s="3" t="inlineStr">
        <is>
          <t>Built by Claude Code (Fable/Sonnet agent session) from the Phase 4 verification dossier and CreateCementDraftInputsScript.py inline source comments, cement industry breakout, worktree cement-industry-breakout-f901fc, 2026-08-26. Reviewed by: (pending).</t>
        </is>
      </c>
    </row>
  </sheetData>
  <hyperlinks>
    <hyperlink xmlns:r="http://schemas.openxmlformats.org/officeDocument/2006/relationships" ref="B7" r:id="rId1"/>
    <hyperlink xmlns:r="http://schemas.openxmlformats.org/officeDocument/2006/relationships" ref="B14" r:id="rId2"/>
    <hyperlink xmlns:r="http://schemas.openxmlformats.org/officeDocument/2006/relationships" ref="B21" r:id="rId3"/>
    <hyperlink xmlns:r="http://schemas.openxmlformats.org/officeDocument/2006/relationships" ref="B28" r:id="rId4"/>
    <hyperlink xmlns:r="http://schemas.openxmlformats.org/officeDocument/2006/relationships" ref="B35" r:id="rId5"/>
    <hyperlink xmlns:r="http://schemas.openxmlformats.org/officeDocument/2006/relationships" ref="B42"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52" customWidth="1" min="1" max="1"/>
    <col width="16" customWidth="1" min="2" max="2"/>
    <col width="60" customWidth="1" min="3" max="3"/>
  </cols>
  <sheetData>
    <row r="1">
      <c r="A1" s="1" t="inlineStr">
        <is>
          <t>DOE Bandwidth Study 2017, Table 3-2</t>
        </is>
      </c>
    </row>
    <row r="2">
      <c r="A2" t="inlineStr">
        <is>
          <t>Dry pyroprocessing current typical energy (Btu/lb clinker)</t>
        </is>
      </c>
      <c r="B2" t="n">
        <v>1554</v>
      </c>
    </row>
    <row r="3">
      <c r="A3" t="inlineStr">
        <is>
          <t>Conversion factor (lb/metric ton)</t>
        </is>
      </c>
      <c r="B3" t="n">
        <v>2204.62</v>
      </c>
    </row>
    <row r="5">
      <c r="A5" s="1" t="inlineStr">
        <is>
          <t>PCA 2023 Labor-Energy Input Survey fuel mix (share of onsite thermal fuel)</t>
        </is>
      </c>
    </row>
    <row r="6">
      <c r="A6" t="inlineStr">
        <is>
          <t>Natural gas share</t>
        </is>
      </c>
      <c r="B6" t="n">
        <v>0.31</v>
      </c>
    </row>
    <row r="7">
      <c r="A7" t="inlineStr">
        <is>
          <t>Alternative fuels share</t>
        </is>
      </c>
      <c r="B7" t="n">
        <v>0.16</v>
      </c>
    </row>
    <row r="8">
      <c r="A8" t="inlineStr">
        <is>
          <t>Coal + petroleum coke combined share</t>
        </is>
      </c>
      <c r="B8" t="n">
        <v>0.53</v>
      </c>
    </row>
    <row r="10">
      <c r="A10" s="1" t="inlineStr">
        <is>
          <t>MECS 2018 cross-check (context only, not used numerically)</t>
        </is>
      </c>
    </row>
    <row r="11">
      <c r="A11" t="inlineStr">
        <is>
          <t>Coal share of onsite fuel</t>
        </is>
      </c>
      <c r="B11" t="n">
        <v>0.41</v>
      </c>
    </row>
    <row r="12">
      <c r="A12" t="inlineStr">
        <is>
          <t>Petroleum coke share of onsite fuel</t>
        </is>
      </c>
      <c r="B12" t="n">
        <v>0.24</v>
      </c>
    </row>
    <row r="13">
      <c r="A13" t="inlineStr">
        <is>
          <t>Implied coal:petcoke ratio</t>
        </is>
      </c>
      <c r="B13">
        <f>B11/(B11+B12)</f>
        <v/>
      </c>
    </row>
    <row r="15">
      <c r="A15" s="1" t="inlineStr">
        <is>
          <t>Electricity intensity</t>
        </is>
      </c>
    </row>
    <row r="16">
      <c r="A16" t="inlineStr">
        <is>
          <t>PCA electricity intensity (kWh/metric ton CEMENT)</t>
        </is>
      </c>
      <c r="B16" t="n">
        <v>142</v>
      </c>
    </row>
    <row r="17">
      <c r="A17" t="inlineStr">
        <is>
          <t>BAU Clinker to Cement Ratio, 2025 (from the BCtCR input file - cross-variable reference)</t>
        </is>
      </c>
      <c r="B17" t="n">
        <v>0.8214</v>
      </c>
    </row>
    <row r="18">
      <c r="A18" t="inlineStr">
        <is>
          <t>BTU per kWh</t>
        </is>
      </c>
      <c r="B18" t="n">
        <v>3412</v>
      </c>
    </row>
    <row r="20">
      <c r="A20" s="1" t="inlineStr">
        <is>
          <t>CCS amine-capture energy adders (DRAFT, corroborated - see About tab)</t>
        </is>
      </c>
    </row>
    <row r="21">
      <c r="A21" t="inlineStr">
        <is>
          <t>Natural gas adder (BTU/t clinker)</t>
        </is>
      </c>
      <c r="B21" t="n">
        <v>2100000</v>
      </c>
    </row>
    <row r="22">
      <c r="A22" t="inlineStr">
        <is>
          <t>Electricity adder (BTU/t clinker)</t>
        </is>
      </c>
      <c r="B22" t="n">
        <v>150000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52" customWidth="1" min="1" max="1"/>
    <col width="16" customWidth="1" min="2" max="2"/>
    <col width="60" customWidth="1" min="3" max="3"/>
  </cols>
  <sheetData>
    <row r="1">
      <c r="A1" s="1" t="inlineStr">
        <is>
          <t>Judgment split of PCA's combined 53% coal+petcoke share</t>
        </is>
      </c>
    </row>
    <row r="2">
      <c r="A2" t="inlineStr">
        <is>
          <t>Coal share of total thermal energy</t>
        </is>
      </c>
      <c r="B2" t="n">
        <v>0.33</v>
      </c>
      <c r="C2" t="inlineStr">
        <is>
          <t>EI judgment, within PCA 53%; ~62:38 coal:petcoke ratio, MECS-consistent (MECS implies ~63:37)</t>
        </is>
      </c>
    </row>
    <row r="3">
      <c r="A3" t="inlineStr">
        <is>
          <t>Petroleum coke share of total thermal energy (rides "heavy or residual fuel oil if")</t>
        </is>
      </c>
      <c r="B3" t="n">
        <v>0.2</v>
      </c>
      <c r="C3" t="inlineStr">
        <is>
          <t>EI judgment, within PCA 53%; see coal row</t>
        </is>
      </c>
    </row>
    <row r="5">
      <c r="A5" s="1" t="inlineStr">
        <is>
          <t>Electric kiln and alternative-chemistry literal energy intensities [UNVERIFIED]</t>
        </is>
      </c>
    </row>
    <row r="6">
      <c r="A6" t="inlineStr">
        <is>
          <t>Electric kiln electricity intensity (BTU/t clinker)</t>
        </is>
      </c>
      <c r="B6" t="n">
        <v>4000000</v>
      </c>
      <c r="C6" t="inlineStr">
        <is>
          <t>EI internal engineering estimate; no company disclosure</t>
        </is>
      </c>
    </row>
    <row r="7">
      <c r="A7" t="inlineStr">
        <is>
          <t>Alternative chemistry cement electricity intensity (BTU/t clinker)</t>
        </is>
      </c>
      <c r="B7" t="n">
        <v>2500000</v>
      </c>
      <c r="C7" t="inlineStr">
        <is>
          <t>EI internal engineering estimate; no company disclosure</t>
        </is>
      </c>
    </row>
    <row r="9">
      <c r="A9" t="inlineStr">
        <is>
          <t>Petcoke split between EPS fuel elements, following BIFU: AEO cement block 2025 petroleum coke 24.6 TBtu (filed as petroleum diesel) vs other petroleum 35.4 TBtu (filed as residual-oil feedstock)</t>
        </is>
      </c>
    </row>
    <row r="10">
      <c r="A10" t="inlineStr">
        <is>
          <t>Share of module petcoke on petroleum diesel</t>
        </is>
      </c>
      <c r="B10" t="n">
        <v>0.41</v>
      </c>
    </row>
    <row r="11">
      <c r="A11" t="inlineStr">
        <is>
          <t>Share on heavy or residual fuel oil</t>
        </is>
      </c>
      <c r="B11">
        <f>1-B10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52" customWidth="1" min="1" max="1"/>
    <col width="18" customWidth="1" min="2" max="2"/>
  </cols>
  <sheetData>
    <row r="1">
      <c r="A1" s="1" t="inlineStr">
        <is>
          <t>Thermal energy intensity conversion</t>
        </is>
      </c>
    </row>
    <row r="2">
      <c r="A2" t="inlineStr">
        <is>
          <t>Thermal BTU/metric ton clinker, unrounded</t>
        </is>
      </c>
      <c r="B2">
        <f>'Source Data'!B2*'Source Data'!B3</f>
        <v/>
      </c>
    </row>
    <row r="3">
      <c r="A3" t="inlineStr">
        <is>
          <t>Thermal MMBtu/metric ton clinker (display)</t>
        </is>
      </c>
      <c r="B3">
        <f>B2/1000000</f>
        <v/>
      </c>
    </row>
    <row r="5">
      <c r="A5" s="1" t="inlineStr">
        <is>
          <t>Fuel splits (rounded to nearest 10,000 BTU)</t>
        </is>
      </c>
    </row>
    <row r="6">
      <c r="A6" t="inlineStr">
        <is>
          <t>Fuel</t>
        </is>
      </c>
      <c r="B6" t="inlineStr">
        <is>
          <t>BTU/t clinker</t>
        </is>
      </c>
    </row>
    <row r="7">
      <c r="A7" t="inlineStr">
        <is>
          <t>hard coal if</t>
        </is>
      </c>
      <c r="B7">
        <f>ROUND($B$2*Parameters!$B$2,-4)</f>
        <v/>
      </c>
    </row>
    <row r="8">
      <c r="A8" t="inlineStr">
        <is>
          <t>natural gas if</t>
        </is>
      </c>
      <c r="B8">
        <f>ROUND($B$2*'Source Data'!$B$6,-4)</f>
        <v/>
      </c>
    </row>
    <row r="9">
      <c r="A9" t="inlineStr">
        <is>
          <t>heavy or residual fuel oil if (petroleum coke, 59%)</t>
        </is>
      </c>
      <c r="B9">
        <f>ROUND($B$2*Parameters!$B$3*Parameters!$B$11,-3)</f>
        <v/>
      </c>
    </row>
    <row r="10">
      <c r="A10" t="inlineStr">
        <is>
          <t>biomass if (alternative fuels)</t>
        </is>
      </c>
      <c r="B10">
        <f>ROUND($B$2*'Source Data'!$B$7,-4)</f>
        <v/>
      </c>
    </row>
    <row r="11">
      <c r="A11" t="inlineStr">
        <is>
          <t>petroleum diesel if (petroleum coke, 41%)</t>
        </is>
      </c>
      <c r="B11">
        <f>ROUND($B$2*Parameters!$B$3*Parameters!$B$10,-3)</f>
        <v/>
      </c>
    </row>
    <row r="12">
      <c r="A12" s="1" t="inlineStr">
        <is>
          <t>Electricity</t>
        </is>
      </c>
    </row>
    <row r="13">
      <c r="A13" t="inlineStr">
        <is>
          <t>kWh/t clinker, unrounded</t>
        </is>
      </c>
      <c r="B13">
        <f>'Source Data'!B16/'Source Data'!B17</f>
        <v/>
      </c>
    </row>
    <row r="14">
      <c r="A14" t="inlineStr">
        <is>
          <t>BTU/t clinker, unrounded</t>
        </is>
      </c>
      <c r="B14">
        <f>B13*'Source Data'!B18</f>
        <v/>
      </c>
    </row>
    <row r="15">
      <c r="A15" t="inlineStr">
        <is>
          <t>BTU/t clinker, rounded to nearest 10,000</t>
        </is>
      </c>
      <c r="B15">
        <f>ROUND(B14,-4)</f>
        <v/>
      </c>
    </row>
    <row r="17">
      <c r="A17" s="1" t="inlineStr">
        <is>
          <t>CCS pathway: KILN ONLY since 2026-10-01 (capture energy comes from the CCS sector's CC Energy Use per Ton Industry CO2 Sequestered x captured tons); rows equal the dry kiln</t>
        </is>
      </c>
    </row>
    <row r="18">
      <c r="A18" t="inlineStr">
        <is>
          <t>Electricity BTU/t</t>
        </is>
      </c>
      <c r="B18">
        <f>B15+'Source Data'!B22</f>
        <v/>
      </c>
    </row>
    <row r="19">
      <c r="A19" t="inlineStr">
        <is>
          <t>Natural gas BTU/t</t>
        </is>
      </c>
      <c r="B19">
        <f>B8+'Source Data'!B21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0" customWidth="1" min="1" max="1"/>
    <col width="26" customWidth="1" min="2" max="2"/>
    <col width="18" customWidth="1" min="3" max="3"/>
    <col width="18" customWidth="1" min="4" max="4"/>
    <col width="10" customWidth="1" min="5" max="5"/>
  </cols>
  <sheetData>
    <row r="1">
      <c r="A1" s="1" t="inlineStr">
        <is>
          <t>Cross-check: export literal vs. Calc/Parameters-derived value (nonzero fuels only; plain ABS cells, no array formulas)</t>
        </is>
      </c>
    </row>
    <row r="3">
      <c r="A3" s="1" t="inlineStr">
        <is>
          <t>Pathway</t>
        </is>
      </c>
      <c r="B3" s="1" t="inlineStr">
        <is>
          <t>Fuel</t>
        </is>
      </c>
      <c r="C3" s="1" t="inlineStr">
        <is>
          <t>Export literal</t>
        </is>
      </c>
      <c r="D3" s="1" t="inlineStr">
        <is>
          <t>Calc/Parameters value</t>
        </is>
      </c>
      <c r="E3" s="1" t="inlineStr">
        <is>
          <t>Abs diff</t>
        </is>
      </c>
    </row>
    <row r="4">
      <c r="A4" t="inlineStr">
        <is>
          <t>dry kiln with precalciner</t>
        </is>
      </c>
      <c r="B4" t="inlineStr">
        <is>
          <t>electricity if</t>
        </is>
      </c>
      <c r="C4">
        <f>CEIbPaF!B2</f>
        <v/>
      </c>
      <c r="D4">
        <f>Calc!B15</f>
        <v/>
      </c>
      <c r="E4">
        <f>ABS(C4-D4)</f>
        <v/>
      </c>
    </row>
    <row r="5">
      <c r="A5" t="inlineStr">
        <is>
          <t>dry kiln with precalciner</t>
        </is>
      </c>
      <c r="B5" t="inlineStr">
        <is>
          <t>hard coal if</t>
        </is>
      </c>
      <c r="C5">
        <f>CEIbPaF!C2</f>
        <v/>
      </c>
      <c r="D5">
        <f>Calc!B7</f>
        <v/>
      </c>
      <c r="E5">
        <f>ABS(C5-D5)</f>
        <v/>
      </c>
    </row>
    <row r="6">
      <c r="A6" t="inlineStr">
        <is>
          <t>dry kiln with precalciner</t>
        </is>
      </c>
      <c r="B6" t="inlineStr">
        <is>
          <t>natural gas if</t>
        </is>
      </c>
      <c r="C6">
        <f>CEIbPaF!D2</f>
        <v/>
      </c>
      <c r="D6">
        <f>Calc!B8</f>
        <v/>
      </c>
      <c r="E6">
        <f>ABS(C6-D6)</f>
        <v/>
      </c>
    </row>
    <row r="7">
      <c r="A7" t="inlineStr">
        <is>
          <t>dry kiln with precalciner</t>
        </is>
      </c>
      <c r="B7" t="inlineStr">
        <is>
          <t>biomass if</t>
        </is>
      </c>
      <c r="C7">
        <f>CEIbPaF!E2</f>
        <v/>
      </c>
      <c r="D7">
        <f>Calc!B10</f>
        <v/>
      </c>
      <c r="E7">
        <f>ABS(C7-D7)</f>
        <v/>
      </c>
    </row>
    <row r="8">
      <c r="A8" t="inlineStr">
        <is>
          <t>dry kiln with precalciner</t>
        </is>
      </c>
      <c r="B8" t="inlineStr">
        <is>
          <t>heavy or residual fuel oil if</t>
        </is>
      </c>
      <c r="C8">
        <f>CEIbPaF!I2</f>
        <v/>
      </c>
      <c r="D8">
        <f>Calc!B9</f>
        <v/>
      </c>
      <c r="E8">
        <f>ABS(C8-D8)</f>
        <v/>
      </c>
    </row>
    <row r="9">
      <c r="A9" t="inlineStr">
        <is>
          <t>dry kiln with CCS</t>
        </is>
      </c>
      <c r="B9" t="inlineStr">
        <is>
          <t>electricity if</t>
        </is>
      </c>
      <c r="C9">
        <f>CEIbPaF!B3</f>
        <v/>
      </c>
      <c r="D9">
        <f>Calc!B15</f>
        <v/>
      </c>
      <c r="E9">
        <f>ABS(C9-D9)</f>
        <v/>
      </c>
    </row>
    <row r="10">
      <c r="A10" t="inlineStr">
        <is>
          <t>dry kiln with CCS</t>
        </is>
      </c>
      <c r="B10" t="inlineStr">
        <is>
          <t>hard coal if</t>
        </is>
      </c>
      <c r="C10">
        <f>CEIbPaF!C3</f>
        <v/>
      </c>
      <c r="D10">
        <f>Calc!B7</f>
        <v/>
      </c>
      <c r="E10">
        <f>ABS(C10-D10)</f>
        <v/>
      </c>
    </row>
    <row r="11">
      <c r="A11" t="inlineStr">
        <is>
          <t>dry kiln with CCS</t>
        </is>
      </c>
      <c r="B11" t="inlineStr">
        <is>
          <t>natural gas if</t>
        </is>
      </c>
      <c r="C11">
        <f>CEIbPaF!D3</f>
        <v/>
      </c>
      <c r="D11">
        <f>Calc!B8</f>
        <v/>
      </c>
      <c r="E11">
        <f>ABS(C11-D11)</f>
        <v/>
      </c>
    </row>
    <row r="12">
      <c r="A12" t="inlineStr">
        <is>
          <t>dry kiln with CCS</t>
        </is>
      </c>
      <c r="B12" t="inlineStr">
        <is>
          <t>biomass if</t>
        </is>
      </c>
      <c r="C12">
        <f>CEIbPaF!E3</f>
        <v/>
      </c>
      <c r="D12">
        <f>Calc!B10</f>
        <v/>
      </c>
      <c r="E12">
        <f>ABS(C12-D12)</f>
        <v/>
      </c>
    </row>
    <row r="13">
      <c r="A13" t="inlineStr">
        <is>
          <t>dry kiln with CCS</t>
        </is>
      </c>
      <c r="B13" t="inlineStr">
        <is>
          <t>heavy or residual fuel oil if</t>
        </is>
      </c>
      <c r="C13">
        <f>CEIbPaF!I3</f>
        <v/>
      </c>
      <c r="D13">
        <f>Calc!B9</f>
        <v/>
      </c>
      <c r="E13">
        <f>ABS(C13-D13)</f>
        <v/>
      </c>
    </row>
    <row r="14">
      <c r="A14" t="inlineStr">
        <is>
          <t>electric kiln</t>
        </is>
      </c>
      <c r="B14" t="inlineStr">
        <is>
          <t>electricity if</t>
        </is>
      </c>
      <c r="C14">
        <f>CEIbPaF!B4</f>
        <v/>
      </c>
      <c r="D14">
        <f>Parameters!B6</f>
        <v/>
      </c>
      <c r="E14">
        <f>ABS(C14-D14)</f>
        <v/>
      </c>
    </row>
    <row r="15">
      <c r="A15" t="inlineStr">
        <is>
          <t>alternative chemistry cement</t>
        </is>
      </c>
      <c r="B15" t="inlineStr">
        <is>
          <t>electricity if</t>
        </is>
      </c>
      <c r="C15">
        <f>CEIbPaF!B5</f>
        <v/>
      </c>
      <c r="D15">
        <f>Parameters!B7</f>
        <v/>
      </c>
      <c r="E15">
        <f>ABS(C15-D15)</f>
        <v/>
      </c>
    </row>
    <row r="17">
      <c r="A17" s="1" t="inlineStr">
        <is>
          <t>MAX abs diff</t>
        </is>
      </c>
      <c r="E17">
        <f>MAX(E4:E15)</f>
        <v/>
      </c>
    </row>
    <row r="18">
      <c r="A18" s="1" t="inlineStr">
        <is>
          <t>Overall</t>
        </is>
      </c>
      <c r="E18">
        <f>IF(E17&lt;0.0000001,"PASS","FAIL")</f>
        <v/>
      </c>
    </row>
  </sheetData>
  <pageMargins left="0.75" right="0.75" top="1" bottom="1" header="0.5" footer="0.5"/>
</worksheet>
</file>

<file path=xl/worksheets/sheet6.xml><?xml version="1.0" encoding="utf-8"?>
<worksheet xmlns="http://schemas.openxmlformats.org/spreadsheetml/2006/main">
  <sheetPr>
    <tabColor rgb="001F3864"/>
    <outlinePr summaryBelow="1" summaryRight="1"/>
    <pageSetUpPr/>
  </sheetPr>
  <dimension ref="A1:M5"/>
  <sheetViews>
    <sheetView workbookViewId="0">
      <selection activeCell="A1" sqref="A1"/>
    </sheetView>
  </sheetViews>
  <sheetFormatPr baseColWidth="8" defaultRowHeight="15"/>
  <sheetData>
    <row r="1">
      <c r="A1" t="inlineStr">
        <is>
          <t>Unit: BTU/metric ton clinker (DOE Bandwidth 2017 thermal x PCA 2023 fuel mix; coal 33%/NG 31%/petcoke 20%/alt fuels 16% (as biomass); petcoke split 41% petroleum diesel + 59% residual oil to mirror BIFU's labelling of AEO petroleum coke and other petroleum (2026-10-01); CCS row is KILN ONLY - capture energy is booked by the CCS sector from captured tons; electric kiln/alt chem placeholders - verify before release)</t>
        </is>
      </c>
      <c r="B1" t="inlineStr">
        <is>
          <t>electricity if</t>
        </is>
      </c>
      <c r="C1" t="inlineStr">
        <is>
          <t>hard coal if</t>
        </is>
      </c>
      <c r="D1" t="inlineStr">
        <is>
          <t>natural gas if</t>
        </is>
      </c>
      <c r="E1" t="inlineStr">
        <is>
          <t>biomass if</t>
        </is>
      </c>
      <c r="F1" t="inlineStr">
        <is>
          <t>petroleum diesel if</t>
        </is>
      </c>
      <c r="G1" t="inlineStr">
        <is>
          <t>heat if</t>
        </is>
      </c>
      <c r="H1" t="inlineStr">
        <is>
          <t>crude oil if</t>
        </is>
      </c>
      <c r="I1" t="inlineStr">
        <is>
          <t>heavy or residual fuel oil if</t>
        </is>
      </c>
      <c r="J1" t="inlineStr">
        <is>
          <t>LPG propane or butane if</t>
        </is>
      </c>
      <c r="K1" t="inlineStr">
        <is>
          <t>hydrogen if</t>
        </is>
      </c>
      <c r="L1" t="inlineStr">
        <is>
          <t>green hydrogen if</t>
        </is>
      </c>
      <c r="M1" t="inlineStr">
        <is>
          <t>low carbon hydrogen if</t>
        </is>
      </c>
    </row>
    <row r="2">
      <c r="A2" t="inlineStr">
        <is>
          <t>dry kiln with precalciner</t>
        </is>
      </c>
      <c r="B2" t="n">
        <v>590000</v>
      </c>
      <c r="C2" t="n">
        <v>1130000</v>
      </c>
      <c r="D2" t="n">
        <v>1060000</v>
      </c>
      <c r="E2" t="n">
        <v>550000</v>
      </c>
      <c r="F2" t="n">
        <v>283000</v>
      </c>
      <c r="G2" t="n">
        <v>0</v>
      </c>
      <c r="H2" t="n">
        <v>0</v>
      </c>
      <c r="I2" t="n">
        <v>407000</v>
      </c>
      <c r="J2" t="n">
        <v>0</v>
      </c>
      <c r="K2" t="n">
        <v>0</v>
      </c>
      <c r="L2" t="n">
        <v>0</v>
      </c>
      <c r="M2" t="n">
        <v>0</v>
      </c>
    </row>
    <row r="3">
      <c r="A3" t="inlineStr">
        <is>
          <t>dry kiln with CCS</t>
        </is>
      </c>
      <c r="B3" t="n">
        <v>590000</v>
      </c>
      <c r="C3" t="n">
        <v>1130000</v>
      </c>
      <c r="D3" t="n">
        <v>1060000</v>
      </c>
      <c r="E3" t="n">
        <v>550000</v>
      </c>
      <c r="F3" t="n">
        <v>283000</v>
      </c>
      <c r="G3" t="n">
        <v>0</v>
      </c>
      <c r="H3" t="n">
        <v>0</v>
      </c>
      <c r="I3" t="n">
        <v>407000</v>
      </c>
      <c r="J3" t="n">
        <v>0</v>
      </c>
      <c r="K3" t="n">
        <v>0</v>
      </c>
      <c r="L3" t="n">
        <v>0</v>
      </c>
      <c r="M3" t="n">
        <v>0</v>
      </c>
    </row>
    <row r="4">
      <c r="A4" t="inlineStr">
        <is>
          <t>electric kiln</t>
        </is>
      </c>
      <c r="B4" t="n">
        <v>4000000</v>
      </c>
      <c r="C4" t="n">
        <v>0</v>
      </c>
      <c r="D4" t="n">
        <v>0</v>
      </c>
      <c r="E4" t="n">
        <v>0</v>
      </c>
      <c r="F4" t="n">
        <v>0</v>
      </c>
      <c r="G4" t="n">
        <v>0</v>
      </c>
      <c r="H4" t="n">
        <v>0</v>
      </c>
      <c r="I4" t="n">
        <v>0</v>
      </c>
      <c r="J4" t="n">
        <v>0</v>
      </c>
      <c r="K4" t="n">
        <v>0</v>
      </c>
      <c r="L4" t="n">
        <v>0</v>
      </c>
      <c r="M4" t="n">
        <v>0</v>
      </c>
    </row>
    <row r="5">
      <c r="A5" t="inlineStr">
        <is>
          <t>alternative chemistry cement</t>
        </is>
      </c>
      <c r="B5" t="n">
        <v>2500000</v>
      </c>
      <c r="C5" t="n">
        <v>0</v>
      </c>
      <c r="D5" t="n">
        <v>0</v>
      </c>
      <c r="E5" t="n">
        <v>0</v>
      </c>
      <c r="F5" t="n">
        <v>0</v>
      </c>
      <c r="G5" t="n">
        <v>0</v>
      </c>
      <c r="H5" t="n">
        <v>0</v>
      </c>
      <c r="I5" t="n">
        <v>0</v>
      </c>
      <c r="J5" t="n">
        <v>0</v>
      </c>
      <c r="K5" t="n">
        <v>0</v>
      </c>
      <c r="L5" t="n">
        <v>0</v>
      </c>
      <c r="M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2026-08-26T11:52:49Z</dcterms:created>
  <dcterms:modified xsi:type="dcterms:W3CDTF">2026-10-01T19:24:37Z</dcterms:modified>
</cp:coreProperties>
</file>