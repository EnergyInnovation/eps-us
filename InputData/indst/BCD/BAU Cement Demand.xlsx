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USGS MCS 2026 Cement Production" sheetId="2" state="visible" r:id="rId2"/>
    <sheet name="Derivation" sheetId="3" state="visible" r:id="rId3"/>
    <sheet name="Checks" sheetId="4" state="visible" r:id="rId4"/>
    <sheet name="BC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ubs.usgs.gov/periodicals/mcs2026/mcs2026-cement.pdf" TargetMode="External" Id="rId1" /><Relationship Type="http://schemas.openxmlformats.org/officeDocument/2006/relationships/hyperlink" Target="https://www.eia.gov/outlooks/aeo/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BCD BAU Cement Demand</t>
        </is>
      </c>
    </row>
    <row r="3">
      <c r="A3" s="1" t="inlineStr">
        <is>
          <t>Sources:</t>
        </is>
      </c>
      <c r="B3" s="2" t="inlineStr">
        <is>
          <t>US cement production, 2021-2025 (portland + blended + masonry, salient statistics)</t>
        </is>
      </c>
    </row>
    <row r="4">
      <c r="B4" s="3" t="inlineStr">
        <is>
          <t>USGS</t>
        </is>
      </c>
    </row>
    <row r="5">
      <c r="B5" s="3" t="inlineStr">
        <is>
          <t>Mineral Commodity Summaries 2026 - Cement</t>
        </is>
      </c>
    </row>
    <row r="6">
      <c r="B6" s="3" t="n">
        <v>2026</v>
      </c>
    </row>
    <row r="7">
      <c r="B7" s="4" t="inlineStr">
        <is>
          <t>https://pubs.usgs.gov/periodicals/mcs2026/mcs2026-cement.pdf</t>
        </is>
      </c>
    </row>
    <row r="8">
      <c r="B8" s="3" t="inlineStr">
        <is>
          <t>Read via reader proxy (direct PDF 403s from this environment). Salient-statistics total cement production (portland + blended + masonry) 91.0 / 91.2 / 89.7 / 85.0 / 84.0 million metric tons for 2021-2025. 2025 total of 84.0 Mt splits approximately into 81.9 Mt portland+blended and 2.1 Mt masonry cement per the same table. [PROXY]</t>
        </is>
      </c>
    </row>
    <row r="10">
      <c r="B10" s="2" t="inlineStr">
        <is>
          <t>EIA AEO2026 industrial-sector context (NOT used for the shipped value - see Notes)</t>
        </is>
      </c>
    </row>
    <row r="11">
      <c r="B11" s="3" t="inlineStr">
        <is>
          <t>EIA</t>
        </is>
      </c>
    </row>
    <row r="12">
      <c r="B12" s="3" t="inlineStr">
        <is>
          <t>Annual Energy Outlook 2026, Table 29 (Cement and Lime)</t>
        </is>
      </c>
    </row>
    <row r="13">
      <c r="B13" s="3" t="n">
        <v>2026</v>
      </c>
    </row>
    <row r="14">
      <c r="B14" s="4" t="inlineStr">
        <is>
          <t>https://www.eia.gov/outlooks/aeo/</t>
        </is>
      </c>
    </row>
    <row r="15">
      <c r="B15" s="3" t="inlineStr">
        <is>
          <t>Parsed from the supplemental workbook suptab_29.xlsx, "Counterfactual Baseline" reference case. Table 29 covers cement AND lime combined and reports shipments value and process-CO2 proxies, not physical cement tonnage; the implied growth rate is approximately +0.5 to +0.6%/yr, 2025-2050. Documented as the alternative to the flat BAU trajectory shipped in this workbook - see Notes. [PROXY]</t>
        </is>
      </c>
    </row>
    <row r="18">
      <c r="A18" s="1" t="inlineStr">
        <is>
          <t>Notes:</t>
        </is>
      </c>
    </row>
    <row r="19">
      <c r="A19" s="1" t="inlineStr">
        <is>
          <t>DRAFT status</t>
        </is>
      </c>
      <c r="B19" s="3" t="inlineStr">
        <is>
          <t>This is an input for staff review, not a finished or approved EI position; treat as a starting point pending team sign-off. Verify all cited figures against the primary USGS/EIA sources before use in any work product.</t>
        </is>
      </c>
    </row>
    <row r="20">
      <c r="A20" s="1" t="inlineStr">
        <is>
          <t>Chosen trajectory</t>
        </is>
      </c>
      <c r="B20" s="3" t="inlineStr">
        <is>
          <t>84,000,000 metric tons/year, flat 2021-2050. Anchored to the USGS MCS2026 2025 total cement production figure (84.0 Mt) and held flat as a deliberate simplification: no authoritative physical-tonnage cement demand forecast to 2050 was found. AEO2026 Table 29 implies roughly +0.5-0.6%/yr in shipments-value and process-CO2 proxies (cement AND lime combined, not tonnage), which would imply approximately 97 Mt by 2050 if tonnage tracked that growth rate 1:1 - this AEO-consistent alternative is documented here for team choice, not shipped.</t>
        </is>
      </c>
    </row>
    <row r="21">
      <c r="A21" s="1" t="inlineStr">
        <is>
          <t>Import basis</t>
        </is>
      </c>
      <c r="B21" s="3" t="inlineStr">
        <is>
          <t>This is TOTAL US cement production (domestic), matching the domestic-basis convention used consistently across BCD, BCtCR, and SYCPbP in this module (imported clinker/cement is excluded - see BCtCR Notes).</t>
        </is>
      </c>
    </row>
    <row r="22">
      <c r="A22" s="1" t="inlineStr">
        <is>
          <t>Provenance</t>
        </is>
      </c>
      <c r="B22" s="3" t="inlineStr">
        <is>
          <t>Written by Claude Code (Fable/Sonnet agent session), cement industry breakout, worktree cement-industry-breakout-f901fc, 2026-08-26. Reviewed by: (pending).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US cement production (million metric tons), portland + blended + masonry</t>
        </is>
      </c>
    </row>
    <row r="2">
      <c r="A2" s="1" t="inlineStr">
        <is>
          <t>Year</t>
        </is>
      </c>
      <c r="B2" s="1" t="inlineStr">
        <is>
          <t>Total Cement Production (Mt)</t>
        </is>
      </c>
    </row>
    <row r="3">
      <c r="A3" t="n">
        <v>2021</v>
      </c>
      <c r="B3" t="n">
        <v>91</v>
      </c>
    </row>
    <row r="4">
      <c r="A4" t="n">
        <v>2022</v>
      </c>
      <c r="B4" t="n">
        <v>91.2</v>
      </c>
    </row>
    <row r="5">
      <c r="A5" t="n">
        <v>2023</v>
      </c>
      <c r="B5" t="n">
        <v>89.7</v>
      </c>
    </row>
    <row r="6">
      <c r="A6" t="n">
        <v>2024</v>
      </c>
      <c r="B6" t="n">
        <v>85</v>
      </c>
    </row>
    <row r="7">
      <c r="A7" t="n">
        <v>2025</v>
      </c>
      <c r="B7" t="n">
        <v>84</v>
      </c>
    </row>
    <row r="9">
      <c r="A9" s="1" t="inlineStr">
        <is>
          <t>2025 split (Mt) - portland + blended</t>
        </is>
      </c>
      <c r="B9" t="n">
        <v>81.90000000000001</v>
      </c>
    </row>
    <row r="10">
      <c r="A10" s="1" t="inlineStr">
        <is>
          <t>2025 split (Mt) - masonry cement</t>
        </is>
      </c>
      <c r="B10" t="n">
        <v>2.1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2025 total cement production (Mt, source tab)</t>
        </is>
      </c>
      <c r="B1">
        <f>'USGS MCS 2026 Cement Production'!B7</f>
        <v/>
      </c>
    </row>
    <row r="2">
      <c r="A2" s="1" t="inlineStr">
        <is>
          <t>2025 total cement production (metric tons/year)</t>
        </is>
      </c>
      <c r="B2">
        <f>B1*1000000</f>
        <v/>
      </c>
    </row>
    <row r="4">
      <c r="A4" s="1" t="inlineStr">
        <is>
          <t>BAU trajectory: flat at the 2025 anchor, all years 2021-2050</t>
        </is>
      </c>
    </row>
    <row r="5">
      <c r="B5" s="1" t="n">
        <v>2021</v>
      </c>
      <c r="C5" s="1" t="n">
        <v>2022</v>
      </c>
      <c r="D5" s="1" t="n">
        <v>2023</v>
      </c>
      <c r="E5" s="1" t="n">
        <v>2024</v>
      </c>
      <c r="F5" s="1" t="n">
        <v>2025</v>
      </c>
      <c r="G5" s="1" t="n">
        <v>2026</v>
      </c>
      <c r="H5" s="1" t="n">
        <v>2027</v>
      </c>
      <c r="I5" s="1" t="n">
        <v>2028</v>
      </c>
      <c r="J5" s="1" t="n">
        <v>2029</v>
      </c>
      <c r="K5" s="1" t="n">
        <v>2030</v>
      </c>
      <c r="L5" s="1" t="n">
        <v>2031</v>
      </c>
      <c r="M5" s="1" t="n">
        <v>2032</v>
      </c>
      <c r="N5" s="1" t="n">
        <v>2033</v>
      </c>
      <c r="O5" s="1" t="n">
        <v>2034</v>
      </c>
      <c r="P5" s="1" t="n">
        <v>2035</v>
      </c>
      <c r="Q5" s="1" t="n">
        <v>2036</v>
      </c>
      <c r="R5" s="1" t="n">
        <v>2037</v>
      </c>
      <c r="S5" s="1" t="n">
        <v>2038</v>
      </c>
      <c r="T5" s="1" t="n">
        <v>2039</v>
      </c>
      <c r="U5" s="1" t="n">
        <v>2040</v>
      </c>
      <c r="V5" s="1" t="n">
        <v>2041</v>
      </c>
      <c r="W5" s="1" t="n">
        <v>2042</v>
      </c>
      <c r="X5" s="1" t="n">
        <v>2043</v>
      </c>
      <c r="Y5" s="1" t="n">
        <v>2044</v>
      </c>
      <c r="Z5" s="1" t="n">
        <v>2045</v>
      </c>
      <c r="AA5" s="1" t="n">
        <v>2046</v>
      </c>
      <c r="AB5" s="1" t="n">
        <v>2047</v>
      </c>
      <c r="AC5" s="1" t="n">
        <v>2048</v>
      </c>
      <c r="AD5" s="1" t="n">
        <v>2049</v>
      </c>
      <c r="AE5" s="1" t="n">
        <v>2050</v>
      </c>
    </row>
    <row r="6">
      <c r="A6" t="inlineStr">
        <is>
          <t>BAU Cement Demand (metric tons/year)</t>
        </is>
      </c>
      <c r="B6">
        <f>$B$2</f>
        <v/>
      </c>
      <c r="C6">
        <f>$B$2</f>
        <v/>
      </c>
      <c r="D6">
        <f>$B$2</f>
        <v/>
      </c>
      <c r="E6">
        <f>$B$2</f>
        <v/>
      </c>
      <c r="F6">
        <f>$B$2</f>
        <v/>
      </c>
      <c r="G6">
        <f>$B$2</f>
        <v/>
      </c>
      <c r="H6">
        <f>$B$2</f>
        <v/>
      </c>
      <c r="I6">
        <f>$B$2</f>
        <v/>
      </c>
      <c r="J6">
        <f>$B$2</f>
        <v/>
      </c>
      <c r="K6">
        <f>$B$2</f>
        <v/>
      </c>
      <c r="L6">
        <f>$B$2</f>
        <v/>
      </c>
      <c r="M6">
        <f>$B$2</f>
        <v/>
      </c>
      <c r="N6">
        <f>$B$2</f>
        <v/>
      </c>
      <c r="O6">
        <f>$B$2</f>
        <v/>
      </c>
      <c r="P6">
        <f>$B$2</f>
        <v/>
      </c>
      <c r="Q6">
        <f>$B$2</f>
        <v/>
      </c>
      <c r="R6">
        <f>$B$2</f>
        <v/>
      </c>
      <c r="S6">
        <f>$B$2</f>
        <v/>
      </c>
      <c r="T6">
        <f>$B$2</f>
        <v/>
      </c>
      <c r="U6">
        <f>$B$2</f>
        <v/>
      </c>
      <c r="V6">
        <f>$B$2</f>
        <v/>
      </c>
      <c r="W6">
        <f>$B$2</f>
        <v/>
      </c>
      <c r="X6">
        <f>$B$2</f>
        <v/>
      </c>
      <c r="Y6">
        <f>$B$2</f>
        <v/>
      </c>
      <c r="Z6">
        <f>$B$2</f>
        <v/>
      </c>
      <c r="AA6">
        <f>$B$2</f>
        <v/>
      </c>
      <c r="AB6">
        <f>$B$2</f>
        <v/>
      </c>
      <c r="AC6">
        <f>$B$2</f>
        <v/>
      </c>
      <c r="AD6">
        <f>$B$2</f>
        <v/>
      </c>
      <c r="AE6">
        <f>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Cross-check: 'BCD' export-tab literal values vs. Derivation formula results</t>
        </is>
      </c>
    </row>
    <row r="3">
      <c r="B3" s="1" t="n">
        <v>2021</v>
      </c>
      <c r="C3" s="1" t="n">
        <v>2022</v>
      </c>
      <c r="D3" s="1" t="n">
        <v>2023</v>
      </c>
      <c r="E3" s="1" t="n">
        <v>2024</v>
      </c>
      <c r="F3" s="1" t="n">
        <v>2025</v>
      </c>
      <c r="G3" s="1" t="n">
        <v>2026</v>
      </c>
      <c r="H3" s="1" t="n">
        <v>2027</v>
      </c>
      <c r="I3" s="1" t="n">
        <v>2028</v>
      </c>
      <c r="J3" s="1" t="n">
        <v>2029</v>
      </c>
      <c r="K3" s="1" t="n">
        <v>2030</v>
      </c>
      <c r="L3" s="1" t="n">
        <v>2031</v>
      </c>
      <c r="M3" s="1" t="n">
        <v>2032</v>
      </c>
      <c r="N3" s="1" t="n">
        <v>2033</v>
      </c>
      <c r="O3" s="1" t="n">
        <v>2034</v>
      </c>
      <c r="P3" s="1" t="n">
        <v>2035</v>
      </c>
      <c r="Q3" s="1" t="n">
        <v>2036</v>
      </c>
      <c r="R3" s="1" t="n">
        <v>2037</v>
      </c>
      <c r="S3" s="1" t="n">
        <v>2038</v>
      </c>
      <c r="T3" s="1" t="n">
        <v>2039</v>
      </c>
      <c r="U3" s="1" t="n">
        <v>2040</v>
      </c>
      <c r="V3" s="1" t="n">
        <v>2041</v>
      </c>
      <c r="W3" s="1" t="n">
        <v>2042</v>
      </c>
      <c r="X3" s="1" t="n">
        <v>2043</v>
      </c>
      <c r="Y3" s="1" t="n">
        <v>2044</v>
      </c>
      <c r="Z3" s="1" t="n">
        <v>2045</v>
      </c>
      <c r="AA3" s="1" t="n">
        <v>2046</v>
      </c>
      <c r="AB3" s="1" t="n">
        <v>2047</v>
      </c>
      <c r="AC3" s="1" t="n">
        <v>2048</v>
      </c>
      <c r="AD3" s="1" t="n">
        <v>2049</v>
      </c>
      <c r="AE3" s="1" t="n">
        <v>2050</v>
      </c>
    </row>
    <row r="4">
      <c r="A4" t="inlineStr">
        <is>
          <t>Export literal</t>
        </is>
      </c>
      <c r="B4" t="n">
        <v>84000000</v>
      </c>
      <c r="C4" t="n">
        <v>84000000</v>
      </c>
      <c r="D4" t="n">
        <v>84000000</v>
      </c>
      <c r="E4" t="n">
        <v>84000000</v>
      </c>
      <c r="F4" t="n">
        <v>84000000</v>
      </c>
      <c r="G4" t="n">
        <v>84000000</v>
      </c>
      <c r="H4" t="n">
        <v>84000000</v>
      </c>
      <c r="I4" t="n">
        <v>84000000</v>
      </c>
      <c r="J4" t="n">
        <v>84000000</v>
      </c>
      <c r="K4" t="n">
        <v>84000000</v>
      </c>
      <c r="L4" t="n">
        <v>84000000</v>
      </c>
      <c r="M4" t="n">
        <v>84000000</v>
      </c>
      <c r="N4" t="n">
        <v>84000000</v>
      </c>
      <c r="O4" t="n">
        <v>84000000</v>
      </c>
      <c r="P4" t="n">
        <v>84000000</v>
      </c>
      <c r="Q4" t="n">
        <v>84000000</v>
      </c>
      <c r="R4" t="n">
        <v>84000000</v>
      </c>
      <c r="S4" t="n">
        <v>84000000</v>
      </c>
      <c r="T4" t="n">
        <v>84000000</v>
      </c>
      <c r="U4" t="n">
        <v>84000000</v>
      </c>
      <c r="V4" t="n">
        <v>84000000</v>
      </c>
      <c r="W4" t="n">
        <v>84000000</v>
      </c>
      <c r="X4" t="n">
        <v>84000000</v>
      </c>
      <c r="Y4" t="n">
        <v>84000000</v>
      </c>
      <c r="Z4" t="n">
        <v>84000000</v>
      </c>
      <c r="AA4" t="n">
        <v>84000000</v>
      </c>
      <c r="AB4" t="n">
        <v>84000000</v>
      </c>
      <c r="AC4" t="n">
        <v>84000000</v>
      </c>
      <c r="AD4" t="n">
        <v>84000000</v>
      </c>
      <c r="AE4" t="n">
        <v>84000000</v>
      </c>
    </row>
    <row r="5">
      <c r="A5" t="inlineStr">
        <is>
          <t>Derivation formula</t>
        </is>
      </c>
      <c r="B5">
        <f>Derivation!B6</f>
        <v/>
      </c>
      <c r="C5">
        <f>Derivation!C6</f>
        <v/>
      </c>
      <c r="D5">
        <f>Derivation!D6</f>
        <v/>
      </c>
      <c r="E5">
        <f>Derivation!E6</f>
        <v/>
      </c>
      <c r="F5">
        <f>Derivation!F6</f>
        <v/>
      </c>
      <c r="G5">
        <f>Derivation!G6</f>
        <v/>
      </c>
      <c r="H5">
        <f>Derivation!H6</f>
        <v/>
      </c>
      <c r="I5">
        <f>Derivation!I6</f>
        <v/>
      </c>
      <c r="J5">
        <f>Derivation!J6</f>
        <v/>
      </c>
      <c r="K5">
        <f>Derivation!K6</f>
        <v/>
      </c>
      <c r="L5">
        <f>Derivation!L6</f>
        <v/>
      </c>
      <c r="M5">
        <f>Derivation!M6</f>
        <v/>
      </c>
      <c r="N5">
        <f>Derivation!N6</f>
        <v/>
      </c>
      <c r="O5">
        <f>Derivation!O6</f>
        <v/>
      </c>
      <c r="P5">
        <f>Derivation!P6</f>
        <v/>
      </c>
      <c r="Q5">
        <f>Derivation!Q6</f>
        <v/>
      </c>
      <c r="R5">
        <f>Derivation!R6</f>
        <v/>
      </c>
      <c r="S5">
        <f>Derivation!S6</f>
        <v/>
      </c>
      <c r="T5">
        <f>Derivation!T6</f>
        <v/>
      </c>
      <c r="U5">
        <f>Derivation!U6</f>
        <v/>
      </c>
      <c r="V5">
        <f>Derivation!V6</f>
        <v/>
      </c>
      <c r="W5">
        <f>Derivation!W6</f>
        <v/>
      </c>
      <c r="X5">
        <f>Derivation!X6</f>
        <v/>
      </c>
      <c r="Y5">
        <f>Derivation!Y6</f>
        <v/>
      </c>
      <c r="Z5">
        <f>Derivation!Z6</f>
        <v/>
      </c>
      <c r="AA5">
        <f>Derivation!AA6</f>
        <v/>
      </c>
      <c r="AB5">
        <f>Derivation!AB6</f>
        <v/>
      </c>
      <c r="AC5">
        <f>Derivation!AC6</f>
        <v/>
      </c>
      <c r="AD5">
        <f>Derivation!AD6</f>
        <v/>
      </c>
      <c r="AE5">
        <f>Derivation!AE6</f>
        <v/>
      </c>
    </row>
    <row r="6">
      <c r="A6" t="inlineStr">
        <is>
          <t>ABS(Export - Derivation)</t>
        </is>
      </c>
      <c r="B6">
        <f>ABS(B4-B5)</f>
        <v/>
      </c>
      <c r="C6">
        <f>ABS(C4-C5)</f>
        <v/>
      </c>
      <c r="D6">
        <f>ABS(D4-D5)</f>
        <v/>
      </c>
      <c r="E6">
        <f>ABS(E4-E5)</f>
        <v/>
      </c>
      <c r="F6">
        <f>ABS(F4-F5)</f>
        <v/>
      </c>
      <c r="G6">
        <f>ABS(G4-G5)</f>
        <v/>
      </c>
      <c r="H6">
        <f>ABS(H4-H5)</f>
        <v/>
      </c>
      <c r="I6">
        <f>ABS(I4-I5)</f>
        <v/>
      </c>
      <c r="J6">
        <f>ABS(J4-J5)</f>
        <v/>
      </c>
      <c r="K6">
        <f>ABS(K4-K5)</f>
        <v/>
      </c>
      <c r="L6">
        <f>ABS(L4-L5)</f>
        <v/>
      </c>
      <c r="M6">
        <f>ABS(M4-M5)</f>
        <v/>
      </c>
      <c r="N6">
        <f>ABS(N4-N5)</f>
        <v/>
      </c>
      <c r="O6">
        <f>ABS(O4-O5)</f>
        <v/>
      </c>
      <c r="P6">
        <f>ABS(P4-P5)</f>
        <v/>
      </c>
      <c r="Q6">
        <f>ABS(Q4-Q5)</f>
        <v/>
      </c>
      <c r="R6">
        <f>ABS(R4-R5)</f>
        <v/>
      </c>
      <c r="S6">
        <f>ABS(S4-S5)</f>
        <v/>
      </c>
      <c r="T6">
        <f>ABS(T4-T5)</f>
        <v/>
      </c>
      <c r="U6">
        <f>ABS(U4-U5)</f>
        <v/>
      </c>
      <c r="V6">
        <f>ABS(V4-V5)</f>
        <v/>
      </c>
      <c r="W6">
        <f>ABS(W4-W5)</f>
        <v/>
      </c>
      <c r="X6">
        <f>ABS(X4-X5)</f>
        <v/>
      </c>
      <c r="Y6">
        <f>ABS(Y4-Y5)</f>
        <v/>
      </c>
      <c r="Z6">
        <f>ABS(Z4-Z5)</f>
        <v/>
      </c>
      <c r="AA6">
        <f>ABS(AA4-AA5)</f>
        <v/>
      </c>
      <c r="AB6">
        <f>ABS(AB4-AB5)</f>
        <v/>
      </c>
      <c r="AC6">
        <f>ABS(AC4-AC5)</f>
        <v/>
      </c>
      <c r="AD6">
        <f>ABS(AD4-AD5)</f>
        <v/>
      </c>
      <c r="AE6">
        <f>ABS(AE4-AE5)</f>
        <v/>
      </c>
    </row>
    <row r="8">
      <c r="A8" s="1" t="inlineStr">
        <is>
          <t>Max abs diff</t>
        </is>
      </c>
      <c r="B8">
        <f>MAX(B6:AE6)</f>
        <v/>
      </c>
    </row>
    <row r="9">
      <c r="A9" s="1" t="inlineStr">
        <is>
          <t>Result</t>
        </is>
      </c>
      <c r="B9">
        <f>IF(B8&lt;1e-06,"PASS","FAIL")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metric tons/year (VERIFIED 84 MMT 2025, USGS MCS2026; held flat - AEO2026 Table 29 proxies imply ~+0.5%/yr, team choice documented)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  <c r="Q1" t="n">
        <v>2036</v>
      </c>
      <c r="R1" t="n">
        <v>2037</v>
      </c>
      <c r="S1" t="n">
        <v>2038</v>
      </c>
      <c r="T1" t="n">
        <v>2039</v>
      </c>
      <c r="U1" t="n">
        <v>2040</v>
      </c>
      <c r="V1" t="n">
        <v>2041</v>
      </c>
      <c r="W1" t="n">
        <v>2042</v>
      </c>
      <c r="X1" t="n">
        <v>2043</v>
      </c>
      <c r="Y1" t="n">
        <v>2044</v>
      </c>
      <c r="Z1" t="n">
        <v>2045</v>
      </c>
      <c r="AA1" t="n">
        <v>2046</v>
      </c>
      <c r="AB1" t="n">
        <v>2047</v>
      </c>
      <c r="AC1" t="n">
        <v>2048</v>
      </c>
      <c r="AD1" t="n">
        <v>2049</v>
      </c>
      <c r="AE1" t="n">
        <v>2050</v>
      </c>
    </row>
    <row r="2">
      <c r="A2" t="inlineStr">
        <is>
          <t>BAU Cement Demand</t>
        </is>
      </c>
      <c r="B2" t="n">
        <v>84000000</v>
      </c>
      <c r="C2" t="n">
        <v>84000000</v>
      </c>
      <c r="D2" t="n">
        <v>84000000</v>
      </c>
      <c r="E2" t="n">
        <v>84000000</v>
      </c>
      <c r="F2" t="n">
        <v>84000000</v>
      </c>
      <c r="G2" t="n">
        <v>84000000</v>
      </c>
      <c r="H2" t="n">
        <v>84000000</v>
      </c>
      <c r="I2" t="n">
        <v>84000000</v>
      </c>
      <c r="J2" t="n">
        <v>84000000</v>
      </c>
      <c r="K2" t="n">
        <v>84000000</v>
      </c>
      <c r="L2" t="n">
        <v>84000000</v>
      </c>
      <c r="M2" t="n">
        <v>84000000</v>
      </c>
      <c r="N2" t="n">
        <v>84000000</v>
      </c>
      <c r="O2" t="n">
        <v>84000000</v>
      </c>
      <c r="P2" t="n">
        <v>84000000</v>
      </c>
      <c r="Q2" t="n">
        <v>84000000</v>
      </c>
      <c r="R2" t="n">
        <v>84000000</v>
      </c>
      <c r="S2" t="n">
        <v>84000000</v>
      </c>
      <c r="T2" t="n">
        <v>84000000</v>
      </c>
      <c r="U2" t="n">
        <v>84000000</v>
      </c>
      <c r="V2" t="n">
        <v>84000000</v>
      </c>
      <c r="W2" t="n">
        <v>84000000</v>
      </c>
      <c r="X2" t="n">
        <v>84000000</v>
      </c>
      <c r="Y2" t="n">
        <v>84000000</v>
      </c>
      <c r="Z2" t="n">
        <v>84000000</v>
      </c>
      <c r="AA2" t="n">
        <v>84000000</v>
      </c>
      <c r="AB2" t="n">
        <v>84000000</v>
      </c>
      <c r="AC2" t="n">
        <v>84000000</v>
      </c>
      <c r="AD2" t="n">
        <v>84000000</v>
      </c>
      <c r="AE2" t="n">
        <v>84000000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2026-08-26T11:49:57Z</dcterms:created>
  <dcterms:modified xsi:type="dcterms:W3CDTF">2026-08-26T11:49:57Z</dcterms:modified>
</cp:coreProperties>
</file>