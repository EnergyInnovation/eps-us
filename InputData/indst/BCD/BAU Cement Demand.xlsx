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gions" sheetId="2" state="visible" r:id="rId2"/>
    <sheet name="USGS MCS 2026 Cement" sheetId="3" state="visible" r:id="rId3"/>
    <sheet name="AEO 2026 Table 23" sheetId="4" state="visible" r:id="rId4"/>
    <sheet name="Derivation" sheetId="5" state="visible" r:id="rId5"/>
    <sheet name="Checks" sheetId="6" state="visible" r:id="rId6"/>
    <sheet name="BC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eriodicals/mcs2026/mcs2026-cement.pdf" TargetMode="External" Id="rId1" /><Relationship Type="http://schemas.openxmlformats.org/officeDocument/2006/relationships/hyperlink" Target="https://www.eia.gov/outlooks/aeo/tables_ref.php" TargetMode="External" Id="rId2" /><Relationship Type="http://schemas.openxmlformats.org/officeDocument/2006/relationships/hyperlink" Target="https://www.cemnet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BCD BAU Cement Demand</t>
        </is>
      </c>
    </row>
    <row r="2"/>
    <row r="3">
      <c r="A3" s="1" t="inlineStr">
        <is>
          <t>Sources:</t>
        </is>
      </c>
      <c r="B3" s="2" t="inlineStr">
        <is>
          <t>US apparent cement consumption and salient statistics, 2021-2025 (anchor and history)</t>
        </is>
      </c>
    </row>
    <row r="4">
      <c r="B4" s="3" t="inlineStr">
        <is>
          <t>USGS</t>
        </is>
      </c>
    </row>
    <row r="5">
      <c r="B5" s="3" t="inlineStr">
        <is>
          <t>Mineral Commodity Summaries 2026 - Cement</t>
        </is>
      </c>
    </row>
    <row r="6">
      <c r="B6" s="3" t="n">
        <v>2026</v>
      </c>
    </row>
    <row r="7">
      <c r="B7" s="4" t="inlineStr">
        <is>
          <t>https://pubs.usgs.gov/periodicals/mcs2026/mcs2026-cement.pdf</t>
        </is>
      </c>
    </row>
    <row r="8">
      <c r="B8" s="3" t="inlineStr">
        <is>
          <t>Apparent consumption 111/114/113/110/110 million t (2021-2025e). Also carries the world production table used for other regions' production column. Pasted verbatim from the PDF text on tab 'USGS MCS 2026 Cement'.</t>
        </is>
      </c>
    </row>
    <row r="9"/>
    <row r="10">
      <c r="B10" s="2" t="inlineStr">
        <is>
          <t>US demand growth index 2025-2050 (cement and lime value of shipments)</t>
        </is>
      </c>
    </row>
    <row r="11">
      <c r="B11" s="3" t="inlineStr">
        <is>
          <t>EIA</t>
        </is>
      </c>
    </row>
    <row r="12">
      <c r="B12" s="3" t="inlineStr">
        <is>
          <t>Annual Energy Outlook 2026, Table 23 Industrial Sector Macroeconomic Indicators</t>
        </is>
      </c>
    </row>
    <row r="13">
      <c r="B13" s="3" t="n">
        <v>2026</v>
      </c>
    </row>
    <row r="14">
      <c r="B14" s="4" t="inlineStr">
        <is>
          <t>https://www.eia.gov/outlooks/aeo/tables_ref.php</t>
        </is>
      </c>
    </row>
    <row r="15">
      <c r="B15" s="3" t="inlineStr">
        <is>
          <t>Cement and Lime value of shipments, billion 2012 $, ELECTRNP case (the same table and case the io-model BPCiObIC workbook builds BAU ISIC 239 output growth from, so cement tons and 239 dollars move together). Dips to 2029 then grows to 2050 (+15% vs 2025). Includes lime; real dollars carry price/mix effects - used only as an index.</t>
        </is>
      </c>
    </row>
    <row r="16"/>
    <row r="17">
      <c r="B17" s="2" t="inlineStr">
        <is>
          <t>Other regions' consumption anchors (draft, staff research 2026-09-28)</t>
        </is>
      </c>
    </row>
    <row r="18">
      <c r="B18" s="3" t="inlineStr">
        <is>
          <t>Various national associations via trade press (see Regions tab flags)</t>
        </is>
      </c>
    </row>
    <row r="19">
      <c r="B19" s="3" t="inlineStr">
        <is>
          <t>cemnet / Global Cement / CEMBUREAU / SNIC / CANACEM / ASI summaries</t>
        </is>
      </c>
    </row>
    <row r="20">
      <c r="B20" s="3" t="n">
        <v>2024</v>
      </c>
    </row>
    <row r="21">
      <c r="B21" s="4" t="inlineStr">
        <is>
          <t>https://www.cemnet.com/</t>
        </is>
      </c>
    </row>
    <row r="22">
      <c r="B22" s="3" t="inlineStr">
        <is>
          <t>SNIPPET-level values from search summaries, not read from primary reports; JUDGMENT where marked. Blank = TO FILL. Growth outlooks to 2050 were not sourced (column left blank, so the Derivation holds those regions flat) - fill from IEA/GCCA regional outlooks or national roadmaps.</t>
        </is>
      </c>
    </row>
    <row r="23"/>
    <row r="24"/>
    <row r="25">
      <c r="A25" s="1" t="inlineStr">
        <is>
          <t>Notes:</t>
        </is>
      </c>
    </row>
    <row r="26">
      <c r="A26" s="1" t="inlineStr">
        <is>
          <t>DRAFT status</t>
        </is>
      </c>
      <c r="B26" s="3" t="inlineStr">
        <is>
          <t>This is an input for staff review, not a finished or approved EI position; treat as a starting point pending team sign-off. Verify all cited figures against the primary sources before use.</t>
        </is>
      </c>
    </row>
    <row r="27">
      <c r="A27" s="1" t="inlineStr">
        <is>
          <t>Basis change 2026-09-28</t>
        </is>
      </c>
      <c r="B27" s="3" t="inlineStr">
        <is>
          <t>BCD is now apparent CONSUMPTION (production + imports - exports), not domestic production. Net imports are removed downstream in the model at Domestic Clinker Demand via the BFoCDMbNI share, so only in-region production drives capacity, energy, and emissions. Previous file: 84 Mt production held flat.</t>
        </is>
      </c>
    </row>
    <row r="28">
      <c r="A28" s="1" t="inlineStr">
        <is>
          <t>Trajectory</t>
        </is>
      </c>
      <c r="B28" s="3" t="inlineStr">
        <is>
          <t>2021-2025: USGS apparent consumption. 2026-2050: 2025 value x AEO 2026 cement-and-lime shipments index (value in year / value in 2025). 2050 = 126.4 Mt.</t>
        </is>
      </c>
    </row>
    <row r="29">
      <c r="A29" s="1" t="inlineStr">
        <is>
          <t>Region selector</t>
        </is>
      </c>
      <c r="B29" s="3" t="inlineStr">
        <is>
          <t>Regions!B1 picks the row the Derivation uses. For the US the history and AEO index apply; for other regions the anchor is grown at the CAGR in the Regions row (blank = flat). Export tab literals are the US values; re-export after switching.</t>
        </is>
      </c>
    </row>
    <row r="30">
      <c r="A30" s="1" t="inlineStr">
        <is>
          <t>Provenance</t>
        </is>
      </c>
      <c r="B30" s="3" t="inlineStr">
        <is>
          <t>Built by Claude Code (Fable 5.1 session), cement section-1 demand restructure, worktree cement-calculation-flow-89da5b, 2026-09-28. Reviewed by: (pending).</t>
        </is>
      </c>
    </row>
    <row r="31">
      <c r="A31" s="1" t="inlineStr">
        <is>
          <t>Regional rows loaded 2026-10-01</t>
        </is>
      </c>
      <c r="B31" s="3" t="inlineStr">
        <is>
          <t>Non-US rows of the Regions tab loaded from Cement_Regional_Data_Draft.md (cement-calculation-flow-89da5b worktree root), passes 1 and 2; pass 2 (primary sources) wins on conflict and the conflict is kept in the row note. Flags: DIRECT = read in the primary document; SNIPPET = secondary/trade-press summary or an unopened primary; JUDGMENT = own arithmetic or estimate (written as a visible formula where computed); blank = TO FILL. Supersedes any placeholder description in the Sources block above. The US row, Derivation and export tab are unchanged. Verify every non-US value against its cited primary source before use. Loader: Cement_Regional_Rows_Loading/load_regional_rows.py.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26" customWidth="1" min="5" max="5"/>
    <col width="10" customWidth="1" min="6" max="6"/>
    <col width="20" customWidth="1" min="7" max="7"/>
    <col width="70" customWidth="1" min="8" max="8"/>
  </cols>
  <sheetData>
    <row r="1">
      <c r="A1" s="1" t="inlineStr">
        <is>
          <t>Selected region (drop-down):</t>
        </is>
      </c>
      <c r="B1" s="5" t="inlineStr">
        <is>
          <t>United States</t>
        </is>
      </c>
    </row>
    <row r="2">
      <c r="A2" s="3" t="inlineStr">
        <is>
          <t>Change B1 to switch the Derivation to another region's row; the export tab holds literal values, so re-export the CSV (CSV Export Tool) after switching. Blank cells = TO FILL (no sourced value yet).</t>
        </is>
      </c>
    </row>
    <row r="4">
      <c r="A4" s="6" t="inlineStr">
        <is>
          <t>Region</t>
        </is>
      </c>
      <c r="B4" s="6" t="inlineStr">
        <is>
          <t>Anchor year</t>
        </is>
      </c>
      <c r="C4" s="6" t="inlineStr">
        <is>
          <t>Apparent consumption anchor (Mt)</t>
        </is>
      </c>
      <c r="D4" s="6" t="inlineStr">
        <is>
          <t>Flag</t>
        </is>
      </c>
      <c r="E4" s="6" t="inlineStr">
        <is>
          <t>Growth CAGR to 2050 (fraction/yr; blank = flat; US uses AEO index instead)</t>
        </is>
      </c>
      <c r="F4" s="6" t="inlineStr">
        <is>
          <t>Flag</t>
        </is>
      </c>
      <c r="G4" s="6" t="inlineStr">
        <is>
          <t>Cement production, USGS 2025e (Mt, context)</t>
        </is>
      </c>
      <c r="H4" s="6" t="inlineStr">
        <is>
          <t>Source / note</t>
        </is>
      </c>
    </row>
    <row r="5">
      <c r="A5" t="inlineStr">
        <is>
          <t>United States</t>
        </is>
      </c>
      <c r="B5" t="n">
        <v>2025</v>
      </c>
      <c r="C5" t="n">
        <v>110</v>
      </c>
      <c r="D5" t="inlineStr">
        <is>
          <t>DIRECT</t>
        </is>
      </c>
      <c r="F5" t="inlineStr">
        <is>
          <t>AEO</t>
        </is>
      </c>
      <c r="G5" t="n">
        <v>84</v>
      </c>
      <c r="H5" t="inlineStr">
        <is>
          <t>USGS MCS 2026 apparent consumption; growth = AEO 2026 Table 23 cement &amp; lime index</t>
        </is>
      </c>
    </row>
    <row r="6">
      <c r="A6" t="inlineStr">
        <is>
          <t>China</t>
        </is>
      </c>
      <c r="B6" t="n">
        <v>2024</v>
      </c>
      <c r="C6" t="n">
        <v>1858.9</v>
      </c>
      <c r="D6" t="inlineStr">
        <is>
          <t>SNIPPET</t>
        </is>
      </c>
      <c r="G6" t="n">
        <v>1700</v>
      </c>
      <c r="H6" t="inlineStr">
        <is>
          <t>cemnet citing demand data (pass 1, carried in pass 2). 2025 projection 1,790 (ICR via Cement Europe, SNIPPET); NBS 2025 production 1,670-1,693 (SNIPPET); 2024 fell ~8-10% y/y. Long-run CAGR TO FILL (IEA 2018 roadmap: China declines to 2050, no number).</t>
        </is>
      </c>
    </row>
    <row r="7">
      <c r="A7" t="inlineStr">
        <is>
          <t>India</t>
        </is>
      </c>
      <c r="B7" t="n">
        <v>2024</v>
      </c>
      <c r="C7" t="n">
        <v>435</v>
      </c>
      <c r="D7" t="inlineStr">
        <is>
          <t>SNIPPET</t>
        </is>
      </c>
      <c r="E7">
        <f>ROUND((2100/391)^(1/(2070-2023))-1,3)</f>
        <v/>
      </c>
      <c r="F7" t="inlineStr">
        <is>
          <t>JUDGMENT</t>
        </is>
      </c>
      <c r="G7" t="n">
        <v>470</v>
      </c>
      <c r="H7" t="inlineStr">
        <is>
          <t>FY2024-25 (Apr 2024-Mar 2025, assigned to 2024) consumption 435 / production 427, ACEEE Jul-2026 citing IBEF (pass 2). Pass 1 had no consumption (USGS production 440 in 2024e, 470 in 2025e - calendar vs FY basis). | CAGR (2023-70): NITI Aayog Jan-2026 path 391 (2023) -&gt; 2,100 Mt (2070) (SNIPPET); CAGR is own arithmetic. Front-loaded path: 7.8%/yr 2023-30, 5.9%/yr 2030-47; GCCA India/TERI ~3.1%/yr; IEA 2018 'triple by 2050' ~3.1%/yr. A flat CAGR understates near-term growth.</t>
        </is>
      </c>
    </row>
    <row r="8">
      <c r="A8" t="inlineStr">
        <is>
          <t>EU-27</t>
        </is>
      </c>
      <c r="B8" t="n">
        <v>2024</v>
      </c>
      <c r="C8" t="n">
        <v>148.1</v>
      </c>
      <c r="D8" t="inlineStr">
        <is>
          <t>DIRECT</t>
        </is>
      </c>
      <c r="H8" t="inlineStr">
        <is>
          <t>Cement Europe Statistics Report 2025, EU-27 scope (pass 2 read the PDF; pass 1 had it as SNIPPET). Production 160.8 (2024, DIRECT). UNRESOLVED: production - consumption = +12.7 Mt vs ~0 Eurostat net trade - ask Cement Europe. Do not mix with the 165.1 wider-membership figure.</t>
        </is>
      </c>
    </row>
    <row r="9">
      <c r="A9" t="inlineStr">
        <is>
          <t>Japan</t>
        </is>
      </c>
      <c r="B9" t="n">
        <v>2024</v>
      </c>
      <c r="C9" t="n">
        <v>40</v>
      </c>
      <c r="D9" t="inlineStr">
        <is>
          <t>JUDGMENT</t>
        </is>
      </c>
      <c r="G9" t="n">
        <v>44</v>
      </c>
      <c r="H9" t="inlineStr">
        <is>
          <t>production minus net clinker exports, rough; JCA not opened</t>
        </is>
      </c>
    </row>
    <row r="10">
      <c r="A10" t="inlineStr">
        <is>
          <t>Brazil</t>
        </is>
      </c>
      <c r="B10" t="n">
        <v>2023</v>
      </c>
      <c r="C10" t="n">
        <v>62.21</v>
      </c>
      <c r="D10" t="inlineStr">
        <is>
          <t>DIRECT</t>
        </is>
      </c>
      <c r="E10" t="n">
        <v>0.017</v>
      </c>
      <c r="F10" t="inlineStr">
        <is>
          <t>JUDGMENT</t>
        </is>
      </c>
      <c r="G10" t="n">
        <v>67</v>
      </c>
      <c r="H10" t="inlineStr">
        <is>
          <t>SNIC Annual Report 2023 apparent consumption (pass 2, DIRECT). CONFLICT: pass 1 used 64.652 (2024 SNIC sales via cemnet, SNIPPET); 2024 consumption 64.8 and 2025 dispatches 66.984 are SNIPPET. A 73 Mt 2024 'consumption' figure (pass 1) is unreliable. | CAGR (2014-50): SNIC/IEA/WBCSD 2019 roadmap: demand +60% (low) to +120% (high) vs 2014 by 2050 (DIRECT) = 1.3-2.2%/yr; 1.7%/yr chosen within the range (staff plan). Applied from the 2023 anchor, which sits below the 2014 base, so 2050 lands under the roadmap low case.</t>
        </is>
      </c>
    </row>
    <row r="11">
      <c r="A11" t="inlineStr">
        <is>
          <t>Mexico</t>
        </is>
      </c>
      <c r="B11" t="n">
        <v>2024</v>
      </c>
      <c r="C11" t="n">
        <v>42</v>
      </c>
      <c r="D11" t="inlineStr">
        <is>
          <t>SNIPPET</t>
        </is>
      </c>
      <c r="G11" t="n">
        <v>42</v>
      </c>
      <c r="H11" t="inlineStr">
        <is>
          <t>~42 Mt 2024 sales (Cementos Moctezuma CEO via Global Cement, pass 2). CONFLICT: pass 1 had 46.4 (2024 CANACEM forecast via Global Cement) - resolve against CANACEM statistics. 2025 consumption -6% (SNIPPET).</t>
        </is>
      </c>
    </row>
    <row r="12">
      <c r="A12" t="inlineStr">
        <is>
          <t>Canada</t>
        </is>
      </c>
      <c r="B12" t="n">
        <v>2024</v>
      </c>
      <c r="C12">
        <f>12.7+1.2-(4.39+0.47)</f>
        <v/>
      </c>
      <c r="D12" t="inlineStr">
        <is>
          <t>JUDGMENT</t>
        </is>
      </c>
      <c r="E12" t="n">
        <v>0.01</v>
      </c>
      <c r="F12" t="inlineStr">
        <is>
          <t>DIRECT</t>
        </is>
      </c>
      <c r="H12" t="inlineStr">
        <is>
          <t>LOW CONFIDENCE: 2020 CAC-member production 12.7 (DIRECT, Concrete Zero) + 2024 Comtrade imports 1.20 - exports (cement 4.39 + clinker 0.47) (DIRECT trade); mixes years. StatCan 16-10-0009-01 ends 2018. Next: StatCan monthly cement table / NRCan Minerals Yearbook. | CAGR (2020-50): CAC Concrete Zero Action Plan assumes cement volume +1%/yr from 2020 (DIRECT).</t>
        </is>
      </c>
    </row>
    <row r="13">
      <c r="A13" t="inlineStr">
        <is>
          <t>Indonesia</t>
        </is>
      </c>
      <c r="B13" t="n">
        <v>2025</v>
      </c>
      <c r="C13" t="n">
        <v>63.912</v>
      </c>
      <c r="D13" t="inlineStr">
        <is>
          <t>DIRECT</t>
        </is>
      </c>
      <c r="G13" t="n">
        <v>64</v>
      </c>
      <c r="H13" t="inlineStr">
        <is>
          <t>Asperssi (ASI) 2025 domestic sales, used as apparent consumption (imports negligible) (pass 2, DIRECT). 2024: 64.895. Pass 1 had 64.9 (2024, SNIPPET via cemnet). Production 64.720 (2025).</t>
        </is>
      </c>
    </row>
    <row r="14">
      <c r="A14" t="inlineStr">
        <is>
          <t>Australia</t>
        </is>
      </c>
      <c r="H14" t="inlineStr">
        <is>
          <t>TO FILL - CIF Industry Report (secondary market-report figures rejected as low confidence)</t>
        </is>
      </c>
    </row>
  </sheetData>
  <dataValidations count="1">
    <dataValidation sqref="B1" showDropDown="0" showInputMessage="0" showErrorMessage="0" allowBlank="0" type="list">
      <formula1>=$A$5:$A$14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USGS Mineral Commodity Summaries 2026 - Cement (Ashley K. Hatfield). Pasted from the PDF text; 'e' = estimated. Data in thousand metric tons unless otherwise specified.</t>
        </is>
      </c>
    </row>
    <row r="3">
      <c r="A3" t="inlineStr">
        <is>
          <t>Salient Statistics - United States (thousand metric tons unless noted)</t>
        </is>
      </c>
      <c r="B3" t="n">
        <v>2021</v>
      </c>
      <c r="C3" t="n">
        <v>2022</v>
      </c>
      <c r="D3" t="n">
        <v>2023</v>
      </c>
      <c r="E3" t="n">
        <v>2024</v>
      </c>
      <c r="F3" t="inlineStr">
        <is>
          <t>2025e</t>
        </is>
      </c>
    </row>
    <row r="4">
      <c r="A4" t="inlineStr">
        <is>
          <t>Production: Portland, blended, and masonry cement (includes cement made from imported clinker)</t>
        </is>
      </c>
      <c r="B4" t="n">
        <v>91000</v>
      </c>
      <c r="C4" t="n">
        <v>91200</v>
      </c>
      <c r="D4" t="n">
        <v>89700</v>
      </c>
      <c r="E4" t="n">
        <v>85000</v>
      </c>
      <c r="F4" t="n">
        <v>84000</v>
      </c>
    </row>
    <row r="5">
      <c r="A5" t="inlineStr">
        <is>
          <t>Production: Clinker</t>
        </is>
      </c>
      <c r="B5" t="n">
        <v>79616</v>
      </c>
      <c r="C5" t="n">
        <v>79489</v>
      </c>
      <c r="D5" t="n">
        <v>76789</v>
      </c>
      <c r="E5" t="n">
        <v>72000</v>
      </c>
      <c r="F5" t="n">
        <v>69000</v>
      </c>
    </row>
    <row r="6">
      <c r="A6" t="inlineStr">
        <is>
          <t>Shipments to final customers, includes exports</t>
        </is>
      </c>
      <c r="B6" t="n">
        <v>108969</v>
      </c>
      <c r="C6" t="n">
        <v>111092</v>
      </c>
      <c r="D6" t="n">
        <v>110290</v>
      </c>
      <c r="E6" t="n">
        <v>100000</v>
      </c>
      <c r="F6" t="n">
        <v>100000</v>
      </c>
    </row>
    <row r="7">
      <c r="A7" t="inlineStr">
        <is>
          <t>Imports for consumption: Hydraulic cement</t>
        </is>
      </c>
      <c r="B7" t="n">
        <v>19937</v>
      </c>
      <c r="C7" t="n">
        <v>24985</v>
      </c>
      <c r="D7" t="n">
        <v>24986</v>
      </c>
      <c r="E7" t="n">
        <v>23675</v>
      </c>
      <c r="F7" t="n">
        <v>23000</v>
      </c>
    </row>
    <row r="8">
      <c r="A8" t="inlineStr">
        <is>
          <t>Imports for consumption: Clinker</t>
        </is>
      </c>
      <c r="B8" t="n">
        <v>1563</v>
      </c>
      <c r="C8" t="n">
        <v>1021</v>
      </c>
      <c r="D8" t="n">
        <v>921</v>
      </c>
      <c r="E8" t="n">
        <v>685</v>
      </c>
      <c r="F8" t="n">
        <v>660</v>
      </c>
    </row>
    <row r="9">
      <c r="A9" t="inlineStr">
        <is>
          <t>Exports, hydraulic cement and clinker</t>
        </is>
      </c>
      <c r="B9" t="n">
        <v>939</v>
      </c>
      <c r="C9" t="n">
        <v>904</v>
      </c>
      <c r="D9" t="n">
        <v>889</v>
      </c>
      <c r="E9" t="n">
        <v>932</v>
      </c>
      <c r="F9" t="n">
        <v>1000</v>
      </c>
    </row>
    <row r="10">
      <c r="A10" t="inlineStr">
        <is>
          <t>Consumption, apparent (production incl. from imported clinker + imports excl. clinker - exports - stock changes)</t>
        </is>
      </c>
      <c r="B10" t="n">
        <v>111000</v>
      </c>
      <c r="C10" t="n">
        <v>114000</v>
      </c>
      <c r="D10" t="n">
        <v>113000</v>
      </c>
      <c r="E10" t="n">
        <v>110000</v>
      </c>
      <c r="F10" t="n">
        <v>110000</v>
      </c>
    </row>
    <row r="11">
      <c r="A11" t="inlineStr">
        <is>
          <t>Price, average mill unit value, dollars per metric ton</t>
        </is>
      </c>
      <c r="B11" t="n">
        <v>127</v>
      </c>
      <c r="C11" t="n">
        <v>139</v>
      </c>
      <c r="D11" t="n">
        <v>152</v>
      </c>
      <c r="E11" t="n">
        <v>160</v>
      </c>
      <c r="F11" t="n">
        <v>160</v>
      </c>
    </row>
    <row r="12">
      <c r="A12" t="inlineStr">
        <is>
          <t>Stocks, cement, yearend</t>
        </is>
      </c>
      <c r="B12" t="n">
        <v>6280</v>
      </c>
      <c r="C12" t="n">
        <v>8010</v>
      </c>
      <c r="D12" t="n">
        <v>8830</v>
      </c>
      <c r="E12" t="n">
        <v>9700</v>
      </c>
      <c r="F12" t="n">
        <v>8200</v>
      </c>
    </row>
    <row r="13">
      <c r="A13" t="inlineStr">
        <is>
          <t>Net import reliance as a percentage of apparent consumption</t>
        </is>
      </c>
      <c r="B13" t="n">
        <v>19</v>
      </c>
      <c r="C13" t="n">
        <v>22</v>
      </c>
      <c r="D13" t="n">
        <v>22</v>
      </c>
      <c r="E13" t="n">
        <v>22</v>
      </c>
      <c r="F13" t="n">
        <v>21</v>
      </c>
    </row>
    <row r="15">
      <c r="A15" t="inlineStr">
        <is>
          <t>World Production and Capacity (thousand metric tons)</t>
        </is>
      </c>
      <c r="B15" t="inlineStr">
        <is>
          <t>Cement production 2024</t>
        </is>
      </c>
      <c r="C15" t="inlineStr">
        <is>
          <t>Cement production 2025e</t>
        </is>
      </c>
      <c r="D15" t="inlineStr">
        <is>
          <t>Clinker capacity 2024</t>
        </is>
      </c>
      <c r="E15" t="inlineStr">
        <is>
          <t>Clinker capacity 2025e</t>
        </is>
      </c>
    </row>
    <row r="16">
      <c r="A16" t="inlineStr">
        <is>
          <t>United States (includes Puerto Rico)</t>
        </is>
      </c>
      <c r="B16" t="n">
        <v>85000</v>
      </c>
      <c r="C16" t="n">
        <v>84000</v>
      </c>
      <c r="D16" t="n">
        <v>100000</v>
      </c>
      <c r="E16" t="n">
        <v>100000</v>
      </c>
    </row>
    <row r="17">
      <c r="A17" t="inlineStr">
        <is>
          <t>Brazil</t>
        </is>
      </c>
      <c r="B17" t="n">
        <v>65000</v>
      </c>
      <c r="C17" t="n">
        <v>67000</v>
      </c>
      <c r="D17" t="n">
        <v>60000</v>
      </c>
      <c r="E17" t="n">
        <v>61000</v>
      </c>
    </row>
    <row r="18">
      <c r="A18" t="inlineStr">
        <is>
          <t>China</t>
        </is>
      </c>
      <c r="B18" t="n">
        <v>1800000</v>
      </c>
      <c r="C18" t="n">
        <v>1700000</v>
      </c>
      <c r="D18" t="n">
        <v>1900000</v>
      </c>
      <c r="E18" t="n">
        <v>1800000</v>
      </c>
    </row>
    <row r="19">
      <c r="A19" t="inlineStr">
        <is>
          <t>Egypt</t>
        </is>
      </c>
      <c r="B19" t="n">
        <v>53000</v>
      </c>
      <c r="C19" t="n">
        <v>64000</v>
      </c>
      <c r="D19" t="n">
        <v>60000</v>
      </c>
      <c r="E19" t="n">
        <v>75000</v>
      </c>
    </row>
    <row r="20">
      <c r="A20" t="inlineStr">
        <is>
          <t>India</t>
        </is>
      </c>
      <c r="B20" t="n">
        <v>440000</v>
      </c>
      <c r="C20" t="n">
        <v>470000</v>
      </c>
      <c r="D20" t="n">
        <v>380000</v>
      </c>
      <c r="E20" t="n">
        <v>400000</v>
      </c>
    </row>
    <row r="21">
      <c r="A21" t="inlineStr">
        <is>
          <t>Indonesia</t>
        </is>
      </c>
      <c r="B21" t="n">
        <v>68000</v>
      </c>
      <c r="C21" t="n">
        <v>64000</v>
      </c>
      <c r="D21" t="n">
        <v>79000</v>
      </c>
      <c r="E21" t="n">
        <v>83000</v>
      </c>
    </row>
    <row r="22">
      <c r="A22" t="inlineStr">
        <is>
          <t>Iran</t>
        </is>
      </c>
      <c r="B22" t="n">
        <v>71000</v>
      </c>
      <c r="C22" t="n">
        <v>68000</v>
      </c>
      <c r="D22" t="n">
        <v>85000</v>
      </c>
      <c r="E22" t="n">
        <v>85000</v>
      </c>
    </row>
    <row r="23">
      <c r="A23" t="inlineStr">
        <is>
          <t>Japan</t>
        </is>
      </c>
      <c r="B23" t="n">
        <v>46000</v>
      </c>
      <c r="C23" t="n">
        <v>44000</v>
      </c>
      <c r="D23" t="n">
        <v>50000</v>
      </c>
      <c r="E23" t="n">
        <v>50000</v>
      </c>
    </row>
    <row r="24">
      <c r="A24" t="inlineStr">
        <is>
          <t>Korea, Republic of</t>
        </is>
      </c>
      <c r="B24" t="n">
        <v>44000</v>
      </c>
      <c r="C24" t="n">
        <v>37000</v>
      </c>
      <c r="D24" t="n">
        <v>62000</v>
      </c>
      <c r="E24" t="n">
        <v>62000</v>
      </c>
    </row>
    <row r="25">
      <c r="A25" t="inlineStr">
        <is>
          <t>Mexico</t>
        </is>
      </c>
      <c r="B25" t="n">
        <v>44000</v>
      </c>
      <c r="C25" t="n">
        <v>42000</v>
      </c>
      <c r="D25" t="n">
        <v>42000</v>
      </c>
      <c r="E25" t="n">
        <v>42000</v>
      </c>
    </row>
    <row r="26">
      <c r="A26" t="inlineStr">
        <is>
          <t>Russia</t>
        </is>
      </c>
      <c r="B26" t="n">
        <v>67000</v>
      </c>
      <c r="C26" t="n">
        <v>59000</v>
      </c>
      <c r="D26" t="n">
        <v>80000</v>
      </c>
      <c r="E26" t="n">
        <v>80000</v>
      </c>
    </row>
    <row r="27">
      <c r="A27" t="inlineStr">
        <is>
          <t>Saudi Arabia</t>
        </is>
      </c>
      <c r="B27" t="n">
        <v>51000</v>
      </c>
      <c r="C27" t="n">
        <v>54000</v>
      </c>
      <c r="D27" t="n">
        <v>75000</v>
      </c>
      <c r="E27" t="n">
        <v>75000</v>
      </c>
    </row>
    <row r="28">
      <c r="A28" t="inlineStr">
        <is>
          <t>Turkey</t>
        </is>
      </c>
      <c r="B28" t="n">
        <v>85000</v>
      </c>
      <c r="C28" t="n">
        <v>89000</v>
      </c>
      <c r="D28" t="n">
        <v>100000</v>
      </c>
      <c r="E28" t="n">
        <v>100000</v>
      </c>
    </row>
    <row r="29">
      <c r="A29" t="inlineStr">
        <is>
          <t>Vietnam</t>
        </is>
      </c>
      <c r="B29" t="n">
        <v>91000</v>
      </c>
      <c r="C29" t="n">
        <v>100000</v>
      </c>
      <c r="D29" t="n">
        <v>110000</v>
      </c>
      <c r="E29" t="n">
        <v>110000</v>
      </c>
    </row>
    <row r="30">
      <c r="A30" t="inlineStr">
        <is>
          <t>Other countries (rounded)</t>
        </is>
      </c>
      <c r="B30" t="n">
        <v>860000</v>
      </c>
      <c r="C30" t="n">
        <v>860000</v>
      </c>
      <c r="D30" t="n">
        <v>650000</v>
      </c>
      <c r="E30" t="n">
        <v>650000</v>
      </c>
    </row>
    <row r="31">
      <c r="A31" t="inlineStr">
        <is>
          <t>World total (rounded)</t>
        </is>
      </c>
      <c r="B31" t="n">
        <v>3900000</v>
      </c>
      <c r="C31" t="n">
        <v>3800000</v>
      </c>
      <c r="D31" t="n">
        <v>3800000</v>
      </c>
      <c r="E31" t="n">
        <v>3800000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EIA Annual Energy Outlook 2026, Table 23 Industrial Sector Macroeconomic Indicators, Value of Shipments (billion 2012 dollars), case ELECTRNP (Alternative Electricity and Transportation - the case the io-model BPCiObIC workbook uses). Row pasted from that workbook's 'AEO 2026 Table 23 ' tab.</t>
        </is>
      </c>
    </row>
    <row r="3">
      <c r="A3" s="6" t="inlineStr">
        <is>
          <t>api id</t>
        </is>
      </c>
      <c r="B3" s="6" t="inlineStr">
        <is>
          <t>full name</t>
        </is>
      </c>
      <c r="C3" s="6" t="inlineStr">
        <is>
          <t>series key</t>
        </is>
      </c>
      <c r="D3" s="6" t="inlineStr">
        <is>
          <t>units</t>
        </is>
      </c>
      <c r="E3" s="6" t="n">
        <v>2025</v>
      </c>
      <c r="F3" s="6" t="n">
        <v>2026</v>
      </c>
      <c r="G3" s="6" t="n">
        <v>2027</v>
      </c>
      <c r="H3" s="6" t="n">
        <v>2028</v>
      </c>
      <c r="I3" s="6" t="n">
        <v>2029</v>
      </c>
      <c r="J3" s="6" t="n">
        <v>2030</v>
      </c>
      <c r="K3" s="6" t="n">
        <v>2031</v>
      </c>
      <c r="L3" s="6" t="n">
        <v>2032</v>
      </c>
      <c r="M3" s="6" t="n">
        <v>2033</v>
      </c>
      <c r="N3" s="6" t="n">
        <v>2034</v>
      </c>
      <c r="O3" s="6" t="n">
        <v>2035</v>
      </c>
      <c r="P3" s="6" t="n">
        <v>2036</v>
      </c>
      <c r="Q3" s="6" t="n">
        <v>2037</v>
      </c>
      <c r="R3" s="6" t="n">
        <v>2038</v>
      </c>
      <c r="S3" s="6" t="n">
        <v>2039</v>
      </c>
      <c r="T3" s="6" t="n">
        <v>2040</v>
      </c>
      <c r="U3" s="6" t="n">
        <v>2041</v>
      </c>
      <c r="V3" s="6" t="n">
        <v>2042</v>
      </c>
      <c r="W3" s="6" t="n">
        <v>2043</v>
      </c>
      <c r="X3" s="6" t="n">
        <v>2044</v>
      </c>
      <c r="Y3" s="6" t="n">
        <v>2045</v>
      </c>
      <c r="Z3" s="6" t="n">
        <v>2046</v>
      </c>
      <c r="AA3" s="6" t="n">
        <v>2047</v>
      </c>
      <c r="AB3" s="6" t="n">
        <v>2048</v>
      </c>
      <c r="AC3" s="6" t="n">
        <v>2049</v>
      </c>
      <c r="AD3" s="6" t="n">
        <v>2050</v>
      </c>
    </row>
    <row r="4">
      <c r="A4" t="inlineStr">
        <is>
          <t>ISM000:fa_CementandHydr</t>
        </is>
      </c>
      <c r="B4" t="inlineStr">
        <is>
          <t>Cement and Lime</t>
        </is>
      </c>
      <c r="C4" t="inlineStr">
        <is>
          <t>AEO.2026.ELECTRNP.ECI_VOS_MANF_SCGCL_NA_NA_NA_BLNY09DLR.A</t>
        </is>
      </c>
      <c r="D4" t="inlineStr">
        <is>
          <t>billion 2012 $</t>
        </is>
      </c>
      <c r="E4" t="n">
        <v>9.336027</v>
      </c>
      <c r="F4" t="n">
        <v>9.138749000000001</v>
      </c>
      <c r="G4" t="n">
        <v>8.976787</v>
      </c>
      <c r="H4" t="n">
        <v>8.899744</v>
      </c>
      <c r="I4" t="n">
        <v>8.858376</v>
      </c>
      <c r="J4" t="n">
        <v>8.879111</v>
      </c>
      <c r="K4" t="n">
        <v>8.939971</v>
      </c>
      <c r="L4" t="n">
        <v>9.02407</v>
      </c>
      <c r="M4" t="n">
        <v>9.135289</v>
      </c>
      <c r="N4" t="n">
        <v>9.258552999999999</v>
      </c>
      <c r="O4" t="n">
        <v>9.389754</v>
      </c>
      <c r="P4" t="n">
        <v>9.524654</v>
      </c>
      <c r="Q4" t="n">
        <v>9.657454</v>
      </c>
      <c r="R4" t="n">
        <v>9.793234</v>
      </c>
      <c r="S4" t="n">
        <v>9.925656</v>
      </c>
      <c r="T4" t="n">
        <v>10.036542</v>
      </c>
      <c r="U4" t="n">
        <v>10.121435</v>
      </c>
      <c r="V4" t="n">
        <v>10.178687</v>
      </c>
      <c r="W4" t="n">
        <v>10.198941</v>
      </c>
      <c r="X4" t="n">
        <v>10.195507</v>
      </c>
      <c r="Y4" t="n">
        <v>10.222628</v>
      </c>
      <c r="Z4" t="n">
        <v>10.289026</v>
      </c>
      <c r="AA4" t="n">
        <v>10.381219</v>
      </c>
      <c r="AB4" t="n">
        <v>10.489734</v>
      </c>
      <c r="AC4" t="n">
        <v>10.605895</v>
      </c>
      <c r="AD4" t="n">
        <v>10.7287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Selected region</t>
        </is>
      </c>
      <c r="B1">
        <f>Regions!B1</f>
        <v/>
      </c>
    </row>
    <row r="2">
      <c r="A2" t="inlineStr">
        <is>
          <t>Anchor year</t>
        </is>
      </c>
      <c r="B2">
        <f>INDEX(Regions!$B$5:$B$14,MATCH(Regions!$B$1,Regions!$A$5:$A$14,0))</f>
        <v/>
      </c>
    </row>
    <row r="3">
      <c r="A3" t="inlineStr">
        <is>
          <t>Anchor apparent consumption (Mt)</t>
        </is>
      </c>
      <c r="B3">
        <f>INDEX(Regions!$C$5:$C$14,MATCH(Regions!$B$1,Regions!$A$5:$A$14,0))</f>
        <v/>
      </c>
    </row>
    <row r="4">
      <c r="A4" t="inlineStr">
        <is>
          <t>Growth CAGR (fraction/yr, blank = 0)</t>
        </is>
      </c>
      <c r="B4">
        <f>IF(ISNUMBER(INDEX(Regions!$E$5:$E$14,MATCH(Regions!$B$1,Regions!$A$5:$A$14,0))),INDEX(Regions!$E$5:$E$14,MATCH(Regions!$B$1,Regions!$A$5:$A$14,0)),0)</f>
        <v/>
      </c>
    </row>
    <row r="5">
      <c r="A5" t="inlineStr">
        <is>
          <t>Is US? (history + AEO index)</t>
        </is>
      </c>
      <c r="B5">
        <f>IF(B1="United States",1,0)</f>
        <v/>
      </c>
    </row>
    <row r="7">
      <c r="A7" t="inlineStr">
        <is>
          <t>Year</t>
        </is>
      </c>
      <c r="B7" t="n">
        <v>2021</v>
      </c>
      <c r="C7" t="n">
        <v>2022</v>
      </c>
      <c r="D7" t="n">
        <v>2023</v>
      </c>
      <c r="E7" t="n">
        <v>2024</v>
      </c>
      <c r="F7" t="n">
        <v>2025</v>
      </c>
      <c r="G7" t="n">
        <v>2026</v>
      </c>
      <c r="H7" t="n">
        <v>2027</v>
      </c>
      <c r="I7" t="n">
        <v>2028</v>
      </c>
      <c r="J7" t="n">
        <v>2029</v>
      </c>
      <c r="K7" t="n">
        <v>2030</v>
      </c>
      <c r="L7" t="n">
        <v>2031</v>
      </c>
      <c r="M7" t="n">
        <v>2032</v>
      </c>
      <c r="N7" t="n">
        <v>2033</v>
      </c>
      <c r="O7" t="n">
        <v>2034</v>
      </c>
      <c r="P7" t="n">
        <v>2035</v>
      </c>
      <c r="Q7" t="n">
        <v>2036</v>
      </c>
      <c r="R7" t="n">
        <v>2037</v>
      </c>
      <c r="S7" t="n">
        <v>2038</v>
      </c>
      <c r="T7" t="n">
        <v>2039</v>
      </c>
      <c r="U7" t="n">
        <v>2040</v>
      </c>
      <c r="V7" t="n">
        <v>2041</v>
      </c>
      <c r="W7" t="n">
        <v>2042</v>
      </c>
      <c r="X7" t="n">
        <v>2043</v>
      </c>
      <c r="Y7" t="n">
        <v>2044</v>
      </c>
      <c r="Z7" t="n">
        <v>2045</v>
      </c>
      <c r="AA7" t="n">
        <v>2046</v>
      </c>
      <c r="AB7" t="n">
        <v>2047</v>
      </c>
      <c r="AC7" t="n">
        <v>2048</v>
      </c>
      <c r="AD7" t="n">
        <v>2049</v>
      </c>
      <c r="AE7" t="n">
        <v>2050</v>
      </c>
    </row>
    <row r="8">
      <c r="A8" t="inlineStr">
        <is>
          <t>USGS apparent consumption (Mt; US only, 2021-2025)</t>
        </is>
      </c>
      <c r="B8">
        <f>'USGS MCS 2026 Cement'!B10/1000</f>
        <v/>
      </c>
      <c r="C8">
        <f>'USGS MCS 2026 Cement'!C10/1000</f>
        <v/>
      </c>
      <c r="D8">
        <f>'USGS MCS 2026 Cement'!D10/1000</f>
        <v/>
      </c>
      <c r="E8">
        <f>'USGS MCS 2026 Cement'!E10/1000</f>
        <v/>
      </c>
      <c r="F8">
        <f>'USGS MCS 2026 Cement'!F10/1000</f>
        <v/>
      </c>
    </row>
    <row r="9">
      <c r="A9" t="inlineStr">
        <is>
          <t>AEO cement &amp; lime index (US only; = shipments(y) / shipments(2025))</t>
        </is>
      </c>
      <c r="F9">
        <f>'AEO 2026 Table 23'!E4/'AEO 2026 Table 23'!$E$4</f>
        <v/>
      </c>
      <c r="G9">
        <f>'AEO 2026 Table 23'!F4/'AEO 2026 Table 23'!$E$4</f>
        <v/>
      </c>
      <c r="H9">
        <f>'AEO 2026 Table 23'!G4/'AEO 2026 Table 23'!$E$4</f>
        <v/>
      </c>
      <c r="I9">
        <f>'AEO 2026 Table 23'!H4/'AEO 2026 Table 23'!$E$4</f>
        <v/>
      </c>
      <c r="J9">
        <f>'AEO 2026 Table 23'!I4/'AEO 2026 Table 23'!$E$4</f>
        <v/>
      </c>
      <c r="K9">
        <f>'AEO 2026 Table 23'!J4/'AEO 2026 Table 23'!$E$4</f>
        <v/>
      </c>
      <c r="L9">
        <f>'AEO 2026 Table 23'!K4/'AEO 2026 Table 23'!$E$4</f>
        <v/>
      </c>
      <c r="M9">
        <f>'AEO 2026 Table 23'!L4/'AEO 2026 Table 23'!$E$4</f>
        <v/>
      </c>
      <c r="N9">
        <f>'AEO 2026 Table 23'!M4/'AEO 2026 Table 23'!$E$4</f>
        <v/>
      </c>
      <c r="O9">
        <f>'AEO 2026 Table 23'!N4/'AEO 2026 Table 23'!$E$4</f>
        <v/>
      </c>
      <c r="P9">
        <f>'AEO 2026 Table 23'!O4/'AEO 2026 Table 23'!$E$4</f>
        <v/>
      </c>
      <c r="Q9">
        <f>'AEO 2026 Table 23'!P4/'AEO 2026 Table 23'!$E$4</f>
        <v/>
      </c>
      <c r="R9">
        <f>'AEO 2026 Table 23'!Q4/'AEO 2026 Table 23'!$E$4</f>
        <v/>
      </c>
      <c r="S9">
        <f>'AEO 2026 Table 23'!R4/'AEO 2026 Table 23'!$E$4</f>
        <v/>
      </c>
      <c r="T9">
        <f>'AEO 2026 Table 23'!S4/'AEO 2026 Table 23'!$E$4</f>
        <v/>
      </c>
      <c r="U9">
        <f>'AEO 2026 Table 23'!T4/'AEO 2026 Table 23'!$E$4</f>
        <v/>
      </c>
      <c r="V9">
        <f>'AEO 2026 Table 23'!U4/'AEO 2026 Table 23'!$E$4</f>
        <v/>
      </c>
      <c r="W9">
        <f>'AEO 2026 Table 23'!V4/'AEO 2026 Table 23'!$E$4</f>
        <v/>
      </c>
      <c r="X9">
        <f>'AEO 2026 Table 23'!W4/'AEO 2026 Table 23'!$E$4</f>
        <v/>
      </c>
      <c r="Y9">
        <f>'AEO 2026 Table 23'!X4/'AEO 2026 Table 23'!$E$4</f>
        <v/>
      </c>
      <c r="Z9">
        <f>'AEO 2026 Table 23'!Y4/'AEO 2026 Table 23'!$E$4</f>
        <v/>
      </c>
      <c r="AA9">
        <f>'AEO 2026 Table 23'!Z4/'AEO 2026 Table 23'!$E$4</f>
        <v/>
      </c>
      <c r="AB9">
        <f>'AEO 2026 Table 23'!AA4/'AEO 2026 Table 23'!$E$4</f>
        <v/>
      </c>
      <c r="AC9">
        <f>'AEO 2026 Table 23'!AB4/'AEO 2026 Table 23'!$E$4</f>
        <v/>
      </c>
      <c r="AD9">
        <f>'AEO 2026 Table 23'!AC4/'AEO 2026 Table 23'!$E$4</f>
        <v/>
      </c>
      <c r="AE9">
        <f>'AEO 2026 Table 23'!AD4/'AEO 2026 Table 23'!$E$4</f>
        <v/>
      </c>
    </row>
    <row r="10">
      <c r="A10" t="inlineStr">
        <is>
          <t>Generic index ((1+CAGR)^(y - anchor year))</t>
        </is>
      </c>
      <c r="B10">
        <f>(1+$B$4)^(B7-$B$2)</f>
        <v/>
      </c>
      <c r="C10">
        <f>(1+$B$4)^(C7-$B$2)</f>
        <v/>
      </c>
      <c r="D10">
        <f>(1+$B$4)^(D7-$B$2)</f>
        <v/>
      </c>
      <c r="E10">
        <f>(1+$B$4)^(E7-$B$2)</f>
        <v/>
      </c>
      <c r="F10">
        <f>(1+$B$4)^(F7-$B$2)</f>
        <v/>
      </c>
      <c r="G10">
        <f>(1+$B$4)^(G7-$B$2)</f>
        <v/>
      </c>
      <c r="H10">
        <f>(1+$B$4)^(H7-$B$2)</f>
        <v/>
      </c>
      <c r="I10">
        <f>(1+$B$4)^(I7-$B$2)</f>
        <v/>
      </c>
      <c r="J10">
        <f>(1+$B$4)^(J7-$B$2)</f>
        <v/>
      </c>
      <c r="K10">
        <f>(1+$B$4)^(K7-$B$2)</f>
        <v/>
      </c>
      <c r="L10">
        <f>(1+$B$4)^(L7-$B$2)</f>
        <v/>
      </c>
      <c r="M10">
        <f>(1+$B$4)^(M7-$B$2)</f>
        <v/>
      </c>
      <c r="N10">
        <f>(1+$B$4)^(N7-$B$2)</f>
        <v/>
      </c>
      <c r="O10">
        <f>(1+$B$4)^(O7-$B$2)</f>
        <v/>
      </c>
      <c r="P10">
        <f>(1+$B$4)^(P7-$B$2)</f>
        <v/>
      </c>
      <c r="Q10">
        <f>(1+$B$4)^(Q7-$B$2)</f>
        <v/>
      </c>
      <c r="R10">
        <f>(1+$B$4)^(R7-$B$2)</f>
        <v/>
      </c>
      <c r="S10">
        <f>(1+$B$4)^(S7-$B$2)</f>
        <v/>
      </c>
      <c r="T10">
        <f>(1+$B$4)^(T7-$B$2)</f>
        <v/>
      </c>
      <c r="U10">
        <f>(1+$B$4)^(U7-$B$2)</f>
        <v/>
      </c>
      <c r="V10">
        <f>(1+$B$4)^(V7-$B$2)</f>
        <v/>
      </c>
      <c r="W10">
        <f>(1+$B$4)^(W7-$B$2)</f>
        <v/>
      </c>
      <c r="X10">
        <f>(1+$B$4)^(X7-$B$2)</f>
        <v/>
      </c>
      <c r="Y10">
        <f>(1+$B$4)^(Y7-$B$2)</f>
        <v/>
      </c>
      <c r="Z10">
        <f>(1+$B$4)^(Z7-$B$2)</f>
        <v/>
      </c>
      <c r="AA10">
        <f>(1+$B$4)^(AA7-$B$2)</f>
        <v/>
      </c>
      <c r="AB10">
        <f>(1+$B$4)^(AB7-$B$2)</f>
        <v/>
      </c>
      <c r="AC10">
        <f>(1+$B$4)^(AC7-$B$2)</f>
        <v/>
      </c>
      <c r="AD10">
        <f>(1+$B$4)^(AD7-$B$2)</f>
        <v/>
      </c>
      <c r="AE10">
        <f>(1+$B$4)^(AE7-$B$2)</f>
        <v/>
      </c>
    </row>
    <row r="11">
      <c r="A11" t="inlineStr">
        <is>
          <t>BAU Cement Demand (metric tons/year)</t>
        </is>
      </c>
      <c r="B11">
        <f>1000000*IF($B$5=1,IF(B7&lt;=2025,B8,$B$3*B9),$B$3*B10)</f>
        <v/>
      </c>
      <c r="C11">
        <f>1000000*IF($B$5=1,IF(C7&lt;=2025,C8,$B$3*C9),$B$3*C10)</f>
        <v/>
      </c>
      <c r="D11">
        <f>1000000*IF($B$5=1,IF(D7&lt;=2025,D8,$B$3*D9),$B$3*D10)</f>
        <v/>
      </c>
      <c r="E11">
        <f>1000000*IF($B$5=1,IF(E7&lt;=2025,E8,$B$3*E9),$B$3*E10)</f>
        <v/>
      </c>
      <c r="F11">
        <f>1000000*IF($B$5=1,IF(F7&lt;=2025,F8,$B$3*F9),$B$3*F10)</f>
        <v/>
      </c>
      <c r="G11">
        <f>1000000*IF($B$5=1,IF(G7&lt;=2025,G8,$B$3*G9),$B$3*G10)</f>
        <v/>
      </c>
      <c r="H11">
        <f>1000000*IF($B$5=1,IF(H7&lt;=2025,H8,$B$3*H9),$B$3*H10)</f>
        <v/>
      </c>
      <c r="I11">
        <f>1000000*IF($B$5=1,IF(I7&lt;=2025,I8,$B$3*I9),$B$3*I10)</f>
        <v/>
      </c>
      <c r="J11">
        <f>1000000*IF($B$5=1,IF(J7&lt;=2025,J8,$B$3*J9),$B$3*J10)</f>
        <v/>
      </c>
      <c r="K11">
        <f>1000000*IF($B$5=1,IF(K7&lt;=2025,K8,$B$3*K9),$B$3*K10)</f>
        <v/>
      </c>
      <c r="L11">
        <f>1000000*IF($B$5=1,IF(L7&lt;=2025,L8,$B$3*L9),$B$3*L10)</f>
        <v/>
      </c>
      <c r="M11">
        <f>1000000*IF($B$5=1,IF(M7&lt;=2025,M8,$B$3*M9),$B$3*M10)</f>
        <v/>
      </c>
      <c r="N11">
        <f>1000000*IF($B$5=1,IF(N7&lt;=2025,N8,$B$3*N9),$B$3*N10)</f>
        <v/>
      </c>
      <c r="O11">
        <f>1000000*IF($B$5=1,IF(O7&lt;=2025,O8,$B$3*O9),$B$3*O10)</f>
        <v/>
      </c>
      <c r="P11">
        <f>1000000*IF($B$5=1,IF(P7&lt;=2025,P8,$B$3*P9),$B$3*P10)</f>
        <v/>
      </c>
      <c r="Q11">
        <f>1000000*IF($B$5=1,IF(Q7&lt;=2025,Q8,$B$3*Q9),$B$3*Q10)</f>
        <v/>
      </c>
      <c r="R11">
        <f>1000000*IF($B$5=1,IF(R7&lt;=2025,R8,$B$3*R9),$B$3*R10)</f>
        <v/>
      </c>
      <c r="S11">
        <f>1000000*IF($B$5=1,IF(S7&lt;=2025,S8,$B$3*S9),$B$3*S10)</f>
        <v/>
      </c>
      <c r="T11">
        <f>1000000*IF($B$5=1,IF(T7&lt;=2025,T8,$B$3*T9),$B$3*T10)</f>
        <v/>
      </c>
      <c r="U11">
        <f>1000000*IF($B$5=1,IF(U7&lt;=2025,U8,$B$3*U9),$B$3*U10)</f>
        <v/>
      </c>
      <c r="V11">
        <f>1000000*IF($B$5=1,IF(V7&lt;=2025,V8,$B$3*V9),$B$3*V10)</f>
        <v/>
      </c>
      <c r="W11">
        <f>1000000*IF($B$5=1,IF(W7&lt;=2025,W8,$B$3*W9),$B$3*W10)</f>
        <v/>
      </c>
      <c r="X11">
        <f>1000000*IF($B$5=1,IF(X7&lt;=2025,X8,$B$3*X9),$B$3*X10)</f>
        <v/>
      </c>
      <c r="Y11">
        <f>1000000*IF($B$5=1,IF(Y7&lt;=2025,Y8,$B$3*Y9),$B$3*Y10)</f>
        <v/>
      </c>
      <c r="Z11">
        <f>1000000*IF($B$5=1,IF(Z7&lt;=2025,Z8,$B$3*Z9),$B$3*Z10)</f>
        <v/>
      </c>
      <c r="AA11">
        <f>1000000*IF($B$5=1,IF(AA7&lt;=2025,AA8,$B$3*AA9),$B$3*AA10)</f>
        <v/>
      </c>
      <c r="AB11">
        <f>1000000*IF($B$5=1,IF(AB7&lt;=2025,AB8,$B$3*AB9),$B$3*AB10)</f>
        <v/>
      </c>
      <c r="AC11">
        <f>1000000*IF($B$5=1,IF(AC7&lt;=2025,AC8,$B$3*AC9),$B$3*AC10)</f>
        <v/>
      </c>
      <c r="AD11">
        <f>1000000*IF($B$5=1,IF(AD7&lt;=2025,AD8,$B$3*AD9),$B$3*AD10)</f>
        <v/>
      </c>
      <c r="AE11">
        <f>1000000*IF($B$5=1,IF(AE7&lt;=2025,AE8,$B$3*AE9),$B$3*AE10)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Cross-check: 'BCD' export-tab literal values vs. Derivation formulas (PASS once opened and recalculated in Excel).</t>
        </is>
      </c>
    </row>
    <row r="3">
      <c r="B3" t="n">
        <v>2021</v>
      </c>
      <c r="C3" t="n">
        <v>2022</v>
      </c>
      <c r="D3" t="n">
        <v>2023</v>
      </c>
      <c r="E3" t="n">
        <v>2024</v>
      </c>
      <c r="F3" t="n">
        <v>2025</v>
      </c>
      <c r="G3" t="n">
        <v>2026</v>
      </c>
      <c r="H3" t="n">
        <v>2027</v>
      </c>
      <c r="I3" t="n">
        <v>2028</v>
      </c>
      <c r="J3" t="n">
        <v>2029</v>
      </c>
      <c r="K3" t="n">
        <v>2030</v>
      </c>
      <c r="L3" t="n">
        <v>2031</v>
      </c>
      <c r="M3" t="n">
        <v>2032</v>
      </c>
      <c r="N3" t="n">
        <v>2033</v>
      </c>
      <c r="O3" t="n">
        <v>2034</v>
      </c>
      <c r="P3" t="n">
        <v>2035</v>
      </c>
      <c r="Q3" t="n">
        <v>2036</v>
      </c>
      <c r="R3" t="n">
        <v>2037</v>
      </c>
      <c r="S3" t="n">
        <v>2038</v>
      </c>
      <c r="T3" t="n">
        <v>2039</v>
      </c>
      <c r="U3" t="n">
        <v>2040</v>
      </c>
      <c r="V3" t="n">
        <v>2041</v>
      </c>
      <c r="W3" t="n">
        <v>2042</v>
      </c>
      <c r="X3" t="n">
        <v>2043</v>
      </c>
      <c r="Y3" t="n">
        <v>2044</v>
      </c>
      <c r="Z3" t="n">
        <v>2045</v>
      </c>
      <c r="AA3" t="n">
        <v>2046</v>
      </c>
      <c r="AB3" t="n">
        <v>2047</v>
      </c>
      <c r="AC3" t="n">
        <v>2048</v>
      </c>
      <c r="AD3" t="n">
        <v>2049</v>
      </c>
      <c r="AE3" t="n">
        <v>2050</v>
      </c>
    </row>
    <row r="4">
      <c r="A4" t="inlineStr">
        <is>
          <t>Export literal</t>
        </is>
      </c>
      <c r="B4" t="n">
        <v>111000000</v>
      </c>
      <c r="C4" t="n">
        <v>114000000</v>
      </c>
      <c r="D4" t="n">
        <v>113000000</v>
      </c>
      <c r="E4" t="n">
        <v>110000000</v>
      </c>
      <c r="F4" t="n">
        <v>110000000</v>
      </c>
      <c r="G4" t="n">
        <v>107675609</v>
      </c>
      <c r="H4" t="n">
        <v>105767322</v>
      </c>
      <c r="I4" t="n">
        <v>104859577</v>
      </c>
      <c r="J4" t="n">
        <v>104372166</v>
      </c>
      <c r="K4" t="n">
        <v>104616472</v>
      </c>
      <c r="L4" t="n">
        <v>105333544</v>
      </c>
      <c r="M4" t="n">
        <v>106324425</v>
      </c>
      <c r="N4" t="n">
        <v>107634842</v>
      </c>
      <c r="O4" t="n">
        <v>109087177</v>
      </c>
      <c r="P4" t="n">
        <v>110633028</v>
      </c>
      <c r="Q4" t="n">
        <v>112222463</v>
      </c>
      <c r="R4" t="n">
        <v>113787154</v>
      </c>
      <c r="S4" t="n">
        <v>115386956</v>
      </c>
      <c r="T4" t="n">
        <v>116947194</v>
      </c>
      <c r="U4" t="n">
        <v>118253688</v>
      </c>
      <c r="V4" t="n">
        <v>119253924</v>
      </c>
      <c r="W4" t="n">
        <v>119928485</v>
      </c>
      <c r="X4" t="n">
        <v>120167124</v>
      </c>
      <c r="Y4" t="n">
        <v>120126663</v>
      </c>
      <c r="Z4" t="n">
        <v>120446211</v>
      </c>
      <c r="AA4" t="n">
        <v>121228533</v>
      </c>
      <c r="AB4" t="n">
        <v>122314780</v>
      </c>
      <c r="AC4" t="n">
        <v>123593338</v>
      </c>
      <c r="AD4" t="n">
        <v>124961983</v>
      </c>
      <c r="AE4" t="n">
        <v>126408910</v>
      </c>
    </row>
    <row r="5">
      <c r="A5" t="inlineStr">
        <is>
          <t>Derivation formula</t>
        </is>
      </c>
      <c r="B5">
        <f>Derivation!B11</f>
        <v/>
      </c>
      <c r="C5">
        <f>Derivation!C11</f>
        <v/>
      </c>
      <c r="D5">
        <f>Derivation!D11</f>
        <v/>
      </c>
      <c r="E5">
        <f>Derivation!E11</f>
        <v/>
      </c>
      <c r="F5">
        <f>Derivation!F11</f>
        <v/>
      </c>
      <c r="G5">
        <f>Derivation!G11</f>
        <v/>
      </c>
      <c r="H5">
        <f>Derivation!H11</f>
        <v/>
      </c>
      <c r="I5">
        <f>Derivation!I11</f>
        <v/>
      </c>
      <c r="J5">
        <f>Derivation!J11</f>
        <v/>
      </c>
      <c r="K5">
        <f>Derivation!K11</f>
        <v/>
      </c>
      <c r="L5">
        <f>Derivation!L11</f>
        <v/>
      </c>
      <c r="M5">
        <f>Derivation!M11</f>
        <v/>
      </c>
      <c r="N5">
        <f>Derivation!N11</f>
        <v/>
      </c>
      <c r="O5">
        <f>Derivation!O11</f>
        <v/>
      </c>
      <c r="P5">
        <f>Derivation!P11</f>
        <v/>
      </c>
      <c r="Q5">
        <f>Derivation!Q11</f>
        <v/>
      </c>
      <c r="R5">
        <f>Derivation!R11</f>
        <v/>
      </c>
      <c r="S5">
        <f>Derivation!S11</f>
        <v/>
      </c>
      <c r="T5">
        <f>Derivation!T11</f>
        <v/>
      </c>
      <c r="U5">
        <f>Derivation!U11</f>
        <v/>
      </c>
      <c r="V5">
        <f>Derivation!V11</f>
        <v/>
      </c>
      <c r="W5">
        <f>Derivation!W11</f>
        <v/>
      </c>
      <c r="X5">
        <f>Derivation!X11</f>
        <v/>
      </c>
      <c r="Y5">
        <f>Derivation!Y11</f>
        <v/>
      </c>
      <c r="Z5">
        <f>Derivation!Z11</f>
        <v/>
      </c>
      <c r="AA5">
        <f>Derivation!AA11</f>
        <v/>
      </c>
      <c r="AB5">
        <f>Derivation!AB11</f>
        <v/>
      </c>
      <c r="AC5">
        <f>Derivation!AC11</f>
        <v/>
      </c>
      <c r="AD5">
        <f>Derivation!AD11</f>
        <v/>
      </c>
      <c r="AE5">
        <f>Derivation!AE11</f>
        <v/>
      </c>
    </row>
    <row r="6">
      <c r="A6" t="inlineStr">
        <is>
          <t>ABS(Export - Derivation)</t>
        </is>
      </c>
      <c r="B6">
        <f>ABS(B4-B5)</f>
        <v/>
      </c>
      <c r="C6">
        <f>ABS(C4-C5)</f>
        <v/>
      </c>
      <c r="D6">
        <f>ABS(D4-D5)</f>
        <v/>
      </c>
      <c r="E6">
        <f>ABS(E4-E5)</f>
        <v/>
      </c>
      <c r="F6">
        <f>ABS(F4-F5)</f>
        <v/>
      </c>
      <c r="G6">
        <f>ABS(G4-G5)</f>
        <v/>
      </c>
      <c r="H6">
        <f>ABS(H4-H5)</f>
        <v/>
      </c>
      <c r="I6">
        <f>ABS(I4-I5)</f>
        <v/>
      </c>
      <c r="J6">
        <f>ABS(J4-J5)</f>
        <v/>
      </c>
      <c r="K6">
        <f>ABS(K4-K5)</f>
        <v/>
      </c>
      <c r="L6">
        <f>ABS(L4-L5)</f>
        <v/>
      </c>
      <c r="M6">
        <f>ABS(M4-M5)</f>
        <v/>
      </c>
      <c r="N6">
        <f>ABS(N4-N5)</f>
        <v/>
      </c>
      <c r="O6">
        <f>ABS(O4-O5)</f>
        <v/>
      </c>
      <c r="P6">
        <f>ABS(P4-P5)</f>
        <v/>
      </c>
      <c r="Q6">
        <f>ABS(Q4-Q5)</f>
        <v/>
      </c>
      <c r="R6">
        <f>ABS(R4-R5)</f>
        <v/>
      </c>
      <c r="S6">
        <f>ABS(S4-S5)</f>
        <v/>
      </c>
      <c r="T6">
        <f>ABS(T4-T5)</f>
        <v/>
      </c>
      <c r="U6">
        <f>ABS(U4-U5)</f>
        <v/>
      </c>
      <c r="V6">
        <f>ABS(V4-V5)</f>
        <v/>
      </c>
      <c r="W6">
        <f>ABS(W4-W5)</f>
        <v/>
      </c>
      <c r="X6">
        <f>ABS(X4-X5)</f>
        <v/>
      </c>
      <c r="Y6">
        <f>ABS(Y4-Y5)</f>
        <v/>
      </c>
      <c r="Z6">
        <f>ABS(Z4-Z5)</f>
        <v/>
      </c>
      <c r="AA6">
        <f>ABS(AA4-AA5)</f>
        <v/>
      </c>
      <c r="AB6">
        <f>ABS(AB4-AB5)</f>
        <v/>
      </c>
      <c r="AC6">
        <f>ABS(AC4-AC5)</f>
        <v/>
      </c>
      <c r="AD6">
        <f>ABS(AD4-AD5)</f>
        <v/>
      </c>
      <c r="AE6">
        <f>ABS(AE4-AE5)</f>
        <v/>
      </c>
    </row>
    <row r="8">
      <c r="A8" t="inlineStr">
        <is>
          <t>Max abs diff</t>
        </is>
      </c>
      <c r="B8">
        <f>MAX(B6:AE6)</f>
        <v/>
      </c>
    </row>
    <row r="9">
      <c r="A9" t="inlineStr">
        <is>
          <t>Result</t>
        </is>
      </c>
      <c r="B9">
        <f>IF(B8&lt;1e-06,"PASS","FAIL")</f>
        <v/>
      </c>
    </row>
    <row r="10">
      <c r="A10" t="inlineStr">
        <is>
          <t>Selected region</t>
        </is>
      </c>
      <c r="B10">
        <f>Regions!B1</f>
        <v/>
      </c>
    </row>
    <row r="11">
      <c r="A11" t="inlineStr">
        <is>
          <t>Region-matches-export?</t>
        </is>
      </c>
      <c r="B11">
        <f>IF(B10="United States","PASS - literals were exported for the US","WARN - export tab literals are US values; re-export after switching")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metric tons/year (apparent CONSUMPTION basis since 2026-09-28: USGS MCS2026 2021-25 actual; 2026-50 = 2025 x AEO2026 Table 23 cement-and-lime value-of-shipments index (ELECTRNP case) - see workbook)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BAU Cement Demand</t>
        </is>
      </c>
      <c r="B2" t="n">
        <v>111000000</v>
      </c>
      <c r="C2" t="n">
        <v>114000000</v>
      </c>
      <c r="D2" t="n">
        <v>113000000</v>
      </c>
      <c r="E2" t="n">
        <v>110000000</v>
      </c>
      <c r="F2" t="n">
        <v>110000000</v>
      </c>
      <c r="G2" t="n">
        <v>107675609</v>
      </c>
      <c r="H2" t="n">
        <v>105767322</v>
      </c>
      <c r="I2" t="n">
        <v>104859577</v>
      </c>
      <c r="J2" t="n">
        <v>104372166</v>
      </c>
      <c r="K2" t="n">
        <v>104616472</v>
      </c>
      <c r="L2" t="n">
        <v>105333544</v>
      </c>
      <c r="M2" t="n">
        <v>106324425</v>
      </c>
      <c r="N2" t="n">
        <v>107634842</v>
      </c>
      <c r="O2" t="n">
        <v>109087177</v>
      </c>
      <c r="P2" t="n">
        <v>110633028</v>
      </c>
      <c r="Q2" t="n">
        <v>112222463</v>
      </c>
      <c r="R2" t="n">
        <v>113787154</v>
      </c>
      <c r="S2" t="n">
        <v>115386956</v>
      </c>
      <c r="T2" t="n">
        <v>116947194</v>
      </c>
      <c r="U2" t="n">
        <v>118253688</v>
      </c>
      <c r="V2" t="n">
        <v>119253924</v>
      </c>
      <c r="W2" t="n">
        <v>119928485</v>
      </c>
      <c r="X2" t="n">
        <v>120167124</v>
      </c>
      <c r="Y2" t="n">
        <v>120126663</v>
      </c>
      <c r="Z2" t="n">
        <v>120446211</v>
      </c>
      <c r="AA2" t="n">
        <v>121228533</v>
      </c>
      <c r="AB2" t="n">
        <v>122314780</v>
      </c>
      <c r="AC2" t="n">
        <v>123593338</v>
      </c>
      <c r="AD2" t="n">
        <v>124961983</v>
      </c>
      <c r="AE2" t="n">
        <v>126408910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2026-09-28T13:54:44Z</dcterms:created>
  <dcterms:modified xsi:type="dcterms:W3CDTF">2026-10-01T20:23:33Z</dcterms:modified>
</cp:coreProperties>
</file>