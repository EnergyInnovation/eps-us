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DanOBrien\Models\EPS\US\eps-us\InputData\indst\EoIEPwEEI\"/>
    </mc:Choice>
  </mc:AlternateContent>
  <xr:revisionPtr revIDLastSave="0" documentId="8_{DC15886C-FA7D-4714-9515-9439086018D8}" xr6:coauthVersionLast="47" xr6:coauthVersionMax="47" xr10:uidLastSave="{00000000-0000-0000-0000-000000000000}"/>
  <bookViews>
    <workbookView xWindow="-110" yWindow="-110" windowWidth="19420" windowHeight="11500" tabRatio="763" firstSheet="13" activeTab="17" xr2:uid="{05F795DA-2DEA-4188-AD09-B14B246EEF5D}"/>
  </bookViews>
  <sheets>
    <sheet name="About" sheetId="1" r:id="rId1"/>
    <sheet name="cpi" sheetId="19" r:id="rId2"/>
    <sheet name="indst motors" sheetId="15" r:id="rId3"/>
    <sheet name="furnaces" sheetId="8" r:id="rId4"/>
    <sheet name="comm refrigerators" sheetId="7" r:id="rId5"/>
    <sheet name="process chillers" sheetId="12" r:id="rId6"/>
    <sheet name="water heaters" sheetId="6" r:id="rId7"/>
    <sheet name="pumps" sheetId="2" r:id="rId8"/>
    <sheet name="motors" sheetId="4" r:id="rId9"/>
    <sheet name="comm boilers" sheetId="5" r:id="rId10"/>
    <sheet name="indst boilers" sheetId="9" r:id="rId11"/>
    <sheet name="indst heat pumps" sheetId="11" r:id="rId12"/>
    <sheet name="fans-blowers" sheetId="14" r:id="rId13"/>
    <sheet name="solid fuel boilers" sheetId="16" r:id="rId14"/>
    <sheet name="Lighting" sheetId="17" r:id="rId15"/>
    <sheet name="mobile" sheetId="18" r:id="rId16"/>
    <sheet name="calcs" sheetId="13" r:id="rId17"/>
    <sheet name="EoIEPwEEI" sheetId="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3" l="1"/>
  <c r="K13" i="3"/>
  <c r="J13" i="3"/>
  <c r="I13" i="3"/>
  <c r="H13" i="3"/>
  <c r="G13" i="3"/>
  <c r="F13" i="3"/>
  <c r="E13" i="3"/>
  <c r="D13" i="3"/>
  <c r="C13" i="3"/>
  <c r="B13" i="3"/>
  <c r="L12" i="3"/>
  <c r="K12" i="3"/>
  <c r="J12" i="3"/>
  <c r="I12" i="3"/>
  <c r="H12" i="3"/>
  <c r="G12" i="3"/>
  <c r="F12" i="3"/>
  <c r="E12" i="3"/>
  <c r="D12" i="3"/>
  <c r="C12" i="3"/>
  <c r="B12" i="3"/>
  <c r="L11" i="3"/>
  <c r="K11" i="3"/>
  <c r="J11" i="3"/>
  <c r="I11" i="3"/>
  <c r="H11" i="3"/>
  <c r="G11" i="3"/>
  <c r="F11" i="3"/>
  <c r="E11" i="3"/>
  <c r="D11" i="3"/>
  <c r="C11" i="3"/>
  <c r="B11" i="3"/>
  <c r="L10" i="3"/>
  <c r="K10" i="3"/>
  <c r="J10" i="3"/>
  <c r="I10" i="3"/>
  <c r="H10" i="3"/>
  <c r="G10" i="3"/>
  <c r="F10" i="3"/>
  <c r="E10" i="3"/>
  <c r="D10" i="3"/>
  <c r="C10" i="3"/>
  <c r="B10" i="3"/>
  <c r="L9" i="3"/>
  <c r="K9" i="3"/>
  <c r="J9" i="3"/>
  <c r="I9" i="3"/>
  <c r="H9" i="3"/>
  <c r="G9" i="3"/>
  <c r="F9" i="3"/>
  <c r="E9" i="3"/>
  <c r="D9" i="3"/>
  <c r="C9" i="3"/>
  <c r="B9" i="3"/>
  <c r="L8" i="3"/>
  <c r="K8" i="3"/>
  <c r="J8" i="3"/>
  <c r="I8" i="3"/>
  <c r="H8" i="3"/>
  <c r="G8" i="3"/>
  <c r="F8" i="3"/>
  <c r="E8" i="3"/>
  <c r="D8" i="3"/>
  <c r="C8" i="3"/>
  <c r="B8" i="3"/>
  <c r="L7" i="3"/>
  <c r="K7" i="3"/>
  <c r="J7" i="3"/>
  <c r="I7" i="3"/>
  <c r="H7" i="3"/>
  <c r="G7" i="3"/>
  <c r="F7" i="3"/>
  <c r="E7" i="3"/>
  <c r="D7" i="3"/>
  <c r="C7" i="3"/>
  <c r="B7" i="3"/>
  <c r="L6" i="3"/>
  <c r="K6" i="3"/>
  <c r="J6" i="3"/>
  <c r="I6" i="3"/>
  <c r="H6" i="3"/>
  <c r="G6" i="3"/>
  <c r="F6" i="3"/>
  <c r="E6" i="3"/>
  <c r="D6" i="3"/>
  <c r="C6" i="3"/>
  <c r="B6" i="3"/>
  <c r="L5" i="3"/>
  <c r="K5" i="3"/>
  <c r="J5" i="3"/>
  <c r="I5" i="3"/>
  <c r="H5" i="3"/>
  <c r="G5" i="3"/>
  <c r="F5" i="3"/>
  <c r="E5" i="3"/>
  <c r="D5" i="3"/>
  <c r="C5" i="3"/>
  <c r="B5" i="3"/>
  <c r="L4" i="3"/>
  <c r="K4" i="3"/>
  <c r="J4" i="3"/>
  <c r="I4" i="3"/>
  <c r="H4" i="3"/>
  <c r="G4" i="3"/>
  <c r="F4" i="3"/>
  <c r="E4" i="3"/>
  <c r="D4" i="3"/>
  <c r="C4" i="3"/>
  <c r="B4" i="3"/>
  <c r="L3" i="3"/>
  <c r="K3" i="3"/>
  <c r="J3" i="3"/>
  <c r="I3" i="3"/>
  <c r="H3" i="3"/>
  <c r="G3" i="3"/>
  <c r="F3" i="3"/>
  <c r="E3" i="3"/>
  <c r="D3" i="3"/>
  <c r="C3" i="3"/>
  <c r="B3" i="3"/>
  <c r="L2" i="3"/>
  <c r="K2" i="3"/>
  <c r="J2" i="3"/>
  <c r="I2" i="3"/>
  <c r="H2" i="3"/>
  <c r="G2" i="3"/>
  <c r="F2" i="3"/>
  <c r="E2" i="3"/>
  <c r="D2" i="3"/>
  <c r="C2" i="3"/>
  <c r="B2" i="3"/>
  <c r="C2" i="13"/>
  <c r="C6" i="13"/>
  <c r="C4" i="13"/>
  <c r="B4" i="13"/>
  <c r="D3" i="13" l="1"/>
  <c r="E3" i="13" s="1"/>
  <c r="F3" i="13" s="1"/>
  <c r="C3" i="13"/>
  <c r="B6" i="13"/>
  <c r="B63" i="11" l="1"/>
  <c r="E92" i="11"/>
  <c r="L2" i="13"/>
  <c r="L13" i="13" s="1"/>
  <c r="B49" i="18"/>
  <c r="F47" i="18"/>
  <c r="B47" i="18"/>
  <c r="B56" i="11"/>
  <c r="F44" i="18"/>
  <c r="F42" i="18"/>
  <c r="G40" i="18"/>
  <c r="G41" i="18" s="1"/>
  <c r="G42" i="18" s="1"/>
  <c r="F40" i="18"/>
  <c r="B40" i="18"/>
  <c r="B42" i="18"/>
  <c r="D40" i="18"/>
  <c r="C40" i="18"/>
  <c r="G62" i="19"/>
  <c r="G61" i="19"/>
  <c r="G60" i="19"/>
  <c r="G59" i="19"/>
  <c r="G58" i="19"/>
  <c r="G57" i="19"/>
  <c r="G56" i="19"/>
  <c r="G55" i="19"/>
  <c r="G54" i="19"/>
  <c r="G53" i="19"/>
  <c r="G52" i="19"/>
  <c r="G51" i="19"/>
  <c r="G50" i="19"/>
  <c r="G49" i="19"/>
  <c r="G48" i="19"/>
  <c r="G47" i="19"/>
  <c r="G46" i="19"/>
  <c r="G45" i="19"/>
  <c r="G44" i="19"/>
  <c r="G43" i="19"/>
  <c r="G42" i="19"/>
  <c r="G41" i="19"/>
  <c r="G40" i="19"/>
  <c r="G39" i="19"/>
  <c r="G38" i="19"/>
  <c r="G37" i="19"/>
  <c r="G36" i="19"/>
  <c r="G35" i="19"/>
  <c r="G34" i="19"/>
  <c r="G33" i="19"/>
  <c r="G32" i="19"/>
  <c r="G31" i="19"/>
  <c r="G30" i="19"/>
  <c r="G29" i="19"/>
  <c r="G28" i="19"/>
  <c r="L8" i="13" l="1"/>
  <c r="L12" i="13"/>
  <c r="L3" i="13"/>
  <c r="L4" i="13"/>
  <c r="L5" i="13"/>
  <c r="L6" i="13"/>
  <c r="L7" i="13"/>
  <c r="L9" i="13"/>
  <c r="L10" i="13"/>
  <c r="L11" i="13"/>
  <c r="C41" i="18"/>
  <c r="C42" i="18" s="1"/>
  <c r="D41" i="18"/>
  <c r="D42" i="18" s="1"/>
  <c r="B44" i="18" s="1"/>
  <c r="K2" i="13" l="1"/>
  <c r="K12" i="13" s="1"/>
  <c r="G63" i="17"/>
  <c r="G61" i="17"/>
  <c r="F61" i="17"/>
  <c r="G60" i="17"/>
  <c r="F60" i="17"/>
  <c r="F59" i="17"/>
  <c r="G59" i="17"/>
  <c r="J54" i="17"/>
  <c r="I54" i="17"/>
  <c r="G54" i="17"/>
  <c r="K3" i="13" l="1"/>
  <c r="K5" i="13"/>
  <c r="K8" i="13"/>
  <c r="K9" i="13"/>
  <c r="K10" i="13"/>
  <c r="K11" i="13"/>
  <c r="K13" i="13"/>
  <c r="K4" i="13"/>
  <c r="K6" i="13"/>
  <c r="K7" i="13"/>
  <c r="D46" i="17"/>
  <c r="D44" i="17"/>
  <c r="G35" i="17"/>
  <c r="F35" i="17"/>
  <c r="E35" i="17"/>
  <c r="D35" i="17"/>
  <c r="C35" i="17"/>
  <c r="B35" i="17"/>
  <c r="H34" i="17"/>
  <c r="H35" i="17" s="1"/>
  <c r="I33" i="17"/>
  <c r="B27" i="17"/>
  <c r="F19" i="17"/>
  <c r="M17" i="17" s="1"/>
  <c r="E19" i="17"/>
  <c r="J17" i="17" s="1"/>
  <c r="C19" i="17"/>
  <c r="L17" i="17" s="1"/>
  <c r="F18" i="17"/>
  <c r="E18" i="17"/>
  <c r="F17" i="17"/>
  <c r="M16" i="17" s="1"/>
  <c r="E17" i="17"/>
  <c r="J16" i="17" s="1"/>
  <c r="F16" i="17"/>
  <c r="M18" i="17" s="1"/>
  <c r="E16" i="17"/>
  <c r="J18" i="17" s="1"/>
  <c r="F15" i="17"/>
  <c r="E15" i="17"/>
  <c r="C15" i="17"/>
  <c r="T11" i="17"/>
  <c r="S11" i="17"/>
  <c r="R11" i="17"/>
  <c r="Q11" i="17"/>
  <c r="P11" i="17"/>
  <c r="O11" i="17"/>
  <c r="N11" i="17"/>
  <c r="M11" i="17"/>
  <c r="L11" i="17"/>
  <c r="G11" i="17"/>
  <c r="F11" i="17"/>
  <c r="E11" i="17"/>
  <c r="D11" i="17"/>
  <c r="C11" i="17"/>
  <c r="O6" i="17"/>
  <c r="N6" i="17"/>
  <c r="C18" i="17" s="1"/>
  <c r="M6" i="17"/>
  <c r="L6" i="17"/>
  <c r="E48" i="17" s="1"/>
  <c r="K6" i="17"/>
  <c r="K11" i="17" s="1"/>
  <c r="J6" i="17"/>
  <c r="J11" i="17" s="1"/>
  <c r="I6" i="17"/>
  <c r="I11" i="17" s="1"/>
  <c r="H6" i="17"/>
  <c r="H11" i="17" s="1"/>
  <c r="C17" i="17" l="1"/>
  <c r="L16" i="17" s="1"/>
  <c r="F48" i="17"/>
  <c r="C16" i="17"/>
  <c r="L18" i="17" s="1"/>
  <c r="I34" i="17"/>
  <c r="J15" i="17"/>
  <c r="J19" i="17" s="1"/>
  <c r="O19" i="17" s="1"/>
  <c r="M15" i="17"/>
  <c r="M19" i="17" s="1"/>
  <c r="I37" i="17" s="1"/>
  <c r="L15" i="17" l="1"/>
  <c r="L19" i="17" s="1"/>
  <c r="D19" i="17"/>
  <c r="K17" i="17" s="1"/>
  <c r="D18" i="17"/>
  <c r="D15" i="17"/>
  <c r="D16" i="17"/>
  <c r="D17" i="17"/>
  <c r="K16" i="17" s="1"/>
  <c r="K18" i="17" l="1"/>
  <c r="K15" i="17"/>
  <c r="K19" i="17" s="1"/>
  <c r="I38" i="17" l="1"/>
  <c r="O23" i="17"/>
  <c r="B28" i="17" s="1"/>
  <c r="I39" i="17" l="1"/>
  <c r="B3" i="13" l="1"/>
  <c r="J19" i="16"/>
  <c r="J18" i="16"/>
  <c r="J17" i="16"/>
  <c r="J16" i="16"/>
  <c r="J15" i="16"/>
  <c r="J14" i="16"/>
  <c r="H10" i="16"/>
  <c r="H9" i="16"/>
  <c r="H8" i="16"/>
  <c r="H7" i="16"/>
  <c r="H6" i="16"/>
  <c r="H18" i="16"/>
  <c r="H17" i="16"/>
  <c r="H16" i="16"/>
  <c r="H15" i="16"/>
  <c r="H14" i="16"/>
  <c r="H2" i="13"/>
  <c r="H49" i="15"/>
  <c r="F47" i="15"/>
  <c r="F46" i="15"/>
  <c r="F45" i="15"/>
  <c r="F44" i="15"/>
  <c r="F40" i="15"/>
  <c r="F39" i="15"/>
  <c r="F38" i="15"/>
  <c r="F37" i="15"/>
  <c r="H38" i="15" s="1"/>
  <c r="F32" i="15"/>
  <c r="F31" i="15"/>
  <c r="F27" i="15"/>
  <c r="F26" i="15"/>
  <c r="F21" i="15"/>
  <c r="F22" i="15"/>
  <c r="F15" i="15"/>
  <c r="F11" i="15"/>
  <c r="H11" i="15" s="1"/>
  <c r="E91" i="11"/>
  <c r="E90" i="11"/>
  <c r="E89" i="11"/>
  <c r="E88" i="11"/>
  <c r="E87" i="11"/>
  <c r="E86" i="11"/>
  <c r="E85" i="11"/>
  <c r="E84" i="11"/>
  <c r="E83" i="11"/>
  <c r="E82" i="11"/>
  <c r="E81" i="11"/>
  <c r="E80" i="11"/>
  <c r="E79" i="11"/>
  <c r="E78" i="11"/>
  <c r="E77" i="11"/>
  <c r="E76" i="11"/>
  <c r="E75" i="11"/>
  <c r="E74" i="11"/>
  <c r="E73" i="11"/>
  <c r="E72" i="11"/>
  <c r="J54" i="11"/>
  <c r="F54" i="11"/>
  <c r="B54" i="11"/>
  <c r="F29" i="14"/>
  <c r="E29" i="14"/>
  <c r="G34" i="14"/>
  <c r="F34" i="14"/>
  <c r="E34" i="14"/>
  <c r="D34" i="14"/>
  <c r="G33" i="14"/>
  <c r="F33" i="14"/>
  <c r="E33" i="14"/>
  <c r="D33" i="14"/>
  <c r="G32" i="14"/>
  <c r="F32" i="14"/>
  <c r="E32" i="14"/>
  <c r="D32" i="14"/>
  <c r="G31" i="14"/>
  <c r="F31" i="14"/>
  <c r="E31" i="14"/>
  <c r="D31" i="14"/>
  <c r="G30" i="14"/>
  <c r="F30" i="14"/>
  <c r="E30" i="14"/>
  <c r="D30" i="14"/>
  <c r="D36" i="14"/>
  <c r="O25" i="9"/>
  <c r="O24" i="9"/>
  <c r="O23" i="9"/>
  <c r="O22" i="9"/>
  <c r="O21" i="9"/>
  <c r="O20" i="9"/>
  <c r="O19" i="9"/>
  <c r="O18" i="9"/>
  <c r="O17" i="9"/>
  <c r="O26" i="9" s="1"/>
  <c r="O16" i="9"/>
  <c r="I51" i="5"/>
  <c r="H50" i="5"/>
  <c r="H49" i="5"/>
  <c r="H48" i="5"/>
  <c r="H46" i="5"/>
  <c r="H45" i="5"/>
  <c r="M10" i="5" s="1"/>
  <c r="H44" i="5"/>
  <c r="H42" i="5"/>
  <c r="H41" i="5"/>
  <c r="H40" i="5"/>
  <c r="H39" i="5"/>
  <c r="H38" i="5"/>
  <c r="M9" i="5" s="1"/>
  <c r="H37" i="5"/>
  <c r="H35" i="5"/>
  <c r="H34" i="5"/>
  <c r="H33" i="5"/>
  <c r="H32" i="5"/>
  <c r="M8" i="5" s="1"/>
  <c r="H31" i="5"/>
  <c r="H29" i="5"/>
  <c r="H28" i="5"/>
  <c r="H27" i="5"/>
  <c r="H26" i="5"/>
  <c r="M7" i="5" s="1"/>
  <c r="H24" i="5"/>
  <c r="H23" i="5"/>
  <c r="H22" i="5"/>
  <c r="H21" i="5"/>
  <c r="H20" i="5"/>
  <c r="H19" i="5"/>
  <c r="H17" i="5"/>
  <c r="H16" i="5"/>
  <c r="H15" i="5"/>
  <c r="H14" i="5"/>
  <c r="H13" i="5"/>
  <c r="M5" i="5"/>
  <c r="H11" i="5"/>
  <c r="H10" i="5"/>
  <c r="H9" i="5"/>
  <c r="H8" i="5"/>
  <c r="H7" i="5"/>
  <c r="H6" i="5"/>
  <c r="H5" i="5"/>
  <c r="M4" i="5"/>
  <c r="W16" i="4"/>
  <c r="V16" i="4"/>
  <c r="U16" i="4"/>
  <c r="T16" i="4"/>
  <c r="W15" i="4"/>
  <c r="V15" i="4"/>
  <c r="U15" i="4"/>
  <c r="T15" i="4"/>
  <c r="W14" i="4"/>
  <c r="V14" i="4"/>
  <c r="U14" i="4"/>
  <c r="T14" i="4"/>
  <c r="W13" i="4"/>
  <c r="V13" i="4"/>
  <c r="U13" i="4"/>
  <c r="T13" i="4"/>
  <c r="W12" i="4"/>
  <c r="V12" i="4"/>
  <c r="U12" i="4"/>
  <c r="T12" i="4"/>
  <c r="W11" i="4"/>
  <c r="V11" i="4"/>
  <c r="U11" i="4"/>
  <c r="T11" i="4"/>
  <c r="W10" i="4"/>
  <c r="V10" i="4"/>
  <c r="U10" i="4"/>
  <c r="T10" i="4"/>
  <c r="W9" i="4"/>
  <c r="V9" i="4"/>
  <c r="U9" i="4"/>
  <c r="T9" i="4"/>
  <c r="W8" i="4"/>
  <c r="V8" i="4"/>
  <c r="U8" i="4"/>
  <c r="T8" i="4"/>
  <c r="W7" i="4"/>
  <c r="V7" i="4"/>
  <c r="U7" i="4"/>
  <c r="T7" i="4"/>
  <c r="W6" i="4"/>
  <c r="V6" i="4"/>
  <c r="U6" i="4"/>
  <c r="T6" i="4"/>
  <c r="T46" i="2"/>
  <c r="S46" i="2"/>
  <c r="R46" i="2"/>
  <c r="U46" i="2" s="1"/>
  <c r="T45" i="2"/>
  <c r="S45" i="2"/>
  <c r="R45" i="2"/>
  <c r="U45" i="2" s="1"/>
  <c r="T44" i="2"/>
  <c r="S44" i="2"/>
  <c r="R44" i="2"/>
  <c r="U44" i="2" s="1"/>
  <c r="T43" i="2"/>
  <c r="S43" i="2"/>
  <c r="R43" i="2"/>
  <c r="U43" i="2" s="1"/>
  <c r="T42" i="2"/>
  <c r="S42" i="2"/>
  <c r="R42" i="2"/>
  <c r="U42" i="2" s="1"/>
  <c r="U47" i="2" s="1"/>
  <c r="T41" i="2"/>
  <c r="S41" i="2"/>
  <c r="R41" i="2"/>
  <c r="U41" i="2" s="1"/>
  <c r="S37" i="2"/>
  <c r="R37" i="2"/>
  <c r="T37" i="2" s="1"/>
  <c r="S36" i="2"/>
  <c r="R36" i="2"/>
  <c r="T36" i="2" s="1"/>
  <c r="S35" i="2"/>
  <c r="R35" i="2"/>
  <c r="T35" i="2" s="1"/>
  <c r="S34" i="2"/>
  <c r="R34" i="2"/>
  <c r="T34" i="2" s="1"/>
  <c r="S33" i="2"/>
  <c r="R33" i="2"/>
  <c r="T33" i="2" s="1"/>
  <c r="S32" i="2"/>
  <c r="R32" i="2"/>
  <c r="T32" i="2" s="1"/>
  <c r="S31" i="2"/>
  <c r="R31" i="2"/>
  <c r="T31" i="2" s="1"/>
  <c r="S30" i="2"/>
  <c r="R30" i="2"/>
  <c r="T30" i="2" s="1"/>
  <c r="S29" i="2"/>
  <c r="R29" i="2"/>
  <c r="T29" i="2" s="1"/>
  <c r="S28" i="2"/>
  <c r="R28" i="2"/>
  <c r="T28" i="2" s="1"/>
  <c r="S27" i="2"/>
  <c r="R27" i="2"/>
  <c r="T27" i="2" s="1"/>
  <c r="S26" i="2"/>
  <c r="R26" i="2"/>
  <c r="T26" i="2" s="1"/>
  <c r="S25" i="2"/>
  <c r="R25" i="2"/>
  <c r="T25" i="2" s="1"/>
  <c r="S24" i="2"/>
  <c r="R24" i="2"/>
  <c r="T24" i="2" s="1"/>
  <c r="S23" i="2"/>
  <c r="R23" i="2"/>
  <c r="T23" i="2" s="1"/>
  <c r="S22" i="2"/>
  <c r="R22" i="2"/>
  <c r="T22" i="2" s="1"/>
  <c r="S21" i="2"/>
  <c r="R21" i="2"/>
  <c r="T21" i="2" s="1"/>
  <c r="S20" i="2"/>
  <c r="R20" i="2"/>
  <c r="T20" i="2" s="1"/>
  <c r="S19" i="2"/>
  <c r="R19" i="2"/>
  <c r="T19" i="2" s="1"/>
  <c r="S18" i="2"/>
  <c r="R18" i="2"/>
  <c r="T18" i="2" s="1"/>
  <c r="S17" i="2"/>
  <c r="R17" i="2"/>
  <c r="T17" i="2" s="1"/>
  <c r="S16" i="2"/>
  <c r="R16" i="2"/>
  <c r="T16" i="2" s="1"/>
  <c r="S15" i="2"/>
  <c r="R15" i="2"/>
  <c r="T15" i="2" s="1"/>
  <c r="S14" i="2"/>
  <c r="R14" i="2"/>
  <c r="T14" i="2" s="1"/>
  <c r="S13" i="2"/>
  <c r="R13" i="2"/>
  <c r="S12" i="2"/>
  <c r="R12" i="2"/>
  <c r="S11" i="2"/>
  <c r="R11" i="2"/>
  <c r="S10" i="2"/>
  <c r="R10" i="2"/>
  <c r="S9" i="2"/>
  <c r="R9" i="2"/>
  <c r="S8" i="2"/>
  <c r="R8" i="2"/>
  <c r="S7" i="2"/>
  <c r="R7" i="2"/>
  <c r="S6" i="2"/>
  <c r="R6" i="2"/>
  <c r="S5" i="2"/>
  <c r="R5" i="2"/>
  <c r="T5" i="2" s="1"/>
  <c r="G19" i="6"/>
  <c r="G18" i="6"/>
  <c r="G17" i="6"/>
  <c r="G16" i="6"/>
  <c r="G15" i="6"/>
  <c r="G20" i="6" s="1"/>
  <c r="G9" i="6"/>
  <c r="G8" i="6"/>
  <c r="G7" i="6"/>
  <c r="G6" i="6"/>
  <c r="G5" i="6"/>
  <c r="L13" i="12"/>
  <c r="K13" i="12"/>
  <c r="L12" i="12"/>
  <c r="K12" i="12"/>
  <c r="L11" i="12"/>
  <c r="K11" i="12"/>
  <c r="L10" i="12"/>
  <c r="K10" i="12"/>
  <c r="L9" i="12"/>
  <c r="K9" i="12"/>
  <c r="L8" i="12"/>
  <c r="K8" i="12"/>
  <c r="L7" i="12"/>
  <c r="K7" i="12"/>
  <c r="L6" i="12"/>
  <c r="G10" i="6"/>
  <c r="K6" i="12"/>
  <c r="I88" i="7"/>
  <c r="I87" i="7"/>
  <c r="I71" i="7"/>
  <c r="I70" i="7"/>
  <c r="I69" i="7"/>
  <c r="I65" i="7"/>
  <c r="I64" i="7"/>
  <c r="I63" i="7"/>
  <c r="I59" i="7"/>
  <c r="I58" i="7"/>
  <c r="I54" i="7"/>
  <c r="I53" i="7"/>
  <c r="I52" i="7"/>
  <c r="I38" i="7"/>
  <c r="I37" i="7"/>
  <c r="I36" i="7"/>
  <c r="I18" i="7"/>
  <c r="I17" i="7"/>
  <c r="I16" i="7"/>
  <c r="H14" i="7"/>
  <c r="F27" i="8"/>
  <c r="F26" i="8"/>
  <c r="H26" i="8"/>
  <c r="F21" i="8"/>
  <c r="F20" i="8"/>
  <c r="H19" i="8"/>
  <c r="F19" i="8"/>
  <c r="F14" i="8"/>
  <c r="F13" i="8"/>
  <c r="H12" i="8"/>
  <c r="F12" i="8"/>
  <c r="F7" i="8"/>
  <c r="F6" i="8"/>
  <c r="H5" i="8"/>
  <c r="F5" i="8"/>
  <c r="G29" i="14"/>
  <c r="D29" i="14"/>
  <c r="X16" i="4"/>
  <c r="X10" i="4"/>
  <c r="X9" i="4"/>
  <c r="X8" i="4"/>
  <c r="X7" i="4"/>
  <c r="X6" i="4"/>
  <c r="M11" i="5"/>
  <c r="M6" i="5"/>
  <c r="K15" i="12"/>
  <c r="G2" i="13" s="1"/>
  <c r="H88" i="7"/>
  <c r="H87" i="7"/>
  <c r="H71" i="7"/>
  <c r="H70" i="7"/>
  <c r="H69" i="7"/>
  <c r="H65" i="7"/>
  <c r="H64" i="7"/>
  <c r="H63" i="7"/>
  <c r="H59" i="7"/>
  <c r="H58" i="7"/>
  <c r="H54" i="7"/>
  <c r="H53" i="7"/>
  <c r="H52" i="7"/>
  <c r="H42" i="7"/>
  <c r="H41" i="7"/>
  <c r="H40" i="7"/>
  <c r="H39" i="7"/>
  <c r="H38" i="7"/>
  <c r="H37" i="7"/>
  <c r="H36" i="7"/>
  <c r="H19" i="7"/>
  <c r="H18" i="7"/>
  <c r="H17" i="7"/>
  <c r="H16" i="7"/>
  <c r="H15" i="7"/>
  <c r="H86" i="7"/>
  <c r="H68" i="7"/>
  <c r="H62" i="7"/>
  <c r="H57" i="7"/>
  <c r="H51" i="7"/>
  <c r="H35" i="7"/>
  <c r="M62" i="11"/>
  <c r="M61" i="11"/>
  <c r="E37" i="11"/>
  <c r="E93" i="11"/>
  <c r="E38" i="11"/>
  <c r="F39" i="11"/>
  <c r="X12" i="11"/>
  <c r="Y12" i="11"/>
  <c r="AB12" i="11"/>
  <c r="AA12" i="11"/>
  <c r="AB16" i="11"/>
  <c r="AA16" i="11"/>
  <c r="AB15" i="11"/>
  <c r="AA15" i="11"/>
  <c r="Y15" i="11"/>
  <c r="X15" i="11"/>
  <c r="AB14" i="11"/>
  <c r="Y14" i="11"/>
  <c r="AB13" i="11"/>
  <c r="AA13" i="11"/>
  <c r="Y13" i="11"/>
  <c r="X13" i="11"/>
  <c r="AD27" i="11"/>
  <c r="E26" i="11"/>
  <c r="R19" i="11"/>
  <c r="Q19" i="11"/>
  <c r="E16" i="11"/>
  <c r="E15" i="11"/>
  <c r="E14" i="11"/>
  <c r="E11" i="11"/>
  <c r="AD5" i="11"/>
  <c r="AC5" i="11"/>
  <c r="AB5" i="11"/>
  <c r="AA5" i="11"/>
  <c r="Z5" i="11"/>
  <c r="Y5" i="11"/>
  <c r="X5" i="11"/>
  <c r="W5" i="11"/>
  <c r="V5" i="11"/>
  <c r="U5" i="11"/>
  <c r="T5" i="11"/>
  <c r="S5" i="11"/>
  <c r="R5" i="11"/>
  <c r="Q5" i="11"/>
  <c r="P5" i="11"/>
  <c r="O5" i="11"/>
  <c r="J5" i="11"/>
  <c r="I5" i="11"/>
  <c r="H5" i="11"/>
  <c r="G5" i="11"/>
  <c r="F5" i="11"/>
  <c r="T13" i="2"/>
  <c r="T12" i="2"/>
  <c r="T11" i="2"/>
  <c r="T10" i="2"/>
  <c r="T9" i="2"/>
  <c r="T8" i="2"/>
  <c r="T7" i="2"/>
  <c r="T6" i="2"/>
  <c r="X15" i="4"/>
  <c r="X14" i="4"/>
  <c r="X13" i="4"/>
  <c r="X12" i="4"/>
  <c r="X11" i="4"/>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B5" i="13" l="1"/>
  <c r="H20" i="15"/>
  <c r="X17" i="4"/>
  <c r="T38" i="2"/>
  <c r="W47" i="2" s="1"/>
  <c r="G7" i="13"/>
  <c r="G9" i="13"/>
  <c r="G11" i="13"/>
  <c r="G13" i="13"/>
  <c r="G5" i="13"/>
  <c r="G3" i="13"/>
  <c r="G4" i="13"/>
  <c r="G6" i="13"/>
  <c r="G8" i="13"/>
  <c r="G10" i="13"/>
  <c r="G12" i="13"/>
  <c r="I90" i="7"/>
  <c r="C5" i="13"/>
  <c r="C8" i="13"/>
  <c r="C9" i="13"/>
  <c r="C11" i="13"/>
  <c r="C12" i="13"/>
  <c r="C13" i="13"/>
  <c r="D6" i="13"/>
  <c r="D2" i="13" s="1"/>
  <c r="C10" i="13"/>
  <c r="H29" i="8"/>
  <c r="X14" i="11"/>
  <c r="AA14" i="11"/>
  <c r="E2" i="13" l="1"/>
  <c r="F2" i="13"/>
  <c r="E6" i="13"/>
  <c r="J3" i="13"/>
  <c r="J4" i="13"/>
  <c r="J6" i="13"/>
  <c r="J5" i="13"/>
  <c r="B2" i="13"/>
  <c r="J2" i="13" s="1"/>
  <c r="B9" i="13"/>
  <c r="B8" i="13"/>
  <c r="B10" i="13"/>
  <c r="B13" i="13"/>
  <c r="B12" i="13"/>
  <c r="B11" i="13"/>
  <c r="H6" i="13"/>
  <c r="H7" i="13"/>
  <c r="H8" i="13"/>
  <c r="H9" i="13"/>
  <c r="H10" i="13"/>
  <c r="H11" i="13"/>
  <c r="H12" i="13"/>
  <c r="H13" i="13"/>
  <c r="H5" i="13"/>
  <c r="H4" i="13"/>
  <c r="H3" i="13"/>
  <c r="D5" i="13"/>
  <c r="D8" i="13"/>
  <c r="D9" i="13"/>
  <c r="D11" i="13"/>
  <c r="D12" i="13"/>
  <c r="D13" i="13"/>
  <c r="F6" i="13"/>
  <c r="D10" i="13"/>
  <c r="D4" i="13"/>
  <c r="E4" i="13" l="1"/>
  <c r="E12" i="13"/>
  <c r="E10" i="13"/>
  <c r="E13" i="13"/>
  <c r="E11" i="13"/>
  <c r="E9" i="13"/>
  <c r="E5" i="13"/>
  <c r="E8" i="13"/>
  <c r="J11" i="13"/>
  <c r="J10" i="13"/>
  <c r="J13" i="13"/>
  <c r="J8" i="13"/>
  <c r="J12" i="13"/>
  <c r="J9" i="13"/>
  <c r="C7" i="13"/>
  <c r="B7" i="13"/>
  <c r="F5" i="13"/>
  <c r="F8" i="13"/>
  <c r="F9" i="13"/>
  <c r="F11" i="13"/>
  <c r="F12" i="13"/>
  <c r="F13" i="13"/>
  <c r="F10" i="13"/>
  <c r="F4" i="13"/>
  <c r="D7" i="13"/>
  <c r="J7" i="13" l="1"/>
  <c r="E7" i="13"/>
  <c r="F7" i="13" l="1"/>
  <c r="I4" i="13" s="1"/>
  <c r="I3" i="13"/>
  <c r="I5" i="13"/>
  <c r="I6" i="13"/>
  <c r="I7" i="13"/>
  <c r="I8" i="13"/>
  <c r="I2" i="13"/>
  <c r="I9" i="13"/>
  <c r="I10" i="13"/>
  <c r="I11" i="13"/>
  <c r="I12" i="13"/>
  <c r="I13" i="13"/>
</calcChain>
</file>

<file path=xl/sharedStrings.xml><?xml version="1.0" encoding="utf-8"?>
<sst xmlns="http://schemas.openxmlformats.org/spreadsheetml/2006/main" count="1108" uniqueCount="611">
  <si>
    <t>Source:</t>
  </si>
  <si>
    <t>Notes</t>
  </si>
  <si>
    <t>electricity if</t>
  </si>
  <si>
    <t>hard coal if</t>
  </si>
  <si>
    <t>natural gas if</t>
  </si>
  <si>
    <t>biomass if</t>
  </si>
  <si>
    <t>petroleum diesel if</t>
  </si>
  <si>
    <t>heat if</t>
  </si>
  <si>
    <t>crude oil if</t>
  </si>
  <si>
    <t>heavy or residual fuel oil if</t>
  </si>
  <si>
    <t>LPG propane or butane if</t>
  </si>
  <si>
    <t>hydrogen if</t>
  </si>
  <si>
    <t>Elasticity</t>
  </si>
  <si>
    <t>Unit: dimensionless</t>
  </si>
  <si>
    <t>green hydrogen if</t>
  </si>
  <si>
    <t>low carbon hydrogen if</t>
  </si>
  <si>
    <t>EoIEPwEEI Elasticity of Industrial Equipment Price with Respect to Energy Efficiency Improvements</t>
  </si>
  <si>
    <t>This variable represents the increase in cost of industrial equipment for higher efficiency levels.</t>
  </si>
  <si>
    <t xml:space="preserve">If a region passes efficiency standards for new equipment, manufacturers of this equipment </t>
  </si>
  <si>
    <t xml:space="preserve">often must invest in R&amp;D or add design options to baseline models to improve efficiency. </t>
  </si>
  <si>
    <t xml:space="preserve">Costs associated with these changes are passed through to the equipment purchaser. </t>
  </si>
  <si>
    <t>This file estimates the percent change in new equipment costs with respect to a percent change</t>
  </si>
  <si>
    <t xml:space="preserve">in energy efficiency. </t>
  </si>
  <si>
    <t>For U.S. data, we source efficiency level data and costs from Technical Support Documents (TSDs)</t>
  </si>
  <si>
    <t xml:space="preserve">published by the Department of Energy when passing new energy-efficiency standards for </t>
  </si>
  <si>
    <t xml:space="preserve">appliances and equipment. </t>
  </si>
  <si>
    <t>U.S. Department of Energy</t>
  </si>
  <si>
    <t>https://www.regulations.gov/document/EERE-2021-BT-STD-0018-0013</t>
  </si>
  <si>
    <t>Table 2.6.10, 2.6.13</t>
  </si>
  <si>
    <t>TSD: EE PROGRAM FOR CONSUMER PRODUCTS AND COMM AND INDST EQPT: PUMPS</t>
  </si>
  <si>
    <t>TSD: EE PROGRAM FOR CONSUMER PRODUCTS AND COMM AND INDST EQPT: Electric Motors</t>
  </si>
  <si>
    <t>Table 5.3.3, 5.5.1</t>
  </si>
  <si>
    <t>TSD: EE PROGRAM FOR CONSUMER PRODUCTS AND COMM AND INDST EQPT: COMMERCIAL PACKAGED BOILERS</t>
  </si>
  <si>
    <t>https://www.regulations.gov/document/EERE-2013-BT-STD-0030-0044</t>
  </si>
  <si>
    <t>https://www.regulations.gov/document/EERE-2020-BT-STD-0007-0040</t>
  </si>
  <si>
    <t>Table 5.6.1</t>
  </si>
  <si>
    <t>See Table 5.10.1</t>
  </si>
  <si>
    <t>CONSIDER MARKUP SECTIONS</t>
  </si>
  <si>
    <t>TSD: EE PROGRAM FOR CONSUMER PRODUCTS AND COMM AND INDST EQPT: COMMERCIAL REFRIGERATION EQUIPMENT</t>
  </si>
  <si>
    <t>https://www.regulations.gov/document/EERE-2017-BT-STD-0007-0118</t>
  </si>
  <si>
    <t>TSD: EE PROGRAM FOR CONSUMER PRODUCTS AND COMM AND INDST EQPT: COMMERCIAL WATER HEATING EQUIPMENT</t>
  </si>
  <si>
    <t>https://www.regulations.gov/document/EERE-2021-BT-STD-0027-0038</t>
  </si>
  <si>
    <t>Section 5.12</t>
  </si>
  <si>
    <t>TSD: EE PROGRAM FOR CONSUMER PRODUCTS AND COMM AND INDST EQPT: Fans and Blowers</t>
  </si>
  <si>
    <t>https://www.regulations.gov/document/EERE-2022-BT-STD-0002-0133</t>
  </si>
  <si>
    <t>Table 5.6.9/10/5</t>
  </si>
  <si>
    <t>Pump</t>
  </si>
  <si>
    <t>BEP Head</t>
  </si>
  <si>
    <t>BEP Flow</t>
  </si>
  <si>
    <t>EL O PEI</t>
  </si>
  <si>
    <t>EL 1 PEI</t>
  </si>
  <si>
    <t>EL 2 PEI</t>
  </si>
  <si>
    <t>Category</t>
  </si>
  <si>
    <t>(ft)</t>
  </si>
  <si>
    <t>(GPM)</t>
  </si>
  <si>
    <t>ESFM. 1800</t>
  </si>
  <si>
    <t>ESFM.3600</t>
  </si>
  <si>
    <t>ESCC. 1800</t>
  </si>
  <si>
    <t>ESCC.3600</t>
  </si>
  <si>
    <t>BB.1800</t>
  </si>
  <si>
    <t>BB.3600</t>
  </si>
  <si>
    <t>IL. 1800</t>
  </si>
  <si>
    <t>IL.3600</t>
  </si>
  <si>
    <t>ST.3600</t>
  </si>
  <si>
    <t>Table 2.6.10 PEI by representative Unit and EL forPum s Greater Than or Equal to 1 HP</t>
  </si>
  <si>
    <t>VT.1800</t>
  </si>
  <si>
    <t>VT.3600</t>
  </si>
  <si>
    <t>Table 2.6.11 PEI b •Re resentative Unit and EL for SVIL</t>
  </si>
  <si>
    <t>EL3 PEI</t>
  </si>
  <si>
    <t>EL OPEI</t>
  </si>
  <si>
    <t>SVIL_1800</t>
  </si>
  <si>
    <t>SVIL.3600</t>
  </si>
  <si>
    <t>Table 2.6.13 Manufacturer Production Cost bv Re resentative Unit and EL</t>
  </si>
  <si>
    <t>Pump Category</t>
  </si>
  <si>
    <t>EL O MPC</t>
  </si>
  <si>
    <t>EL 1 NIPC</t>
  </si>
  <si>
    <t>EL 2 MPC</t>
  </si>
  <si>
    <t>ESFM.1800</t>
  </si>
  <si>
    <t>ESCC.1800</t>
  </si>
  <si>
    <t>Table 2.6.14 SVIL Manufacturer Production Cost bv Re resentative Unit and EL</t>
  </si>
  <si>
    <t>EL ONIPC</t>
  </si>
  <si>
    <t>ELI MPC</t>
  </si>
  <si>
    <t>EL 3 MPC</t>
  </si>
  <si>
    <t>ε</t>
  </si>
  <si>
    <t>EL 1</t>
  </si>
  <si>
    <t>EL 2</t>
  </si>
  <si>
    <t>Table 5.3.3 Efficienc Levels b Re resentative Unit</t>
  </si>
  <si>
    <t>ECG</t>
  </si>
  <si>
    <t>RU</t>
  </si>
  <si>
    <t>ELI</t>
  </si>
  <si>
    <t>EL2</t>
  </si>
  <si>
    <t>EL3</t>
  </si>
  <si>
    <t>EL4</t>
  </si>
  <si>
    <t>Rep. Unit Description</t>
  </si>
  <si>
    <t>ELO</t>
  </si>
  <si>
    <t>#</t>
  </si>
  <si>
    <t>Design A/B, 5-horsepower, 4ole, enclosed</t>
  </si>
  <si>
    <t>Design A/B, 30-horsepower, 4ole, enclosed</t>
  </si>
  <si>
    <t>Design A/B, 75-horsepower, 4ole, enclosed</t>
  </si>
  <si>
    <t>Design A/B, 150-hosepower, 4-</t>
  </si>
  <si>
    <t>Design A/B, 350-horsepower, 4ole, enclosed</t>
  </si>
  <si>
    <t>Design A/B, 600-hosepower, 4ole, enclosed</t>
  </si>
  <si>
    <t>Air-over NEMA Design A/B, 5 horse ower, 4- ole, enclosed</t>
  </si>
  <si>
    <t>Air-over NEMA Design A/B, 30-</t>
  </si>
  <si>
    <t>horse ower, 4- ole, enclosed</t>
  </si>
  <si>
    <t>Air-over NEMA Design A/B 75-</t>
  </si>
  <si>
    <t>Table 5.5.1</t>
  </si>
  <si>
    <t>MSP 2021S of Each Re resentative Unit</t>
  </si>
  <si>
    <t>C</t>
  </si>
  <si>
    <t>RU #</t>
  </si>
  <si>
    <t>Rep. Unit</t>
  </si>
  <si>
    <t>esign A/B. 5-horsepower, 4-</t>
  </si>
  <si>
    <t>Table 5.6.1 En ineerin Analvsis Results for Commercial Packa ed Boilers</t>
  </si>
  <si>
    <t>Equipment Class</t>
  </si>
  <si>
    <t>Efficiency Level"</t>
  </si>
  <si>
    <t>Incremental MSP</t>
  </si>
  <si>
    <t>Baseline MSP</t>
  </si>
  <si>
    <t>Small Gas Hot Water</t>
  </si>
  <si>
    <t>Large Gas Hot Water</t>
  </si>
  <si>
    <t>Small Oil Hot Water</t>
  </si>
  <si>
    <t>Large Oil Hot Water</t>
  </si>
  <si>
    <t>Small Gas Steam</t>
  </si>
  <si>
    <t>Large Gas Steam</t>
  </si>
  <si>
    <t>Small Oil Steam</t>
  </si>
  <si>
    <t>Large Oil Steam</t>
  </si>
  <si>
    <t>Table 5.12.1 MPC and MSP Estimates for Commercial Gas-Fired Storage Water Heaters, 100 Gallon Rated Storage Volume, 199,000 Btu/h Input Capacity</t>
  </si>
  <si>
    <t>Thermal efficiency level</t>
  </si>
  <si>
    <t>thermal efficiency</t>
  </si>
  <si>
    <t>MPC 2022$</t>
  </si>
  <si>
    <t>MSP 2022$</t>
  </si>
  <si>
    <t>Et EL0</t>
  </si>
  <si>
    <t>Et EL1</t>
  </si>
  <si>
    <t>Et EL2</t>
  </si>
  <si>
    <t>Et EL3</t>
  </si>
  <si>
    <t>Et EL4</t>
  </si>
  <si>
    <t>Et EL5</t>
  </si>
  <si>
    <t>Table 5.12.4 MPC and MSP Estimates for Gas-Fired Circulating Water Heaters and Hot Water Supply Boilers, 399,000 Btu/h Input Capacity</t>
  </si>
  <si>
    <t>Table 5.10.2 Cost-Efficiency Data for the VOP.RC.M Equipment Class</t>
  </si>
  <si>
    <t>Baseline</t>
  </si>
  <si>
    <t>DO</t>
  </si>
  <si>
    <t>Design Option Level</t>
  </si>
  <si>
    <t>Percent Below Baseline</t>
  </si>
  <si>
    <t>Daily Energy Use (kWh/day)</t>
  </si>
  <si>
    <t>MPC Mfg. Cost ($)</t>
  </si>
  <si>
    <t>Table 5.10.3 Cost-Efficiency Data for the VOP.RC.L Equipment Class</t>
  </si>
  <si>
    <t>Occupancy Sensors with Dimming</t>
  </si>
  <si>
    <t>Night Curtains</t>
  </si>
  <si>
    <t>Table 5.10.4 Cost-Efficiency Data for the VOP.SC.M Non -Large Equipment Class</t>
  </si>
  <si>
    <t>Baseline (R-290 Single Speed Reciprocating Compressor)</t>
  </si>
  <si>
    <t>Permanent Split Cap. Cond. Fan Motor</t>
  </si>
  <si>
    <t>Brushless DC Cond. Fan Motor</t>
  </si>
  <si>
    <t>R-290 Variable Speed Reciprocating Compressor</t>
  </si>
  <si>
    <t>Table 5.10.5 Cost-Efficiency Data for the VCT.RC.M Equipment Class</t>
  </si>
  <si>
    <t>Triple</t>
  </si>
  <si>
    <t>Table 5.10.6 Cost-Efficiency Data for the VCT.RC.L Equipment Class</t>
  </si>
  <si>
    <t>Table 5.10.7 Cost-Efficiency Data for the VCT.SC.H Equipment Class</t>
  </si>
  <si>
    <t>R290 Variable Speed Reciprocating Compressor</t>
  </si>
  <si>
    <t>Triple Pane, Ar Fill Door</t>
  </si>
  <si>
    <t>Triple Pane, Kr Fill Door</t>
  </si>
  <si>
    <t>Double Pane, Vacuum Insulated Door</t>
  </si>
  <si>
    <t>Table 5.10.10 Cost-Efficiency Data for the VCT.SC.I Equipment Class</t>
  </si>
  <si>
    <t>Table 5.10.11 Cost-Efficiency Data for the VCS.SC.H Equipment Class</t>
  </si>
  <si>
    <t>Table 5.10.12 Cost-Efficiency Data for the VCS.SC.M Equipment Class</t>
  </si>
  <si>
    <t>Table 5.10.13 Cost-Efficiency Data for the VCS.SC.L Non-Large Equipment Class</t>
  </si>
  <si>
    <t>Table 5.10.14 Cost-Efficiency Data for the VCS.SC.I Equipment Class</t>
  </si>
  <si>
    <t>Table 5.10.15 Cost-Efficiency Data for the SVO.RC.M Equipment Class</t>
  </si>
  <si>
    <t>Table 5.10.17 Cost-Efficiency Data for the SOC.RC.M Equipment Class</t>
  </si>
  <si>
    <t>Table 5.10.21 Cost-Efficiency Data for the HZO.SC.M Equipment Class</t>
  </si>
  <si>
    <t>Table 5.10.1 MPC and MSP for Gas-Fired CWAF- Aluminized Steel Heat Exchanger and Inducer Assembly Components at 80% TE, 81% TE, and 82% TE</t>
  </si>
  <si>
    <t>MSP 2014$</t>
  </si>
  <si>
    <t>Efficiency level</t>
  </si>
  <si>
    <t>TE</t>
  </si>
  <si>
    <t>EL1</t>
  </si>
  <si>
    <t>Max-tech</t>
  </si>
  <si>
    <t>Table 5.10.2 MPC and MSP for Gas-Fired CWAF- SS409 Heat Exchanger and Inducer Assembly Components at 80% TE, 81% TE, and 82% TE</t>
  </si>
  <si>
    <t>Table 5.10.3 MPC and MSP for Gas-Fired CWAF- SS316 Heat Exchanger and Inducer Assembly Components at 80% TE, 81% TE, and 82% TE</t>
  </si>
  <si>
    <t>Table 5.10.4 MPC and MSP for Oil-Fired CWAF</t>
  </si>
  <si>
    <t>European Commission</t>
  </si>
  <si>
    <t xml:space="preserve">Ecodesign Preparatory  Study on Steam Boilers </t>
  </si>
  <si>
    <t>https://publications.europa.eu/resource/genpub/PUB_NB0714109ENN.1.1</t>
  </si>
  <si>
    <t>2,5</t>
  </si>
  <si>
    <t>36.000,00</t>
  </si>
  <si>
    <t>20.000,00</t>
  </si>
  <si>
    <t>2.300,00</t>
  </si>
  <si>
    <t>2.400,00</t>
  </si>
  <si>
    <t xml:space="preserve">Table 62 – Costs and prices of Base Case  </t>
  </si>
  <si>
    <t>Base case</t>
  </si>
  <si>
    <t>Size (MWth)</t>
  </si>
  <si>
    <t>Steam production (kg/h)</t>
  </si>
  <si>
    <t>Boiler unit cost (eur)</t>
  </si>
  <si>
    <t>Main accessories cost (eur)</t>
  </si>
  <si>
    <t>Installation cost (eur)</t>
  </si>
  <si>
    <t>Overall cost of the product (eur)</t>
  </si>
  <si>
    <t>O&amp;M (eur)</t>
  </si>
  <si>
    <t>O&amp;m accessories (eur)</t>
  </si>
  <si>
    <t>Product sale price</t>
  </si>
  <si>
    <t>75.000,00</t>
  </si>
  <si>
    <t>100.000,00</t>
  </si>
  <si>
    <t>4.000,00</t>
  </si>
  <si>
    <t>3.000,00</t>
  </si>
  <si>
    <t>115.000,00</t>
  </si>
  <si>
    <t>136.000,00</t>
  </si>
  <si>
    <t>6.000,00</t>
  </si>
  <si>
    <t>130.000,00</t>
  </si>
  <si>
    <t>150.000,00</t>
  </si>
  <si>
    <t>7.000,00</t>
  </si>
  <si>
    <t>5.000,00</t>
  </si>
  <si>
    <t>Tables 62, 79</t>
  </si>
  <si>
    <t>Table 79 - Efficiency increase and investment  per case per design option (rounded figures)</t>
  </si>
  <si>
    <t>Thermal efficiency (%)</t>
  </si>
  <si>
    <t>Operational pressure (bar)</t>
  </si>
  <si>
    <t>Efficiency increase (%)</t>
  </si>
  <si>
    <t>Investment (eur)</t>
  </si>
  <si>
    <t>New efficiency with all options (%)</t>
  </si>
  <si>
    <t>boiler base cost</t>
  </si>
  <si>
    <t>boiler cost with all options (eur)</t>
  </si>
  <si>
    <t>economizer</t>
  </si>
  <si>
    <t>air pre-heater</t>
  </si>
  <si>
    <t>combustion control</t>
  </si>
  <si>
    <t>5,5</t>
  </si>
  <si>
    <t>1,0</t>
  </si>
  <si>
    <t>1,75</t>
  </si>
  <si>
    <t>https://heatpumpingtechnologies.org/content/uploads/sites/70/2023/09/annex-58-task-1-technologies-task-report.pdf</t>
  </si>
  <si>
    <t>Tlift</t>
  </si>
  <si>
    <t>MW</t>
  </si>
  <si>
    <t>Tmax</t>
  </si>
  <si>
    <t>eur/kw</t>
  </si>
  <si>
    <t>Skala Fabrikk</t>
  </si>
  <si>
    <t>SkaleUp</t>
  </si>
  <si>
    <t>ecop</t>
  </si>
  <si>
    <t>Mayekawa</t>
  </si>
  <si>
    <t>HS comp</t>
  </si>
  <si>
    <t>SFC comp</t>
  </si>
  <si>
    <t>GEA Refrigeration Netherlands</t>
  </si>
  <si>
    <t>.1-1.2</t>
  </si>
  <si>
    <t>Fenagy</t>
  </si>
  <si>
    <t>0.3-1.8</t>
  </si>
  <si>
    <t>Rank</t>
  </si>
  <si>
    <t>0.12-2</t>
  </si>
  <si>
    <t>COMBITHERM GmbH</t>
  </si>
  <si>
    <t>0.3-3.3</t>
  </si>
  <si>
    <t>Sustainable Process Heat</t>
  </si>
  <si>
    <t>.3-5</t>
  </si>
  <si>
    <t>Hybrid Energy</t>
  </si>
  <si>
    <t>0.5-5</t>
  </si>
  <si>
    <t>Weel &amp; Sandvig</t>
  </si>
  <si>
    <t>2.0-5</t>
  </si>
  <si>
    <t>Olvondo</t>
  </si>
  <si>
    <t>Heaten</t>
  </si>
  <si>
    <t>HeatBooster</t>
  </si>
  <si>
    <t>1-6.</t>
  </si>
  <si>
    <t>enerin</t>
  </si>
  <si>
    <t>0.3-10</t>
  </si>
  <si>
    <t>Enertime</t>
  </si>
  <si>
    <t>2-10.</t>
  </si>
  <si>
    <t>Spilling</t>
  </si>
  <si>
    <t>1-15.</t>
  </si>
  <si>
    <t>Epcon</t>
  </si>
  <si>
    <t>.5-30</t>
  </si>
  <si>
    <t>Turboden</t>
  </si>
  <si>
    <t>3-30.</t>
  </si>
  <si>
    <t>300-700</t>
  </si>
  <si>
    <t>MAN Energy Solutions</t>
  </si>
  <si>
    <t>10.-50</t>
  </si>
  <si>
    <t>Piller</t>
  </si>
  <si>
    <t>1-70.</t>
  </si>
  <si>
    <t>Siemens Energy</t>
  </si>
  <si>
    <t>8-80.</t>
  </si>
  <si>
    <t>Qpinch</t>
  </si>
  <si>
    <t>&gt;2</t>
  </si>
  <si>
    <t>~100K lift</t>
  </si>
  <si>
    <t>*we find no correlation between higher upfront costs and higher COPs</t>
  </si>
  <si>
    <t>we hypothesize other factors (capacity, compressor type, refrigerant) contribute</t>
  </si>
  <si>
    <t>more to capital investment given the industrial heat pump market is nascent</t>
  </si>
  <si>
    <t>~50-70K lift</t>
  </si>
  <si>
    <t>Source #1</t>
  </si>
  <si>
    <t>Source #2</t>
  </si>
  <si>
    <t>https://doi.org/10.1016/j.enconman.2020.113488</t>
  </si>
  <si>
    <t>For 80/120 T_source/sink</t>
  </si>
  <si>
    <t>SEC</t>
  </si>
  <si>
    <t>single, no IHX</t>
  </si>
  <si>
    <t>single, IHX</t>
  </si>
  <si>
    <t>two-stage</t>
  </si>
  <si>
    <t>evap</t>
  </si>
  <si>
    <t>condensor</t>
  </si>
  <si>
    <t>3K</t>
  </si>
  <si>
    <t>5K</t>
  </si>
  <si>
    <t>w/ IHX</t>
  </si>
  <si>
    <t>2-stage</t>
  </si>
  <si>
    <t>Pinch Point effect on SEC (sc w/o IHX)</t>
  </si>
  <si>
    <t>Pinch Point e (sc w/o IHX)</t>
  </si>
  <si>
    <r>
      <rPr>
        <b/>
        <sz val="11"/>
        <color theme="1"/>
        <rFont val="Aptos Narrow"/>
        <family val="2"/>
        <scheme val="minor"/>
      </rPr>
      <t>Pinch Point effect on COP</t>
    </r>
    <r>
      <rPr>
        <sz val="11"/>
        <color theme="1"/>
        <rFont val="Aptos Narrow"/>
        <family val="2"/>
        <scheme val="minor"/>
      </rPr>
      <t xml:space="preserve"> (sc w/o IHX)</t>
    </r>
  </si>
  <si>
    <t>Configuration effect on COP</t>
  </si>
  <si>
    <t>average e:</t>
  </si>
  <si>
    <t>Varied refrigerant</t>
  </si>
  <si>
    <t>we do not calculate elasticities for adjusting refrigerants as the gain in COP for switching to</t>
  </si>
  <si>
    <t>R1233zd(E) is only at low temperature lifts; no gain is found at the 80/120C source/sink standard</t>
  </si>
  <si>
    <t>COP</t>
  </si>
  <si>
    <t>COP improvement by switching to 2-stage compression cycle</t>
  </si>
  <si>
    <r>
      <rPr>
        <b/>
        <sz val="11"/>
        <color theme="1"/>
        <rFont val="Aptos Narrow"/>
        <family val="2"/>
      </rPr>
      <t>ε</t>
    </r>
    <r>
      <rPr>
        <b/>
        <sz val="11"/>
        <color theme="1"/>
        <rFont val="Aptos Narrow"/>
        <family val="2"/>
        <scheme val="minor"/>
      </rPr>
      <t xml:space="preserve"> assumption:</t>
    </r>
  </si>
  <si>
    <t>Source #3</t>
  </si>
  <si>
    <t>y</t>
  </si>
  <si>
    <t>x</t>
  </si>
  <si>
    <r>
      <rPr>
        <b/>
        <sz val="11"/>
        <color theme="1"/>
        <rFont val="Aptos Narrow"/>
        <family val="2"/>
      </rPr>
      <t>ε</t>
    </r>
    <r>
      <rPr>
        <b/>
        <sz val="11"/>
        <color theme="1"/>
        <rFont val="Aptos Narrow"/>
        <family val="2"/>
        <scheme val="minor"/>
      </rPr>
      <t xml:space="preserve"> by step:</t>
    </r>
  </si>
  <si>
    <t>average</t>
  </si>
  <si>
    <t>endpoints</t>
  </si>
  <si>
    <t>https://doi.org/10.1016/j.enconman.2023.117194</t>
  </si>
  <si>
    <t>(not used)</t>
  </si>
  <si>
    <t>Table 6.8.1 Summary of Overall Markups for Commercial Refrigeration Equipment</t>
  </si>
  <si>
    <t>Wholesale Channel</t>
  </si>
  <si>
    <t>Baseline MU</t>
  </si>
  <si>
    <t>Incremental MU</t>
  </si>
  <si>
    <t>Wholesaler</t>
  </si>
  <si>
    <t>Mechanical Contractor</t>
  </si>
  <si>
    <t>-</t>
  </si>
  <si>
    <t>General Contractor</t>
  </si>
  <si>
    <t>Sales Tax</t>
  </si>
  <si>
    <t>Overall Markup</t>
  </si>
  <si>
    <t>elasticity</t>
  </si>
  <si>
    <t>which don't apply to industrial equipment</t>
  </si>
  <si>
    <t>*only considering motor &amp; compressor upgrades, not doors/curtains</t>
  </si>
  <si>
    <t>Table 77</t>
  </si>
  <si>
    <t>https://ecoprorefrigeration.eu/documents.htm#a20230206</t>
  </si>
  <si>
    <t>Professional Refrigeration Ecodesign and Energy Labelling: Final Report</t>
  </si>
  <si>
    <t>АС МТ &lt;300</t>
  </si>
  <si>
    <t>АС МТ &gt;300</t>
  </si>
  <si>
    <t>АС LT &lt;200</t>
  </si>
  <si>
    <t>АС LT &gt;200</t>
  </si>
  <si>
    <t>wc мт &lt;300</t>
  </si>
  <si>
    <t>wc мт &gt;300</t>
  </si>
  <si>
    <t>wc 1-т &lt;200</t>
  </si>
  <si>
    <t>wc LT &gt;200</t>
  </si>
  <si>
    <t>BC</t>
  </si>
  <si>
    <t>Mid</t>
  </si>
  <si>
    <t>BAT</t>
  </si>
  <si>
    <t>Prices (EUR 2020)</t>
  </si>
  <si>
    <t>Efficiency Metric (SEPR)</t>
  </si>
  <si>
    <t xml:space="preserve">Table 77: Price and efficiency relationship </t>
  </si>
  <si>
    <t>*200/300 = capacity in kW</t>
  </si>
  <si>
    <t>Cooling</t>
  </si>
  <si>
    <t>Machine Drive</t>
  </si>
  <si>
    <t>Other process</t>
  </si>
  <si>
    <t>EL</t>
  </si>
  <si>
    <t>Design Option</t>
  </si>
  <si>
    <t>24-in. Axial ACF</t>
  </si>
  <si>
    <t>36-in. Axial ACF</t>
  </si>
  <si>
    <t>52-in. Axial ACF</t>
  </si>
  <si>
    <t>11-in. Housed Centrifugal ACF</t>
  </si>
  <si>
    <t>EL0</t>
  </si>
  <si>
    <t>Direct-drive</t>
  </si>
  <si>
    <t>High-efficiency PSC motor</t>
  </si>
  <si>
    <t>Aerodynamic redesign 1</t>
  </si>
  <si>
    <t>Aerodynamic redesign 2</t>
  </si>
  <si>
    <t>EL5</t>
  </si>
  <si>
    <t>Aerodynamic redesign 3</t>
  </si>
  <si>
    <t>EL6</t>
  </si>
  <si>
    <t>ECM</t>
  </si>
  <si>
    <t>Representative Units</t>
  </si>
  <si>
    <t>Table 5.6.10 Summary of Efficiency Levels for all ACF Representative Units (CFM/W)</t>
  </si>
  <si>
    <t>Table 5.7.7 MPCs for each Efficiency Level and Representative Unit for ACFs</t>
  </si>
  <si>
    <t>Representative Unit</t>
  </si>
  <si>
    <t>EL0 MPC</t>
  </si>
  <si>
    <t>EL1 MPC</t>
  </si>
  <si>
    <t>EL2 MPC</t>
  </si>
  <si>
    <t>EL3 MPC</t>
  </si>
  <si>
    <t>EL4 MPC</t>
  </si>
  <si>
    <t>EL5 MPC</t>
  </si>
  <si>
    <t>EL6 MPC</t>
  </si>
  <si>
    <t>24-in. axial ACF</t>
  </si>
  <si>
    <t>36-in. axial ACF</t>
  </si>
  <si>
    <t>52-in. axial ACF</t>
  </si>
  <si>
    <t>11-in. housed centrifugal ACF</t>
  </si>
  <si>
    <t>Elasticities</t>
  </si>
  <si>
    <t>Figure 11</t>
  </si>
  <si>
    <t>https://eur-lex.europa.eu/legal-content/EN/TXT/?uri=celex:52019SC0343</t>
  </si>
  <si>
    <t>WORKING DOCUMENT IMPACT ASSESSMENT: Ecodesign for Electric Motors &amp; Variable Speed Drives</t>
  </si>
  <si>
    <t>1-phase IEO</t>
  </si>
  <si>
    <t>Motor type</t>
  </si>
  <si>
    <t>efficiency</t>
  </si>
  <si>
    <t>1-phase IE1</t>
  </si>
  <si>
    <t>1-phase IE2</t>
  </si>
  <si>
    <t>acquisition (EUR)</t>
  </si>
  <si>
    <t>Table 9.4: LCC calculations for small single-phase industrial motors &gt;= 0.75kW</t>
  </si>
  <si>
    <t>Table 9.5: LCC calculations for 8-pole industrial motors</t>
  </si>
  <si>
    <t>8-poles IE0</t>
  </si>
  <si>
    <t>8-poles IE1</t>
  </si>
  <si>
    <t>8-poles IE2</t>
  </si>
  <si>
    <t>8-poles IE3</t>
  </si>
  <si>
    <t>(1.1 kW)</t>
  </si>
  <si>
    <t>(11 kW)</t>
  </si>
  <si>
    <t>(110 kW)</t>
  </si>
  <si>
    <t>no VSD</t>
  </si>
  <si>
    <t>VSD IE0</t>
  </si>
  <si>
    <t>VSD IE1</t>
  </si>
  <si>
    <t>VSD IE2</t>
  </si>
  <si>
    <t>VSD IE3</t>
  </si>
  <si>
    <t>input energy (kWh/a)</t>
  </si>
  <si>
    <t>Table 9.8: LCC calculations for VSDs for 3-phase motors 7.5-75 kW</t>
  </si>
  <si>
    <t>medium 3-phase IE2</t>
  </si>
  <si>
    <t>acquisition + install</t>
  </si>
  <si>
    <t>medium 3-phase IE3</t>
  </si>
  <si>
    <t>addition of a VSD</t>
  </si>
  <si>
    <t>8-pole motor</t>
  </si>
  <si>
    <t>single-phase &gt; 0.75 kW</t>
  </si>
  <si>
    <t>we use the average of single-phase industrial motors &gt; 0.75 kW, the 8-pole motor, and the addition of a VSD</t>
  </si>
  <si>
    <t>https://www.nema.org/docs/default-source/motor-and-generator-guides-and-resources-library/u.s._industrial_and_commerical_motor_system_market_assessment_report_vol_1_4cbc82a3-a08a-462d-a774-e637c9998c8a.pdf</t>
  </si>
  <si>
    <t>we ignore the small capacity motor option as industrial motors are typically larger than this (see NEMA Table 19)</t>
  </si>
  <si>
    <t>average abatement technology</t>
  </si>
  <si>
    <t>https://ec.europa.eu/smart-regulation/impact/ia_carried_out/docs/ia_2015/swd_2015_0092_en.pdf</t>
  </si>
  <si>
    <t>Table 18: Overview of the Base Cases</t>
  </si>
  <si>
    <t>small domestic man. Boiler</t>
  </si>
  <si>
    <t>small domestic: DD gasifying boiler</t>
  </si>
  <si>
    <t>retort boiler</t>
  </si>
  <si>
    <t>pellet boiler</t>
  </si>
  <si>
    <t>non-domestic chip boiler</t>
  </si>
  <si>
    <t>heat output (kW)</t>
  </si>
  <si>
    <t>fuel</t>
  </si>
  <si>
    <t>wood</t>
  </si>
  <si>
    <t>coal</t>
  </si>
  <si>
    <t>pellet</t>
  </si>
  <si>
    <t>chips</t>
  </si>
  <si>
    <t>price</t>
  </si>
  <si>
    <t>installation</t>
  </si>
  <si>
    <t>Table 19: Overview of the Best Available Technologies</t>
  </si>
  <si>
    <t>total</t>
  </si>
  <si>
    <t>Facility HVAC</t>
  </si>
  <si>
    <t>Facility Lighting</t>
  </si>
  <si>
    <t>Other Nonprocess</t>
  </si>
  <si>
    <t>https://www.bulkofficesupply.com/Categories/Janitorial-and-Facility-Supplies/Lighting/Light-Bulbs.aspx?srsltid=AfmBOorWkgJMp4H4zdZKPjbhWJ39KPaQWfcg1JIX1YpF1EunQjEtuY1Z</t>
  </si>
  <si>
    <t>lightstoreusa.com</t>
  </si>
  <si>
    <t>incand</t>
  </si>
  <si>
    <t>LED</t>
  </si>
  <si>
    <t>fluorescent</t>
  </si>
  <si>
    <t>CFL</t>
  </si>
  <si>
    <t>HID</t>
  </si>
  <si>
    <t>bulb</t>
  </si>
  <si>
    <t>parabolic</t>
  </si>
  <si>
    <t>reflector</t>
  </si>
  <si>
    <t>tube</t>
  </si>
  <si>
    <t>twin tube</t>
  </si>
  <si>
    <t>floodlight</t>
  </si>
  <si>
    <t>Satco A15 Appliance Light Bulb</t>
  </si>
  <si>
    <t>Satco 6.5W PAR 20/FL 3000K LED Bulb</t>
  </si>
  <si>
    <t>Satco 7.5W BR30 3000K LED Bulb</t>
  </si>
  <si>
    <t>Satco 12W PAR 30/LN/FL 3000K LED Bulb</t>
  </si>
  <si>
    <t>Satco 15W PAR38 3000K LED Bulb</t>
  </si>
  <si>
    <t>Satco 10W A19 LED 5000K Light Bulbs</t>
  </si>
  <si>
    <t>Satco 40W T8 4000K LED Tube Light</t>
  </si>
  <si>
    <t>Satco 11 Watt LED T8 Bulb</t>
  </si>
  <si>
    <t>Satco 13W GX23 Pin-Based 2700K Compact Fluorescent Bulb</t>
  </si>
  <si>
    <t>Satco 54W T5 3500K Fluorescent Tube</t>
  </si>
  <si>
    <t>Satco Flourescent Light Bulbs 32W 6/box</t>
  </si>
  <si>
    <t>Satco 23W T2 2700K Spiral CFL Bulb</t>
  </si>
  <si>
    <t>Plusrite 1035</t>
  </si>
  <si>
    <t>M47 BT37 Mogul</t>
  </si>
  <si>
    <t>Plusrite 1056</t>
  </si>
  <si>
    <t>Plusrite 1061</t>
  </si>
  <si>
    <t>PLUSRITE Par 38</t>
  </si>
  <si>
    <t>$</t>
  </si>
  <si>
    <t>W</t>
  </si>
  <si>
    <t>lm</t>
  </si>
  <si>
    <t>hr life</t>
  </si>
  <si>
    <t>W equiv. incandesc.</t>
  </si>
  <si>
    <t>?</t>
  </si>
  <si>
    <t>https://www.mordorintelligence.com/industry-reports/industrial-lighting-market</t>
  </si>
  <si>
    <t>lifetime</t>
  </si>
  <si>
    <t>BTU/yr</t>
  </si>
  <si>
    <t>Industrial lighting market</t>
  </si>
  <si>
    <t>Fluorescent</t>
  </si>
  <si>
    <t>assumed lighting lifetime (IESD)</t>
  </si>
  <si>
    <t>HID fixtures</t>
  </si>
  <si>
    <t>years</t>
  </si>
  <si>
    <t>OLED</t>
  </si>
  <si>
    <t>hours/yr use</t>
  </si>
  <si>
    <t>hour life</t>
  </si>
  <si>
    <t>BTU/kWh</t>
  </si>
  <si>
    <t>$/(BTU/yr)</t>
  </si>
  <si>
    <t>Lighting is generally electric. Other fuels can be used to power a generator to power lighting.</t>
  </si>
  <si>
    <t>So we apply an efficiency loss for using a generator to power lighting.</t>
  </si>
  <si>
    <t>generator efficiency</t>
  </si>
  <si>
    <t>lightbulb contribution to cost</t>
  </si>
  <si>
    <t>And must account for the cost of a generator:</t>
  </si>
  <si>
    <t>Generac</t>
  </si>
  <si>
    <t>Westinghouse Wgen 5300c</t>
  </si>
  <si>
    <t>Westinghouse Wgen7500c</t>
  </si>
  <si>
    <t>Westinghouse WGen9500c</t>
  </si>
  <si>
    <t>WEN DF5600X</t>
  </si>
  <si>
    <t>DuroMax XP13000HX</t>
  </si>
  <si>
    <t>Firman Tri Fuel</t>
  </si>
  <si>
    <t>avg $</t>
  </si>
  <si>
    <t>avg watts</t>
  </si>
  <si>
    <t>generator upfront cost per lightbulb powered</t>
  </si>
  <si>
    <t>generator contribution to cost</t>
  </si>
  <si>
    <t>total cost per BTU</t>
  </si>
  <si>
    <t>40 W</t>
  </si>
  <si>
    <t>Incandescent</t>
  </si>
  <si>
    <t>50 W</t>
  </si>
  <si>
    <t>home depot</t>
  </si>
  <si>
    <t>round</t>
  </si>
  <si>
    <t>5-5.5k lumens</t>
  </si>
  <si>
    <t>32-Watt 48 in. Alto Linear T8 Type A Fluorescent Tube Light Bulb Cool White</t>
  </si>
  <si>
    <t>Home Depot</t>
  </si>
  <si>
    <t>Philips 32W 48in T8 Long Life Cool White Fluorescent Tube (Case of 30)</t>
  </si>
  <si>
    <t>blubs/com</t>
  </si>
  <si>
    <t>32-Watt 48 in. Linear F32T8/841 T8 Tube Fluorescent Light Bulb 4100K Cool White</t>
  </si>
  <si>
    <t>F25T8/830 - 25 Watt 36 Inch T8 Flourescent Light Bulb</t>
  </si>
  <si>
    <t>goodbulb</t>
  </si>
  <si>
    <t>25PK 4FT LED T8 Tube Light, Type A+B Double End or Single End Power</t>
  </si>
  <si>
    <t>3'</t>
  </si>
  <si>
    <t>warehouse-lighting</t>
  </si>
  <si>
    <t>25PK 4FT LED Tube Light, 2100 Lumens, 15W, CCT Selectable, 120-277V</t>
  </si>
  <si>
    <t>25Pk 17 Watt 4' T8 LED Tube, 5000K, 120</t>
  </si>
  <si>
    <t>30PK 4FT LED T8 Tube Light, Type A+B Double End or Single End Power, Wattage and CCT Tunable, 120-277V</t>
  </si>
  <si>
    <t>fluoro</t>
  </si>
  <si>
    <t>wattage</t>
  </si>
  <si>
    <t>lumens</t>
  </si>
  <si>
    <t>Cal Poly &amp; University of Nebraska, Lincoln</t>
  </si>
  <si>
    <t>Assessing the Cost and Fuel Consumption of Off-Road Agricultural Equipment</t>
  </si>
  <si>
    <t>https://digitalcommons.calpoly.edu/agb_fac/161/?utm_source=chatgpt.com</t>
  </si>
  <si>
    <t>Table 5</t>
  </si>
  <si>
    <t>Historical Consumer Price Index for All Urban Consumers (CPI-U): U.S. city average, all items, index</t>
  </si>
  <si>
    <t>averages — Continued</t>
  </si>
  <si>
    <t>[1982-84=100, unless otherwise noted]</t>
  </si>
  <si>
    <t>Year</t>
  </si>
  <si>
    <t>Semiannual averages</t>
  </si>
  <si>
    <t>Annual avg.</t>
  </si>
  <si>
    <t>Percent change from previous</t>
  </si>
  <si>
    <t>Multiply by to get 2012 Dollars</t>
  </si>
  <si>
    <t>1st half</t>
  </si>
  <si>
    <t>2nd half</t>
  </si>
  <si>
    <t>Dec.</t>
  </si>
  <si>
    <t>1968............................................................................. .</t>
  </si>
  <si>
    <t>–</t>
  </si>
  <si>
    <t>1969............................................................................. .</t>
  </si>
  <si>
    <t>1970............................................................................. .</t>
  </si>
  <si>
    <t>1971............................................................................. .</t>
  </si>
  <si>
    <t>1972............................................................................. .</t>
  </si>
  <si>
    <t>1973............................................................................. .</t>
  </si>
  <si>
    <t>1974............................................................................. .</t>
  </si>
  <si>
    <t>1975............................................................................. .</t>
  </si>
  <si>
    <t>1976............................................................................. .</t>
  </si>
  <si>
    <t>1977............................................................................. .</t>
  </si>
  <si>
    <t>1978............................................................................. .</t>
  </si>
  <si>
    <t>1979............................................................................. .</t>
  </si>
  <si>
    <t>1980............................................................................. .</t>
  </si>
  <si>
    <t>1981............................................................................. .</t>
  </si>
  <si>
    <t>1982............................................................................. .</t>
  </si>
  <si>
    <t>1983............................................................................. .</t>
  </si>
  <si>
    <t>1984............................................................................. .</t>
  </si>
  <si>
    <t>1985............................................................................. .</t>
  </si>
  <si>
    <t>1986............................................................................. .</t>
  </si>
  <si>
    <t>1987............................................................................. .</t>
  </si>
  <si>
    <t>1988............................................................................. .</t>
  </si>
  <si>
    <t>1989............................................................................. .</t>
  </si>
  <si>
    <t>1990............................................................................. .</t>
  </si>
  <si>
    <t>1991............................................................................. .</t>
  </si>
  <si>
    <t>1992............................................................................. .</t>
  </si>
  <si>
    <t>1993............................................................................. .</t>
  </si>
  <si>
    <t>1994............................................................................. .</t>
  </si>
  <si>
    <t>1995............................................................................. .</t>
  </si>
  <si>
    <t>1996............................................................................. .</t>
  </si>
  <si>
    <t>1997............................................................................. .</t>
  </si>
  <si>
    <t>1998............................................................................. .</t>
  </si>
  <si>
    <t>1999............................................................................. .</t>
  </si>
  <si>
    <t>2000............................................................................. .</t>
  </si>
  <si>
    <t>2001............................................................................. .</t>
  </si>
  <si>
    <t>2002............................................................................. .</t>
  </si>
  <si>
    <t>2003............................................................................. .</t>
  </si>
  <si>
    <t>2004............................................................................. .</t>
  </si>
  <si>
    <t>2005............................................................................. .</t>
  </si>
  <si>
    <t>2006............................................................................. .</t>
  </si>
  <si>
    <t>2007............................................................................. .</t>
  </si>
  <si>
    <t>2008............................................................................. .</t>
  </si>
  <si>
    <t>2009............................................................................. .</t>
  </si>
  <si>
    <t>2010............................................................................. .</t>
  </si>
  <si>
    <t>2011............................................................................. .</t>
  </si>
  <si>
    <t>2012............................................................................. .</t>
  </si>
  <si>
    <t>2013............................................................................. .</t>
  </si>
  <si>
    <t>2014............................................................................. .</t>
  </si>
  <si>
    <t>2015............................................................................. .</t>
  </si>
  <si>
    <t>2016............................................................................. .</t>
  </si>
  <si>
    <t>2017............................................................................. .</t>
  </si>
  <si>
    <t>2018............................................................................. .</t>
  </si>
  <si>
    <t>2019............................................................................. .</t>
  </si>
  <si>
    <t>2020............................................................................. .</t>
  </si>
  <si>
    <t>2021............................................................................. .</t>
  </si>
  <si>
    <t>2022............................................................................. .</t>
  </si>
  <si>
    <t>2023............................................................................. .</t>
  </si>
  <si>
    <t>2024............................................................................. .</t>
  </si>
  <si>
    <t>https://farmdocdaily.illinois.edu/2025/10/large-increase-in-machinery-costs-suggests-need-to-reconsider-machinery-purchase-decisions.html?utm_source=chatgpt.com</t>
  </si>
  <si>
    <t>CPI</t>
  </si>
  <si>
    <t>CPI indexed to 2000</t>
  </si>
  <si>
    <t>Nominal tractor price index</t>
  </si>
  <si>
    <t>Real tractor price index</t>
  </si>
  <si>
    <t>Real annual price growth:</t>
  </si>
  <si>
    <t>per year</t>
  </si>
  <si>
    <t>Table 5. Regression model comparison</t>
  </si>
  <si>
    <t>Average hp.hr/gal</t>
  </si>
  <si>
    <t>tested tractors</t>
  </si>
  <si>
    <t>year coefficient</t>
  </si>
  <si>
    <t>avg %chg in hp.hr/gal per year</t>
  </si>
  <si>
    <t>Model 1: 1987-2021</t>
  </si>
  <si>
    <t>Model 2</t>
  </si>
  <si>
    <t>Model 3: Tier 4 only (2015-21)</t>
  </si>
  <si>
    <t>Elasticity: Δprice/Δeff</t>
  </si>
  <si>
    <t>Average elasticity:</t>
  </si>
  <si>
    <t>heat below 100 C</t>
  </si>
  <si>
    <t>heat 100 to 200 C</t>
  </si>
  <si>
    <t>heat 200 to 500 C</t>
  </si>
  <si>
    <t>heat 500 to 1000 C</t>
  </si>
  <si>
    <t>heat above 1000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</si>
</sst>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164" formatCode="0.0000"/>
    <numFmt numFmtId="165" formatCode="0.000"/>
    <numFmt numFmtId="166" formatCode="0.0"/>
    <numFmt numFmtId="167" formatCode="#0.0"/>
    <numFmt numFmtId="168" formatCode="#0.000"/>
  </numFmts>
  <fonts count="12"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theme="1"/>
      <name val="Aptos Narrow"/>
      <family val="2"/>
    </font>
    <font>
      <b/>
      <i/>
      <sz val="11"/>
      <color theme="1"/>
      <name val="Aptos Narrow"/>
      <family val="2"/>
      <scheme val="minor"/>
    </font>
    <font>
      <sz val="8"/>
      <name val="Aptos Narrow"/>
      <family val="2"/>
      <scheme val="minor"/>
    </font>
    <font>
      <sz val="11"/>
      <color rgb="FFFF0000"/>
      <name val="Aptos Narrow"/>
      <family val="2"/>
      <scheme val="minor"/>
    </font>
    <font>
      <sz val="11"/>
      <name val="Aptos Narrow"/>
      <family val="2"/>
      <scheme val="minor"/>
    </font>
    <font>
      <b/>
      <sz val="11"/>
      <color theme="1"/>
      <name val="Aptos Narrow"/>
      <family val="2"/>
    </font>
    <font>
      <sz val="11"/>
      <color theme="1"/>
      <name val="Aptos Narrow"/>
      <family val="2"/>
      <scheme val="minor"/>
    </font>
    <font>
      <sz val="10"/>
      <color indexed="8"/>
      <name val="Arial"/>
      <family val="2"/>
    </font>
    <font>
      <sz val="11"/>
      <color rgb="FF000000"/>
      <name val="Aptos"/>
      <family val="2"/>
    </font>
  </fonts>
  <fills count="7">
    <fill>
      <patternFill patternType="none"/>
    </fill>
    <fill>
      <patternFill patternType="gray125"/>
    </fill>
    <fill>
      <patternFill patternType="solid">
        <fgColor rgb="FFFF0000"/>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00B050"/>
        <bgColor indexed="64"/>
      </patternFill>
    </fill>
  </fills>
  <borders count="1">
    <border>
      <left/>
      <right/>
      <top/>
      <bottom/>
      <diagonal/>
    </border>
  </borders>
  <cellStyleXfs count="2">
    <xf numFmtId="0" fontId="0" fillId="0" borderId="0"/>
    <xf numFmtId="9" fontId="9" fillId="0" borderId="0" applyFont="0" applyFill="0" applyBorder="0" applyAlignment="0" applyProtection="0"/>
  </cellStyleXfs>
  <cellXfs count="40">
    <xf numFmtId="0" fontId="0" fillId="0" borderId="0" xfId="0"/>
    <xf numFmtId="0" fontId="1" fillId="0" borderId="0" xfId="0" applyFont="1"/>
    <xf numFmtId="0" fontId="0" fillId="0" borderId="0" xfId="0" applyAlignment="1">
      <alignment horizontal="left"/>
    </xf>
    <xf numFmtId="0" fontId="2" fillId="0" borderId="0" xfId="0" applyFont="1" applyAlignment="1">
      <alignment wrapText="1"/>
    </xf>
    <xf numFmtId="0" fontId="0" fillId="2" borderId="0" xfId="0" applyFill="1"/>
    <xf numFmtId="8" fontId="0" fillId="0" borderId="0" xfId="0" applyNumberFormat="1"/>
    <xf numFmtId="0" fontId="3" fillId="0" borderId="0" xfId="0" applyFont="1"/>
    <xf numFmtId="2" fontId="0" fillId="0" borderId="0" xfId="0" applyNumberFormat="1"/>
    <xf numFmtId="2" fontId="1" fillId="0" borderId="0" xfId="0" applyNumberFormat="1" applyFont="1"/>
    <xf numFmtId="10" fontId="0" fillId="0" borderId="0" xfId="0" applyNumberFormat="1"/>
    <xf numFmtId="4" fontId="0" fillId="0" borderId="0" xfId="0" applyNumberFormat="1"/>
    <xf numFmtId="6" fontId="0" fillId="0" borderId="0" xfId="0" applyNumberFormat="1"/>
    <xf numFmtId="9" fontId="0" fillId="0" borderId="0" xfId="0" applyNumberFormat="1"/>
    <xf numFmtId="0" fontId="4" fillId="0" borderId="0" xfId="0" applyFont="1"/>
    <xf numFmtId="2" fontId="4" fillId="0" borderId="0" xfId="0" applyNumberFormat="1" applyFont="1"/>
    <xf numFmtId="0" fontId="1" fillId="3" borderId="0" xfId="0" applyFont="1" applyFill="1"/>
    <xf numFmtId="16" fontId="0" fillId="0" borderId="0" xfId="0" applyNumberFormat="1"/>
    <xf numFmtId="0" fontId="2" fillId="0" borderId="0" xfId="0" applyFont="1"/>
    <xf numFmtId="0" fontId="0" fillId="4" borderId="0" xfId="0" applyFill="1"/>
    <xf numFmtId="0" fontId="1" fillId="4" borderId="0" xfId="0" applyFont="1" applyFill="1"/>
    <xf numFmtId="0" fontId="6" fillId="0" borderId="0" xfId="0" applyFont="1"/>
    <xf numFmtId="164" fontId="4" fillId="0" borderId="0" xfId="0" applyNumberFormat="1" applyFont="1"/>
    <xf numFmtId="0" fontId="7" fillId="0" borderId="0" xfId="0" applyFont="1"/>
    <xf numFmtId="1" fontId="0" fillId="0" borderId="0" xfId="0" applyNumberFormat="1"/>
    <xf numFmtId="0" fontId="0" fillId="0" borderId="0" xfId="0" applyAlignment="1">
      <alignment wrapText="1"/>
    </xf>
    <xf numFmtId="165" fontId="0" fillId="5" borderId="0" xfId="0" applyNumberFormat="1" applyFill="1"/>
    <xf numFmtId="165" fontId="0" fillId="0" borderId="0" xfId="0" applyNumberFormat="1"/>
    <xf numFmtId="17" fontId="0" fillId="0" borderId="0" xfId="0" applyNumberFormat="1"/>
    <xf numFmtId="165" fontId="1" fillId="0" borderId="0" xfId="0" applyNumberFormat="1" applyFont="1"/>
    <xf numFmtId="0" fontId="0" fillId="0" borderId="0" xfId="0" applyAlignment="1">
      <alignment horizontal="right"/>
    </xf>
    <xf numFmtId="9" fontId="0" fillId="0" borderId="0" xfId="1" applyFont="1"/>
    <xf numFmtId="1" fontId="1" fillId="0" borderId="0" xfId="0" applyNumberFormat="1" applyFont="1"/>
    <xf numFmtId="166" fontId="1" fillId="0" borderId="0" xfId="0" applyNumberFormat="1" applyFont="1"/>
    <xf numFmtId="0" fontId="0" fillId="6" borderId="0" xfId="0" applyFill="1"/>
    <xf numFmtId="167" fontId="10" fillId="0" borderId="0" xfId="0" applyNumberFormat="1" applyFont="1" applyAlignment="1">
      <alignment horizontal="right"/>
    </xf>
    <xf numFmtId="165" fontId="0" fillId="0" borderId="0" xfId="0" applyNumberFormat="1" applyAlignment="1">
      <alignment horizontal="left"/>
    </xf>
    <xf numFmtId="166" fontId="0" fillId="0" borderId="0" xfId="0" applyNumberFormat="1" applyAlignment="1">
      <alignment horizontal="left"/>
    </xf>
    <xf numFmtId="168" fontId="10" fillId="0" borderId="0" xfId="0" applyNumberFormat="1" applyFont="1" applyAlignment="1">
      <alignment horizontal="right"/>
    </xf>
    <xf numFmtId="10" fontId="1" fillId="0" borderId="0" xfId="1" applyNumberFormat="1" applyFont="1"/>
    <xf numFmtId="0" fontId="11" fillId="0" borderId="0" xfId="0" applyFont="1" applyAlignment="1">
      <alignment horizontal="left"/>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COP vs T</a:t>
            </a:r>
            <a:r>
              <a:rPr lang="en-US" baseline="-25000"/>
              <a:t>lift</a:t>
            </a:r>
            <a:endParaRPr lang="en-US"/>
          </a:p>
        </c:rich>
      </c:tx>
      <c:overlay val="0"/>
      <c:spPr>
        <a:noFill/>
        <a:ln>
          <a:noFill/>
        </a:ln>
        <a:effectLst/>
      </c:spPr>
    </c:title>
    <c:autoTitleDeleted val="0"/>
    <c:plotArea>
      <c:layout/>
      <c:scatterChart>
        <c:scatterStyle val="lineMarker"/>
        <c:varyColors val="0"/>
        <c:ser>
          <c:idx val="2"/>
          <c:order val="0"/>
          <c:spPr>
            <a:ln w="38100">
              <a:noFill/>
            </a:ln>
          </c:spPr>
          <c:xVal>
            <c:numRef>
              <c:f>'indst heat pumps'!$K$5:$N$5</c:f>
              <c:numCache>
                <c:formatCode>General</c:formatCode>
                <c:ptCount val="4"/>
                <c:pt idx="0">
                  <c:v>100</c:v>
                </c:pt>
                <c:pt idx="1">
                  <c:v>109</c:v>
                </c:pt>
                <c:pt idx="2">
                  <c:v>115</c:v>
                </c:pt>
                <c:pt idx="3">
                  <c:v>135</c:v>
                </c:pt>
              </c:numCache>
            </c:numRef>
          </c:xVal>
          <c:yVal>
            <c:numRef>
              <c:f>'indst heat pumps'!$K$6:$N$6</c:f>
              <c:numCache>
                <c:formatCode>General</c:formatCode>
                <c:ptCount val="4"/>
                <c:pt idx="0">
                  <c:v>1.95</c:v>
                </c:pt>
                <c:pt idx="1">
                  <c:v>2.2999999999999998</c:v>
                </c:pt>
                <c:pt idx="2">
                  <c:v>2.5</c:v>
                </c:pt>
                <c:pt idx="3">
                  <c:v>2.8</c:v>
                </c:pt>
              </c:numCache>
            </c:numRef>
          </c:yVal>
          <c:smooth val="0"/>
          <c:extLst>
            <c:ext xmlns:c16="http://schemas.microsoft.com/office/drawing/2014/chart" uri="{C3380CC4-5D6E-409C-BE32-E72D297353CC}">
              <c16:uniqueId val="{00000000-79C4-4D2B-A655-C61842E5EC3B}"/>
            </c:ext>
          </c:extLst>
        </c:ser>
        <c:ser>
          <c:idx val="3"/>
          <c:order val="1"/>
          <c:spPr>
            <a:ln w="25400">
              <a:noFill/>
            </a:ln>
            <a:effectLst/>
          </c:spPr>
          <c:xVal>
            <c:numRef>
              <c:f>'indst heat pumps'!$G$5:$J$5</c:f>
              <c:numCache>
                <c:formatCode>General</c:formatCode>
                <c:ptCount val="4"/>
                <c:pt idx="0">
                  <c:v>60</c:v>
                </c:pt>
                <c:pt idx="1">
                  <c:v>60</c:v>
                </c:pt>
                <c:pt idx="2">
                  <c:v>55</c:v>
                </c:pt>
                <c:pt idx="3">
                  <c:v>50</c:v>
                </c:pt>
              </c:numCache>
            </c:numRef>
          </c:xVal>
          <c:yVal>
            <c:numRef>
              <c:f>'indst heat pumps'!$G$18:$J$18</c:f>
              <c:numCache>
                <c:formatCode>General</c:formatCode>
                <c:ptCount val="4"/>
                <c:pt idx="0">
                  <c:v>3.4</c:v>
                </c:pt>
                <c:pt idx="1">
                  <c:v>3.3</c:v>
                </c:pt>
                <c:pt idx="2">
                  <c:v>3.9</c:v>
                </c:pt>
                <c:pt idx="3">
                  <c:v>4.5999999999999996</c:v>
                </c:pt>
              </c:numCache>
            </c:numRef>
          </c:yVal>
          <c:smooth val="0"/>
          <c:extLst>
            <c:ext xmlns:c16="http://schemas.microsoft.com/office/drawing/2014/chart" uri="{C3380CC4-5D6E-409C-BE32-E72D297353CC}">
              <c16:uniqueId val="{00000001-79C4-4D2B-A655-C61842E5EC3B}"/>
            </c:ext>
          </c:extLst>
        </c:ser>
        <c:ser>
          <c:idx val="9"/>
          <c:order val="2"/>
          <c:spPr>
            <a:ln w="38100">
              <a:noFill/>
            </a:ln>
          </c:spPr>
          <c:dPt>
            <c:idx val="0"/>
            <c:bubble3D val="0"/>
            <c:extLst>
              <c:ext xmlns:c16="http://schemas.microsoft.com/office/drawing/2014/chart" uri="{C3380CC4-5D6E-409C-BE32-E72D297353CC}">
                <c16:uniqueId val="{00000002-79C4-4D2B-A655-C61842E5EC3B}"/>
              </c:ext>
            </c:extLst>
          </c:dPt>
          <c:xVal>
            <c:numRef>
              <c:f>'indst heat pumps'!$Y$5</c:f>
              <c:numCache>
                <c:formatCode>General</c:formatCode>
                <c:ptCount val="1"/>
                <c:pt idx="0">
                  <c:v>71</c:v>
                </c:pt>
              </c:numCache>
            </c:numRef>
          </c:xVal>
          <c:yVal>
            <c:numRef>
              <c:f>'indst heat pumps'!$Y$25</c:f>
              <c:numCache>
                <c:formatCode>General</c:formatCode>
                <c:ptCount val="1"/>
                <c:pt idx="0">
                  <c:v>4.4000000000000004</c:v>
                </c:pt>
              </c:numCache>
            </c:numRef>
          </c:yVal>
          <c:smooth val="0"/>
          <c:extLst>
            <c:ext xmlns:c16="http://schemas.microsoft.com/office/drawing/2014/chart" uri="{C3380CC4-5D6E-409C-BE32-E72D297353CC}">
              <c16:uniqueId val="{00000003-79C4-4D2B-A655-C61842E5EC3B}"/>
            </c:ext>
          </c:extLst>
        </c:ser>
        <c:ser>
          <c:idx val="11"/>
          <c:order val="3"/>
          <c:spPr>
            <a:ln w="38100">
              <a:noFill/>
            </a:ln>
          </c:spPr>
          <c:xVal>
            <c:numRef>
              <c:f>'indst heat pumps'!$V$5:$X$5</c:f>
              <c:numCache>
                <c:formatCode>General</c:formatCode>
                <c:ptCount val="3"/>
                <c:pt idx="0">
                  <c:v>96</c:v>
                </c:pt>
                <c:pt idx="1">
                  <c:v>103</c:v>
                </c:pt>
                <c:pt idx="2">
                  <c:v>133</c:v>
                </c:pt>
              </c:numCache>
            </c:numRef>
          </c:xVal>
          <c:yVal>
            <c:numRef>
              <c:f>'indst heat pumps'!$V$24:$X$24</c:f>
              <c:numCache>
                <c:formatCode>General</c:formatCode>
                <c:ptCount val="3"/>
                <c:pt idx="0">
                  <c:v>3.25</c:v>
                </c:pt>
                <c:pt idx="1">
                  <c:v>3.05</c:v>
                </c:pt>
                <c:pt idx="2">
                  <c:v>2.85</c:v>
                </c:pt>
              </c:numCache>
            </c:numRef>
          </c:yVal>
          <c:smooth val="0"/>
          <c:extLst>
            <c:ext xmlns:c16="http://schemas.microsoft.com/office/drawing/2014/chart" uri="{C3380CC4-5D6E-409C-BE32-E72D297353CC}">
              <c16:uniqueId val="{00000004-79C4-4D2B-A655-C61842E5EC3B}"/>
            </c:ext>
          </c:extLst>
        </c:ser>
        <c:ser>
          <c:idx val="12"/>
          <c:order val="4"/>
          <c:spPr>
            <a:ln w="38100">
              <a:noFill/>
            </a:ln>
          </c:spPr>
          <c:xVal>
            <c:numRef>
              <c:f>'indst heat pumps'!$T$5:$U$5</c:f>
              <c:numCache>
                <c:formatCode>General</c:formatCode>
                <c:ptCount val="2"/>
                <c:pt idx="0">
                  <c:v>96</c:v>
                </c:pt>
                <c:pt idx="1">
                  <c:v>106</c:v>
                </c:pt>
              </c:numCache>
            </c:numRef>
          </c:xVal>
          <c:yVal>
            <c:numRef>
              <c:f>'indst heat pumps'!$T$21:$U$21</c:f>
              <c:numCache>
                <c:formatCode>General</c:formatCode>
                <c:ptCount val="2"/>
                <c:pt idx="0">
                  <c:v>4.2</c:v>
                </c:pt>
                <c:pt idx="1">
                  <c:v>5.3</c:v>
                </c:pt>
              </c:numCache>
            </c:numRef>
          </c:yVal>
          <c:smooth val="0"/>
          <c:extLst>
            <c:ext xmlns:c16="http://schemas.microsoft.com/office/drawing/2014/chart" uri="{C3380CC4-5D6E-409C-BE32-E72D297353CC}">
              <c16:uniqueId val="{00000005-79C4-4D2B-A655-C61842E5EC3B}"/>
            </c:ext>
          </c:extLst>
        </c:ser>
        <c:ser>
          <c:idx val="1"/>
          <c:order val="5"/>
          <c:spPr>
            <a:ln w="38100">
              <a:noFill/>
            </a:ln>
          </c:spPr>
          <c:xVal>
            <c:numRef>
              <c:f>'indst heat pumps'!$AD$5</c:f>
              <c:numCache>
                <c:formatCode>General</c:formatCode>
                <c:ptCount val="1"/>
                <c:pt idx="0">
                  <c:v>65</c:v>
                </c:pt>
              </c:numCache>
            </c:numRef>
          </c:xVal>
          <c:yVal>
            <c:numRef>
              <c:f>'indst heat pumps'!$AD$27</c:f>
              <c:numCache>
                <c:formatCode>General</c:formatCode>
                <c:ptCount val="1"/>
                <c:pt idx="0">
                  <c:v>0.45</c:v>
                </c:pt>
              </c:numCache>
            </c:numRef>
          </c:yVal>
          <c:smooth val="0"/>
          <c:extLst>
            <c:ext xmlns:c16="http://schemas.microsoft.com/office/drawing/2014/chart" uri="{C3380CC4-5D6E-409C-BE32-E72D297353CC}">
              <c16:uniqueId val="{00000006-79C4-4D2B-A655-C61842E5EC3B}"/>
            </c:ext>
          </c:extLst>
        </c:ser>
        <c:ser>
          <c:idx val="4"/>
          <c:order val="6"/>
          <c:spPr>
            <a:ln w="38100">
              <a:noFill/>
            </a:ln>
          </c:spPr>
          <c:xVal>
            <c:numRef>
              <c:f>'indst heat pumps'!$Z$5:$AC$5</c:f>
              <c:numCache>
                <c:formatCode>General</c:formatCode>
                <c:ptCount val="4"/>
                <c:pt idx="0">
                  <c:v>45</c:v>
                </c:pt>
                <c:pt idx="1">
                  <c:v>90</c:v>
                </c:pt>
                <c:pt idx="2">
                  <c:v>104.5</c:v>
                </c:pt>
                <c:pt idx="3">
                  <c:v>130</c:v>
                </c:pt>
              </c:numCache>
            </c:numRef>
          </c:xVal>
          <c:yVal>
            <c:numRef>
              <c:f>'indst heat pumps'!$Z$26:$AC$26</c:f>
              <c:numCache>
                <c:formatCode>General</c:formatCode>
                <c:ptCount val="4"/>
                <c:pt idx="0">
                  <c:v>4.0999999999999996</c:v>
                </c:pt>
                <c:pt idx="1">
                  <c:v>2.7</c:v>
                </c:pt>
                <c:pt idx="2">
                  <c:v>2.5</c:v>
                </c:pt>
                <c:pt idx="3">
                  <c:v>2.9</c:v>
                </c:pt>
              </c:numCache>
            </c:numRef>
          </c:yVal>
          <c:smooth val="0"/>
          <c:extLst>
            <c:ext xmlns:c16="http://schemas.microsoft.com/office/drawing/2014/chart" uri="{C3380CC4-5D6E-409C-BE32-E72D297353CC}">
              <c16:uniqueId val="{00000007-79C4-4D2B-A655-C61842E5EC3B}"/>
            </c:ext>
          </c:extLst>
        </c:ser>
        <c:ser>
          <c:idx val="5"/>
          <c:order val="7"/>
          <c:spPr>
            <a:ln w="38100">
              <a:noFill/>
            </a:ln>
          </c:spPr>
          <c:xVal>
            <c:numRef>
              <c:f>'indst heat pumps'!$O$5:$S$5</c:f>
              <c:numCache>
                <c:formatCode>General</c:formatCode>
                <c:ptCount val="5"/>
                <c:pt idx="0">
                  <c:v>47</c:v>
                </c:pt>
                <c:pt idx="1">
                  <c:v>110</c:v>
                </c:pt>
                <c:pt idx="2">
                  <c:v>147</c:v>
                </c:pt>
                <c:pt idx="3">
                  <c:v>148</c:v>
                </c:pt>
                <c:pt idx="4">
                  <c:v>200</c:v>
                </c:pt>
              </c:numCache>
            </c:numRef>
          </c:xVal>
          <c:yVal>
            <c:numRef>
              <c:f>'indst heat pumps'!$O$19:$S$19</c:f>
              <c:numCache>
                <c:formatCode>General</c:formatCode>
                <c:ptCount val="5"/>
                <c:pt idx="0">
                  <c:v>3.5</c:v>
                </c:pt>
                <c:pt idx="1">
                  <c:v>2.3250000000000002</c:v>
                </c:pt>
                <c:pt idx="2">
                  <c:v>2.0750000000000002</c:v>
                </c:pt>
                <c:pt idx="3">
                  <c:v>1.825</c:v>
                </c:pt>
                <c:pt idx="4">
                  <c:v>1.65</c:v>
                </c:pt>
              </c:numCache>
            </c:numRef>
          </c:yVal>
          <c:smooth val="0"/>
          <c:extLst>
            <c:ext xmlns:c16="http://schemas.microsoft.com/office/drawing/2014/chart" uri="{C3380CC4-5D6E-409C-BE32-E72D297353CC}">
              <c16:uniqueId val="{00000008-79C4-4D2B-A655-C61842E5EC3B}"/>
            </c:ext>
          </c:extLst>
        </c:ser>
        <c:dLbls>
          <c:showLegendKey val="0"/>
          <c:showVal val="0"/>
          <c:showCatName val="0"/>
          <c:showSerName val="0"/>
          <c:showPercent val="0"/>
          <c:showBubbleSize val="0"/>
        </c:dLbls>
        <c:axId val="1483530016"/>
        <c:axId val="1483532416"/>
      </c:scatterChart>
      <c:valAx>
        <c:axId val="1483530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532416"/>
        <c:crosses val="autoZero"/>
        <c:crossBetween val="midCat"/>
      </c:valAx>
      <c:valAx>
        <c:axId val="148353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53001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COP vs Upfront (EUR/kW)</a:t>
            </a:r>
            <a:endParaRPr lang="en-US" baseline="0"/>
          </a:p>
        </c:rich>
      </c:tx>
      <c:overlay val="0"/>
      <c:spPr>
        <a:noFill/>
        <a:ln>
          <a:noFill/>
        </a:ln>
        <a:effectLst/>
      </c:spPr>
    </c:title>
    <c:autoTitleDeleted val="0"/>
    <c:plotArea>
      <c:layout/>
      <c:scatterChart>
        <c:scatterStyle val="lineMarker"/>
        <c:varyColors val="0"/>
        <c:ser>
          <c:idx val="1"/>
          <c:order val="0"/>
          <c:marker>
            <c:symbol val="none"/>
          </c:marker>
          <c:xVal>
            <c:numRef>
              <c:f>'indst heat pumps'!$AA$12:$AA$16</c:f>
              <c:numCache>
                <c:formatCode>General</c:formatCode>
                <c:ptCount val="5"/>
                <c:pt idx="0">
                  <c:v>700</c:v>
                </c:pt>
                <c:pt idx="1">
                  <c:v>600</c:v>
                </c:pt>
                <c:pt idx="2">
                  <c:v>525</c:v>
                </c:pt>
                <c:pt idx="3">
                  <c:v>400</c:v>
                </c:pt>
                <c:pt idx="4">
                  <c:v>250</c:v>
                </c:pt>
              </c:numCache>
            </c:numRef>
          </c:xVal>
          <c:yVal>
            <c:numRef>
              <c:f>'indst heat pumps'!$AB$12:$AB$16</c:f>
              <c:numCache>
                <c:formatCode>General</c:formatCode>
                <c:ptCount val="5"/>
                <c:pt idx="0">
                  <c:v>2.3250000000000002</c:v>
                </c:pt>
                <c:pt idx="1">
                  <c:v>1.95</c:v>
                </c:pt>
                <c:pt idx="2">
                  <c:v>2.6</c:v>
                </c:pt>
                <c:pt idx="3">
                  <c:v>3.15</c:v>
                </c:pt>
                <c:pt idx="4">
                  <c:v>4.75</c:v>
                </c:pt>
              </c:numCache>
            </c:numRef>
          </c:yVal>
          <c:smooth val="0"/>
          <c:extLst>
            <c:ext xmlns:c16="http://schemas.microsoft.com/office/drawing/2014/chart" uri="{C3380CC4-5D6E-409C-BE32-E72D297353CC}">
              <c16:uniqueId val="{00000000-A7EA-4498-B08F-EA9F68DA6AED}"/>
            </c:ext>
          </c:extLst>
        </c:ser>
        <c:ser>
          <c:idx val="0"/>
          <c:order val="1"/>
          <c:spPr>
            <a:ln w="19050" cap="rnd">
              <a:solidFill>
                <a:schemeClr val="accent1"/>
              </a:solidFill>
              <a:round/>
            </a:ln>
            <a:effectLst/>
          </c:spPr>
          <c:marker>
            <c:symbol val="none"/>
          </c:marker>
          <c:xVal>
            <c:numRef>
              <c:f>'indst heat pumps'!$X$12:$X$15</c:f>
              <c:numCache>
                <c:formatCode>General</c:formatCode>
                <c:ptCount val="4"/>
                <c:pt idx="0">
                  <c:v>850</c:v>
                </c:pt>
                <c:pt idx="1">
                  <c:v>700</c:v>
                </c:pt>
                <c:pt idx="2">
                  <c:v>525</c:v>
                </c:pt>
                <c:pt idx="3">
                  <c:v>300</c:v>
                </c:pt>
              </c:numCache>
            </c:numRef>
          </c:xVal>
          <c:yVal>
            <c:numRef>
              <c:f>'indst heat pumps'!$Y$12:$Y$15</c:f>
              <c:numCache>
                <c:formatCode>General</c:formatCode>
                <c:ptCount val="4"/>
                <c:pt idx="0">
                  <c:v>4.4000000000000004</c:v>
                </c:pt>
                <c:pt idx="1">
                  <c:v>3.5</c:v>
                </c:pt>
                <c:pt idx="2">
                  <c:v>4.0999999999999996</c:v>
                </c:pt>
                <c:pt idx="3">
                  <c:v>3.4</c:v>
                </c:pt>
              </c:numCache>
            </c:numRef>
          </c:yVal>
          <c:smooth val="0"/>
          <c:extLst>
            <c:ext xmlns:c16="http://schemas.microsoft.com/office/drawing/2014/chart" uri="{C3380CC4-5D6E-409C-BE32-E72D297353CC}">
              <c16:uniqueId val="{00000001-A7EA-4498-B08F-EA9F68DA6AED}"/>
            </c:ext>
          </c:extLst>
        </c:ser>
        <c:dLbls>
          <c:showLegendKey val="0"/>
          <c:showVal val="0"/>
          <c:showCatName val="0"/>
          <c:showSerName val="0"/>
          <c:showPercent val="0"/>
          <c:showBubbleSize val="0"/>
        </c:dLbls>
        <c:axId val="1624204944"/>
        <c:axId val="1624209264"/>
      </c:scatterChart>
      <c:valAx>
        <c:axId val="1624204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209264"/>
        <c:crosses val="autoZero"/>
        <c:crossBetween val="midCat"/>
      </c:valAx>
      <c:valAx>
        <c:axId val="162420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204944"/>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450047196708788E-2"/>
          <c:y val="4.4208049345929729E-2"/>
          <c:w val="0.81400244198670757"/>
          <c:h val="0.86288163065361456"/>
        </c:manualLayout>
      </c:layout>
      <c:scatterChart>
        <c:scatterStyle val="lineMarker"/>
        <c:varyColors val="0"/>
        <c:ser>
          <c:idx val="0"/>
          <c:order val="0"/>
          <c:tx>
            <c:strRef>
              <c:f>'indst heat pumps'!$C$70</c:f>
              <c:strCache>
                <c:ptCount val="1"/>
                <c:pt idx="0">
                  <c:v>y</c:v>
                </c:pt>
              </c:strCache>
            </c:strRef>
          </c:tx>
          <c:spPr>
            <a:ln w="25400" cap="rnd">
              <a:noFill/>
              <a:round/>
            </a:ln>
            <a:effectLst/>
          </c:spPr>
          <c:marker>
            <c:symbol val="diamond"/>
            <c:size val="5"/>
            <c:spPr>
              <a:solidFill>
                <a:srgbClr val="FF0000"/>
              </a:solidFill>
              <a:ln w="9525">
                <a:solidFill>
                  <a:schemeClr val="accent1"/>
                </a:solidFill>
              </a:ln>
              <a:effectLst/>
            </c:spPr>
          </c:marker>
          <c:xVal>
            <c:numRef>
              <c:f>'indst heat pumps'!$B$71:$B$91</c:f>
              <c:numCache>
                <c:formatCode>General</c:formatCode>
                <c:ptCount val="21"/>
                <c:pt idx="0">
                  <c:v>4.59475218658892</c:v>
                </c:pt>
                <c:pt idx="1">
                  <c:v>4.5510204081632599</c:v>
                </c:pt>
                <c:pt idx="2">
                  <c:v>4.5014577259475201</c:v>
                </c:pt>
                <c:pt idx="3">
                  <c:v>4.4504373177842496</c:v>
                </c:pt>
                <c:pt idx="4">
                  <c:v>4.4008746355685098</c:v>
                </c:pt>
                <c:pt idx="5">
                  <c:v>4.3498542274052401</c:v>
                </c:pt>
                <c:pt idx="6">
                  <c:v>4.3002915451895003</c:v>
                </c:pt>
                <c:pt idx="7">
                  <c:v>4.2507288629737596</c:v>
                </c:pt>
                <c:pt idx="8">
                  <c:v>4.2011661807580101</c:v>
                </c:pt>
                <c:pt idx="9">
                  <c:v>4.1516034985422703</c:v>
                </c:pt>
                <c:pt idx="10">
                  <c:v>4.1005830903789997</c:v>
                </c:pt>
                <c:pt idx="11">
                  <c:v>4.0510204081632599</c:v>
                </c:pt>
                <c:pt idx="12">
                  <c:v>4</c:v>
                </c:pt>
                <c:pt idx="13">
                  <c:v>3.95043731778425</c:v>
                </c:pt>
                <c:pt idx="14">
                  <c:v>3.8994169096209901</c:v>
                </c:pt>
                <c:pt idx="15">
                  <c:v>3.8498542274052401</c:v>
                </c:pt>
                <c:pt idx="16">
                  <c:v>3.8002915451894999</c:v>
                </c:pt>
                <c:pt idx="17">
                  <c:v>3.7580174927113701</c:v>
                </c:pt>
                <c:pt idx="18">
                  <c:v>3.6997084548104899</c:v>
                </c:pt>
                <c:pt idx="19">
                  <c:v>3.6501457725947501</c:v>
                </c:pt>
                <c:pt idx="20">
                  <c:v>3.5801749271137</c:v>
                </c:pt>
              </c:numCache>
            </c:numRef>
          </c:xVal>
          <c:yVal>
            <c:numRef>
              <c:f>'indst heat pumps'!$C$71:$C$91</c:f>
              <c:numCache>
                <c:formatCode>General</c:formatCode>
                <c:ptCount val="21"/>
                <c:pt idx="0">
                  <c:v>0.61180308422301299</c:v>
                </c:pt>
                <c:pt idx="1">
                  <c:v>0.54122182680901498</c:v>
                </c:pt>
                <c:pt idx="2">
                  <c:v>0.49928825622775802</c:v>
                </c:pt>
                <c:pt idx="3">
                  <c:v>0.46981020166073501</c:v>
                </c:pt>
                <c:pt idx="4">
                  <c:v>0.44365361803084202</c:v>
                </c:pt>
                <c:pt idx="5">
                  <c:v>0.41791221826809</c:v>
                </c:pt>
                <c:pt idx="6">
                  <c:v>0.40005931198102002</c:v>
                </c:pt>
                <c:pt idx="7">
                  <c:v>0.39051008303677298</c:v>
                </c:pt>
                <c:pt idx="8">
                  <c:v>0.38179122182680902</c:v>
                </c:pt>
                <c:pt idx="9">
                  <c:v>0.374733096085409</c:v>
                </c:pt>
                <c:pt idx="10">
                  <c:v>0.36933570581257402</c:v>
                </c:pt>
                <c:pt idx="11">
                  <c:v>0.36476868327402101</c:v>
                </c:pt>
                <c:pt idx="12">
                  <c:v>0.35895610913404502</c:v>
                </c:pt>
                <c:pt idx="13">
                  <c:v>0.35314353499406798</c:v>
                </c:pt>
                <c:pt idx="14">
                  <c:v>0.347746144721233</c:v>
                </c:pt>
                <c:pt idx="15">
                  <c:v>0.34442467378410402</c:v>
                </c:pt>
                <c:pt idx="16">
                  <c:v>0.34193357058125701</c:v>
                </c:pt>
                <c:pt idx="17">
                  <c:v>0.33985765124555101</c:v>
                </c:pt>
                <c:pt idx="18">
                  <c:v>0.33861209964412797</c:v>
                </c:pt>
                <c:pt idx="19">
                  <c:v>0.33819691577698602</c:v>
                </c:pt>
                <c:pt idx="20">
                  <c:v>0.33778173190984501</c:v>
                </c:pt>
              </c:numCache>
            </c:numRef>
          </c:yVal>
          <c:smooth val="0"/>
          <c:extLst>
            <c:ext xmlns:c16="http://schemas.microsoft.com/office/drawing/2014/chart" uri="{C3380CC4-5D6E-409C-BE32-E72D297353CC}">
              <c16:uniqueId val="{00000000-3FA6-48B4-8C6C-15A092F319E9}"/>
            </c:ext>
          </c:extLst>
        </c:ser>
        <c:dLbls>
          <c:showLegendKey val="0"/>
          <c:showVal val="0"/>
          <c:showCatName val="0"/>
          <c:showSerName val="0"/>
          <c:showPercent val="0"/>
          <c:showBubbleSize val="0"/>
        </c:dLbls>
        <c:axId val="1723032800"/>
        <c:axId val="1723033760"/>
      </c:scatterChart>
      <c:valAx>
        <c:axId val="1723032800"/>
        <c:scaling>
          <c:orientation val="maxMin"/>
          <c:max val="4.7"/>
          <c:min val="3.5"/>
        </c:scaling>
        <c:delete val="1"/>
        <c:axPos val="b"/>
        <c:numFmt formatCode="General" sourceLinked="1"/>
        <c:majorTickMark val="none"/>
        <c:minorTickMark val="none"/>
        <c:tickLblPos val="nextTo"/>
        <c:crossAx val="1723033760"/>
        <c:crosses val="autoZero"/>
        <c:crossBetween val="midCat"/>
      </c:valAx>
      <c:valAx>
        <c:axId val="1723033760"/>
        <c:scaling>
          <c:orientation val="minMax"/>
          <c:min val="0.30000000000000004"/>
        </c:scaling>
        <c:delete val="1"/>
        <c:axPos val="r"/>
        <c:numFmt formatCode="General" sourceLinked="1"/>
        <c:majorTickMark val="none"/>
        <c:minorTickMark val="none"/>
        <c:tickLblPos val="nextTo"/>
        <c:crossAx val="1723032800"/>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Lighting!$C$14</c:f>
              <c:strCache>
                <c:ptCount val="1"/>
                <c:pt idx="0">
                  <c:v>$</c:v>
                </c:pt>
              </c:strCache>
            </c:strRef>
          </c:tx>
          <c:spPr>
            <a:ln w="19050" cap="rnd">
              <a:solidFill>
                <a:schemeClr val="accent1"/>
              </a:solidFill>
              <a:round/>
            </a:ln>
            <a:effectLst/>
          </c:spPr>
          <c:marker>
            <c:symbol val="none"/>
          </c:marker>
          <c:xVal>
            <c:strRef>
              <c:f>Lighting!$B$15:$B$18</c:f>
              <c:strCache>
                <c:ptCount val="4"/>
                <c:pt idx="0">
                  <c:v>incand</c:v>
                </c:pt>
                <c:pt idx="1">
                  <c:v>LED</c:v>
                </c:pt>
                <c:pt idx="2">
                  <c:v>fluorescent</c:v>
                </c:pt>
                <c:pt idx="3">
                  <c:v>CFL</c:v>
                </c:pt>
              </c:strCache>
            </c:strRef>
          </c:xVal>
          <c:yVal>
            <c:numRef>
              <c:f>Lighting!$C$15:$C$18</c:f>
              <c:numCache>
                <c:formatCode>0.00</c:formatCode>
                <c:ptCount val="4"/>
                <c:pt idx="0">
                  <c:v>1.3</c:v>
                </c:pt>
                <c:pt idx="1">
                  <c:v>7.9169999999999998</c:v>
                </c:pt>
                <c:pt idx="2">
                  <c:v>5.056861111111111</c:v>
                </c:pt>
                <c:pt idx="3">
                  <c:v>5.5236111111111121</c:v>
                </c:pt>
              </c:numCache>
            </c:numRef>
          </c:yVal>
          <c:smooth val="0"/>
          <c:extLst>
            <c:ext xmlns:c16="http://schemas.microsoft.com/office/drawing/2014/chart" uri="{C3380CC4-5D6E-409C-BE32-E72D297353CC}">
              <c16:uniqueId val="{00000000-B242-47A5-BFA0-3B8BDB3CCCB8}"/>
            </c:ext>
          </c:extLst>
        </c:ser>
        <c:ser>
          <c:idx val="1"/>
          <c:order val="1"/>
          <c:tx>
            <c:strRef>
              <c:f>Lighting!$D$14</c:f>
              <c:strCache>
                <c:ptCount val="1"/>
                <c:pt idx="0">
                  <c:v>BTU/yr</c:v>
                </c:pt>
              </c:strCache>
            </c:strRef>
          </c:tx>
          <c:spPr>
            <a:ln w="19050" cap="rnd">
              <a:solidFill>
                <a:schemeClr val="accent2"/>
              </a:solidFill>
              <a:round/>
            </a:ln>
            <a:effectLst/>
          </c:spPr>
          <c:marker>
            <c:symbol val="none"/>
          </c:marker>
          <c:xVal>
            <c:strRef>
              <c:f>Lighting!$B$15:$B$18</c:f>
              <c:strCache>
                <c:ptCount val="4"/>
                <c:pt idx="0">
                  <c:v>incand</c:v>
                </c:pt>
                <c:pt idx="1">
                  <c:v>LED</c:v>
                </c:pt>
                <c:pt idx="2">
                  <c:v>fluorescent</c:v>
                </c:pt>
                <c:pt idx="3">
                  <c:v>CFL</c:v>
                </c:pt>
              </c:strCache>
            </c:strRef>
          </c:xVal>
          <c:yVal>
            <c:numRef>
              <c:f>Lighting!$D$15:$D$18</c:f>
              <c:numCache>
                <c:formatCode>0</c:formatCode>
                <c:ptCount val="4"/>
                <c:pt idx="0">
                  <c:v>377565.42095238098</c:v>
                </c:pt>
                <c:pt idx="1">
                  <c:v>137541.68906122446</c:v>
                </c:pt>
                <c:pt idx="2">
                  <c:v>311491.47228571423</c:v>
                </c:pt>
                <c:pt idx="3">
                  <c:v>217100.11704761902</c:v>
                </c:pt>
              </c:numCache>
            </c:numRef>
          </c:yVal>
          <c:smooth val="0"/>
          <c:extLst>
            <c:ext xmlns:c16="http://schemas.microsoft.com/office/drawing/2014/chart" uri="{C3380CC4-5D6E-409C-BE32-E72D297353CC}">
              <c16:uniqueId val="{00000001-B242-47A5-BFA0-3B8BDB3CCCB8}"/>
            </c:ext>
          </c:extLst>
        </c:ser>
        <c:dLbls>
          <c:showLegendKey val="0"/>
          <c:showVal val="0"/>
          <c:showCatName val="0"/>
          <c:showSerName val="0"/>
          <c:showPercent val="0"/>
          <c:showBubbleSize val="0"/>
        </c:dLbls>
        <c:axId val="1366896671"/>
        <c:axId val="1366898111"/>
      </c:scatterChart>
      <c:valAx>
        <c:axId val="1366896671"/>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898111"/>
        <c:crosses val="autoZero"/>
        <c:crossBetween val="midCat"/>
      </c:valAx>
      <c:valAx>
        <c:axId val="13668981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8966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image" Target="../media/image6.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xdr:row>
      <xdr:rowOff>0</xdr:rowOff>
    </xdr:from>
    <xdr:to>
      <xdr:col>11</xdr:col>
      <xdr:colOff>389283</xdr:colOff>
      <xdr:row>28</xdr:row>
      <xdr:rowOff>86637</xdr:rowOff>
    </xdr:to>
    <xdr:pic>
      <xdr:nvPicPr>
        <xdr:cNvPr id="3" name="Picture 2">
          <a:extLst>
            <a:ext uri="{FF2B5EF4-FFF2-40B4-BE49-F238E27FC236}">
              <a16:creationId xmlns:a16="http://schemas.microsoft.com/office/drawing/2014/main" id="{DC6B1657-63CA-53A2-DFE5-3EE63C267240}"/>
            </a:ext>
          </a:extLst>
        </xdr:cNvPr>
        <xdr:cNvPicPr>
          <a:picLocks noChangeAspect="1"/>
        </xdr:cNvPicPr>
      </xdr:nvPicPr>
      <xdr:blipFill>
        <a:blip xmlns:r="http://schemas.openxmlformats.org/officeDocument/2006/relationships" r:embed="rId1"/>
        <a:stretch>
          <a:fillRect/>
        </a:stretch>
      </xdr:blipFill>
      <xdr:spPr>
        <a:xfrm>
          <a:off x="612913" y="2857500"/>
          <a:ext cx="6460435" cy="23726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396375</xdr:colOff>
      <xdr:row>8</xdr:row>
      <xdr:rowOff>97170</xdr:rowOff>
    </xdr:from>
    <xdr:to>
      <xdr:col>14</xdr:col>
      <xdr:colOff>34425</xdr:colOff>
      <xdr:row>23</xdr:row>
      <xdr:rowOff>119396</xdr:rowOff>
    </xdr:to>
    <xdr:graphicFrame macro="">
      <xdr:nvGraphicFramePr>
        <xdr:cNvPr id="2" name="Chart 1">
          <a:extLst>
            <a:ext uri="{FF2B5EF4-FFF2-40B4-BE49-F238E27FC236}">
              <a16:creationId xmlns:a16="http://schemas.microsoft.com/office/drawing/2014/main" id="{46B97F4F-9ACA-4C63-AFEC-7DEAC42670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209550</xdr:colOff>
      <xdr:row>8</xdr:row>
      <xdr:rowOff>66675</xdr:rowOff>
    </xdr:from>
    <xdr:to>
      <xdr:col>21</xdr:col>
      <xdr:colOff>514350</xdr:colOff>
      <xdr:row>23</xdr:row>
      <xdr:rowOff>79374</xdr:rowOff>
    </xdr:to>
    <xdr:graphicFrame macro="">
      <xdr:nvGraphicFramePr>
        <xdr:cNvPr id="9" name="Chart 8">
          <a:extLst>
            <a:ext uri="{FF2B5EF4-FFF2-40B4-BE49-F238E27FC236}">
              <a16:creationId xmlns:a16="http://schemas.microsoft.com/office/drawing/2014/main" id="{27B9B004-1D71-42E1-8CAA-E1CEE7B17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0</xdr:colOff>
      <xdr:row>29</xdr:row>
      <xdr:rowOff>0</xdr:rowOff>
    </xdr:from>
    <xdr:to>
      <xdr:col>22</xdr:col>
      <xdr:colOff>298279</xdr:colOff>
      <xdr:row>47</xdr:row>
      <xdr:rowOff>162971</xdr:rowOff>
    </xdr:to>
    <xdr:pic>
      <xdr:nvPicPr>
        <xdr:cNvPr id="26" name="Picture 25">
          <a:extLst>
            <a:ext uri="{FF2B5EF4-FFF2-40B4-BE49-F238E27FC236}">
              <a16:creationId xmlns:a16="http://schemas.microsoft.com/office/drawing/2014/main" id="{23BB54AF-4E36-4AA9-98F2-5B863436327A}"/>
            </a:ext>
          </a:extLst>
        </xdr:cNvPr>
        <xdr:cNvPicPr>
          <a:picLocks noChangeAspect="1"/>
        </xdr:cNvPicPr>
      </xdr:nvPicPr>
      <xdr:blipFill>
        <a:blip xmlns:r="http://schemas.openxmlformats.org/officeDocument/2006/relationships" r:embed="rId3"/>
        <a:stretch>
          <a:fillRect/>
        </a:stretch>
      </xdr:blipFill>
      <xdr:spPr>
        <a:xfrm>
          <a:off x="8852647" y="5199529"/>
          <a:ext cx="5132870" cy="3383916"/>
        </a:xfrm>
        <a:prstGeom prst="rect">
          <a:avLst/>
        </a:prstGeom>
      </xdr:spPr>
    </xdr:pic>
    <xdr:clientData/>
  </xdr:twoCellAnchor>
  <xdr:twoCellAnchor editAs="oneCell">
    <xdr:from>
      <xdr:col>14</xdr:col>
      <xdr:colOff>0</xdr:colOff>
      <xdr:row>48</xdr:row>
      <xdr:rowOff>0</xdr:rowOff>
    </xdr:from>
    <xdr:to>
      <xdr:col>22</xdr:col>
      <xdr:colOff>409762</xdr:colOff>
      <xdr:row>66</xdr:row>
      <xdr:rowOff>49654</xdr:rowOff>
    </xdr:to>
    <xdr:pic>
      <xdr:nvPicPr>
        <xdr:cNvPr id="29" name="Picture 28">
          <a:extLst>
            <a:ext uri="{FF2B5EF4-FFF2-40B4-BE49-F238E27FC236}">
              <a16:creationId xmlns:a16="http://schemas.microsoft.com/office/drawing/2014/main" id="{2C311897-A09E-4FF3-93DE-DC126409C2DE}"/>
            </a:ext>
          </a:extLst>
        </xdr:cNvPr>
        <xdr:cNvPicPr>
          <a:picLocks noChangeAspect="1"/>
        </xdr:cNvPicPr>
      </xdr:nvPicPr>
      <xdr:blipFill>
        <a:blip xmlns:r="http://schemas.openxmlformats.org/officeDocument/2006/relationships" r:embed="rId4"/>
        <a:stretch>
          <a:fillRect/>
        </a:stretch>
      </xdr:blipFill>
      <xdr:spPr>
        <a:xfrm>
          <a:off x="8852647" y="8606118"/>
          <a:ext cx="5250703" cy="3276948"/>
        </a:xfrm>
        <a:prstGeom prst="rect">
          <a:avLst/>
        </a:prstGeom>
      </xdr:spPr>
    </xdr:pic>
    <xdr:clientData/>
  </xdr:twoCellAnchor>
  <xdr:twoCellAnchor editAs="oneCell">
    <xdr:from>
      <xdr:col>23</xdr:col>
      <xdr:colOff>0</xdr:colOff>
      <xdr:row>29</xdr:row>
      <xdr:rowOff>0</xdr:rowOff>
    </xdr:from>
    <xdr:to>
      <xdr:col>30</xdr:col>
      <xdr:colOff>349895</xdr:colOff>
      <xdr:row>46</xdr:row>
      <xdr:rowOff>19482</xdr:rowOff>
    </xdr:to>
    <xdr:pic>
      <xdr:nvPicPr>
        <xdr:cNvPr id="30" name="Picture 29">
          <a:extLst>
            <a:ext uri="{FF2B5EF4-FFF2-40B4-BE49-F238E27FC236}">
              <a16:creationId xmlns:a16="http://schemas.microsoft.com/office/drawing/2014/main" id="{A13D0172-305E-482F-98A0-5D32062D291C}"/>
            </a:ext>
          </a:extLst>
        </xdr:cNvPr>
        <xdr:cNvPicPr>
          <a:picLocks noChangeAspect="1"/>
        </xdr:cNvPicPr>
      </xdr:nvPicPr>
      <xdr:blipFill>
        <a:blip xmlns:r="http://schemas.openxmlformats.org/officeDocument/2006/relationships" r:embed="rId5"/>
        <a:stretch>
          <a:fillRect/>
        </a:stretch>
      </xdr:blipFill>
      <xdr:spPr>
        <a:xfrm>
          <a:off x="14298706" y="5199529"/>
          <a:ext cx="4585718" cy="3067482"/>
        </a:xfrm>
        <a:prstGeom prst="rect">
          <a:avLst/>
        </a:prstGeom>
      </xdr:spPr>
    </xdr:pic>
    <xdr:clientData/>
  </xdr:twoCellAnchor>
  <xdr:twoCellAnchor editAs="oneCell">
    <xdr:from>
      <xdr:col>23</xdr:col>
      <xdr:colOff>0</xdr:colOff>
      <xdr:row>47</xdr:row>
      <xdr:rowOff>0</xdr:rowOff>
    </xdr:from>
    <xdr:to>
      <xdr:col>30</xdr:col>
      <xdr:colOff>311789</xdr:colOff>
      <xdr:row>62</xdr:row>
      <xdr:rowOff>44837</xdr:rowOff>
    </xdr:to>
    <xdr:pic>
      <xdr:nvPicPr>
        <xdr:cNvPr id="32" name="Picture 31">
          <a:extLst>
            <a:ext uri="{FF2B5EF4-FFF2-40B4-BE49-F238E27FC236}">
              <a16:creationId xmlns:a16="http://schemas.microsoft.com/office/drawing/2014/main" id="{8CC4BCF6-C978-4D93-BE07-62DF8F965306}"/>
            </a:ext>
          </a:extLst>
        </xdr:cNvPr>
        <xdr:cNvPicPr>
          <a:picLocks noChangeAspect="1"/>
        </xdr:cNvPicPr>
      </xdr:nvPicPr>
      <xdr:blipFill>
        <a:blip xmlns:r="http://schemas.openxmlformats.org/officeDocument/2006/relationships" r:embed="rId6"/>
        <a:stretch>
          <a:fillRect/>
        </a:stretch>
      </xdr:blipFill>
      <xdr:spPr>
        <a:xfrm>
          <a:off x="14298706" y="8426824"/>
          <a:ext cx="4547612" cy="2734248"/>
        </a:xfrm>
        <a:prstGeom prst="rect">
          <a:avLst/>
        </a:prstGeom>
      </xdr:spPr>
    </xdr:pic>
    <xdr:clientData/>
  </xdr:twoCellAnchor>
  <xdr:twoCellAnchor editAs="oneCell">
    <xdr:from>
      <xdr:col>11</xdr:col>
      <xdr:colOff>0</xdr:colOff>
      <xdr:row>68</xdr:row>
      <xdr:rowOff>0</xdr:rowOff>
    </xdr:from>
    <xdr:to>
      <xdr:col>16</xdr:col>
      <xdr:colOff>590550</xdr:colOff>
      <xdr:row>84</xdr:row>
      <xdr:rowOff>44450</xdr:rowOff>
    </xdr:to>
    <xdr:pic>
      <xdr:nvPicPr>
        <xdr:cNvPr id="33" name="Picture 32">
          <a:extLst>
            <a:ext uri="{FF2B5EF4-FFF2-40B4-BE49-F238E27FC236}">
              <a16:creationId xmlns:a16="http://schemas.microsoft.com/office/drawing/2014/main" id="{5B9AF536-B693-D47E-7FA5-9A251625BF2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6970059" y="12954000"/>
          <a:ext cx="3616138" cy="3092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83297</xdr:colOff>
      <xdr:row>67</xdr:row>
      <xdr:rowOff>123266</xdr:rowOff>
    </xdr:from>
    <xdr:to>
      <xdr:col>16</xdr:col>
      <xdr:colOff>161739</xdr:colOff>
      <xdr:row>84</xdr:row>
      <xdr:rowOff>44824</xdr:rowOff>
    </xdr:to>
    <xdr:graphicFrame macro="">
      <xdr:nvGraphicFramePr>
        <xdr:cNvPr id="34" name="Chart 33">
          <a:extLst>
            <a:ext uri="{FF2B5EF4-FFF2-40B4-BE49-F238E27FC236}">
              <a16:creationId xmlns:a16="http://schemas.microsoft.com/office/drawing/2014/main" id="{EE9B74C4-8F76-4EA6-7417-4605E2861A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95249</xdr:colOff>
      <xdr:row>18</xdr:row>
      <xdr:rowOff>188291</xdr:rowOff>
    </xdr:from>
    <xdr:to>
      <xdr:col>16</xdr:col>
      <xdr:colOff>567357</xdr:colOff>
      <xdr:row>33</xdr:row>
      <xdr:rowOff>32578</xdr:rowOff>
    </xdr:to>
    <xdr:graphicFrame macro="">
      <xdr:nvGraphicFramePr>
        <xdr:cNvPr id="2" name="Chart 1">
          <a:extLst>
            <a:ext uri="{FF2B5EF4-FFF2-40B4-BE49-F238E27FC236}">
              <a16:creationId xmlns:a16="http://schemas.microsoft.com/office/drawing/2014/main" id="{471CA160-2724-92E4-7169-B4CECAF14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10</xdr:col>
      <xdr:colOff>573315</xdr:colOff>
      <xdr:row>35</xdr:row>
      <xdr:rowOff>85725</xdr:rowOff>
    </xdr:to>
    <xdr:pic>
      <xdr:nvPicPr>
        <xdr:cNvPr id="3" name="Picture 2" descr="Line graph showing U.S. Tractor Prices Paid Index from 2000 to 2024. The index starts at 68 in 2000 and rises to 70 in 2002, 76 in 2005, 82 in 2007, 91 in 2009, 100 in 2011, 106 in 2013, 110 in 2015, and 113 in 2017. The index dips slightly to 112 in 2018, then rises to 123 in 2021, followed by sharp increases to 138 in 2023 and 139 in 2024. The trend shows generally steady growth with a notable dip in 2018 and particularly steep increases after 2020. Source: USDA, NASS.">
          <a:extLst>
            <a:ext uri="{FF2B5EF4-FFF2-40B4-BE49-F238E27FC236}">
              <a16:creationId xmlns:a16="http://schemas.microsoft.com/office/drawing/2014/main" id="{51158697-A946-42D5-B1A2-8CA2048C43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048000"/>
          <a:ext cx="8315779" cy="465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9EECAA4-A0D8-4A5D-A114-379602E85824}">
  <we:reference id="WA200009404" version="1.0.0.8" store="Omex" storeType="OMEX"/>
  <we:alternateReferences>
    <we:reference id="WA200009404" version="1.0.0.8" store="WA200009404" storeType="OMEX"/>
  </we:alternateReferences>
  <we:properties>
    <we:property name="claude.fileId" value="&quot;ada1456a-29a4-459e-9a42-00ee0237d42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6B216-0153-49F1-A327-FA35702ED267}">
  <dimension ref="A1:B74"/>
  <sheetViews>
    <sheetView workbookViewId="0">
      <selection activeCell="G21" sqref="G21"/>
    </sheetView>
  </sheetViews>
  <sheetFormatPr defaultRowHeight="14.5" x14ac:dyDescent="0.35"/>
  <cols>
    <col min="2" max="2" width="60.453125" customWidth="1"/>
  </cols>
  <sheetData>
    <row r="1" spans="1:2" x14ac:dyDescent="0.35">
      <c r="A1" s="1" t="s">
        <v>16</v>
      </c>
    </row>
    <row r="2" spans="1:2" x14ac:dyDescent="0.35">
      <c r="A2" s="4" t="s">
        <v>37</v>
      </c>
      <c r="B2" s="4"/>
    </row>
    <row r="3" spans="1:2" x14ac:dyDescent="0.35">
      <c r="A3" s="1" t="s">
        <v>0</v>
      </c>
      <c r="B3" s="15" t="s">
        <v>26</v>
      </c>
    </row>
    <row r="4" spans="1:2" x14ac:dyDescent="0.35">
      <c r="B4" s="2">
        <v>2022</v>
      </c>
    </row>
    <row r="5" spans="1:2" x14ac:dyDescent="0.35">
      <c r="B5" t="s">
        <v>29</v>
      </c>
    </row>
    <row r="6" spans="1:2" x14ac:dyDescent="0.35">
      <c r="B6" t="s">
        <v>27</v>
      </c>
    </row>
    <row r="7" spans="1:2" x14ac:dyDescent="0.35">
      <c r="B7" t="s">
        <v>28</v>
      </c>
    </row>
    <row r="9" spans="1:2" x14ac:dyDescent="0.35">
      <c r="B9" s="15" t="s">
        <v>26</v>
      </c>
    </row>
    <row r="10" spans="1:2" x14ac:dyDescent="0.35">
      <c r="B10" s="2">
        <v>2023</v>
      </c>
    </row>
    <row r="11" spans="1:2" x14ac:dyDescent="0.35">
      <c r="B11" t="s">
        <v>30</v>
      </c>
    </row>
    <row r="12" spans="1:2" x14ac:dyDescent="0.35">
      <c r="B12" t="s">
        <v>34</v>
      </c>
    </row>
    <row r="13" spans="1:2" x14ac:dyDescent="0.35">
      <c r="B13" t="s">
        <v>31</v>
      </c>
    </row>
    <row r="15" spans="1:2" x14ac:dyDescent="0.35">
      <c r="B15" s="15" t="s">
        <v>26</v>
      </c>
    </row>
    <row r="16" spans="1:2" x14ac:dyDescent="0.35">
      <c r="B16" s="2">
        <v>2016</v>
      </c>
    </row>
    <row r="17" spans="2:2" x14ac:dyDescent="0.35">
      <c r="B17" t="s">
        <v>32</v>
      </c>
    </row>
    <row r="18" spans="2:2" x14ac:dyDescent="0.35">
      <c r="B18" t="s">
        <v>33</v>
      </c>
    </row>
    <row r="19" spans="2:2" x14ac:dyDescent="0.35">
      <c r="B19" t="s">
        <v>35</v>
      </c>
    </row>
    <row r="21" spans="2:2" x14ac:dyDescent="0.35">
      <c r="B21" s="15" t="s">
        <v>26</v>
      </c>
    </row>
    <row r="22" spans="2:2" x14ac:dyDescent="0.35">
      <c r="B22" s="2">
        <v>2024</v>
      </c>
    </row>
    <row r="23" spans="2:2" x14ac:dyDescent="0.35">
      <c r="B23" t="s">
        <v>38</v>
      </c>
    </row>
    <row r="24" spans="2:2" x14ac:dyDescent="0.35">
      <c r="B24" t="s">
        <v>39</v>
      </c>
    </row>
    <row r="25" spans="2:2" x14ac:dyDescent="0.35">
      <c r="B25" t="s">
        <v>36</v>
      </c>
    </row>
    <row r="27" spans="2:2" x14ac:dyDescent="0.35">
      <c r="B27" s="15" t="s">
        <v>26</v>
      </c>
    </row>
    <row r="28" spans="2:2" x14ac:dyDescent="0.35">
      <c r="B28" s="2">
        <v>2023</v>
      </c>
    </row>
    <row r="29" spans="2:2" x14ac:dyDescent="0.35">
      <c r="B29" t="s">
        <v>40</v>
      </c>
    </row>
    <row r="30" spans="2:2" x14ac:dyDescent="0.35">
      <c r="B30" t="s">
        <v>41</v>
      </c>
    </row>
    <row r="31" spans="2:2" x14ac:dyDescent="0.35">
      <c r="B31" t="s">
        <v>42</v>
      </c>
    </row>
    <row r="33" spans="2:2" x14ac:dyDescent="0.35">
      <c r="B33" s="15" t="s">
        <v>26</v>
      </c>
    </row>
    <row r="34" spans="2:2" x14ac:dyDescent="0.35">
      <c r="B34" s="2">
        <v>2023</v>
      </c>
    </row>
    <row r="35" spans="2:2" x14ac:dyDescent="0.35">
      <c r="B35" t="s">
        <v>43</v>
      </c>
    </row>
    <row r="36" spans="2:2" x14ac:dyDescent="0.35">
      <c r="B36" t="s">
        <v>44</v>
      </c>
    </row>
    <row r="37" spans="2:2" x14ac:dyDescent="0.35">
      <c r="B37" t="s">
        <v>45</v>
      </c>
    </row>
    <row r="39" spans="2:2" x14ac:dyDescent="0.35">
      <c r="B39" s="15" t="s">
        <v>177</v>
      </c>
    </row>
    <row r="40" spans="2:2" x14ac:dyDescent="0.35">
      <c r="B40" s="2">
        <v>2014</v>
      </c>
    </row>
    <row r="41" spans="2:2" x14ac:dyDescent="0.35">
      <c r="B41" t="s">
        <v>178</v>
      </c>
    </row>
    <row r="42" spans="2:2" x14ac:dyDescent="0.35">
      <c r="B42" t="s">
        <v>179</v>
      </c>
    </row>
    <row r="43" spans="2:2" x14ac:dyDescent="0.35">
      <c r="B43" t="s">
        <v>207</v>
      </c>
    </row>
    <row r="45" spans="2:2" x14ac:dyDescent="0.35">
      <c r="B45" s="15" t="s">
        <v>177</v>
      </c>
    </row>
    <row r="46" spans="2:2" x14ac:dyDescent="0.35">
      <c r="B46" s="2">
        <v>2022</v>
      </c>
    </row>
    <row r="47" spans="2:2" x14ac:dyDescent="0.35">
      <c r="B47" t="s">
        <v>323</v>
      </c>
    </row>
    <row r="48" spans="2:2" x14ac:dyDescent="0.35">
      <c r="B48" t="s">
        <v>322</v>
      </c>
    </row>
    <row r="49" spans="1:2" x14ac:dyDescent="0.35">
      <c r="B49" t="s">
        <v>321</v>
      </c>
    </row>
    <row r="51" spans="1:2" x14ac:dyDescent="0.35">
      <c r="B51" s="15" t="s">
        <v>177</v>
      </c>
    </row>
    <row r="52" spans="1:2" x14ac:dyDescent="0.35">
      <c r="B52" s="2">
        <v>2022</v>
      </c>
    </row>
    <row r="53" spans="1:2" x14ac:dyDescent="0.35">
      <c r="B53" t="s">
        <v>375</v>
      </c>
    </row>
    <row r="54" spans="1:2" x14ac:dyDescent="0.35">
      <c r="B54" t="s">
        <v>374</v>
      </c>
    </row>
    <row r="55" spans="1:2" x14ac:dyDescent="0.35">
      <c r="B55" t="s">
        <v>373</v>
      </c>
    </row>
    <row r="57" spans="1:2" x14ac:dyDescent="0.35">
      <c r="B57" s="15" t="s">
        <v>516</v>
      </c>
    </row>
    <row r="58" spans="1:2" x14ac:dyDescent="0.35">
      <c r="B58" s="2">
        <v>2022</v>
      </c>
    </row>
    <row r="59" spans="1:2" x14ac:dyDescent="0.35">
      <c r="B59" t="s">
        <v>517</v>
      </c>
    </row>
    <row r="60" spans="1:2" x14ac:dyDescent="0.35">
      <c r="B60" t="s">
        <v>518</v>
      </c>
    </row>
    <row r="61" spans="1:2" x14ac:dyDescent="0.35">
      <c r="B61" t="s">
        <v>519</v>
      </c>
    </row>
    <row r="63" spans="1:2" x14ac:dyDescent="0.35">
      <c r="A63" s="1" t="s">
        <v>1</v>
      </c>
    </row>
    <row r="64" spans="1:2" x14ac:dyDescent="0.35">
      <c r="A64" t="s">
        <v>17</v>
      </c>
    </row>
    <row r="65" spans="1:1" x14ac:dyDescent="0.35">
      <c r="A65" t="s">
        <v>18</v>
      </c>
    </row>
    <row r="66" spans="1:1" x14ac:dyDescent="0.35">
      <c r="A66" t="s">
        <v>19</v>
      </c>
    </row>
    <row r="68" spans="1:1" x14ac:dyDescent="0.35">
      <c r="A68" t="s">
        <v>20</v>
      </c>
    </row>
    <row r="69" spans="1:1" x14ac:dyDescent="0.35">
      <c r="A69" t="s">
        <v>21</v>
      </c>
    </row>
    <row r="70" spans="1:1" x14ac:dyDescent="0.35">
      <c r="A70" t="s">
        <v>22</v>
      </c>
    </row>
    <row r="72" spans="1:1" x14ac:dyDescent="0.35">
      <c r="A72" t="s">
        <v>23</v>
      </c>
    </row>
    <row r="73" spans="1:1" x14ac:dyDescent="0.35">
      <c r="A73" t="s">
        <v>24</v>
      </c>
    </row>
    <row r="74" spans="1:1" x14ac:dyDescent="0.35">
      <c r="A74" t="s">
        <v>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034FE-671A-414C-B645-6D2F26709972}">
  <dimension ref="A1:O62"/>
  <sheetViews>
    <sheetView topLeftCell="A40" workbookViewId="0">
      <selection activeCell="D39" sqref="D39"/>
    </sheetView>
  </sheetViews>
  <sheetFormatPr defaultRowHeight="14.5" x14ac:dyDescent="0.35"/>
  <cols>
    <col min="14" max="14" width="10.54296875" customWidth="1"/>
    <col min="15" max="15" width="28.1796875" customWidth="1"/>
  </cols>
  <sheetData>
    <row r="1" spans="1:7" x14ac:dyDescent="0.35">
      <c r="A1" t="s">
        <v>520</v>
      </c>
    </row>
    <row r="2" spans="1:7" x14ac:dyDescent="0.35">
      <c r="A2" t="s">
        <v>521</v>
      </c>
    </row>
    <row r="3" spans="1:7" x14ac:dyDescent="0.35">
      <c r="A3" t="s">
        <v>522</v>
      </c>
    </row>
    <row r="4" spans="1:7" x14ac:dyDescent="0.35">
      <c r="A4" t="s">
        <v>523</v>
      </c>
      <c r="B4" t="s">
        <v>524</v>
      </c>
      <c r="D4" t="s">
        <v>525</v>
      </c>
      <c r="E4" t="s">
        <v>526</v>
      </c>
      <c r="G4" s="1" t="s">
        <v>527</v>
      </c>
    </row>
    <row r="5" spans="1:7" x14ac:dyDescent="0.35">
      <c r="B5" t="s">
        <v>528</v>
      </c>
      <c r="C5" t="s">
        <v>529</v>
      </c>
      <c r="E5" t="s">
        <v>530</v>
      </c>
      <c r="F5" t="s">
        <v>525</v>
      </c>
    </row>
    <row r="6" spans="1:7" x14ac:dyDescent="0.35">
      <c r="A6" t="s">
        <v>531</v>
      </c>
      <c r="B6" t="s">
        <v>532</v>
      </c>
      <c r="C6" t="s">
        <v>532</v>
      </c>
      <c r="D6">
        <v>34.799999999999997</v>
      </c>
      <c r="E6">
        <v>4.7</v>
      </c>
      <c r="F6">
        <v>4.2</v>
      </c>
    </row>
    <row r="7" spans="1:7" x14ac:dyDescent="0.35">
      <c r="A7" t="s">
        <v>533</v>
      </c>
      <c r="B7" t="s">
        <v>532</v>
      </c>
      <c r="C7" t="s">
        <v>532</v>
      </c>
      <c r="D7">
        <v>36.700000000000003</v>
      </c>
      <c r="E7">
        <v>6.2</v>
      </c>
      <c r="F7">
        <v>5.5</v>
      </c>
    </row>
    <row r="8" spans="1:7" x14ac:dyDescent="0.35">
      <c r="A8" t="s">
        <v>534</v>
      </c>
      <c r="B8" t="s">
        <v>532</v>
      </c>
      <c r="C8" t="s">
        <v>532</v>
      </c>
      <c r="D8">
        <v>38.799999999999997</v>
      </c>
      <c r="E8">
        <v>5.6</v>
      </c>
      <c r="F8">
        <v>5.7</v>
      </c>
    </row>
    <row r="9" spans="1:7" x14ac:dyDescent="0.35">
      <c r="A9" t="s">
        <v>535</v>
      </c>
      <c r="B9" t="s">
        <v>532</v>
      </c>
      <c r="C9" t="s">
        <v>532</v>
      </c>
      <c r="D9">
        <v>40.5</v>
      </c>
      <c r="E9">
        <v>3.3</v>
      </c>
      <c r="F9">
        <v>4.4000000000000004</v>
      </c>
    </row>
    <row r="10" spans="1:7" x14ac:dyDescent="0.35">
      <c r="A10" t="s">
        <v>536</v>
      </c>
      <c r="B10" t="s">
        <v>532</v>
      </c>
      <c r="C10" t="s">
        <v>532</v>
      </c>
      <c r="D10">
        <v>41.8</v>
      </c>
      <c r="E10">
        <v>3.4</v>
      </c>
      <c r="F10">
        <v>3.2</v>
      </c>
    </row>
    <row r="11" spans="1:7" x14ac:dyDescent="0.35">
      <c r="A11" t="s">
        <v>537</v>
      </c>
      <c r="B11" t="s">
        <v>532</v>
      </c>
      <c r="C11" t="s">
        <v>532</v>
      </c>
      <c r="D11">
        <v>44.4</v>
      </c>
      <c r="E11">
        <v>8.6999999999999993</v>
      </c>
      <c r="F11">
        <v>6.2</v>
      </c>
    </row>
    <row r="12" spans="1:7" x14ac:dyDescent="0.35">
      <c r="A12" t="s">
        <v>538</v>
      </c>
      <c r="B12" t="s">
        <v>532</v>
      </c>
      <c r="C12" t="s">
        <v>532</v>
      </c>
      <c r="D12">
        <v>49.3</v>
      </c>
      <c r="E12">
        <v>12.3</v>
      </c>
      <c r="F12">
        <v>11</v>
      </c>
    </row>
    <row r="13" spans="1:7" x14ac:dyDescent="0.35">
      <c r="A13" t="s">
        <v>539</v>
      </c>
      <c r="B13" t="s">
        <v>532</v>
      </c>
      <c r="C13" t="s">
        <v>532</v>
      </c>
      <c r="D13">
        <v>53.8</v>
      </c>
      <c r="E13">
        <v>6.9</v>
      </c>
      <c r="F13">
        <v>9.1</v>
      </c>
    </row>
    <row r="14" spans="1:7" x14ac:dyDescent="0.35">
      <c r="A14" t="s">
        <v>540</v>
      </c>
      <c r="B14" t="s">
        <v>532</v>
      </c>
      <c r="C14" t="s">
        <v>532</v>
      </c>
      <c r="D14">
        <v>56.9</v>
      </c>
      <c r="E14">
        <v>4.9000000000000004</v>
      </c>
      <c r="F14">
        <v>5.8</v>
      </c>
    </row>
    <row r="15" spans="1:7" x14ac:dyDescent="0.35">
      <c r="A15" t="s">
        <v>541</v>
      </c>
      <c r="B15" t="s">
        <v>532</v>
      </c>
      <c r="C15" t="s">
        <v>532</v>
      </c>
      <c r="D15">
        <v>60.6</v>
      </c>
      <c r="E15">
        <v>6.7</v>
      </c>
      <c r="F15">
        <v>6.5</v>
      </c>
    </row>
    <row r="16" spans="1:7" x14ac:dyDescent="0.35">
      <c r="A16" t="s">
        <v>542</v>
      </c>
      <c r="B16" t="s">
        <v>532</v>
      </c>
      <c r="C16" t="s">
        <v>532</v>
      </c>
      <c r="D16">
        <v>65.2</v>
      </c>
      <c r="E16">
        <v>9</v>
      </c>
      <c r="F16">
        <v>7.6</v>
      </c>
    </row>
    <row r="17" spans="1:15" x14ac:dyDescent="0.35">
      <c r="A17" t="s">
        <v>543</v>
      </c>
      <c r="B17" t="s">
        <v>532</v>
      </c>
      <c r="C17" t="s">
        <v>532</v>
      </c>
      <c r="D17">
        <v>72.599999999999994</v>
      </c>
      <c r="E17">
        <v>13.3</v>
      </c>
      <c r="F17">
        <v>11.3</v>
      </c>
    </row>
    <row r="18" spans="1:15" x14ac:dyDescent="0.35">
      <c r="A18" t="s">
        <v>544</v>
      </c>
      <c r="B18" t="s">
        <v>532</v>
      </c>
      <c r="C18" t="s">
        <v>532</v>
      </c>
      <c r="D18">
        <v>82.4</v>
      </c>
      <c r="E18">
        <v>12.5</v>
      </c>
      <c r="F18">
        <v>13.5</v>
      </c>
    </row>
    <row r="19" spans="1:15" x14ac:dyDescent="0.35">
      <c r="A19" t="s">
        <v>545</v>
      </c>
      <c r="B19" t="s">
        <v>532</v>
      </c>
      <c r="C19" t="s">
        <v>532</v>
      </c>
      <c r="D19">
        <v>90.9</v>
      </c>
      <c r="E19">
        <v>8.9</v>
      </c>
      <c r="F19">
        <v>10.3</v>
      </c>
    </row>
    <row r="20" spans="1:15" x14ac:dyDescent="0.35">
      <c r="A20" t="s">
        <v>546</v>
      </c>
      <c r="B20" t="s">
        <v>532</v>
      </c>
      <c r="C20" t="s">
        <v>532</v>
      </c>
      <c r="D20">
        <v>96.5</v>
      </c>
      <c r="E20">
        <v>3.8</v>
      </c>
      <c r="F20">
        <v>6.2</v>
      </c>
    </row>
    <row r="21" spans="1:15" x14ac:dyDescent="0.35">
      <c r="A21" t="s">
        <v>547</v>
      </c>
      <c r="B21" t="s">
        <v>532</v>
      </c>
      <c r="C21" t="s">
        <v>532</v>
      </c>
      <c r="D21">
        <v>99.6</v>
      </c>
      <c r="E21">
        <v>3.8</v>
      </c>
      <c r="F21">
        <v>3.2</v>
      </c>
    </row>
    <row r="22" spans="1:15" x14ac:dyDescent="0.35">
      <c r="A22" t="s">
        <v>548</v>
      </c>
      <c r="B22" s="34">
        <v>102.9</v>
      </c>
      <c r="C22" s="34">
        <v>104.9</v>
      </c>
      <c r="D22" s="34">
        <v>103.9</v>
      </c>
      <c r="E22">
        <v>3.9</v>
      </c>
      <c r="F22">
        <v>4.3</v>
      </c>
    </row>
    <row r="23" spans="1:15" x14ac:dyDescent="0.35">
      <c r="A23" t="s">
        <v>549</v>
      </c>
      <c r="B23" s="34">
        <v>106.6</v>
      </c>
      <c r="C23" s="34">
        <v>108.5</v>
      </c>
      <c r="D23" s="34">
        <v>107.6</v>
      </c>
      <c r="E23">
        <v>3.8</v>
      </c>
      <c r="F23">
        <v>3.6</v>
      </c>
    </row>
    <row r="24" spans="1:15" x14ac:dyDescent="0.35">
      <c r="A24" t="s">
        <v>550</v>
      </c>
      <c r="B24" s="34">
        <v>109.1</v>
      </c>
      <c r="C24" s="34">
        <v>110.1</v>
      </c>
      <c r="D24" s="34">
        <v>109.6</v>
      </c>
      <c r="E24">
        <v>1.1000000000000001</v>
      </c>
      <c r="F24">
        <v>1.9</v>
      </c>
    </row>
    <row r="25" spans="1:15" x14ac:dyDescent="0.35">
      <c r="A25" t="s">
        <v>551</v>
      </c>
      <c r="B25" s="34">
        <v>112.4</v>
      </c>
      <c r="C25" s="34">
        <v>114.9</v>
      </c>
      <c r="D25" s="34">
        <v>113.6</v>
      </c>
      <c r="E25">
        <v>4.4000000000000004</v>
      </c>
      <c r="F25">
        <v>3.6</v>
      </c>
    </row>
    <row r="26" spans="1:15" x14ac:dyDescent="0.35">
      <c r="A26" t="s">
        <v>552</v>
      </c>
      <c r="B26" s="34">
        <v>116.8</v>
      </c>
      <c r="C26" s="34">
        <v>119.7</v>
      </c>
      <c r="D26" s="34">
        <v>118.3</v>
      </c>
      <c r="E26">
        <v>4.4000000000000004</v>
      </c>
      <c r="F26">
        <v>4.0999999999999996</v>
      </c>
    </row>
    <row r="27" spans="1:15" x14ac:dyDescent="0.35">
      <c r="A27" t="s">
        <v>553</v>
      </c>
      <c r="B27" s="34">
        <v>122.7</v>
      </c>
      <c r="C27" s="34">
        <v>125.3</v>
      </c>
      <c r="D27" s="34">
        <v>124</v>
      </c>
      <c r="E27">
        <v>4.5999999999999996</v>
      </c>
      <c r="F27">
        <v>4.8</v>
      </c>
    </row>
    <row r="28" spans="1:15" x14ac:dyDescent="0.35">
      <c r="A28" t="s">
        <v>554</v>
      </c>
      <c r="B28" s="34">
        <v>128.69999999999999</v>
      </c>
      <c r="C28" s="34">
        <v>132.6</v>
      </c>
      <c r="D28" s="34">
        <v>130.69999999999999</v>
      </c>
      <c r="E28">
        <v>6.1</v>
      </c>
      <c r="F28">
        <v>5.4</v>
      </c>
      <c r="G28" s="26">
        <f>$D$50/D28</f>
        <v>1.7566488140780414</v>
      </c>
    </row>
    <row r="29" spans="1:15" x14ac:dyDescent="0.35">
      <c r="A29" t="s">
        <v>555</v>
      </c>
      <c r="B29" s="34">
        <v>135.19999999999999</v>
      </c>
      <c r="C29" s="34">
        <v>137.19999999999999</v>
      </c>
      <c r="D29" s="34">
        <v>136.19999999999999</v>
      </c>
      <c r="E29">
        <v>3.1</v>
      </c>
      <c r="F29">
        <v>4.2</v>
      </c>
      <c r="G29" s="26">
        <f t="shared" ref="G29:G62" si="0">$D$50/D29</f>
        <v>1.6857121879588841</v>
      </c>
      <c r="M29" s="1"/>
      <c r="N29" s="1"/>
      <c r="O29" s="1"/>
    </row>
    <row r="30" spans="1:15" x14ac:dyDescent="0.35">
      <c r="A30" t="s">
        <v>556</v>
      </c>
      <c r="B30" s="34">
        <v>139.19999999999999</v>
      </c>
      <c r="C30" s="34">
        <v>141.4</v>
      </c>
      <c r="D30" s="34">
        <v>140.30000000000001</v>
      </c>
      <c r="E30">
        <v>2.9</v>
      </c>
      <c r="F30">
        <v>3</v>
      </c>
      <c r="G30" s="26">
        <f t="shared" si="0"/>
        <v>1.6364504632929435</v>
      </c>
      <c r="M30" s="2"/>
      <c r="N30" s="2"/>
      <c r="O30" s="35"/>
    </row>
    <row r="31" spans="1:15" x14ac:dyDescent="0.35">
      <c r="A31" t="s">
        <v>557</v>
      </c>
      <c r="B31" s="34">
        <v>143.69999999999999</v>
      </c>
      <c r="C31" s="34">
        <v>145.30000000000001</v>
      </c>
      <c r="D31" s="34">
        <v>144.5</v>
      </c>
      <c r="E31">
        <v>2.7</v>
      </c>
      <c r="F31">
        <v>3</v>
      </c>
      <c r="G31" s="26">
        <f t="shared" si="0"/>
        <v>1.5888858131487889</v>
      </c>
      <c r="M31" s="2"/>
      <c r="N31" s="2"/>
      <c r="O31" s="35"/>
    </row>
    <row r="32" spans="1:15" x14ac:dyDescent="0.35">
      <c r="A32" t="s">
        <v>558</v>
      </c>
      <c r="B32" s="34">
        <v>147.19999999999999</v>
      </c>
      <c r="C32" s="34">
        <v>149.30000000000001</v>
      </c>
      <c r="D32" s="34">
        <v>148.19999999999999</v>
      </c>
      <c r="E32">
        <v>2.7</v>
      </c>
      <c r="F32">
        <v>2.6</v>
      </c>
      <c r="G32" s="26">
        <f t="shared" si="0"/>
        <v>1.5492172739541161</v>
      </c>
      <c r="M32" s="2"/>
      <c r="N32" s="2"/>
      <c r="O32" s="35"/>
    </row>
    <row r="33" spans="1:15" x14ac:dyDescent="0.35">
      <c r="A33" t="s">
        <v>559</v>
      </c>
      <c r="B33" s="34">
        <v>151.5</v>
      </c>
      <c r="C33" s="34">
        <v>153.19999999999999</v>
      </c>
      <c r="D33" s="34">
        <v>152.4</v>
      </c>
      <c r="E33">
        <v>2.5</v>
      </c>
      <c r="F33">
        <v>2.8</v>
      </c>
      <c r="G33" s="26">
        <f t="shared" si="0"/>
        <v>1.5065223097112861</v>
      </c>
      <c r="M33" s="2"/>
      <c r="N33" s="2"/>
      <c r="O33" s="35"/>
    </row>
    <row r="34" spans="1:15" x14ac:dyDescent="0.35">
      <c r="A34" t="s">
        <v>560</v>
      </c>
      <c r="B34" s="34">
        <v>155.80000000000001</v>
      </c>
      <c r="C34" s="34">
        <v>157.9</v>
      </c>
      <c r="D34" s="34">
        <v>156.9</v>
      </c>
      <c r="E34">
        <v>3.3</v>
      </c>
      <c r="F34">
        <v>3</v>
      </c>
      <c r="G34" s="26">
        <f t="shared" si="0"/>
        <v>1.4633142128744423</v>
      </c>
      <c r="M34" s="2"/>
      <c r="N34" s="2"/>
      <c r="O34" s="35"/>
    </row>
    <row r="35" spans="1:15" x14ac:dyDescent="0.35">
      <c r="A35" t="s">
        <v>561</v>
      </c>
      <c r="B35" s="34">
        <v>159.9</v>
      </c>
      <c r="C35" s="34">
        <v>161.19999999999999</v>
      </c>
      <c r="D35" s="34">
        <v>160.5</v>
      </c>
      <c r="E35">
        <v>1.7</v>
      </c>
      <c r="F35">
        <v>2.2999999999999998</v>
      </c>
      <c r="G35" s="26">
        <f t="shared" si="0"/>
        <v>1.4304922118380061</v>
      </c>
      <c r="M35" s="2"/>
      <c r="N35" s="2"/>
      <c r="O35" s="35"/>
    </row>
    <row r="36" spans="1:15" x14ac:dyDescent="0.35">
      <c r="A36" t="s">
        <v>562</v>
      </c>
      <c r="B36" s="34">
        <v>162.30000000000001</v>
      </c>
      <c r="C36" s="34">
        <v>163.69999999999999</v>
      </c>
      <c r="D36" s="34">
        <v>163</v>
      </c>
      <c r="E36">
        <v>1.6</v>
      </c>
      <c r="F36">
        <v>1.6</v>
      </c>
      <c r="G36" s="26">
        <f t="shared" si="0"/>
        <v>1.4085521472392637</v>
      </c>
      <c r="M36" s="2"/>
      <c r="N36" s="2"/>
      <c r="O36" s="35"/>
    </row>
    <row r="37" spans="1:15" x14ac:dyDescent="0.35">
      <c r="A37" t="s">
        <v>563</v>
      </c>
      <c r="B37" s="34">
        <v>165.4</v>
      </c>
      <c r="C37" s="34">
        <v>167.8</v>
      </c>
      <c r="D37" s="34">
        <v>166.6</v>
      </c>
      <c r="E37">
        <v>2.7</v>
      </c>
      <c r="F37">
        <v>2.2000000000000002</v>
      </c>
      <c r="G37" s="26">
        <f t="shared" si="0"/>
        <v>1.3781152460984394</v>
      </c>
      <c r="M37" s="2"/>
      <c r="N37" s="2"/>
      <c r="O37" s="35"/>
    </row>
    <row r="38" spans="1:15" x14ac:dyDescent="0.35">
      <c r="A38" t="s">
        <v>564</v>
      </c>
      <c r="B38" s="34">
        <v>170.8</v>
      </c>
      <c r="C38" s="34">
        <v>173.6</v>
      </c>
      <c r="D38" s="34">
        <v>172.2</v>
      </c>
      <c r="E38">
        <v>3.4</v>
      </c>
      <c r="F38">
        <v>3.4</v>
      </c>
      <c r="G38" s="26">
        <f t="shared" si="0"/>
        <v>1.3332984901277585</v>
      </c>
      <c r="M38" s="2"/>
      <c r="N38" s="36"/>
      <c r="O38" s="35"/>
    </row>
    <row r="39" spans="1:15" x14ac:dyDescent="0.35">
      <c r="A39" t="s">
        <v>565</v>
      </c>
      <c r="B39" s="34">
        <v>176.6</v>
      </c>
      <c r="C39" s="34">
        <v>177.5</v>
      </c>
      <c r="D39" s="34">
        <v>177.1</v>
      </c>
      <c r="E39">
        <v>1.6</v>
      </c>
      <c r="F39">
        <v>2.8</v>
      </c>
      <c r="G39" s="26">
        <f t="shared" si="0"/>
        <v>1.2964088085827217</v>
      </c>
      <c r="M39" s="2"/>
      <c r="N39" s="2"/>
      <c r="O39" s="35"/>
    </row>
    <row r="40" spans="1:15" x14ac:dyDescent="0.35">
      <c r="A40" t="s">
        <v>566</v>
      </c>
      <c r="B40" s="34">
        <v>178.9</v>
      </c>
      <c r="C40" s="34">
        <v>180.9</v>
      </c>
      <c r="D40" s="34">
        <v>179.9</v>
      </c>
      <c r="E40">
        <v>2.4</v>
      </c>
      <c r="F40">
        <v>1.6</v>
      </c>
      <c r="G40" s="26">
        <f t="shared" si="0"/>
        <v>1.276231239577543</v>
      </c>
      <c r="M40" s="2"/>
      <c r="N40" s="2"/>
      <c r="O40" s="35"/>
    </row>
    <row r="41" spans="1:15" x14ac:dyDescent="0.35">
      <c r="A41" t="s">
        <v>567</v>
      </c>
      <c r="B41" s="34">
        <v>183.3</v>
      </c>
      <c r="C41" s="34">
        <v>184.6</v>
      </c>
      <c r="D41" s="34">
        <v>184</v>
      </c>
      <c r="E41">
        <v>1.9</v>
      </c>
      <c r="F41">
        <v>2.2999999999999998</v>
      </c>
      <c r="G41" s="26">
        <f t="shared" si="0"/>
        <v>1.2477934782608695</v>
      </c>
      <c r="M41" s="2"/>
      <c r="N41" s="2"/>
      <c r="O41" s="35"/>
    </row>
    <row r="42" spans="1:15" x14ac:dyDescent="0.35">
      <c r="A42" t="s">
        <v>568</v>
      </c>
      <c r="B42" s="34">
        <v>187.6</v>
      </c>
      <c r="C42" s="34">
        <v>190.2</v>
      </c>
      <c r="D42" s="34">
        <v>188.9</v>
      </c>
      <c r="E42">
        <v>3.3</v>
      </c>
      <c r="F42">
        <v>2.7</v>
      </c>
      <c r="G42" s="26">
        <f t="shared" si="0"/>
        <v>1.2154261514028586</v>
      </c>
      <c r="M42" s="2"/>
      <c r="N42" s="2"/>
      <c r="O42" s="35"/>
    </row>
    <row r="43" spans="1:15" x14ac:dyDescent="0.35">
      <c r="A43" t="s">
        <v>569</v>
      </c>
      <c r="B43" s="34">
        <v>193.2</v>
      </c>
      <c r="C43" s="34">
        <v>197.4</v>
      </c>
      <c r="D43" s="34">
        <v>195.3</v>
      </c>
      <c r="E43">
        <v>3.4</v>
      </c>
      <c r="F43">
        <v>3.4</v>
      </c>
      <c r="G43" s="26">
        <f t="shared" si="0"/>
        <v>1.1755965181771633</v>
      </c>
      <c r="M43" s="2"/>
      <c r="N43" s="36"/>
      <c r="O43" s="35"/>
    </row>
    <row r="44" spans="1:15" x14ac:dyDescent="0.35">
      <c r="A44" t="s">
        <v>570</v>
      </c>
      <c r="B44" s="34">
        <v>200.6</v>
      </c>
      <c r="C44" s="34">
        <v>202.6</v>
      </c>
      <c r="D44" s="34">
        <v>201.6</v>
      </c>
      <c r="E44">
        <v>2.5</v>
      </c>
      <c r="F44">
        <v>3.2</v>
      </c>
      <c r="G44" s="26">
        <f t="shared" si="0"/>
        <v>1.1388591269841271</v>
      </c>
      <c r="M44" s="2"/>
      <c r="N44" s="2"/>
      <c r="O44" s="35"/>
    </row>
    <row r="45" spans="1:15" x14ac:dyDescent="0.35">
      <c r="A45" t="s">
        <v>571</v>
      </c>
      <c r="B45" s="37">
        <v>205.709</v>
      </c>
      <c r="C45" s="37">
        <v>208.976</v>
      </c>
      <c r="D45" s="37">
        <v>207.34200000000001</v>
      </c>
      <c r="E45">
        <v>4.0999999999999996</v>
      </c>
      <c r="F45">
        <v>2.8</v>
      </c>
      <c r="G45" s="26">
        <f t="shared" si="0"/>
        <v>1.107320272786025</v>
      </c>
      <c r="M45" s="2"/>
      <c r="N45" s="2"/>
      <c r="O45" s="35"/>
    </row>
    <row r="46" spans="1:15" x14ac:dyDescent="0.35">
      <c r="A46" t="s">
        <v>572</v>
      </c>
      <c r="B46" s="37">
        <v>214.429</v>
      </c>
      <c r="C46" s="37">
        <v>216.17699999999999</v>
      </c>
      <c r="D46" s="37">
        <v>215.303</v>
      </c>
      <c r="E46">
        <v>0.1</v>
      </c>
      <c r="F46">
        <v>3.8</v>
      </c>
      <c r="G46" s="26">
        <f t="shared" si="0"/>
        <v>1.0663762232760343</v>
      </c>
      <c r="M46" s="2"/>
      <c r="N46" s="2"/>
      <c r="O46" s="35"/>
    </row>
    <row r="47" spans="1:15" x14ac:dyDescent="0.35">
      <c r="A47" t="s">
        <v>573</v>
      </c>
      <c r="B47" s="37">
        <v>213.13900000000001</v>
      </c>
      <c r="C47" s="37">
        <v>215.935</v>
      </c>
      <c r="D47" s="37">
        <v>214.53700000000001</v>
      </c>
      <c r="E47">
        <v>2.7</v>
      </c>
      <c r="F47">
        <v>-0.4</v>
      </c>
      <c r="G47" s="26">
        <f t="shared" si="0"/>
        <v>1.0701836979169095</v>
      </c>
      <c r="M47" s="2"/>
      <c r="N47" s="2"/>
      <c r="O47" s="35"/>
    </row>
    <row r="48" spans="1:15" x14ac:dyDescent="0.35">
      <c r="A48" t="s">
        <v>574</v>
      </c>
      <c r="B48" s="37">
        <v>217.535</v>
      </c>
      <c r="C48" s="37">
        <v>218.57599999999999</v>
      </c>
      <c r="D48" s="37">
        <v>218.05600000000001</v>
      </c>
      <c r="E48">
        <v>1.5</v>
      </c>
      <c r="F48">
        <v>1.6</v>
      </c>
      <c r="G48" s="26">
        <f t="shared" si="0"/>
        <v>1.0529130131709286</v>
      </c>
      <c r="M48" s="2"/>
      <c r="N48" s="2"/>
      <c r="O48" s="35"/>
    </row>
    <row r="49" spans="1:15" x14ac:dyDescent="0.35">
      <c r="A49" t="s">
        <v>575</v>
      </c>
      <c r="B49" s="37">
        <v>223.59800000000001</v>
      </c>
      <c r="C49" s="37">
        <v>226.28</v>
      </c>
      <c r="D49" s="37">
        <v>224.93899999999999</v>
      </c>
      <c r="E49">
        <v>3</v>
      </c>
      <c r="F49">
        <v>3.2</v>
      </c>
      <c r="G49" s="26">
        <f t="shared" si="0"/>
        <v>1.0206944993976144</v>
      </c>
      <c r="M49" s="2"/>
      <c r="N49" s="2"/>
      <c r="O49" s="35"/>
    </row>
    <row r="50" spans="1:15" x14ac:dyDescent="0.35">
      <c r="A50" t="s">
        <v>576</v>
      </c>
      <c r="B50" s="37">
        <v>228.85</v>
      </c>
      <c r="C50" s="37">
        <v>230.33799999999999</v>
      </c>
      <c r="D50" s="37">
        <v>229.59399999999999</v>
      </c>
      <c r="E50">
        <v>1.7</v>
      </c>
      <c r="F50">
        <v>2.1</v>
      </c>
      <c r="G50" s="26">
        <f t="shared" si="0"/>
        <v>1</v>
      </c>
      <c r="M50" s="2"/>
      <c r="N50" s="2"/>
      <c r="O50" s="35"/>
    </row>
    <row r="51" spans="1:15" x14ac:dyDescent="0.35">
      <c r="A51" t="s">
        <v>577</v>
      </c>
      <c r="B51" s="37">
        <v>232.36600000000001</v>
      </c>
      <c r="C51" s="37">
        <v>233.548</v>
      </c>
      <c r="D51" s="37">
        <v>232.95699999999999</v>
      </c>
      <c r="E51">
        <v>1.5</v>
      </c>
      <c r="F51">
        <v>1.5</v>
      </c>
      <c r="G51" s="26">
        <f t="shared" si="0"/>
        <v>0.98556385942470071</v>
      </c>
      <c r="M51" s="2"/>
      <c r="N51" s="2"/>
      <c r="O51" s="35"/>
    </row>
    <row r="52" spans="1:15" x14ac:dyDescent="0.35">
      <c r="A52" t="s">
        <v>578</v>
      </c>
      <c r="B52" s="37">
        <v>236.38399999999999</v>
      </c>
      <c r="C52" s="37">
        <v>237.08799999999999</v>
      </c>
      <c r="D52" s="37">
        <v>236.73599999999999</v>
      </c>
      <c r="E52">
        <v>0.8</v>
      </c>
      <c r="F52">
        <v>1.6</v>
      </c>
      <c r="G52" s="26">
        <f t="shared" si="0"/>
        <v>0.96983137334414704</v>
      </c>
      <c r="M52" s="2"/>
      <c r="N52" s="2"/>
      <c r="O52" s="35"/>
    </row>
    <row r="53" spans="1:15" x14ac:dyDescent="0.35">
      <c r="A53" t="s">
        <v>579</v>
      </c>
      <c r="B53" s="37">
        <v>236.26499999999999</v>
      </c>
      <c r="C53" s="37">
        <v>237.76900000000001</v>
      </c>
      <c r="D53" s="37">
        <v>237.017</v>
      </c>
      <c r="E53">
        <v>0.7</v>
      </c>
      <c r="F53">
        <v>0.1</v>
      </c>
      <c r="G53" s="26">
        <f t="shared" si="0"/>
        <v>0.9686815713640794</v>
      </c>
      <c r="M53" s="2"/>
      <c r="N53" s="2"/>
      <c r="O53" s="35"/>
    </row>
    <row r="54" spans="1:15" x14ac:dyDescent="0.35">
      <c r="A54" t="s">
        <v>580</v>
      </c>
      <c r="B54" s="37">
        <v>238.77799999999999</v>
      </c>
      <c r="C54" s="37">
        <v>241.23699999999999</v>
      </c>
      <c r="D54" s="37">
        <v>240.00700000000001</v>
      </c>
      <c r="E54">
        <v>2.1</v>
      </c>
      <c r="F54">
        <v>1.3</v>
      </c>
      <c r="G54" s="26">
        <f t="shared" si="0"/>
        <v>0.95661376543184151</v>
      </c>
      <c r="M54" s="2"/>
      <c r="N54" s="2"/>
      <c r="O54" s="35"/>
    </row>
    <row r="55" spans="1:15" x14ac:dyDescent="0.35">
      <c r="A55" t="s">
        <v>581</v>
      </c>
      <c r="B55" s="37">
        <v>244.07599999999999</v>
      </c>
      <c r="C55" s="37">
        <v>246.16300000000001</v>
      </c>
      <c r="D55" s="37">
        <v>245.12</v>
      </c>
      <c r="E55">
        <v>2.1</v>
      </c>
      <c r="F55">
        <v>2.1</v>
      </c>
      <c r="G55" s="26">
        <f t="shared" si="0"/>
        <v>0.93665959530026111</v>
      </c>
      <c r="M55" s="2"/>
      <c r="N55" s="2"/>
      <c r="O55" s="35"/>
    </row>
    <row r="56" spans="1:15" x14ac:dyDescent="0.35">
      <c r="A56" t="s">
        <v>582</v>
      </c>
      <c r="B56" s="37">
        <v>250.089</v>
      </c>
      <c r="C56" s="37">
        <v>252.125</v>
      </c>
      <c r="D56" s="37">
        <v>251.107</v>
      </c>
      <c r="E56">
        <v>1.9</v>
      </c>
      <c r="F56">
        <v>2.4</v>
      </c>
      <c r="G56" s="26">
        <f t="shared" si="0"/>
        <v>0.9143273584567535</v>
      </c>
      <c r="M56" s="2"/>
      <c r="N56" s="2"/>
      <c r="O56" s="35"/>
    </row>
    <row r="57" spans="1:15" x14ac:dyDescent="0.35">
      <c r="A57" t="s">
        <v>583</v>
      </c>
      <c r="B57" s="37">
        <v>254.41200000000001</v>
      </c>
      <c r="C57" s="37">
        <v>256.90300000000002</v>
      </c>
      <c r="D57" s="37">
        <v>255.65700000000001</v>
      </c>
      <c r="E57">
        <v>2.2999999999999998</v>
      </c>
      <c r="F57">
        <v>1.8</v>
      </c>
      <c r="G57" s="26">
        <f t="shared" si="0"/>
        <v>0.89805481563188172</v>
      </c>
    </row>
    <row r="58" spans="1:15" x14ac:dyDescent="0.35">
      <c r="A58" t="s">
        <v>584</v>
      </c>
      <c r="B58" s="37">
        <v>257.55700000000002</v>
      </c>
      <c r="C58" s="37">
        <v>260.065</v>
      </c>
      <c r="D58" s="37">
        <v>258.81099999999998</v>
      </c>
      <c r="E58">
        <v>1.4</v>
      </c>
      <c r="F58">
        <v>1.2</v>
      </c>
      <c r="G58" s="26">
        <f t="shared" si="0"/>
        <v>0.88711067149387013</v>
      </c>
    </row>
    <row r="59" spans="1:15" x14ac:dyDescent="0.35">
      <c r="A59" t="s">
        <v>585</v>
      </c>
      <c r="B59" s="37">
        <v>266.23599999999999</v>
      </c>
      <c r="C59" s="37">
        <v>275.70299999999997</v>
      </c>
      <c r="D59" s="37">
        <v>270.97000000000003</v>
      </c>
      <c r="E59">
        <v>7</v>
      </c>
      <c r="F59">
        <v>4.7</v>
      </c>
      <c r="G59" s="26">
        <f t="shared" si="0"/>
        <v>0.84730412960844359</v>
      </c>
    </row>
    <row r="60" spans="1:15" x14ac:dyDescent="0.35">
      <c r="A60" t="s">
        <v>586</v>
      </c>
      <c r="B60" s="37">
        <v>288.34699999999998</v>
      </c>
      <c r="C60" s="37">
        <v>296.96300000000002</v>
      </c>
      <c r="D60" s="37">
        <v>292.65499999999997</v>
      </c>
      <c r="E60">
        <v>6.5</v>
      </c>
      <c r="F60">
        <v>8</v>
      </c>
      <c r="G60" s="26">
        <f t="shared" si="0"/>
        <v>0.78452102304761584</v>
      </c>
    </row>
    <row r="61" spans="1:15" x14ac:dyDescent="0.35">
      <c r="A61" t="s">
        <v>587</v>
      </c>
      <c r="B61" s="37">
        <v>302.40800000000002</v>
      </c>
      <c r="C61" s="37">
        <v>306.99599999999998</v>
      </c>
      <c r="D61" s="37">
        <v>304.702</v>
      </c>
      <c r="G61" s="26">
        <f t="shared" si="0"/>
        <v>0.75350342301658668</v>
      </c>
    </row>
    <row r="62" spans="1:15" x14ac:dyDescent="0.35">
      <c r="A62" t="s">
        <v>588</v>
      </c>
      <c r="B62">
        <v>312.14499999999998</v>
      </c>
      <c r="C62">
        <v>315.233</v>
      </c>
      <c r="D62">
        <v>313.68900000000002</v>
      </c>
      <c r="G62" s="26">
        <f t="shared" si="0"/>
        <v>0.73191600598044548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6C323-AEA8-47A1-8400-4A398ED6DC8A}">
  <dimension ref="A1:H49"/>
  <sheetViews>
    <sheetView topLeftCell="A19" zoomScale="83" workbookViewId="0">
      <selection activeCell="F46" sqref="F46"/>
    </sheetView>
  </sheetViews>
  <sheetFormatPr defaultRowHeight="14.5" x14ac:dyDescent="0.35"/>
  <cols>
    <col min="1" max="1" width="15.453125" customWidth="1"/>
    <col min="2" max="2" width="10.54296875" customWidth="1"/>
  </cols>
  <sheetData>
    <row r="1" spans="1:8" x14ac:dyDescent="0.35">
      <c r="A1" s="13" t="s">
        <v>404</v>
      </c>
    </row>
    <row r="2" spans="1:8" x14ac:dyDescent="0.35">
      <c r="A2" s="13" t="s">
        <v>406</v>
      </c>
    </row>
    <row r="3" spans="1:8" x14ac:dyDescent="0.35">
      <c r="A3" s="1" t="s">
        <v>405</v>
      </c>
    </row>
    <row r="4" spans="1:8" x14ac:dyDescent="0.35">
      <c r="A4" s="1"/>
    </row>
    <row r="5" spans="1:8" x14ac:dyDescent="0.35">
      <c r="B5" t="s">
        <v>374</v>
      </c>
    </row>
    <row r="7" spans="1:8" x14ac:dyDescent="0.35">
      <c r="B7" t="s">
        <v>382</v>
      </c>
    </row>
    <row r="8" spans="1:8" x14ac:dyDescent="0.35">
      <c r="B8" t="s">
        <v>377</v>
      </c>
      <c r="C8" t="s">
        <v>378</v>
      </c>
      <c r="D8" t="s">
        <v>381</v>
      </c>
    </row>
    <row r="9" spans="1:8" x14ac:dyDescent="0.35">
      <c r="B9" t="s">
        <v>376</v>
      </c>
      <c r="C9" s="9">
        <v>0.59199999999999997</v>
      </c>
      <c r="D9">
        <v>112.5</v>
      </c>
    </row>
    <row r="10" spans="1:8" x14ac:dyDescent="0.35">
      <c r="B10" t="s">
        <v>379</v>
      </c>
      <c r="C10" s="12">
        <v>0.66</v>
      </c>
      <c r="D10">
        <v>150</v>
      </c>
      <c r="H10" t="s">
        <v>403</v>
      </c>
    </row>
    <row r="11" spans="1:8" x14ac:dyDescent="0.35">
      <c r="B11" t="s">
        <v>380</v>
      </c>
      <c r="C11" s="9">
        <v>0.72699999999999998</v>
      </c>
      <c r="D11">
        <v>188</v>
      </c>
      <c r="F11">
        <f>((D11-$D$10)/$D$10)/((C11-$C$10)/$C$10)</f>
        <v>2.4955223880597037</v>
      </c>
      <c r="H11" s="1">
        <f>AVERAGE(F11,F15)</f>
        <v>2.0029850746268671</v>
      </c>
    </row>
    <row r="13" spans="1:8" x14ac:dyDescent="0.35">
      <c r="B13" t="s">
        <v>376</v>
      </c>
      <c r="C13" s="9">
        <v>0.59199999999999997</v>
      </c>
      <c r="D13">
        <v>127.5</v>
      </c>
    </row>
    <row r="14" spans="1:8" x14ac:dyDescent="0.35">
      <c r="B14" t="s">
        <v>379</v>
      </c>
      <c r="C14" s="12">
        <v>0.66</v>
      </c>
      <c r="D14">
        <v>150</v>
      </c>
    </row>
    <row r="15" spans="1:8" x14ac:dyDescent="0.35">
      <c r="B15" t="s">
        <v>380</v>
      </c>
      <c r="C15" s="9">
        <v>0.72699999999999998</v>
      </c>
      <c r="D15">
        <v>173</v>
      </c>
      <c r="F15">
        <f>((D15-$D$14)/$D$14)/((C15-$C$14)/$C$14)</f>
        <v>1.510447761194031</v>
      </c>
    </row>
    <row r="17" spans="1:8" x14ac:dyDescent="0.35">
      <c r="B17" t="s">
        <v>383</v>
      </c>
    </row>
    <row r="18" spans="1:8" x14ac:dyDescent="0.35">
      <c r="B18" t="s">
        <v>377</v>
      </c>
      <c r="C18" t="s">
        <v>378</v>
      </c>
      <c r="D18" t="s">
        <v>381</v>
      </c>
    </row>
    <row r="19" spans="1:8" x14ac:dyDescent="0.35">
      <c r="A19" t="s">
        <v>388</v>
      </c>
      <c r="B19" t="s">
        <v>384</v>
      </c>
      <c r="C19" s="9">
        <v>0.59799999999999998</v>
      </c>
      <c r="D19">
        <v>192</v>
      </c>
      <c r="H19" t="s">
        <v>402</v>
      </c>
    </row>
    <row r="20" spans="1:8" x14ac:dyDescent="0.35">
      <c r="B20" t="s">
        <v>385</v>
      </c>
      <c r="C20" s="12">
        <v>0.66500000000000004</v>
      </c>
      <c r="D20">
        <v>214</v>
      </c>
      <c r="H20" s="1">
        <f>AVERAGE(F21:F32)</f>
        <v>6.4942922385873603</v>
      </c>
    </row>
    <row r="21" spans="1:8" x14ac:dyDescent="0.35">
      <c r="B21" t="s">
        <v>386</v>
      </c>
      <c r="C21" s="9">
        <v>0.70799999999999996</v>
      </c>
      <c r="D21">
        <v>241</v>
      </c>
      <c r="F21">
        <f>((D21-$D$20)/$D$20)/((C21-$C$20)/$C$20)</f>
        <v>1.9512062595088053</v>
      </c>
    </row>
    <row r="22" spans="1:8" x14ac:dyDescent="0.35">
      <c r="B22" t="s">
        <v>387</v>
      </c>
      <c r="C22" s="9">
        <v>0.77700000000000002</v>
      </c>
      <c r="D22">
        <v>317</v>
      </c>
      <c r="F22">
        <f>((D22-$D$20)/$D$20)/((C22-$C$20)/$C$20)</f>
        <v>2.8577686915887854</v>
      </c>
    </row>
    <row r="24" spans="1:8" x14ac:dyDescent="0.35">
      <c r="A24" t="s">
        <v>389</v>
      </c>
      <c r="B24" t="s">
        <v>384</v>
      </c>
      <c r="C24" s="9">
        <v>0.82</v>
      </c>
      <c r="D24">
        <v>762</v>
      </c>
    </row>
    <row r="25" spans="1:8" x14ac:dyDescent="0.35">
      <c r="B25" t="s">
        <v>385</v>
      </c>
      <c r="C25" s="12">
        <v>0.85</v>
      </c>
      <c r="D25">
        <v>853</v>
      </c>
    </row>
    <row r="26" spans="1:8" x14ac:dyDescent="0.35">
      <c r="B26" t="s">
        <v>386</v>
      </c>
      <c r="C26" s="9">
        <v>0.86899999999999999</v>
      </c>
      <c r="D26">
        <v>966</v>
      </c>
      <c r="F26">
        <f>((D26-$D$25)/$D$25)/((C26-$C$25)/$C$25)</f>
        <v>5.9264515332880796</v>
      </c>
    </row>
    <row r="27" spans="1:8" x14ac:dyDescent="0.35">
      <c r="B27" t="s">
        <v>387</v>
      </c>
      <c r="C27" s="9">
        <v>0.88600000000000001</v>
      </c>
      <c r="D27">
        <v>1106</v>
      </c>
      <c r="F27">
        <f t="shared" ref="F27" si="0">((D27-$D$25)/$D$25)/((C27-$C$25)/$C$25)</f>
        <v>7.0030610915722225</v>
      </c>
    </row>
    <row r="29" spans="1:8" x14ac:dyDescent="0.35">
      <c r="A29" t="s">
        <v>390</v>
      </c>
      <c r="B29" t="s">
        <v>384</v>
      </c>
      <c r="C29" s="9">
        <v>0.89300000000000002</v>
      </c>
      <c r="D29">
        <v>7000</v>
      </c>
    </row>
    <row r="30" spans="1:8" x14ac:dyDescent="0.35">
      <c r="B30" t="s">
        <v>385</v>
      </c>
      <c r="C30" s="12">
        <v>0.91100000000000003</v>
      </c>
      <c r="D30">
        <v>7802</v>
      </c>
    </row>
    <row r="31" spans="1:8" x14ac:dyDescent="0.35">
      <c r="B31" t="s">
        <v>386</v>
      </c>
      <c r="C31" s="9">
        <v>0.92300000000000004</v>
      </c>
      <c r="D31">
        <v>8874</v>
      </c>
      <c r="F31">
        <f>((D31-$D$30)/$D$30)/((C31-$C$30)/$C$30)</f>
        <v>10.431000598137221</v>
      </c>
    </row>
    <row r="32" spans="1:8" x14ac:dyDescent="0.35">
      <c r="B32" t="s">
        <v>387</v>
      </c>
      <c r="C32" s="9">
        <v>0.93700000000000006</v>
      </c>
      <c r="D32">
        <v>10206</v>
      </c>
      <c r="F32">
        <f>((D32-$D$30)/$D$30)/((C32-$C$30)/$C$30)</f>
        <v>10.796265257429052</v>
      </c>
    </row>
    <row r="34" spans="1:8" x14ac:dyDescent="0.35">
      <c r="B34" t="s">
        <v>397</v>
      </c>
    </row>
    <row r="35" spans="1:8" x14ac:dyDescent="0.35">
      <c r="A35" t="s">
        <v>398</v>
      </c>
      <c r="B35" t="s">
        <v>377</v>
      </c>
      <c r="C35" t="s">
        <v>396</v>
      </c>
      <c r="D35" t="s">
        <v>399</v>
      </c>
    </row>
    <row r="36" spans="1:8" x14ac:dyDescent="0.35">
      <c r="B36" t="s">
        <v>391</v>
      </c>
      <c r="C36">
        <v>24595</v>
      </c>
      <c r="D36">
        <v>683</v>
      </c>
    </row>
    <row r="37" spans="1:8" x14ac:dyDescent="0.35">
      <c r="B37" t="s">
        <v>392</v>
      </c>
      <c r="C37">
        <v>16135</v>
      </c>
      <c r="D37">
        <v>2303</v>
      </c>
      <c r="F37">
        <f>((D37-$D$36)/$D$36)/((C37-$C$36)/$C$36)</f>
        <v>-6.8955795769602197</v>
      </c>
      <c r="H37" t="s">
        <v>401</v>
      </c>
    </row>
    <row r="38" spans="1:8" x14ac:dyDescent="0.35">
      <c r="B38" t="s">
        <v>393</v>
      </c>
      <c r="C38">
        <v>15922</v>
      </c>
      <c r="D38">
        <v>2393</v>
      </c>
      <c r="F38">
        <f t="shared" ref="F38:F40" si="1">((D38-$D$36)/$D$36)/((C38-$C$36)/$C$36)</f>
        <v>-7.0999107139691864</v>
      </c>
      <c r="H38" s="1">
        <f>-AVERAGE(F37:F47)</f>
        <v>6.9105031031053334</v>
      </c>
    </row>
    <row r="39" spans="1:8" x14ac:dyDescent="0.35">
      <c r="B39" t="s">
        <v>394</v>
      </c>
      <c r="C39">
        <v>15709</v>
      </c>
      <c r="D39">
        <v>2518</v>
      </c>
      <c r="F39">
        <f t="shared" si="1"/>
        <v>-7.4362825495152691</v>
      </c>
    </row>
    <row r="40" spans="1:8" x14ac:dyDescent="0.35">
      <c r="B40" t="s">
        <v>395</v>
      </c>
      <c r="C40">
        <v>15497</v>
      </c>
      <c r="D40">
        <v>2643</v>
      </c>
      <c r="F40">
        <f t="shared" si="1"/>
        <v>-7.7577586115333697</v>
      </c>
    </row>
    <row r="42" spans="1:8" x14ac:dyDescent="0.35">
      <c r="A42" t="s">
        <v>400</v>
      </c>
      <c r="B42" t="s">
        <v>377</v>
      </c>
      <c r="C42" t="s">
        <v>396</v>
      </c>
      <c r="D42" t="s">
        <v>399</v>
      </c>
    </row>
    <row r="43" spans="1:8" x14ac:dyDescent="0.35">
      <c r="B43" t="s">
        <v>391</v>
      </c>
      <c r="C43">
        <v>23805</v>
      </c>
      <c r="D43">
        <v>761</v>
      </c>
    </row>
    <row r="44" spans="1:8" x14ac:dyDescent="0.35">
      <c r="B44" t="s">
        <v>392</v>
      </c>
      <c r="C44">
        <v>15593</v>
      </c>
      <c r="D44">
        <v>2381</v>
      </c>
      <c r="F44">
        <f>((D44-$D$43)/$D$43)/((C44-$C$43)/$C$43)</f>
        <v>-6.1709155474537125</v>
      </c>
    </row>
    <row r="45" spans="1:8" x14ac:dyDescent="0.35">
      <c r="B45" t="s">
        <v>393</v>
      </c>
      <c r="C45">
        <v>15381</v>
      </c>
      <c r="D45">
        <v>2471</v>
      </c>
      <c r="F45">
        <f t="shared" ref="F45:F47" si="2">((D45-$D$43)/$D$43)/((C45-$C$43)/$C$43)</f>
        <v>-6.3498180531689075</v>
      </c>
    </row>
    <row r="46" spans="1:8" x14ac:dyDescent="0.35">
      <c r="B46" t="s">
        <v>394</v>
      </c>
      <c r="C46">
        <v>15168</v>
      </c>
      <c r="D46">
        <v>2596</v>
      </c>
      <c r="F46">
        <f t="shared" si="2"/>
        <v>-6.6459440079710843</v>
      </c>
    </row>
    <row r="47" spans="1:8" x14ac:dyDescent="0.35">
      <c r="B47" t="s">
        <v>395</v>
      </c>
      <c r="C47">
        <v>14955</v>
      </c>
      <c r="D47">
        <v>2721</v>
      </c>
      <c r="F47">
        <f t="shared" si="2"/>
        <v>-6.9278157642709193</v>
      </c>
    </row>
    <row r="48" spans="1:8" x14ac:dyDescent="0.35">
      <c r="H48" s="13" t="s">
        <v>407</v>
      </c>
    </row>
    <row r="49" spans="8:8" x14ac:dyDescent="0.35">
      <c r="H49" s="13">
        <f>AVERAGE(H38,H20,H11)</f>
        <v>5.1359268054398539</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A3ECE-CC46-4C9C-9910-1D3FD99A313F}">
  <dimension ref="B2:H29"/>
  <sheetViews>
    <sheetView topLeftCell="A15" workbookViewId="0">
      <selection activeCell="H26" sqref="H26"/>
    </sheetView>
  </sheetViews>
  <sheetFormatPr defaultRowHeight="14.5" x14ac:dyDescent="0.35"/>
  <cols>
    <col min="2" max="2" width="15.81640625" customWidth="1"/>
    <col min="7" max="7" width="8.7265625" customWidth="1"/>
  </cols>
  <sheetData>
    <row r="2" spans="2:8" x14ac:dyDescent="0.35">
      <c r="B2" t="s">
        <v>168</v>
      </c>
    </row>
    <row r="3" spans="2:8" x14ac:dyDescent="0.35">
      <c r="B3" t="s">
        <v>170</v>
      </c>
      <c r="C3" t="s">
        <v>171</v>
      </c>
      <c r="D3" t="s">
        <v>169</v>
      </c>
    </row>
    <row r="4" spans="2:8" x14ac:dyDescent="0.35">
      <c r="B4" t="s">
        <v>138</v>
      </c>
      <c r="C4" s="12">
        <v>0.8</v>
      </c>
      <c r="D4">
        <v>441.74</v>
      </c>
    </row>
    <row r="5" spans="2:8" x14ac:dyDescent="0.35">
      <c r="B5" t="s">
        <v>172</v>
      </c>
      <c r="C5" s="12">
        <v>0.81</v>
      </c>
      <c r="D5">
        <v>459.03</v>
      </c>
      <c r="F5">
        <f>((D5-$D$4)/($D$4))/((C5-$C$4)/($C$4))</f>
        <v>3.1312536786344811</v>
      </c>
      <c r="H5" s="13">
        <f>AVERAGE(F5:F7)</f>
        <v>6.9143739655805581</v>
      </c>
    </row>
    <row r="6" spans="2:8" x14ac:dyDescent="0.35">
      <c r="B6" t="s">
        <v>90</v>
      </c>
      <c r="C6" s="12">
        <v>0.82</v>
      </c>
      <c r="D6">
        <v>468.22</v>
      </c>
      <c r="F6">
        <f t="shared" ref="F6:F7" si="0">((D6-$D$4)/($D$4))/((C6-$C$4)/($C$4))</f>
        <v>2.3977905555304151</v>
      </c>
    </row>
    <row r="7" spans="2:8" x14ac:dyDescent="0.35">
      <c r="B7" t="s">
        <v>173</v>
      </c>
      <c r="C7" s="12">
        <v>0.92</v>
      </c>
      <c r="D7">
        <v>1449.84</v>
      </c>
      <c r="F7">
        <f t="shared" si="0"/>
        <v>15.214077662576777</v>
      </c>
    </row>
    <row r="9" spans="2:8" x14ac:dyDescent="0.35">
      <c r="B9" t="s">
        <v>174</v>
      </c>
    </row>
    <row r="10" spans="2:8" x14ac:dyDescent="0.35">
      <c r="B10" t="s">
        <v>170</v>
      </c>
      <c r="C10" t="s">
        <v>171</v>
      </c>
      <c r="D10" t="s">
        <v>169</v>
      </c>
    </row>
    <row r="11" spans="2:8" x14ac:dyDescent="0.35">
      <c r="B11" t="s">
        <v>138</v>
      </c>
      <c r="C11" s="12">
        <v>0.8</v>
      </c>
      <c r="D11">
        <v>585.58000000000004</v>
      </c>
    </row>
    <row r="12" spans="2:8" x14ac:dyDescent="0.35">
      <c r="B12" t="s">
        <v>172</v>
      </c>
      <c r="C12" s="12">
        <v>0.81</v>
      </c>
      <c r="D12">
        <v>614.9</v>
      </c>
      <c r="F12">
        <f>((D12-$D$11)/($D$11))/((C12-$C$11)/($C$11))</f>
        <v>4.0056012841968522</v>
      </c>
      <c r="H12" s="13">
        <f>AVERAGE(F12:F14)</f>
        <v>5.766666287175866</v>
      </c>
    </row>
    <row r="13" spans="2:8" x14ac:dyDescent="0.35">
      <c r="B13" t="s">
        <v>90</v>
      </c>
      <c r="C13" s="12">
        <v>0.82</v>
      </c>
      <c r="D13">
        <v>636.16</v>
      </c>
      <c r="F13">
        <f t="shared" ref="F13:F14" si="1">((D13-$D$11)/($D$11))/((C13-$C$11)/($C$11))</f>
        <v>3.4550360326513991</v>
      </c>
    </row>
    <row r="14" spans="2:8" x14ac:dyDescent="0.35">
      <c r="B14" t="s">
        <v>173</v>
      </c>
      <c r="C14" s="12">
        <v>0.92</v>
      </c>
      <c r="D14">
        <v>1449.84</v>
      </c>
      <c r="F14">
        <f t="shared" si="1"/>
        <v>9.8393615446793472</v>
      </c>
    </row>
    <row r="16" spans="2:8" x14ac:dyDescent="0.35">
      <c r="B16" t="s">
        <v>175</v>
      </c>
    </row>
    <row r="17" spans="2:8" x14ac:dyDescent="0.35">
      <c r="B17" t="s">
        <v>170</v>
      </c>
      <c r="C17" t="s">
        <v>171</v>
      </c>
      <c r="D17" t="s">
        <v>169</v>
      </c>
    </row>
    <row r="18" spans="2:8" x14ac:dyDescent="0.35">
      <c r="B18" t="s">
        <v>138</v>
      </c>
      <c r="C18" s="12">
        <v>0.8</v>
      </c>
      <c r="D18">
        <v>785.32</v>
      </c>
    </row>
    <row r="19" spans="2:8" x14ac:dyDescent="0.35">
      <c r="B19" t="s">
        <v>172</v>
      </c>
      <c r="C19" s="12">
        <v>0.81</v>
      </c>
      <c r="D19">
        <v>831.67</v>
      </c>
      <c r="F19">
        <f>((D19-$D$18)/($D$18))/((C19-$C$18)/($C$18))</f>
        <v>4.7216421331431642</v>
      </c>
      <c r="H19" s="13">
        <f>AVERAGE(F19:F21)</f>
        <v>4.8914808966762324</v>
      </c>
    </row>
    <row r="20" spans="2:8" x14ac:dyDescent="0.35">
      <c r="B20" t="s">
        <v>90</v>
      </c>
      <c r="C20" s="12">
        <v>0.82</v>
      </c>
      <c r="D20">
        <v>869.97</v>
      </c>
      <c r="F20">
        <f t="shared" ref="F20:F21" si="2">((D20-$D$18)/($D$18))/((C20-$C$18)/($C$18))</f>
        <v>4.3116181938572993</v>
      </c>
    </row>
    <row r="21" spans="2:8" x14ac:dyDescent="0.35">
      <c r="B21" t="s">
        <v>173</v>
      </c>
      <c r="C21" s="12">
        <v>0.92</v>
      </c>
      <c r="D21">
        <v>1449.84</v>
      </c>
      <c r="F21">
        <f t="shared" si="2"/>
        <v>5.6411823630282338</v>
      </c>
    </row>
    <row r="23" spans="2:8" x14ac:dyDescent="0.35">
      <c r="B23" t="s">
        <v>176</v>
      </c>
    </row>
    <row r="24" spans="2:8" x14ac:dyDescent="0.35">
      <c r="B24" t="s">
        <v>170</v>
      </c>
      <c r="C24" t="s">
        <v>171</v>
      </c>
      <c r="D24" t="s">
        <v>169</v>
      </c>
    </row>
    <row r="25" spans="2:8" x14ac:dyDescent="0.35">
      <c r="B25" t="s">
        <v>138</v>
      </c>
      <c r="C25" s="12">
        <v>0.81</v>
      </c>
      <c r="D25">
        <v>2065.19</v>
      </c>
    </row>
    <row r="26" spans="2:8" x14ac:dyDescent="0.35">
      <c r="B26" t="s">
        <v>172</v>
      </c>
      <c r="C26" s="12">
        <v>0.82</v>
      </c>
      <c r="D26">
        <v>2096.89</v>
      </c>
      <c r="F26">
        <f>((D26-$D$25)/($D$25))/((C26-$C$25)/($C$25))</f>
        <v>1.2433238588217121</v>
      </c>
      <c r="H26" s="13">
        <f>AVERAGE(F26:F27)</f>
        <v>2.1980839095148221</v>
      </c>
    </row>
    <row r="27" spans="2:8" x14ac:dyDescent="0.35">
      <c r="B27" t="s">
        <v>173</v>
      </c>
      <c r="C27" s="12">
        <v>0.92</v>
      </c>
      <c r="D27">
        <v>2949.43</v>
      </c>
      <c r="F27">
        <f t="shared" ref="F27" si="3">((D27-$D$25)/($D$25))/((C27-$C$25)/($C$25))</f>
        <v>3.1528439602079317</v>
      </c>
    </row>
    <row r="29" spans="2:8" x14ac:dyDescent="0.35">
      <c r="H29" s="1">
        <f>AVERAGE(H5:H26)</f>
        <v>4.9426512647368694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2550C-391B-4AED-8625-12FCF8A24E5E}">
  <dimension ref="A1:M90"/>
  <sheetViews>
    <sheetView topLeftCell="A59" zoomScaleNormal="100" workbookViewId="0">
      <selection activeCell="I87" sqref="I87:I88"/>
    </sheetView>
  </sheetViews>
  <sheetFormatPr defaultRowHeight="14.5" x14ac:dyDescent="0.35"/>
  <cols>
    <col min="2" max="2" width="17.54296875" customWidth="1"/>
    <col min="4" max="4" width="20.7265625" bestFit="1" customWidth="1"/>
    <col min="5" max="5" width="24.1796875" bestFit="1" customWidth="1"/>
    <col min="6" max="6" width="15.54296875" bestFit="1" customWidth="1"/>
    <col min="7" max="7" width="49.453125" bestFit="1" customWidth="1"/>
    <col min="8" max="8" width="9.81640625" bestFit="1" customWidth="1"/>
    <col min="11" max="11" width="20.7265625" customWidth="1"/>
    <col min="12" max="12" width="12.81640625" customWidth="1"/>
  </cols>
  <sheetData>
    <row r="1" spans="1:13" x14ac:dyDescent="0.35">
      <c r="A1" s="1"/>
    </row>
    <row r="2" spans="1:13" x14ac:dyDescent="0.35">
      <c r="B2" t="s">
        <v>137</v>
      </c>
      <c r="K2" t="s">
        <v>308</v>
      </c>
    </row>
    <row r="3" spans="1:13" x14ac:dyDescent="0.35">
      <c r="B3" t="s">
        <v>140</v>
      </c>
      <c r="D3" t="s">
        <v>141</v>
      </c>
      <c r="E3" t="s">
        <v>142</v>
      </c>
      <c r="F3" t="s">
        <v>143</v>
      </c>
      <c r="L3" t="s">
        <v>309</v>
      </c>
    </row>
    <row r="4" spans="1:13" x14ac:dyDescent="0.35">
      <c r="B4" t="s">
        <v>139</v>
      </c>
      <c r="C4">
        <v>0</v>
      </c>
      <c r="D4" s="9">
        <v>0</v>
      </c>
      <c r="E4">
        <v>38.168999999999997</v>
      </c>
      <c r="F4" s="5">
        <v>4249.3999999999996</v>
      </c>
      <c r="G4" t="s">
        <v>138</v>
      </c>
      <c r="H4" s="5"/>
      <c r="L4" t="s">
        <v>310</v>
      </c>
      <c r="M4" t="s">
        <v>311</v>
      </c>
    </row>
    <row r="5" spans="1:13" x14ac:dyDescent="0.35">
      <c r="B5" t="s">
        <v>139</v>
      </c>
      <c r="C5">
        <v>1</v>
      </c>
      <c r="D5" s="9">
        <v>7.6999999999999999E-2</v>
      </c>
      <c r="E5">
        <v>35.250999999999998</v>
      </c>
      <c r="F5" s="5">
        <v>4356.92</v>
      </c>
      <c r="G5" t="s">
        <v>146</v>
      </c>
      <c r="H5" s="5"/>
      <c r="K5" t="s">
        <v>312</v>
      </c>
      <c r="L5">
        <v>1.403</v>
      </c>
      <c r="M5">
        <v>1.177</v>
      </c>
    </row>
    <row r="6" spans="1:13" x14ac:dyDescent="0.35">
      <c r="B6" t="s">
        <v>139</v>
      </c>
      <c r="C6">
        <v>2</v>
      </c>
      <c r="D6" s="9">
        <v>0.123</v>
      </c>
      <c r="E6">
        <v>33.502000000000002</v>
      </c>
      <c r="F6" s="5">
        <v>4481.92</v>
      </c>
      <c r="G6" t="s">
        <v>145</v>
      </c>
      <c r="H6" s="5"/>
      <c r="K6" t="s">
        <v>313</v>
      </c>
      <c r="L6" t="s">
        <v>314</v>
      </c>
      <c r="M6" t="s">
        <v>314</v>
      </c>
    </row>
    <row r="7" spans="1:13" x14ac:dyDescent="0.35">
      <c r="K7" t="s">
        <v>315</v>
      </c>
      <c r="L7" t="s">
        <v>314</v>
      </c>
      <c r="M7" t="s">
        <v>314</v>
      </c>
    </row>
    <row r="8" spans="1:13" x14ac:dyDescent="0.35">
      <c r="B8" t="s">
        <v>144</v>
      </c>
      <c r="K8" t="s">
        <v>316</v>
      </c>
      <c r="L8">
        <v>1.073</v>
      </c>
      <c r="M8">
        <v>1.073</v>
      </c>
    </row>
    <row r="9" spans="1:13" x14ac:dyDescent="0.35">
      <c r="B9" t="s">
        <v>139</v>
      </c>
      <c r="C9">
        <v>0</v>
      </c>
      <c r="D9" s="9">
        <v>0</v>
      </c>
      <c r="E9">
        <v>105.083</v>
      </c>
      <c r="F9" s="5">
        <v>4657.34</v>
      </c>
      <c r="G9" t="s">
        <v>138</v>
      </c>
      <c r="H9" s="5"/>
      <c r="K9" t="s">
        <v>317</v>
      </c>
      <c r="L9">
        <v>1.506</v>
      </c>
      <c r="M9">
        <v>1.2629999999999999</v>
      </c>
    </row>
    <row r="10" spans="1:13" x14ac:dyDescent="0.35">
      <c r="B10" t="s">
        <v>139</v>
      </c>
      <c r="C10">
        <v>1</v>
      </c>
      <c r="D10" s="9">
        <v>5.5E-2</v>
      </c>
      <c r="E10">
        <v>99.305000000000007</v>
      </c>
      <c r="F10" s="5">
        <v>4764.8599999999997</v>
      </c>
      <c r="G10" t="s">
        <v>146</v>
      </c>
    </row>
    <row r="11" spans="1:13" x14ac:dyDescent="0.35">
      <c r="B11" t="s">
        <v>139</v>
      </c>
      <c r="C11">
        <v>2</v>
      </c>
      <c r="D11" s="9">
        <v>7.1999999999999995E-2</v>
      </c>
      <c r="E11">
        <v>97.557000000000002</v>
      </c>
      <c r="F11" s="5">
        <v>4889.8599999999997</v>
      </c>
      <c r="G11" t="s">
        <v>145</v>
      </c>
    </row>
    <row r="13" spans="1:13" x14ac:dyDescent="0.35">
      <c r="B13" t="s">
        <v>147</v>
      </c>
    </row>
    <row r="14" spans="1:13" x14ac:dyDescent="0.35">
      <c r="B14" t="s">
        <v>139</v>
      </c>
      <c r="C14">
        <v>0</v>
      </c>
      <c r="D14" s="9">
        <v>0</v>
      </c>
      <c r="E14">
        <v>29.565999999999999</v>
      </c>
      <c r="F14" s="5">
        <v>3169.49</v>
      </c>
      <c r="G14" t="s">
        <v>148</v>
      </c>
      <c r="H14" s="5">
        <f>F14*$L$9</f>
        <v>4773.2519400000001</v>
      </c>
    </row>
    <row r="15" spans="1:13" x14ac:dyDescent="0.35">
      <c r="B15" t="s">
        <v>139</v>
      </c>
      <c r="C15">
        <v>1</v>
      </c>
      <c r="D15" s="9">
        <v>8.6999999999999994E-2</v>
      </c>
      <c r="E15">
        <v>27.004000000000001</v>
      </c>
      <c r="F15" s="5">
        <v>3205.33</v>
      </c>
      <c r="G15" t="s">
        <v>146</v>
      </c>
      <c r="H15" s="5">
        <f>$H$14+(F15-$F$14)*$M$9</f>
        <v>4818.5178599999999</v>
      </c>
    </row>
    <row r="16" spans="1:13" x14ac:dyDescent="0.35">
      <c r="B16" t="s">
        <v>139</v>
      </c>
      <c r="C16">
        <v>2</v>
      </c>
      <c r="D16" s="9">
        <v>0.105</v>
      </c>
      <c r="E16">
        <v>26.457999999999998</v>
      </c>
      <c r="F16" s="5">
        <v>3216.04</v>
      </c>
      <c r="G16" t="s">
        <v>149</v>
      </c>
      <c r="H16" s="5">
        <f t="shared" ref="H16:H19" si="0">$H$14+(F16-$F$14)*$M$9</f>
        <v>4832.0445900000004</v>
      </c>
      <c r="I16">
        <f>((F16-F15)/(F15))/((E16-E15)/(E15))</f>
        <v>-0.16525407560339969</v>
      </c>
      <c r="J16" s="17" t="s">
        <v>320</v>
      </c>
    </row>
    <row r="17" spans="2:10" x14ac:dyDescent="0.35">
      <c r="B17" t="s">
        <v>139</v>
      </c>
      <c r="C17">
        <v>3</v>
      </c>
      <c r="D17" s="9">
        <v>0.128</v>
      </c>
      <c r="E17">
        <v>25.777999999999999</v>
      </c>
      <c r="F17" s="5">
        <v>3241.63</v>
      </c>
      <c r="G17" t="s">
        <v>150</v>
      </c>
      <c r="H17" s="5">
        <f t="shared" si="0"/>
        <v>4864.3647600000004</v>
      </c>
      <c r="I17">
        <f t="shared" ref="I17:I18" si="1">((F17-F16)/(F16))/((E17-E16)/(E16))</f>
        <v>-0.30959714248506021</v>
      </c>
      <c r="J17" s="17" t="s">
        <v>319</v>
      </c>
    </row>
    <row r="18" spans="2:10" x14ac:dyDescent="0.35">
      <c r="B18" t="s">
        <v>139</v>
      </c>
      <c r="C18">
        <v>4</v>
      </c>
      <c r="D18" s="9">
        <v>0.26300000000000001</v>
      </c>
      <c r="E18">
        <v>21.792999999999999</v>
      </c>
      <c r="F18" s="5">
        <v>3429.63</v>
      </c>
      <c r="G18" t="s">
        <v>151</v>
      </c>
      <c r="H18" s="5">
        <f t="shared" si="0"/>
        <v>5101.8087600000008</v>
      </c>
      <c r="I18">
        <f t="shared" si="1"/>
        <v>-0.37515893987856253</v>
      </c>
    </row>
    <row r="19" spans="2:10" x14ac:dyDescent="0.35">
      <c r="B19" t="s">
        <v>139</v>
      </c>
      <c r="C19">
        <v>5</v>
      </c>
      <c r="D19" s="9">
        <v>0.28100000000000003</v>
      </c>
      <c r="E19">
        <v>21.263000000000002</v>
      </c>
      <c r="F19" s="5">
        <v>3509.63</v>
      </c>
      <c r="G19" t="s">
        <v>145</v>
      </c>
      <c r="H19" s="5">
        <f t="shared" si="0"/>
        <v>5202.8487600000008</v>
      </c>
    </row>
    <row r="21" spans="2:10" x14ac:dyDescent="0.35">
      <c r="B21" t="s">
        <v>152</v>
      </c>
    </row>
    <row r="22" spans="2:10" x14ac:dyDescent="0.35">
      <c r="B22" t="s">
        <v>139</v>
      </c>
      <c r="C22">
        <v>0</v>
      </c>
      <c r="D22" s="9">
        <v>0</v>
      </c>
      <c r="E22">
        <v>11.648999999999999</v>
      </c>
      <c r="F22" s="5">
        <v>4315.12</v>
      </c>
      <c r="G22" t="s">
        <v>138</v>
      </c>
      <c r="H22" s="5"/>
    </row>
    <row r="23" spans="2:10" x14ac:dyDescent="0.35">
      <c r="B23" t="s">
        <v>139</v>
      </c>
      <c r="C23">
        <v>1</v>
      </c>
      <c r="D23" s="9">
        <v>1.4E-2</v>
      </c>
      <c r="E23">
        <v>11.531000000000001</v>
      </c>
      <c r="F23" s="5">
        <v>4409.6499999999996</v>
      </c>
      <c r="G23" t="s">
        <v>153</v>
      </c>
    </row>
    <row r="24" spans="2:10" x14ac:dyDescent="0.35">
      <c r="B24" t="s">
        <v>139</v>
      </c>
      <c r="C24">
        <v>2</v>
      </c>
      <c r="D24" s="9">
        <v>9.8000000000000004E-2</v>
      </c>
      <c r="E24">
        <v>10.551</v>
      </c>
      <c r="F24" s="5">
        <v>4534.6499999999996</v>
      </c>
    </row>
    <row r="25" spans="2:10" x14ac:dyDescent="0.35">
      <c r="B25" t="s">
        <v>139</v>
      </c>
      <c r="C25">
        <v>3</v>
      </c>
      <c r="D25" s="9">
        <v>0.10100000000000001</v>
      </c>
      <c r="E25">
        <v>10.513</v>
      </c>
      <c r="F25" s="5">
        <v>4689.2299999999996</v>
      </c>
    </row>
    <row r="26" spans="2:10" x14ac:dyDescent="0.35">
      <c r="B26" t="s">
        <v>139</v>
      </c>
      <c r="C26">
        <v>4</v>
      </c>
      <c r="D26" s="9">
        <v>0.109</v>
      </c>
      <c r="E26">
        <v>10.423</v>
      </c>
      <c r="F26" s="5">
        <v>6537.7</v>
      </c>
    </row>
    <row r="28" spans="2:10" x14ac:dyDescent="0.35">
      <c r="B28" t="s">
        <v>154</v>
      </c>
    </row>
    <row r="29" spans="2:10" x14ac:dyDescent="0.35">
      <c r="B29" t="s">
        <v>139</v>
      </c>
      <c r="C29">
        <v>0</v>
      </c>
      <c r="D29" s="9">
        <v>0</v>
      </c>
      <c r="E29">
        <v>34.558</v>
      </c>
      <c r="F29" s="5">
        <v>4411.04</v>
      </c>
      <c r="G29" t="s">
        <v>138</v>
      </c>
      <c r="H29" s="5"/>
    </row>
    <row r="30" spans="2:10" x14ac:dyDescent="0.35">
      <c r="B30" t="s">
        <v>139</v>
      </c>
      <c r="C30">
        <v>1</v>
      </c>
      <c r="D30" s="9">
        <v>2.5999999999999999E-2</v>
      </c>
      <c r="E30">
        <v>33.578000000000003</v>
      </c>
      <c r="F30" s="5">
        <v>4536.04</v>
      </c>
    </row>
    <row r="31" spans="2:10" x14ac:dyDescent="0.35">
      <c r="B31" t="s">
        <v>139</v>
      </c>
      <c r="C31">
        <v>2</v>
      </c>
      <c r="D31" s="9">
        <v>0.03</v>
      </c>
      <c r="E31">
        <v>33.414000000000001</v>
      </c>
      <c r="F31" s="5">
        <v>4690.62</v>
      </c>
    </row>
    <row r="32" spans="2:10" x14ac:dyDescent="0.35">
      <c r="B32" t="s">
        <v>139</v>
      </c>
      <c r="C32">
        <v>3</v>
      </c>
      <c r="D32" s="9">
        <v>0.06</v>
      </c>
      <c r="E32">
        <v>32.399000000000001</v>
      </c>
      <c r="F32" s="5">
        <v>6539.09</v>
      </c>
    </row>
    <row r="34" spans="2:9" x14ac:dyDescent="0.35">
      <c r="B34" t="s">
        <v>155</v>
      </c>
    </row>
    <row r="35" spans="2:9" x14ac:dyDescent="0.35">
      <c r="B35" t="s">
        <v>139</v>
      </c>
      <c r="C35">
        <v>0</v>
      </c>
      <c r="D35" s="12">
        <v>0</v>
      </c>
      <c r="E35">
        <v>2.9380000000000002</v>
      </c>
      <c r="F35" s="5">
        <v>2181.3200000000002</v>
      </c>
      <c r="G35" t="s">
        <v>148</v>
      </c>
      <c r="H35" s="5">
        <f>F35*$L$9</f>
        <v>3285.0679200000004</v>
      </c>
    </row>
    <row r="36" spans="2:9" x14ac:dyDescent="0.35">
      <c r="B36" t="s">
        <v>139</v>
      </c>
      <c r="C36">
        <v>1</v>
      </c>
      <c r="D36" s="9">
        <v>2.3E-2</v>
      </c>
      <c r="E36">
        <v>2.871</v>
      </c>
      <c r="F36" s="5">
        <v>2184.89</v>
      </c>
      <c r="G36" t="s">
        <v>149</v>
      </c>
      <c r="H36" s="5">
        <f>$H$35+(F36-$F$35)*$M$9</f>
        <v>3289.57683</v>
      </c>
      <c r="I36">
        <f>((F36-F35)/(F35))/((E36-E35)/(E35))</f>
        <v>-7.1767170419329271E-2</v>
      </c>
    </row>
    <row r="37" spans="2:9" x14ac:dyDescent="0.35">
      <c r="B37" t="s">
        <v>139</v>
      </c>
      <c r="C37">
        <v>2</v>
      </c>
      <c r="D37" s="9">
        <v>5.0999999999999997E-2</v>
      </c>
      <c r="E37">
        <v>2.7879999999999998</v>
      </c>
      <c r="F37" s="5">
        <v>2193.42</v>
      </c>
      <c r="G37" t="s">
        <v>150</v>
      </c>
      <c r="H37" s="5">
        <f t="shared" ref="H37:H42" si="2">$H$35+(F37-$F$35)*$M$9</f>
        <v>3300.3502200000003</v>
      </c>
      <c r="I37">
        <f t="shared" ref="I37:I38" si="3">((F37-F36)/(F36))/((E37-E36)/(E36))</f>
        <v>-0.1350437702275796</v>
      </c>
    </row>
    <row r="38" spans="2:9" x14ac:dyDescent="0.35">
      <c r="B38" t="s">
        <v>139</v>
      </c>
      <c r="C38">
        <v>3</v>
      </c>
      <c r="D38" s="9">
        <v>0.188</v>
      </c>
      <c r="E38">
        <v>2.387</v>
      </c>
      <c r="F38" s="5">
        <v>2287.42</v>
      </c>
      <c r="G38" t="s">
        <v>156</v>
      </c>
      <c r="H38" s="5">
        <f t="shared" si="2"/>
        <v>3419.0722200000005</v>
      </c>
      <c r="I38">
        <f t="shared" si="3"/>
        <v>-0.29795758890834489</v>
      </c>
    </row>
    <row r="39" spans="2:9" x14ac:dyDescent="0.35">
      <c r="B39" t="s">
        <v>139</v>
      </c>
      <c r="C39">
        <v>4</v>
      </c>
      <c r="D39" s="9">
        <v>0.20100000000000001</v>
      </c>
      <c r="E39">
        <v>2.347</v>
      </c>
      <c r="F39" s="5">
        <v>2325.23</v>
      </c>
      <c r="G39" t="s">
        <v>157</v>
      </c>
      <c r="H39" s="5">
        <f t="shared" si="2"/>
        <v>3466.8262500000001</v>
      </c>
    </row>
    <row r="40" spans="2:9" x14ac:dyDescent="0.35">
      <c r="B40" t="s">
        <v>139</v>
      </c>
      <c r="C40">
        <v>5</v>
      </c>
      <c r="D40" s="9">
        <v>0.23699999999999999</v>
      </c>
      <c r="E40">
        <v>2.2410000000000001</v>
      </c>
      <c r="F40" s="5">
        <v>2390.23</v>
      </c>
      <c r="G40" t="s">
        <v>145</v>
      </c>
      <c r="H40" s="5">
        <f t="shared" si="2"/>
        <v>3548.9212500000003</v>
      </c>
    </row>
    <row r="41" spans="2:9" x14ac:dyDescent="0.35">
      <c r="B41" t="s">
        <v>139</v>
      </c>
      <c r="C41">
        <v>6</v>
      </c>
      <c r="D41" s="9">
        <v>0.24199999999999999</v>
      </c>
      <c r="E41">
        <v>2.2280000000000002</v>
      </c>
      <c r="F41" s="5">
        <v>2452.06</v>
      </c>
      <c r="G41" t="s">
        <v>158</v>
      </c>
      <c r="H41" s="5">
        <f t="shared" si="2"/>
        <v>3627.0125400000002</v>
      </c>
    </row>
    <row r="42" spans="2:9" x14ac:dyDescent="0.35">
      <c r="B42" t="s">
        <v>139</v>
      </c>
      <c r="C42">
        <v>7</v>
      </c>
      <c r="D42" s="9">
        <v>0.252</v>
      </c>
      <c r="E42">
        <v>2.1970000000000001</v>
      </c>
      <c r="F42" s="5">
        <v>3191.45</v>
      </c>
      <c r="G42" t="s">
        <v>159</v>
      </c>
      <c r="H42" s="5">
        <f t="shared" si="2"/>
        <v>4560.86211</v>
      </c>
    </row>
    <row r="44" spans="2:9" x14ac:dyDescent="0.35">
      <c r="B44" t="s">
        <v>160</v>
      </c>
    </row>
    <row r="45" spans="2:9" x14ac:dyDescent="0.35">
      <c r="B45" t="s">
        <v>139</v>
      </c>
      <c r="C45">
        <v>0</v>
      </c>
      <c r="D45" s="9">
        <v>0</v>
      </c>
      <c r="E45">
        <v>19.486000000000001</v>
      </c>
      <c r="F45" s="5">
        <v>3301.27</v>
      </c>
      <c r="G45" t="s">
        <v>148</v>
      </c>
      <c r="H45" s="5"/>
    </row>
    <row r="46" spans="2:9" x14ac:dyDescent="0.35">
      <c r="B46" t="s">
        <v>139</v>
      </c>
      <c r="C46">
        <v>1</v>
      </c>
      <c r="D46" s="9">
        <v>4.0000000000000001E-3</v>
      </c>
      <c r="E46">
        <v>19.327000000000002</v>
      </c>
      <c r="F46" s="5">
        <v>3366.27</v>
      </c>
      <c r="G46" t="s">
        <v>145</v>
      </c>
      <c r="H46" s="5"/>
    </row>
    <row r="47" spans="2:9" x14ac:dyDescent="0.35">
      <c r="B47" t="s">
        <v>139</v>
      </c>
      <c r="C47">
        <v>2</v>
      </c>
      <c r="D47" s="9">
        <v>1.2E-2</v>
      </c>
      <c r="E47">
        <v>19.183</v>
      </c>
      <c r="F47" s="5">
        <v>3428.1</v>
      </c>
      <c r="G47" t="s">
        <v>158</v>
      </c>
      <c r="H47" s="5"/>
    </row>
    <row r="48" spans="2:9" x14ac:dyDescent="0.35">
      <c r="B48" t="s">
        <v>139</v>
      </c>
      <c r="C48">
        <v>3</v>
      </c>
      <c r="D48" s="9">
        <v>5.8000000000000003E-2</v>
      </c>
      <c r="E48">
        <v>18.286999999999999</v>
      </c>
      <c r="F48" s="5">
        <v>4167.49</v>
      </c>
      <c r="G48" t="s">
        <v>159</v>
      </c>
      <c r="H48" s="5"/>
    </row>
    <row r="50" spans="2:9" x14ac:dyDescent="0.35">
      <c r="B50" t="s">
        <v>161</v>
      </c>
    </row>
    <row r="51" spans="2:9" x14ac:dyDescent="0.35">
      <c r="B51" t="s">
        <v>139</v>
      </c>
      <c r="C51">
        <v>0</v>
      </c>
      <c r="D51" s="9">
        <v>0</v>
      </c>
      <c r="E51">
        <v>1.9690000000000001</v>
      </c>
      <c r="F51" s="5">
        <v>1983.81</v>
      </c>
      <c r="G51" t="s">
        <v>148</v>
      </c>
      <c r="H51" s="5">
        <f>F51*$L$9</f>
        <v>2987.6178599999998</v>
      </c>
    </row>
    <row r="52" spans="2:9" x14ac:dyDescent="0.35">
      <c r="B52" t="s">
        <v>139</v>
      </c>
      <c r="C52">
        <v>1</v>
      </c>
      <c r="D52" s="9">
        <v>3.4000000000000002E-2</v>
      </c>
      <c r="E52">
        <v>1.9019999999999999</v>
      </c>
      <c r="F52" s="5">
        <v>1987.38</v>
      </c>
      <c r="G52" t="s">
        <v>149</v>
      </c>
      <c r="H52" s="5">
        <f>$H$51+(F52-$F$51)*$M$9</f>
        <v>2992.1267699999999</v>
      </c>
      <c r="I52">
        <f t="shared" ref="I52:I54" si="4">((F52-F51)/(F51))/((E52-E51)/(E51))</f>
        <v>-5.2885797094647621E-2</v>
      </c>
    </row>
    <row r="53" spans="2:9" x14ac:dyDescent="0.35">
      <c r="B53" t="s">
        <v>139</v>
      </c>
      <c r="C53">
        <v>2</v>
      </c>
      <c r="D53" s="9">
        <v>7.5999999999999998E-2</v>
      </c>
      <c r="E53">
        <v>1.819</v>
      </c>
      <c r="F53" s="5">
        <v>1995.91</v>
      </c>
      <c r="G53" t="s">
        <v>150</v>
      </c>
      <c r="H53" s="5">
        <f t="shared" ref="H53:H54" si="5">$H$51+(F53-$F$51)*$M$9</f>
        <v>3002.9001600000001</v>
      </c>
      <c r="I53">
        <f t="shared" si="4"/>
        <v>-9.8355927104850596E-2</v>
      </c>
    </row>
    <row r="54" spans="2:9" x14ac:dyDescent="0.35">
      <c r="B54" t="s">
        <v>139</v>
      </c>
      <c r="C54">
        <v>3</v>
      </c>
      <c r="D54" s="9">
        <v>0.23400000000000001</v>
      </c>
      <c r="E54">
        <v>1.5089999999999999</v>
      </c>
      <c r="F54" s="5">
        <v>2089.91</v>
      </c>
      <c r="G54" t="s">
        <v>151</v>
      </c>
      <c r="H54" s="5">
        <f t="shared" si="5"/>
        <v>3121.6221599999999</v>
      </c>
      <c r="I54">
        <f t="shared" si="4"/>
        <v>-0.27634900468231655</v>
      </c>
    </row>
    <row r="56" spans="2:9" x14ac:dyDescent="0.35">
      <c r="B56" t="s">
        <v>162</v>
      </c>
    </row>
    <row r="57" spans="2:9" x14ac:dyDescent="0.35">
      <c r="B57" t="s">
        <v>139</v>
      </c>
      <c r="C57">
        <v>0</v>
      </c>
      <c r="D57" s="9">
        <v>0</v>
      </c>
      <c r="E57">
        <v>3.05</v>
      </c>
      <c r="F57" s="5">
        <v>1987.05</v>
      </c>
      <c r="G57" t="s">
        <v>148</v>
      </c>
      <c r="H57" s="5">
        <f>F57*$L$9</f>
        <v>2992.4973</v>
      </c>
    </row>
    <row r="58" spans="2:9" x14ac:dyDescent="0.35">
      <c r="B58" t="s">
        <v>139</v>
      </c>
      <c r="C58">
        <v>1</v>
      </c>
      <c r="D58" s="9">
        <v>4.5999999999999999E-2</v>
      </c>
      <c r="E58">
        <v>2.911</v>
      </c>
      <c r="F58" s="5">
        <v>1995.58</v>
      </c>
      <c r="G58" t="s">
        <v>150</v>
      </c>
      <c r="H58" s="5">
        <f>$H$57+(F58-$F$57)*$M$9</f>
        <v>3003.2706899999998</v>
      </c>
      <c r="I58">
        <f t="shared" ref="I58:I59" si="6">((F58-F57)/(F57))/((E58-E57)/(E57))</f>
        <v>-9.4194441382049326E-2</v>
      </c>
    </row>
    <row r="59" spans="2:9" x14ac:dyDescent="0.35">
      <c r="B59" t="s">
        <v>139</v>
      </c>
      <c r="C59">
        <v>2</v>
      </c>
      <c r="D59" s="9">
        <v>0.14699999999999999</v>
      </c>
      <c r="E59">
        <v>2.6019999999999999</v>
      </c>
      <c r="F59" s="5">
        <v>2089.58</v>
      </c>
      <c r="G59" t="s">
        <v>151</v>
      </c>
      <c r="H59" s="5">
        <f t="shared" ref="H59" si="7">$H$57+(F59-$F$57)*$M$9</f>
        <v>3121.99269</v>
      </c>
      <c r="I59">
        <f t="shared" si="6"/>
        <v>-0.44375415947561242</v>
      </c>
    </row>
    <row r="61" spans="2:9" x14ac:dyDescent="0.35">
      <c r="B61" t="s">
        <v>163</v>
      </c>
    </row>
    <row r="62" spans="2:9" x14ac:dyDescent="0.35">
      <c r="B62" t="s">
        <v>139</v>
      </c>
      <c r="C62">
        <v>0</v>
      </c>
      <c r="D62" s="9">
        <v>0</v>
      </c>
      <c r="E62">
        <v>11.420999999999999</v>
      </c>
      <c r="F62" s="5">
        <v>2090.06</v>
      </c>
      <c r="G62" t="s">
        <v>148</v>
      </c>
      <c r="H62" s="5">
        <f>F62*$L$9</f>
        <v>3147.6303600000001</v>
      </c>
    </row>
    <row r="63" spans="2:9" x14ac:dyDescent="0.35">
      <c r="B63" t="s">
        <v>139</v>
      </c>
      <c r="C63">
        <v>1</v>
      </c>
      <c r="D63" s="9">
        <v>1.2999999999999999E-2</v>
      </c>
      <c r="E63">
        <v>11.268000000000001</v>
      </c>
      <c r="F63" s="5">
        <v>2093.64</v>
      </c>
      <c r="G63" t="s">
        <v>149</v>
      </c>
      <c r="H63" s="5">
        <f>$H$62+(F63-$F$62)*$M$9</f>
        <v>3152.1518999999998</v>
      </c>
      <c r="I63">
        <f t="shared" ref="I63:I65" si="8">((F63-F62)/(F62))/((E63-E62)/(E62))</f>
        <v>-0.127860669353144</v>
      </c>
    </row>
    <row r="64" spans="2:9" x14ac:dyDescent="0.35">
      <c r="B64" t="s">
        <v>139</v>
      </c>
      <c r="C64">
        <v>2</v>
      </c>
      <c r="D64" s="9">
        <v>0.03</v>
      </c>
      <c r="E64">
        <v>11.079000000000001</v>
      </c>
      <c r="F64" s="5">
        <v>2102.16</v>
      </c>
      <c r="G64" t="s">
        <v>150</v>
      </c>
      <c r="H64" s="5">
        <f t="shared" ref="H64:H65" si="9">$H$62+(F64-$F$62)*$M$9</f>
        <v>3162.91266</v>
      </c>
      <c r="I64">
        <f t="shared" si="8"/>
        <v>-0.2426177784692137</v>
      </c>
    </row>
    <row r="65" spans="2:9" x14ac:dyDescent="0.35">
      <c r="B65" t="s">
        <v>139</v>
      </c>
      <c r="C65">
        <v>3</v>
      </c>
      <c r="D65" s="9">
        <v>0.183</v>
      </c>
      <c r="E65">
        <v>9.3360000000000003</v>
      </c>
      <c r="F65" s="5">
        <v>2196.16</v>
      </c>
      <c r="G65" t="s">
        <v>151</v>
      </c>
      <c r="H65" s="5">
        <f t="shared" si="9"/>
        <v>3281.6346600000002</v>
      </c>
      <c r="I65">
        <f t="shared" si="8"/>
        <v>-0.28422695397249625</v>
      </c>
    </row>
    <row r="67" spans="2:9" x14ac:dyDescent="0.35">
      <c r="B67" t="s">
        <v>164</v>
      </c>
    </row>
    <row r="68" spans="2:9" x14ac:dyDescent="0.35">
      <c r="B68" t="s">
        <v>139</v>
      </c>
      <c r="C68">
        <v>0</v>
      </c>
      <c r="D68" s="9">
        <v>0</v>
      </c>
      <c r="E68">
        <v>16.326000000000001</v>
      </c>
      <c r="F68" s="5">
        <v>2293.7800000000002</v>
      </c>
      <c r="G68" t="s">
        <v>148</v>
      </c>
      <c r="H68" s="5">
        <f>F68*$L$9</f>
        <v>3454.4326800000003</v>
      </c>
    </row>
    <row r="69" spans="2:9" x14ac:dyDescent="0.35">
      <c r="B69" t="s">
        <v>139</v>
      </c>
      <c r="C69">
        <v>1</v>
      </c>
      <c r="D69" s="9">
        <v>8.9999999999999993E-3</v>
      </c>
      <c r="E69">
        <v>16.172999999999998</v>
      </c>
      <c r="F69" s="5">
        <v>2297.35</v>
      </c>
      <c r="G69" t="s">
        <v>149</v>
      </c>
      <c r="H69" s="5">
        <f>$H$68+(F69-$F$68)*$M$9</f>
        <v>3458.9415899999999</v>
      </c>
      <c r="I69">
        <f t="shared" ref="I69:I71" si="10">((F69-F68)/(F68))/((E69-E68)/(E68))</f>
        <v>-0.16607521209530268</v>
      </c>
    </row>
    <row r="70" spans="2:9" x14ac:dyDescent="0.35">
      <c r="B70" t="s">
        <v>139</v>
      </c>
      <c r="C70">
        <v>2</v>
      </c>
      <c r="D70" s="9">
        <v>2.1000000000000001E-2</v>
      </c>
      <c r="E70">
        <v>15.983000000000001</v>
      </c>
      <c r="F70" s="5">
        <v>2305.88</v>
      </c>
      <c r="G70" t="s">
        <v>150</v>
      </c>
      <c r="H70" s="5">
        <f t="shared" ref="H70:H71" si="11">$H$68+(F70-$F$68)*$M$9</f>
        <v>3469.7149800000002</v>
      </c>
      <c r="I70">
        <f t="shared" si="10"/>
        <v>-0.3160522249319408</v>
      </c>
    </row>
    <row r="71" spans="2:9" x14ac:dyDescent="0.35">
      <c r="B71" t="s">
        <v>139</v>
      </c>
      <c r="C71">
        <v>3</v>
      </c>
      <c r="D71" s="9">
        <v>0.16600000000000001</v>
      </c>
      <c r="E71">
        <v>13.611000000000001</v>
      </c>
      <c r="F71" s="5">
        <v>2493.88</v>
      </c>
      <c r="G71" t="s">
        <v>151</v>
      </c>
      <c r="H71" s="5">
        <f t="shared" si="11"/>
        <v>3707.1589800000002</v>
      </c>
      <c r="I71">
        <f t="shared" si="10"/>
        <v>-0.54936977454017333</v>
      </c>
    </row>
    <row r="73" spans="2:9" x14ac:dyDescent="0.35">
      <c r="B73" t="s">
        <v>165</v>
      </c>
    </row>
    <row r="74" spans="2:9" x14ac:dyDescent="0.35">
      <c r="B74" t="s">
        <v>139</v>
      </c>
      <c r="C74">
        <v>0</v>
      </c>
      <c r="D74" s="9">
        <v>0</v>
      </c>
      <c r="E74">
        <v>29.536999999999999</v>
      </c>
      <c r="F74" s="5">
        <v>3346.27</v>
      </c>
      <c r="G74" t="s">
        <v>138</v>
      </c>
      <c r="H74" s="5"/>
    </row>
    <row r="75" spans="2:9" x14ac:dyDescent="0.35">
      <c r="B75" t="s">
        <v>139</v>
      </c>
      <c r="C75">
        <v>1</v>
      </c>
      <c r="D75" s="9">
        <v>7.3999999999999996E-2</v>
      </c>
      <c r="E75">
        <v>27.388999999999999</v>
      </c>
      <c r="F75" s="5">
        <v>3453.79</v>
      </c>
      <c r="G75" t="s">
        <v>146</v>
      </c>
    </row>
    <row r="76" spans="2:9" x14ac:dyDescent="0.35">
      <c r="B76" t="s">
        <v>139</v>
      </c>
      <c r="C76">
        <v>2</v>
      </c>
      <c r="D76" s="9">
        <v>0.121</v>
      </c>
      <c r="E76">
        <v>26.010999999999999</v>
      </c>
      <c r="F76" s="5">
        <v>3578.79</v>
      </c>
      <c r="G76" t="s">
        <v>145</v>
      </c>
    </row>
    <row r="78" spans="2:9" x14ac:dyDescent="0.35">
      <c r="B78" t="s">
        <v>166</v>
      </c>
    </row>
    <row r="79" spans="2:9" x14ac:dyDescent="0.35">
      <c r="B79" t="s">
        <v>139</v>
      </c>
      <c r="C79">
        <v>0</v>
      </c>
      <c r="D79" s="12">
        <v>0</v>
      </c>
      <c r="E79">
        <v>22.564</v>
      </c>
      <c r="F79" s="5">
        <v>6510.96</v>
      </c>
      <c r="G79" t="s">
        <v>138</v>
      </c>
      <c r="H79" s="5"/>
    </row>
    <row r="80" spans="2:9" x14ac:dyDescent="0.35">
      <c r="B80" t="s">
        <v>139</v>
      </c>
      <c r="C80">
        <v>1</v>
      </c>
      <c r="D80" s="9">
        <v>1E-3</v>
      </c>
      <c r="E80">
        <v>22.521999999999998</v>
      </c>
      <c r="F80" s="5">
        <v>6537.77</v>
      </c>
      <c r="G80" t="s">
        <v>157</v>
      </c>
    </row>
    <row r="81" spans="2:10" x14ac:dyDescent="0.35">
      <c r="B81" t="s">
        <v>139</v>
      </c>
      <c r="C81">
        <v>2</v>
      </c>
      <c r="D81" s="9">
        <v>0.109</v>
      </c>
      <c r="E81">
        <v>20.084</v>
      </c>
      <c r="F81" s="5">
        <v>6647.77</v>
      </c>
      <c r="G81" t="s">
        <v>145</v>
      </c>
    </row>
    <row r="82" spans="2:10" x14ac:dyDescent="0.35">
      <c r="B82" t="s">
        <v>139</v>
      </c>
      <c r="C82">
        <v>3</v>
      </c>
      <c r="D82" s="9">
        <v>0.11</v>
      </c>
      <c r="E82">
        <v>20.071000000000002</v>
      </c>
      <c r="F82" s="5">
        <v>6691.63</v>
      </c>
      <c r="G82" t="s">
        <v>158</v>
      </c>
    </row>
    <row r="83" spans="2:10" x14ac:dyDescent="0.35">
      <c r="B83" t="s">
        <v>139</v>
      </c>
      <c r="C83">
        <v>4</v>
      </c>
      <c r="D83" s="9">
        <v>0.111</v>
      </c>
      <c r="E83">
        <v>20.039000000000001</v>
      </c>
      <c r="F83" s="5">
        <v>7216.04</v>
      </c>
      <c r="G83" t="s">
        <v>159</v>
      </c>
    </row>
    <row r="85" spans="2:10" x14ac:dyDescent="0.35">
      <c r="B85" t="s">
        <v>167</v>
      </c>
    </row>
    <row r="86" spans="2:10" x14ac:dyDescent="0.35">
      <c r="B86" t="s">
        <v>139</v>
      </c>
      <c r="C86">
        <v>0</v>
      </c>
      <c r="D86" s="9">
        <v>0</v>
      </c>
      <c r="E86">
        <v>12.105</v>
      </c>
      <c r="F86" s="5">
        <v>1112.96</v>
      </c>
      <c r="G86" t="s">
        <v>148</v>
      </c>
      <c r="H86" s="5">
        <f>F86*$L$9</f>
        <v>1676.1177600000001</v>
      </c>
    </row>
    <row r="87" spans="2:10" x14ac:dyDescent="0.35">
      <c r="B87" t="s">
        <v>139</v>
      </c>
      <c r="C87">
        <v>1</v>
      </c>
      <c r="D87" s="9">
        <v>1.4E-2</v>
      </c>
      <c r="E87">
        <v>11.939</v>
      </c>
      <c r="F87" s="5">
        <v>1120.6600000000001</v>
      </c>
      <c r="G87" t="s">
        <v>150</v>
      </c>
      <c r="H87" s="5">
        <f>$H$86+(F87-$F$86)*$M$9</f>
        <v>1685.8428600000002</v>
      </c>
      <c r="I87">
        <f t="shared" ref="I87:I88" si="12">((F87-F86)/(F86))/((E87-E86)/(E86))</f>
        <v>-0.50450778819706843</v>
      </c>
    </row>
    <row r="88" spans="2:10" x14ac:dyDescent="0.35">
      <c r="B88" t="s">
        <v>139</v>
      </c>
      <c r="C88">
        <v>2</v>
      </c>
      <c r="D88" s="9">
        <v>0.13400000000000001</v>
      </c>
      <c r="E88">
        <v>10.484</v>
      </c>
      <c r="F88" s="5">
        <v>1214.6600000000001</v>
      </c>
      <c r="G88" t="s">
        <v>151</v>
      </c>
      <c r="H88" s="5">
        <f t="shared" ref="H88" si="13">$H$86+(F88-$F$86)*$M$9</f>
        <v>1804.5648600000002</v>
      </c>
      <c r="I88">
        <f t="shared" si="12"/>
        <v>-0.68827016087660164</v>
      </c>
    </row>
    <row r="90" spans="2:10" x14ac:dyDescent="0.35">
      <c r="I90" s="1">
        <f>AVERAGE(I16:I88)</f>
        <v>-0.27364729366829971</v>
      </c>
      <c r="J90" s="1" t="s">
        <v>318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4F1A2-F703-4C6F-AA45-D27647AF57D3}">
  <dimension ref="A1:L15"/>
  <sheetViews>
    <sheetView topLeftCell="A6" zoomScale="98" zoomScaleNormal="115" workbookViewId="0">
      <selection activeCell="K6" sqref="K6:L13"/>
    </sheetView>
  </sheetViews>
  <sheetFormatPr defaultRowHeight="14.5" x14ac:dyDescent="0.35"/>
  <cols>
    <col min="2" max="2" width="10.81640625" bestFit="1" customWidth="1"/>
    <col min="3" max="3" width="11.1796875" bestFit="1" customWidth="1"/>
    <col min="4" max="6" width="9.453125" bestFit="1" customWidth="1"/>
    <col min="7" max="9" width="7.453125" customWidth="1"/>
  </cols>
  <sheetData>
    <row r="1" spans="1:12" x14ac:dyDescent="0.35">
      <c r="A1" t="s">
        <v>322</v>
      </c>
    </row>
    <row r="3" spans="1:12" x14ac:dyDescent="0.35">
      <c r="C3" t="s">
        <v>337</v>
      </c>
    </row>
    <row r="4" spans="1:12" x14ac:dyDescent="0.35">
      <c r="D4" t="s">
        <v>335</v>
      </c>
      <c r="G4" t="s">
        <v>336</v>
      </c>
      <c r="K4" t="s">
        <v>12</v>
      </c>
    </row>
    <row r="5" spans="1:12" x14ac:dyDescent="0.35">
      <c r="D5" t="s">
        <v>332</v>
      </c>
      <c r="E5" t="s">
        <v>333</v>
      </c>
      <c r="F5" t="s">
        <v>334</v>
      </c>
      <c r="G5" t="s">
        <v>332</v>
      </c>
      <c r="H5" t="s">
        <v>333</v>
      </c>
      <c r="I5" t="s">
        <v>334</v>
      </c>
      <c r="K5" t="s">
        <v>333</v>
      </c>
      <c r="L5" t="s">
        <v>334</v>
      </c>
    </row>
    <row r="6" spans="1:12" x14ac:dyDescent="0.35">
      <c r="C6" t="s">
        <v>324</v>
      </c>
      <c r="D6" s="23">
        <v>31831</v>
      </c>
      <c r="E6" s="23">
        <v>35000</v>
      </c>
      <c r="F6" s="23">
        <v>47588</v>
      </c>
      <c r="G6" s="7">
        <v>2.7</v>
      </c>
      <c r="H6" s="7">
        <v>3.2</v>
      </c>
      <c r="I6" s="7">
        <v>3.81</v>
      </c>
      <c r="K6">
        <f>((E6-$D6)/($D6))/((H6-$G6)/($G6))</f>
        <v>0.53760799220885302</v>
      </c>
      <c r="L6">
        <f t="shared" ref="L6:L13" si="0">((F6-$D6)/($D6))/((I6-$G6)/($G6))</f>
        <v>1.2041041072488405</v>
      </c>
    </row>
    <row r="7" spans="1:12" x14ac:dyDescent="0.35">
      <c r="C7" t="s">
        <v>325</v>
      </c>
      <c r="D7" s="23">
        <v>102315</v>
      </c>
      <c r="E7" s="23">
        <v>110000</v>
      </c>
      <c r="F7" s="23">
        <v>146311</v>
      </c>
      <c r="G7" s="7">
        <v>3</v>
      </c>
      <c r="H7" s="7">
        <v>3.4</v>
      </c>
      <c r="I7" s="7">
        <v>4.21</v>
      </c>
      <c r="K7">
        <f t="shared" ref="K7:K13" si="1">((E7-$D7)/($D7))/((H7-$G7)/($G7))</f>
        <v>0.56333382202023174</v>
      </c>
      <c r="L7">
        <f t="shared" si="0"/>
        <v>1.0661290303038382</v>
      </c>
    </row>
    <row r="8" spans="1:12" x14ac:dyDescent="0.35">
      <c r="C8" t="s">
        <v>326</v>
      </c>
      <c r="D8" s="23">
        <v>35242</v>
      </c>
      <c r="E8" s="23">
        <v>40000</v>
      </c>
      <c r="F8" s="23">
        <v>52687</v>
      </c>
      <c r="G8" s="7">
        <v>1.59</v>
      </c>
      <c r="H8" s="7">
        <v>1.9</v>
      </c>
      <c r="I8" s="7">
        <v>2.2200000000000002</v>
      </c>
      <c r="K8">
        <f t="shared" si="1"/>
        <v>0.69246738221074233</v>
      </c>
      <c r="L8">
        <f t="shared" si="0"/>
        <v>1.2493007531597848</v>
      </c>
    </row>
    <row r="9" spans="1:12" x14ac:dyDescent="0.35">
      <c r="C9" t="s">
        <v>327</v>
      </c>
      <c r="D9" s="23">
        <v>106863</v>
      </c>
      <c r="E9" s="23">
        <v>115000</v>
      </c>
      <c r="F9" s="23">
        <v>152814</v>
      </c>
      <c r="G9" s="7">
        <v>1.7</v>
      </c>
      <c r="H9" s="7">
        <v>1.95</v>
      </c>
      <c r="I9" s="7">
        <v>2.38</v>
      </c>
      <c r="K9">
        <f t="shared" si="1"/>
        <v>0.51778070988087543</v>
      </c>
      <c r="L9">
        <f t="shared" si="0"/>
        <v>1.0749978945004353</v>
      </c>
    </row>
    <row r="10" spans="1:12" x14ac:dyDescent="0.35">
      <c r="C10" t="s">
        <v>328</v>
      </c>
      <c r="D10" s="23">
        <v>47747</v>
      </c>
      <c r="E10" s="23">
        <v>51000</v>
      </c>
      <c r="F10" s="23">
        <v>71382</v>
      </c>
      <c r="G10" s="7">
        <v>3.6</v>
      </c>
      <c r="H10" s="7">
        <v>4.0999999999999996</v>
      </c>
      <c r="I10" s="7">
        <v>5.08</v>
      </c>
      <c r="K10">
        <f t="shared" si="1"/>
        <v>0.49053553102812791</v>
      </c>
      <c r="L10">
        <f t="shared" si="0"/>
        <v>1.2040660259396516</v>
      </c>
    </row>
    <row r="11" spans="1:12" x14ac:dyDescent="0.35">
      <c r="C11" t="s">
        <v>329</v>
      </c>
      <c r="D11" s="23">
        <v>153473</v>
      </c>
      <c r="E11" s="23">
        <v>165000</v>
      </c>
      <c r="F11" s="23">
        <v>219466</v>
      </c>
      <c r="G11" s="7">
        <v>3.9</v>
      </c>
      <c r="H11" s="7">
        <v>4.5</v>
      </c>
      <c r="I11" s="7">
        <v>5.46</v>
      </c>
      <c r="K11">
        <f t="shared" si="1"/>
        <v>0.48819987880604393</v>
      </c>
      <c r="L11">
        <f t="shared" si="0"/>
        <v>1.0749936470910193</v>
      </c>
    </row>
    <row r="12" spans="1:12" x14ac:dyDescent="0.35">
      <c r="C12" t="s">
        <v>330</v>
      </c>
      <c r="D12" s="23">
        <v>52863</v>
      </c>
      <c r="E12" s="23">
        <v>57000</v>
      </c>
      <c r="F12" s="23">
        <v>79030</v>
      </c>
      <c r="G12" s="7">
        <v>2</v>
      </c>
      <c r="H12" s="7">
        <v>2.2999999999999998</v>
      </c>
      <c r="I12" s="7">
        <v>2.81</v>
      </c>
      <c r="K12">
        <f t="shared" si="1"/>
        <v>0.52172597090592687</v>
      </c>
      <c r="L12">
        <f t="shared" si="0"/>
        <v>1.2222135812044317</v>
      </c>
    </row>
    <row r="13" spans="1:12" x14ac:dyDescent="0.35">
      <c r="C13" t="s">
        <v>331</v>
      </c>
      <c r="D13" s="23">
        <v>160294</v>
      </c>
      <c r="E13" s="23">
        <v>172000</v>
      </c>
      <c r="F13" s="23">
        <v>229221</v>
      </c>
      <c r="G13" s="7">
        <v>2.25</v>
      </c>
      <c r="H13" s="7">
        <v>2.5499999999999998</v>
      </c>
      <c r="I13" s="7">
        <v>3.16</v>
      </c>
      <c r="K13">
        <f t="shared" si="1"/>
        <v>0.54771232859620478</v>
      </c>
      <c r="L13">
        <f t="shared" si="0"/>
        <v>1.063195759659757</v>
      </c>
    </row>
    <row r="14" spans="1:12" x14ac:dyDescent="0.35">
      <c r="C14" s="17" t="s">
        <v>338</v>
      </c>
    </row>
    <row r="15" spans="1:12" x14ac:dyDescent="0.35">
      <c r="K15" s="13">
        <f>AVERAGE(K6:L13)</f>
        <v>0.84489777592279791</v>
      </c>
    </row>
  </sheetData>
  <conditionalFormatting sqref="K6:L13">
    <cfRule type="colorScale" priority="2">
      <colorScale>
        <cfvo type="min"/>
        <cfvo type="max"/>
        <color rgb="FFFCFCFF"/>
        <color rgb="FFF8696B"/>
      </colorScale>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93F3F-9A88-4413-B145-B7568F539BC4}">
  <dimension ref="B2:J20"/>
  <sheetViews>
    <sheetView workbookViewId="0">
      <selection activeCell="G15" sqref="G15:G19"/>
    </sheetView>
  </sheetViews>
  <sheetFormatPr defaultRowHeight="14.5" x14ac:dyDescent="0.35"/>
  <cols>
    <col min="2" max="2" width="24.81640625" customWidth="1"/>
    <col min="3" max="3" width="15.81640625" bestFit="1" customWidth="1"/>
    <col min="4" max="4" width="10" bestFit="1" customWidth="1"/>
    <col min="5" max="5" width="9.7265625" bestFit="1" customWidth="1"/>
  </cols>
  <sheetData>
    <row r="2" spans="2:10" x14ac:dyDescent="0.35">
      <c r="B2" t="s">
        <v>125</v>
      </c>
    </row>
    <row r="3" spans="2:10" x14ac:dyDescent="0.35">
      <c r="B3" t="s">
        <v>126</v>
      </c>
      <c r="C3" t="s">
        <v>127</v>
      </c>
      <c r="D3" t="s">
        <v>128</v>
      </c>
      <c r="E3" t="s">
        <v>129</v>
      </c>
    </row>
    <row r="4" spans="2:10" x14ac:dyDescent="0.35">
      <c r="B4" t="s">
        <v>130</v>
      </c>
      <c r="C4" s="12">
        <v>0.8</v>
      </c>
      <c r="D4">
        <v>1453.78</v>
      </c>
      <c r="E4">
        <v>2107.98</v>
      </c>
      <c r="J4" s="7"/>
    </row>
    <row r="5" spans="2:10" x14ac:dyDescent="0.35">
      <c r="B5" t="s">
        <v>131</v>
      </c>
      <c r="C5" s="12">
        <v>0.82</v>
      </c>
      <c r="D5">
        <v>1489.43</v>
      </c>
      <c r="E5">
        <v>2159.6799999999998</v>
      </c>
      <c r="G5" s="7">
        <f>((E5-$E$4)/(E5+$E$4))/((C5-$C$4)/($C$4))</f>
        <v>0.48457468495615924</v>
      </c>
    </row>
    <row r="6" spans="2:10" x14ac:dyDescent="0.35">
      <c r="B6" t="s">
        <v>132</v>
      </c>
      <c r="C6" s="12">
        <v>0.9</v>
      </c>
      <c r="D6">
        <v>1610.08</v>
      </c>
      <c r="E6">
        <v>2334.62</v>
      </c>
      <c r="G6" s="7">
        <f t="shared" ref="G6:G9" si="0">((E6-$E$4)/(E6+$E$4))/((C6-$C$4)/($C$4))</f>
        <v>0.40812137036870288</v>
      </c>
    </row>
    <row r="7" spans="2:10" x14ac:dyDescent="0.35">
      <c r="B7" t="s">
        <v>133</v>
      </c>
      <c r="C7" s="12">
        <v>0.92</v>
      </c>
      <c r="D7">
        <v>1629.39</v>
      </c>
      <c r="E7">
        <v>2362.61</v>
      </c>
      <c r="G7" s="7">
        <f t="shared" si="0"/>
        <v>0.37971125362275093</v>
      </c>
    </row>
    <row r="8" spans="2:10" x14ac:dyDescent="0.35">
      <c r="B8" t="s">
        <v>134</v>
      </c>
      <c r="C8" s="12">
        <v>0.95</v>
      </c>
      <c r="D8">
        <v>1666.24</v>
      </c>
      <c r="E8">
        <v>2416.0500000000002</v>
      </c>
      <c r="G8" s="7">
        <f t="shared" si="0"/>
        <v>0.36318061551316005</v>
      </c>
    </row>
    <row r="9" spans="2:10" x14ac:dyDescent="0.35">
      <c r="B9" t="s">
        <v>135</v>
      </c>
      <c r="C9" s="12">
        <v>0.99</v>
      </c>
      <c r="D9">
        <v>1733.86</v>
      </c>
      <c r="E9">
        <v>2514.1</v>
      </c>
      <c r="G9" s="7">
        <f t="shared" si="0"/>
        <v>0.3699587517672609</v>
      </c>
    </row>
    <row r="10" spans="2:10" x14ac:dyDescent="0.35">
      <c r="G10" s="8">
        <f>AVERAGE(G5:G9)</f>
        <v>0.40110933524560688</v>
      </c>
    </row>
    <row r="11" spans="2:10" x14ac:dyDescent="0.35">
      <c r="G11" s="8"/>
    </row>
    <row r="12" spans="2:10" x14ac:dyDescent="0.35">
      <c r="B12" t="s">
        <v>136</v>
      </c>
    </row>
    <row r="13" spans="2:10" x14ac:dyDescent="0.35">
      <c r="B13" t="s">
        <v>126</v>
      </c>
      <c r="C13" t="s">
        <v>127</v>
      </c>
      <c r="D13" t="s">
        <v>128</v>
      </c>
      <c r="E13" t="s">
        <v>129</v>
      </c>
    </row>
    <row r="14" spans="2:10" x14ac:dyDescent="0.35">
      <c r="B14" t="s">
        <v>130</v>
      </c>
      <c r="C14" s="12">
        <v>0.8</v>
      </c>
      <c r="D14">
        <v>1259.7</v>
      </c>
      <c r="E14">
        <v>1801.36</v>
      </c>
    </row>
    <row r="15" spans="2:10" x14ac:dyDescent="0.35">
      <c r="B15" t="s">
        <v>131</v>
      </c>
      <c r="C15" s="12">
        <v>0.82</v>
      </c>
      <c r="D15">
        <v>1270.95</v>
      </c>
      <c r="E15">
        <v>1817.46</v>
      </c>
      <c r="G15" s="7">
        <f>((E15-$E$14)/(E15+$E$14))/((C15-$C$14)/($C$14))</f>
        <v>0.17795856107792277</v>
      </c>
    </row>
    <row r="16" spans="2:10" x14ac:dyDescent="0.35">
      <c r="B16" t="s">
        <v>132</v>
      </c>
      <c r="C16" s="12">
        <v>0.84</v>
      </c>
      <c r="D16">
        <v>1355.79</v>
      </c>
      <c r="E16">
        <v>1938.78</v>
      </c>
      <c r="G16" s="7">
        <f t="shared" ref="G16:G19" si="1">((E16-$E$14)/(E16+$E$14))/((C16-$C$14)/($C$14))</f>
        <v>0.73483880282556446</v>
      </c>
    </row>
    <row r="17" spans="2:7" x14ac:dyDescent="0.35">
      <c r="B17" t="s">
        <v>133</v>
      </c>
      <c r="C17" s="12">
        <v>0.92</v>
      </c>
      <c r="D17">
        <v>3146.59</v>
      </c>
      <c r="E17">
        <v>4499.63</v>
      </c>
      <c r="G17" s="7">
        <f t="shared" si="1"/>
        <v>2.8548635478975006</v>
      </c>
    </row>
    <row r="18" spans="2:7" x14ac:dyDescent="0.35">
      <c r="B18" t="s">
        <v>134</v>
      </c>
      <c r="C18" s="12">
        <v>0.94</v>
      </c>
      <c r="D18">
        <v>3329.25</v>
      </c>
      <c r="E18">
        <v>4760.83</v>
      </c>
      <c r="G18" s="7">
        <f t="shared" si="1"/>
        <v>2.577075205511751</v>
      </c>
    </row>
    <row r="19" spans="2:7" x14ac:dyDescent="0.35">
      <c r="B19" t="s">
        <v>135</v>
      </c>
      <c r="C19" s="12">
        <v>0.96</v>
      </c>
      <c r="D19">
        <v>3511.91</v>
      </c>
      <c r="E19">
        <v>5022.03</v>
      </c>
      <c r="G19" s="7">
        <f t="shared" si="1"/>
        <v>2.3600219245858747</v>
      </c>
    </row>
    <row r="20" spans="2:7" x14ac:dyDescent="0.35">
      <c r="G20" s="8">
        <f>AVERAGE(G15:G19)</f>
        <v>1.7409516083797225</v>
      </c>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4C270-6BF9-4D0D-85CD-90AE6754A5FB}">
  <dimension ref="A2:W114"/>
  <sheetViews>
    <sheetView zoomScale="70" zoomScaleNormal="70" workbookViewId="0">
      <selection activeCell="W47" sqref="W47"/>
    </sheetView>
  </sheetViews>
  <sheetFormatPr defaultRowHeight="14.5" x14ac:dyDescent="0.35"/>
  <cols>
    <col min="1" max="1" width="8.81640625" customWidth="1"/>
    <col min="2" max="2" width="8.1796875" bestFit="1" customWidth="1"/>
    <col min="3" max="3" width="8.81640625" bestFit="1" customWidth="1"/>
    <col min="4" max="4" width="8.453125" bestFit="1" customWidth="1"/>
    <col min="5" max="5" width="7.453125" bestFit="1" customWidth="1"/>
    <col min="6" max="7" width="7.1796875" bestFit="1" customWidth="1"/>
    <col min="10" max="10" width="10.453125" customWidth="1"/>
    <col min="11" max="11" width="8.81640625" bestFit="1" customWidth="1"/>
    <col min="12" max="12" width="8.453125" bestFit="1" customWidth="1"/>
    <col min="13" max="13" width="10.54296875" bestFit="1" customWidth="1"/>
    <col min="14" max="16" width="11.81640625" bestFit="1" customWidth="1"/>
    <col min="18" max="18" width="10.1796875" bestFit="1" customWidth="1"/>
    <col min="20" max="20" width="9.54296875" bestFit="1" customWidth="1"/>
    <col min="22" max="22" width="9.54296875" bestFit="1" customWidth="1"/>
  </cols>
  <sheetData>
    <row r="2" spans="2:20" x14ac:dyDescent="0.35">
      <c r="B2" t="s">
        <v>64</v>
      </c>
      <c r="J2" t="s">
        <v>72</v>
      </c>
    </row>
    <row r="3" spans="2:20" x14ac:dyDescent="0.35">
      <c r="B3" t="s">
        <v>46</v>
      </c>
      <c r="C3" t="s">
        <v>47</v>
      </c>
      <c r="D3" t="s">
        <v>48</v>
      </c>
      <c r="E3" t="s">
        <v>49</v>
      </c>
      <c r="F3" t="s">
        <v>50</v>
      </c>
      <c r="G3" t="s">
        <v>51</v>
      </c>
      <c r="J3" t="s">
        <v>73</v>
      </c>
      <c r="K3" t="s">
        <v>47</v>
      </c>
      <c r="L3" t="s">
        <v>48</v>
      </c>
      <c r="M3" t="s">
        <v>74</v>
      </c>
      <c r="N3" t="s">
        <v>75</v>
      </c>
      <c r="O3" t="s">
        <v>76</v>
      </c>
      <c r="R3" s="6" t="s">
        <v>83</v>
      </c>
    </row>
    <row r="4" spans="2:20" x14ac:dyDescent="0.35">
      <c r="B4" t="s">
        <v>52</v>
      </c>
      <c r="C4" t="s">
        <v>53</v>
      </c>
      <c r="D4" t="s">
        <v>54</v>
      </c>
      <c r="K4" t="s">
        <v>53</v>
      </c>
      <c r="L4" t="s">
        <v>54</v>
      </c>
      <c r="R4" t="s">
        <v>84</v>
      </c>
      <c r="S4" t="s">
        <v>85</v>
      </c>
    </row>
    <row r="5" spans="2:20" x14ac:dyDescent="0.35">
      <c r="C5">
        <v>50</v>
      </c>
      <c r="D5">
        <v>200</v>
      </c>
      <c r="E5">
        <v>1</v>
      </c>
      <c r="F5">
        <v>0.94</v>
      </c>
      <c r="G5">
        <v>0.51</v>
      </c>
      <c r="K5">
        <v>50</v>
      </c>
      <c r="L5">
        <v>200</v>
      </c>
      <c r="M5" s="5">
        <v>1188.4100000000001</v>
      </c>
      <c r="N5" s="5">
        <v>1420.43</v>
      </c>
      <c r="O5" s="5">
        <v>1561.02</v>
      </c>
      <c r="R5" s="7">
        <f>((N5-M5)/(M5))/((F5-E5)/(E5))</f>
        <v>-3.2539275165978037</v>
      </c>
      <c r="S5" s="7">
        <f t="shared" ref="S5:S37" si="0">((O5-N5)/(N5))/((G5-F5)/(F5))</f>
        <v>-0.21636847931243869</v>
      </c>
      <c r="T5" s="8">
        <f>AVERAGE(R5:S5)</f>
        <v>-1.7351479979551212</v>
      </c>
    </row>
    <row r="6" spans="2:20" x14ac:dyDescent="0.35">
      <c r="B6" t="s">
        <v>55</v>
      </c>
      <c r="C6">
        <v>85</v>
      </c>
      <c r="D6">
        <v>300</v>
      </c>
      <c r="E6">
        <v>1</v>
      </c>
      <c r="F6">
        <v>0.94</v>
      </c>
      <c r="G6">
        <v>0.5</v>
      </c>
      <c r="J6" t="s">
        <v>77</v>
      </c>
      <c r="K6">
        <v>85</v>
      </c>
      <c r="L6">
        <v>300</v>
      </c>
      <c r="M6" s="5">
        <v>1812.76</v>
      </c>
      <c r="N6" s="5">
        <v>2126.94</v>
      </c>
      <c r="O6" s="5">
        <v>2095.0100000000002</v>
      </c>
      <c r="R6" s="7">
        <f t="shared" ref="R6:R37" si="1">((N6-M6)/(M6))/((F6-E6)/(E6))</f>
        <v>-2.8885971299749165</v>
      </c>
      <c r="S6" s="7">
        <f t="shared" si="0"/>
        <v>3.2071469298189215E-2</v>
      </c>
      <c r="T6" s="8">
        <f t="shared" ref="T6:T37" si="2">AVERAGE(R6:S6)</f>
        <v>-1.4282628303383635</v>
      </c>
    </row>
    <row r="7" spans="2:20" x14ac:dyDescent="0.35">
      <c r="C7">
        <v>85</v>
      </c>
      <c r="D7">
        <v>750</v>
      </c>
      <c r="E7">
        <v>1</v>
      </c>
      <c r="F7">
        <v>0.96</v>
      </c>
      <c r="G7">
        <v>0.5</v>
      </c>
      <c r="K7">
        <v>85</v>
      </c>
      <c r="L7">
        <v>750</v>
      </c>
      <c r="M7" s="5">
        <v>2769.52</v>
      </c>
      <c r="N7" s="5">
        <v>3357.9</v>
      </c>
      <c r="O7" s="5">
        <v>3278.4</v>
      </c>
      <c r="R7" s="7">
        <f t="shared" si="1"/>
        <v>-5.3112091625985691</v>
      </c>
      <c r="S7" s="7">
        <f t="shared" si="0"/>
        <v>4.940976308950859E-2</v>
      </c>
      <c r="T7" s="8">
        <f t="shared" si="2"/>
        <v>-2.6308996997545302</v>
      </c>
    </row>
    <row r="8" spans="2:20" x14ac:dyDescent="0.35">
      <c r="C8">
        <v>100</v>
      </c>
      <c r="D8">
        <v>75</v>
      </c>
      <c r="E8">
        <v>1</v>
      </c>
      <c r="F8">
        <v>0.94</v>
      </c>
      <c r="G8">
        <v>0.51</v>
      </c>
      <c r="K8">
        <v>100</v>
      </c>
      <c r="L8">
        <v>75</v>
      </c>
      <c r="M8" s="5">
        <v>955.99</v>
      </c>
      <c r="N8" s="5">
        <v>1188.01</v>
      </c>
      <c r="O8" s="5">
        <v>1096.58</v>
      </c>
      <c r="R8" s="7">
        <f t="shared" si="1"/>
        <v>-4.0450213914371451</v>
      </c>
      <c r="S8" s="7">
        <f t="shared" si="0"/>
        <v>0.16823952033917197</v>
      </c>
      <c r="T8" s="8">
        <f t="shared" si="2"/>
        <v>-1.9383909355489866</v>
      </c>
    </row>
    <row r="9" spans="2:20" x14ac:dyDescent="0.35">
      <c r="B9" t="s">
        <v>56</v>
      </c>
      <c r="C9">
        <v>190</v>
      </c>
      <c r="D9">
        <v>300</v>
      </c>
      <c r="E9">
        <v>1</v>
      </c>
      <c r="F9">
        <v>0.96</v>
      </c>
      <c r="G9">
        <v>0.51</v>
      </c>
      <c r="J9" t="s">
        <v>56</v>
      </c>
      <c r="K9">
        <v>190</v>
      </c>
      <c r="L9">
        <v>300</v>
      </c>
      <c r="M9" s="5">
        <v>2385.52</v>
      </c>
      <c r="N9" s="5">
        <v>2973.9</v>
      </c>
      <c r="O9" s="5">
        <v>2894.4</v>
      </c>
      <c r="R9" s="7">
        <f t="shared" si="1"/>
        <v>-6.1661608370501986</v>
      </c>
      <c r="S9" s="7">
        <f t="shared" si="0"/>
        <v>5.7029489895423523E-2</v>
      </c>
      <c r="T9" s="8">
        <f t="shared" si="2"/>
        <v>-3.0545656735773874</v>
      </c>
    </row>
    <row r="10" spans="2:20" x14ac:dyDescent="0.35">
      <c r="C10">
        <v>160</v>
      </c>
      <c r="D10">
        <v>160</v>
      </c>
      <c r="E10">
        <v>1</v>
      </c>
      <c r="F10">
        <v>0.95</v>
      </c>
      <c r="G10">
        <v>0.5</v>
      </c>
      <c r="K10">
        <v>160</v>
      </c>
      <c r="L10">
        <v>160</v>
      </c>
      <c r="M10" s="5">
        <v>1520.39</v>
      </c>
      <c r="N10" s="5">
        <v>1834.57</v>
      </c>
      <c r="O10" s="5">
        <v>1802.64</v>
      </c>
      <c r="R10" s="7">
        <f t="shared" si="1"/>
        <v>-4.1328869566361197</v>
      </c>
      <c r="S10" s="7">
        <f t="shared" si="0"/>
        <v>3.6743093900901809E-2</v>
      </c>
      <c r="T10" s="8">
        <f t="shared" si="2"/>
        <v>-2.048071931367609</v>
      </c>
    </row>
    <row r="11" spans="2:20" x14ac:dyDescent="0.35">
      <c r="C11">
        <v>40</v>
      </c>
      <c r="D11">
        <v>350</v>
      </c>
      <c r="E11">
        <v>1</v>
      </c>
      <c r="F11">
        <v>0.94</v>
      </c>
      <c r="G11">
        <v>0.51</v>
      </c>
      <c r="K11">
        <v>40</v>
      </c>
      <c r="L11">
        <v>350</v>
      </c>
      <c r="M11" s="5">
        <v>1305.1099999999999</v>
      </c>
      <c r="N11" s="5">
        <v>1548.07</v>
      </c>
      <c r="O11" s="5">
        <v>1474.03</v>
      </c>
      <c r="R11" s="7">
        <f t="shared" si="1"/>
        <v>-3.1026758919426949</v>
      </c>
      <c r="S11" s="7">
        <f t="shared" si="0"/>
        <v>0.10455269058952772</v>
      </c>
      <c r="T11" s="8">
        <f t="shared" si="2"/>
        <v>-1.4990616006765836</v>
      </c>
    </row>
    <row r="12" spans="2:20" x14ac:dyDescent="0.35">
      <c r="B12" t="s">
        <v>57</v>
      </c>
      <c r="C12">
        <v>85</v>
      </c>
      <c r="D12">
        <v>400</v>
      </c>
      <c r="E12">
        <v>1</v>
      </c>
      <c r="F12">
        <v>0.95</v>
      </c>
      <c r="G12">
        <v>0.5</v>
      </c>
      <c r="J12" t="s">
        <v>78</v>
      </c>
      <c r="K12">
        <v>85</v>
      </c>
      <c r="L12">
        <v>400</v>
      </c>
      <c r="M12" s="5">
        <v>1862.5</v>
      </c>
      <c r="N12" s="5">
        <v>2176.6799999999998</v>
      </c>
      <c r="O12">
        <v>2144.7399999999998</v>
      </c>
      <c r="R12" s="7">
        <f t="shared" si="1"/>
        <v>-3.3737449664429486</v>
      </c>
      <c r="S12" s="7">
        <f t="shared" si="0"/>
        <v>3.0977860268339406E-2</v>
      </c>
      <c r="T12" s="8">
        <f t="shared" si="2"/>
        <v>-1.6713835530873047</v>
      </c>
    </row>
    <row r="13" spans="2:20" x14ac:dyDescent="0.35">
      <c r="C13">
        <v>150</v>
      </c>
      <c r="D13">
        <v>600</v>
      </c>
      <c r="E13">
        <v>1</v>
      </c>
      <c r="F13">
        <v>0.96</v>
      </c>
      <c r="G13">
        <v>0.5</v>
      </c>
      <c r="K13">
        <v>150</v>
      </c>
      <c r="L13">
        <v>600</v>
      </c>
      <c r="M13" s="5">
        <v>3768.52</v>
      </c>
      <c r="N13" s="5">
        <v>4806.78</v>
      </c>
      <c r="O13">
        <v>4504.04</v>
      </c>
      <c r="R13" s="7">
        <f t="shared" si="1"/>
        <v>-6.887717194017803</v>
      </c>
      <c r="S13" s="7">
        <f t="shared" si="0"/>
        <v>0.13144042735288572</v>
      </c>
      <c r="T13" s="8">
        <f t="shared" si="2"/>
        <v>-3.3781383833324585</v>
      </c>
    </row>
    <row r="14" spans="2:20" x14ac:dyDescent="0.35">
      <c r="C14">
        <v>200</v>
      </c>
      <c r="D14">
        <v>200</v>
      </c>
      <c r="E14">
        <v>1</v>
      </c>
      <c r="F14">
        <v>0.96</v>
      </c>
      <c r="G14">
        <v>0.51</v>
      </c>
      <c r="K14">
        <v>200</v>
      </c>
      <c r="L14">
        <v>200</v>
      </c>
      <c r="M14" s="5">
        <v>1954.24</v>
      </c>
      <c r="N14" s="5">
        <v>2383.56</v>
      </c>
      <c r="O14" s="5">
        <v>2349.81</v>
      </c>
      <c r="R14" s="7">
        <f t="shared" si="1"/>
        <v>-5.4921606353364929</v>
      </c>
      <c r="S14" s="7">
        <f t="shared" si="0"/>
        <v>3.0206917384080958E-2</v>
      </c>
      <c r="T14" s="8">
        <f t="shared" si="2"/>
        <v>-2.7309768589762058</v>
      </c>
    </row>
    <row r="15" spans="2:20" x14ac:dyDescent="0.35">
      <c r="B15" t="s">
        <v>58</v>
      </c>
      <c r="C15">
        <v>75</v>
      </c>
      <c r="D15">
        <v>75</v>
      </c>
      <c r="E15">
        <v>1</v>
      </c>
      <c r="F15">
        <v>0.92</v>
      </c>
      <c r="G15">
        <v>0.56999999999999995</v>
      </c>
      <c r="J15" t="s">
        <v>58</v>
      </c>
      <c r="K15">
        <v>75</v>
      </c>
      <c r="L15">
        <v>75</v>
      </c>
      <c r="M15" s="5">
        <v>841.5</v>
      </c>
      <c r="N15" s="5">
        <v>1065.32</v>
      </c>
      <c r="O15" s="5">
        <v>953.77</v>
      </c>
      <c r="R15" s="7">
        <f t="shared" si="1"/>
        <v>-3.3247177658942371</v>
      </c>
      <c r="S15" s="7">
        <f t="shared" si="0"/>
        <v>0.27523856011071107</v>
      </c>
      <c r="T15" s="8">
        <f t="shared" si="2"/>
        <v>-1.524739602891763</v>
      </c>
    </row>
    <row r="16" spans="2:20" x14ac:dyDescent="0.35">
      <c r="C16">
        <v>130</v>
      </c>
      <c r="D16">
        <v>130</v>
      </c>
      <c r="E16">
        <v>1</v>
      </c>
      <c r="F16">
        <v>0.95</v>
      </c>
      <c r="G16">
        <v>0.5</v>
      </c>
      <c r="K16">
        <v>130</v>
      </c>
      <c r="L16">
        <v>130</v>
      </c>
      <c r="M16" s="5">
        <v>1292.7</v>
      </c>
      <c r="N16" s="5">
        <v>1565.78</v>
      </c>
      <c r="O16" s="5">
        <v>1518.28</v>
      </c>
      <c r="R16" s="7">
        <f t="shared" si="1"/>
        <v>-4.2249555194553983</v>
      </c>
      <c r="S16" s="7">
        <f t="shared" si="0"/>
        <v>6.4043338002642641E-2</v>
      </c>
      <c r="T16" s="8">
        <f t="shared" si="2"/>
        <v>-2.0804560907263778</v>
      </c>
    </row>
    <row r="17" spans="2:20" x14ac:dyDescent="0.35">
      <c r="C17">
        <v>125</v>
      </c>
      <c r="D17">
        <v>3500</v>
      </c>
      <c r="E17">
        <v>1</v>
      </c>
      <c r="F17">
        <v>0.95</v>
      </c>
      <c r="G17">
        <v>0.49</v>
      </c>
      <c r="J17" t="s">
        <v>59</v>
      </c>
      <c r="K17">
        <v>125</v>
      </c>
      <c r="L17">
        <v>3500</v>
      </c>
      <c r="M17" s="5">
        <v>15345.63</v>
      </c>
      <c r="N17" s="5">
        <v>29419.79</v>
      </c>
      <c r="O17" s="5">
        <v>18234.240000000002</v>
      </c>
      <c r="R17" s="7">
        <f t="shared" si="1"/>
        <v>-18.342889799897417</v>
      </c>
      <c r="S17" s="7">
        <f t="shared" si="0"/>
        <v>0.78520589002519547</v>
      </c>
      <c r="T17" s="8">
        <f t="shared" si="2"/>
        <v>-8.7788419549361105</v>
      </c>
    </row>
    <row r="18" spans="2:20" x14ac:dyDescent="0.35">
      <c r="B18" t="s">
        <v>59</v>
      </c>
      <c r="C18">
        <v>110</v>
      </c>
      <c r="D18">
        <v>1000</v>
      </c>
      <c r="E18">
        <v>1</v>
      </c>
      <c r="F18">
        <v>0.96</v>
      </c>
      <c r="G18">
        <v>0.5</v>
      </c>
      <c r="K18">
        <v>110</v>
      </c>
      <c r="L18">
        <v>1000</v>
      </c>
      <c r="M18">
        <v>4451.3999999999996</v>
      </c>
      <c r="N18" s="5">
        <v>5942.36</v>
      </c>
      <c r="O18" s="5">
        <v>5356.91</v>
      </c>
      <c r="R18" s="7">
        <f t="shared" si="1"/>
        <v>-8.3735454014467301</v>
      </c>
      <c r="S18" s="7">
        <f t="shared" si="0"/>
        <v>0.20561000943264521</v>
      </c>
      <c r="T18" s="8">
        <f t="shared" si="2"/>
        <v>-4.0839676960070426</v>
      </c>
    </row>
    <row r="19" spans="2:20" x14ac:dyDescent="0.35">
      <c r="C19">
        <v>210</v>
      </c>
      <c r="D19">
        <v>1500</v>
      </c>
      <c r="E19">
        <v>1</v>
      </c>
      <c r="F19">
        <v>0.95</v>
      </c>
      <c r="G19">
        <v>0.49</v>
      </c>
      <c r="K19">
        <v>210</v>
      </c>
      <c r="L19">
        <v>1500</v>
      </c>
      <c r="M19" s="5">
        <v>11891.93</v>
      </c>
      <c r="N19" s="5">
        <v>20998.39</v>
      </c>
      <c r="O19" s="5">
        <v>14213.93</v>
      </c>
      <c r="R19" s="7">
        <f t="shared" si="1"/>
        <v>-15.315360921229759</v>
      </c>
      <c r="S19" s="7">
        <f t="shared" si="0"/>
        <v>0.66725995576845154</v>
      </c>
      <c r="T19" s="8">
        <f t="shared" si="2"/>
        <v>-7.3240504827306534</v>
      </c>
    </row>
    <row r="20" spans="2:20" x14ac:dyDescent="0.35">
      <c r="C20">
        <v>330</v>
      </c>
      <c r="D20">
        <v>400</v>
      </c>
      <c r="E20">
        <v>1</v>
      </c>
      <c r="F20">
        <v>0.96</v>
      </c>
      <c r="G20">
        <v>0.5</v>
      </c>
      <c r="K20">
        <v>330</v>
      </c>
      <c r="L20">
        <v>400</v>
      </c>
      <c r="M20">
        <v>5225.67</v>
      </c>
      <c r="N20">
        <v>7690.73</v>
      </c>
      <c r="O20">
        <v>6414.48</v>
      </c>
      <c r="R20" s="7">
        <f t="shared" si="1"/>
        <v>-11.793033237843172</v>
      </c>
      <c r="S20" s="7">
        <f t="shared" si="0"/>
        <v>0.34632320480234846</v>
      </c>
      <c r="T20" s="8">
        <f t="shared" si="2"/>
        <v>-5.7233550165204115</v>
      </c>
    </row>
    <row r="21" spans="2:20" x14ac:dyDescent="0.35">
      <c r="B21" t="s">
        <v>60</v>
      </c>
      <c r="C21">
        <v>350</v>
      </c>
      <c r="D21">
        <v>750</v>
      </c>
      <c r="E21">
        <v>1</v>
      </c>
      <c r="F21">
        <v>0.95</v>
      </c>
      <c r="G21">
        <v>0.49</v>
      </c>
      <c r="K21">
        <v>350</v>
      </c>
      <c r="L21">
        <v>750</v>
      </c>
      <c r="M21">
        <v>11045.9</v>
      </c>
      <c r="N21" s="5">
        <v>20152.36</v>
      </c>
      <c r="O21">
        <v>13367.9</v>
      </c>
      <c r="R21" s="7">
        <f t="shared" si="1"/>
        <v>-16.488398410269863</v>
      </c>
      <c r="S21" s="7">
        <f t="shared" si="0"/>
        <v>0.69527265206698852</v>
      </c>
      <c r="T21" s="8">
        <f t="shared" si="2"/>
        <v>-7.8965628791014373</v>
      </c>
    </row>
    <row r="22" spans="2:20" x14ac:dyDescent="0.35">
      <c r="C22">
        <v>320</v>
      </c>
      <c r="D22">
        <v>1150</v>
      </c>
      <c r="E22">
        <v>1</v>
      </c>
      <c r="F22">
        <v>0.95</v>
      </c>
      <c r="G22">
        <v>0.49</v>
      </c>
      <c r="K22">
        <v>320</v>
      </c>
      <c r="L22">
        <v>1150</v>
      </c>
      <c r="M22" s="5">
        <v>14516.81</v>
      </c>
      <c r="N22" s="5">
        <v>28590.97</v>
      </c>
      <c r="O22" s="5">
        <v>17405.41</v>
      </c>
      <c r="R22" s="7">
        <f t="shared" si="1"/>
        <v>-19.3901552751603</v>
      </c>
      <c r="S22" s="7">
        <f t="shared" si="0"/>
        <v>0.8079688462293606</v>
      </c>
      <c r="T22" s="8">
        <f t="shared" si="2"/>
        <v>-9.2910932144654694</v>
      </c>
    </row>
    <row r="23" spans="2:20" x14ac:dyDescent="0.35">
      <c r="C23">
        <v>40</v>
      </c>
      <c r="D23">
        <v>150</v>
      </c>
      <c r="E23">
        <v>1</v>
      </c>
      <c r="F23">
        <v>0.92</v>
      </c>
      <c r="G23">
        <v>0.57999999999999996</v>
      </c>
      <c r="J23" s="5"/>
      <c r="K23">
        <v>40</v>
      </c>
      <c r="L23">
        <v>150</v>
      </c>
      <c r="M23" s="5">
        <v>1215.6099999999999</v>
      </c>
      <c r="N23" s="5">
        <v>1439.43</v>
      </c>
      <c r="O23" s="5">
        <v>1327.87</v>
      </c>
      <c r="R23" s="7">
        <f t="shared" si="1"/>
        <v>-2.3015194017818246</v>
      </c>
      <c r="S23" s="7">
        <f t="shared" si="0"/>
        <v>0.20971373063929336</v>
      </c>
      <c r="T23" s="8">
        <f t="shared" si="2"/>
        <v>-1.0459028355712656</v>
      </c>
    </row>
    <row r="24" spans="2:20" x14ac:dyDescent="0.35">
      <c r="B24" t="s">
        <v>61</v>
      </c>
      <c r="C24">
        <v>85</v>
      </c>
      <c r="D24">
        <v>200</v>
      </c>
      <c r="E24">
        <v>1</v>
      </c>
      <c r="F24">
        <v>0.95</v>
      </c>
      <c r="G24">
        <v>0.5</v>
      </c>
      <c r="J24" s="5"/>
      <c r="K24">
        <v>85</v>
      </c>
      <c r="L24">
        <v>200</v>
      </c>
      <c r="M24" s="5">
        <v>1803.03</v>
      </c>
      <c r="N24">
        <v>2076.11</v>
      </c>
      <c r="O24" s="5">
        <v>2028.61</v>
      </c>
      <c r="R24" s="7">
        <f t="shared" si="1"/>
        <v>-3.0291231981719653</v>
      </c>
      <c r="S24" s="7">
        <f t="shared" si="0"/>
        <v>4.8300801873589677E-2</v>
      </c>
      <c r="T24" s="8">
        <f t="shared" si="2"/>
        <v>-1.4904111981491879</v>
      </c>
    </row>
    <row r="25" spans="2:20" x14ac:dyDescent="0.35">
      <c r="C25">
        <v>100</v>
      </c>
      <c r="D25">
        <v>600</v>
      </c>
      <c r="E25">
        <v>1</v>
      </c>
      <c r="F25">
        <v>0.96</v>
      </c>
      <c r="G25">
        <v>0.5</v>
      </c>
      <c r="J25" s="5"/>
      <c r="K25">
        <v>100</v>
      </c>
      <c r="L25">
        <v>600</v>
      </c>
      <c r="M25">
        <v>3096.76</v>
      </c>
      <c r="N25">
        <v>3685.14</v>
      </c>
      <c r="O25">
        <v>3605.64</v>
      </c>
      <c r="R25" s="7">
        <f t="shared" si="1"/>
        <v>-4.7499644790038547</v>
      </c>
      <c r="S25" s="7">
        <f t="shared" si="0"/>
        <v>4.5022181919346593E-2</v>
      </c>
      <c r="T25" s="8">
        <f t="shared" si="2"/>
        <v>-2.352471148542254</v>
      </c>
    </row>
    <row r="26" spans="2:20" x14ac:dyDescent="0.35">
      <c r="C26">
        <v>75</v>
      </c>
      <c r="D26">
        <v>100</v>
      </c>
      <c r="E26">
        <v>1</v>
      </c>
      <c r="F26">
        <v>0.94</v>
      </c>
      <c r="G26">
        <v>0.51</v>
      </c>
      <c r="K26">
        <v>75</v>
      </c>
      <c r="L26">
        <v>100</v>
      </c>
      <c r="M26" s="5">
        <v>1076.22</v>
      </c>
      <c r="N26" s="5">
        <v>1308.24</v>
      </c>
      <c r="O26">
        <v>1216.82</v>
      </c>
      <c r="R26" s="7">
        <f t="shared" si="1"/>
        <v>-3.5931315158610659</v>
      </c>
      <c r="S26" s="7">
        <f t="shared" si="0"/>
        <v>0.15276124571410707</v>
      </c>
      <c r="T26" s="8">
        <f t="shared" si="2"/>
        <v>-1.7201851350734794</v>
      </c>
    </row>
    <row r="27" spans="2:20" x14ac:dyDescent="0.35">
      <c r="B27" t="s">
        <v>62</v>
      </c>
      <c r="C27">
        <v>150</v>
      </c>
      <c r="D27">
        <v>175</v>
      </c>
      <c r="E27">
        <v>1</v>
      </c>
      <c r="F27">
        <v>0.95</v>
      </c>
      <c r="G27">
        <v>0.5</v>
      </c>
      <c r="K27">
        <v>150</v>
      </c>
      <c r="L27">
        <v>175</v>
      </c>
      <c r="M27" s="5">
        <v>1684.25</v>
      </c>
      <c r="N27" s="5">
        <v>1998.43</v>
      </c>
      <c r="O27" s="5">
        <v>1966.5</v>
      </c>
      <c r="R27" s="7">
        <f t="shared" si="1"/>
        <v>-3.7308000593736059</v>
      </c>
      <c r="S27" s="7">
        <f t="shared" si="0"/>
        <v>3.3730367227162279E-2</v>
      </c>
      <c r="T27" s="8">
        <f t="shared" si="2"/>
        <v>-1.8485348460732218</v>
      </c>
    </row>
    <row r="28" spans="2:20" x14ac:dyDescent="0.35">
      <c r="C28">
        <v>175</v>
      </c>
      <c r="D28">
        <v>400</v>
      </c>
      <c r="E28">
        <v>1</v>
      </c>
      <c r="F28">
        <v>0.95</v>
      </c>
      <c r="G28">
        <v>0.5</v>
      </c>
      <c r="J28" s="5"/>
      <c r="K28">
        <v>175</v>
      </c>
      <c r="L28">
        <v>400</v>
      </c>
      <c r="M28" s="5">
        <v>3013.43</v>
      </c>
      <c r="N28" s="5">
        <v>3804.79</v>
      </c>
      <c r="O28" s="5">
        <v>3635.63</v>
      </c>
      <c r="R28" s="7">
        <f t="shared" si="1"/>
        <v>-5.2522208911439749</v>
      </c>
      <c r="S28" s="7">
        <f t="shared" si="0"/>
        <v>9.3859465451590046E-2</v>
      </c>
      <c r="T28" s="8">
        <f t="shared" si="2"/>
        <v>-2.5791807128461923</v>
      </c>
    </row>
    <row r="29" spans="2:20" x14ac:dyDescent="0.35">
      <c r="C29">
        <v>175</v>
      </c>
      <c r="D29">
        <v>50</v>
      </c>
      <c r="E29">
        <v>1</v>
      </c>
      <c r="F29">
        <v>0.95</v>
      </c>
      <c r="G29">
        <v>0.62</v>
      </c>
      <c r="J29" s="5"/>
      <c r="K29">
        <v>175</v>
      </c>
      <c r="L29">
        <v>50</v>
      </c>
      <c r="M29">
        <v>701.14</v>
      </c>
      <c r="N29" s="5">
        <v>933.16</v>
      </c>
      <c r="O29" s="5">
        <v>841.74</v>
      </c>
      <c r="R29" s="7">
        <f t="shared" si="1"/>
        <v>-6.6183643780129442</v>
      </c>
      <c r="S29" s="7">
        <f t="shared" si="0"/>
        <v>0.28202964966220995</v>
      </c>
      <c r="T29" s="8">
        <f t="shared" si="2"/>
        <v>-3.1681673641753672</v>
      </c>
    </row>
    <row r="30" spans="2:20" x14ac:dyDescent="0.35">
      <c r="B30" t="s">
        <v>63</v>
      </c>
      <c r="C30">
        <v>400</v>
      </c>
      <c r="D30">
        <v>100</v>
      </c>
      <c r="E30">
        <v>1</v>
      </c>
      <c r="F30">
        <v>0.94</v>
      </c>
      <c r="G30">
        <v>0.59</v>
      </c>
      <c r="J30" s="5"/>
      <c r="K30">
        <v>400</v>
      </c>
      <c r="L30">
        <v>100</v>
      </c>
      <c r="M30" s="5">
        <v>1591.94</v>
      </c>
      <c r="N30" s="5">
        <v>1906.12</v>
      </c>
      <c r="O30" s="5">
        <v>1874.18</v>
      </c>
      <c r="R30" s="7">
        <f t="shared" si="1"/>
        <v>-3.2892780716191097</v>
      </c>
      <c r="S30" s="7">
        <f t="shared" si="0"/>
        <v>4.5003312638088808E-2</v>
      </c>
      <c r="T30" s="8">
        <f t="shared" si="2"/>
        <v>-1.6221373794905105</v>
      </c>
    </row>
    <row r="31" spans="2:20" x14ac:dyDescent="0.35">
      <c r="C31">
        <v>350</v>
      </c>
      <c r="D31">
        <v>250</v>
      </c>
      <c r="E31">
        <v>1</v>
      </c>
      <c r="F31">
        <v>0.94</v>
      </c>
      <c r="G31">
        <v>0.57999999999999996</v>
      </c>
      <c r="K31">
        <v>350</v>
      </c>
      <c r="L31">
        <v>250</v>
      </c>
      <c r="M31" s="5">
        <v>2508.5300000000002</v>
      </c>
      <c r="N31" s="5">
        <v>3096.91</v>
      </c>
      <c r="O31" s="5">
        <v>3017.41</v>
      </c>
      <c r="R31" s="7">
        <f t="shared" si="1"/>
        <v>-3.9091951594492866</v>
      </c>
      <c r="S31" s="7">
        <f t="shared" si="0"/>
        <v>6.702917854678804E-2</v>
      </c>
      <c r="T31" s="8">
        <f t="shared" si="2"/>
        <v>-1.9210829904512492</v>
      </c>
    </row>
    <row r="32" spans="2:20" x14ac:dyDescent="0.35">
      <c r="C32">
        <v>40</v>
      </c>
      <c r="D32">
        <v>350</v>
      </c>
      <c r="E32">
        <v>1</v>
      </c>
      <c r="F32">
        <v>0.93</v>
      </c>
      <c r="G32">
        <v>0.54</v>
      </c>
      <c r="K32">
        <v>40</v>
      </c>
      <c r="L32">
        <v>350</v>
      </c>
      <c r="M32" s="5">
        <v>1244.3499999999999</v>
      </c>
      <c r="N32" s="5">
        <v>1476.37</v>
      </c>
      <c r="O32" s="5">
        <v>1384.94</v>
      </c>
      <c r="R32" s="7">
        <f t="shared" si="1"/>
        <v>-2.6636970535391415</v>
      </c>
      <c r="S32" s="7">
        <f t="shared" si="0"/>
        <v>0.14767665599774057</v>
      </c>
      <c r="T32" s="8">
        <f t="shared" si="2"/>
        <v>-1.2580101987707004</v>
      </c>
    </row>
    <row r="33" spans="1:23" x14ac:dyDescent="0.35">
      <c r="B33" t="s">
        <v>65</v>
      </c>
      <c r="C33">
        <v>85</v>
      </c>
      <c r="D33">
        <v>400</v>
      </c>
      <c r="E33">
        <v>1</v>
      </c>
      <c r="F33">
        <v>0.89</v>
      </c>
      <c r="G33">
        <v>0.44</v>
      </c>
      <c r="J33" s="5"/>
      <c r="K33">
        <v>85</v>
      </c>
      <c r="L33">
        <v>400</v>
      </c>
      <c r="M33" s="5">
        <v>2694.87</v>
      </c>
      <c r="N33" s="5">
        <v>3283.25</v>
      </c>
      <c r="O33" s="5">
        <v>3203.75</v>
      </c>
      <c r="R33" s="7">
        <f t="shared" si="1"/>
        <v>-1.9848486535191281</v>
      </c>
      <c r="S33" s="7">
        <f t="shared" si="0"/>
        <v>4.7889540343663543E-2</v>
      </c>
      <c r="T33" s="8">
        <f t="shared" si="2"/>
        <v>-0.96847955658773233</v>
      </c>
    </row>
    <row r="34" spans="1:23" x14ac:dyDescent="0.35">
      <c r="C34">
        <v>150</v>
      </c>
      <c r="D34">
        <v>600</v>
      </c>
      <c r="E34">
        <v>1</v>
      </c>
      <c r="F34">
        <v>0.93</v>
      </c>
      <c r="G34">
        <v>0.54</v>
      </c>
      <c r="J34" s="5"/>
      <c r="K34">
        <v>150</v>
      </c>
      <c r="L34">
        <v>600</v>
      </c>
      <c r="M34" s="5">
        <v>2085.12</v>
      </c>
      <c r="N34" s="5">
        <v>2399.3000000000002</v>
      </c>
      <c r="O34" s="5">
        <v>2367.37</v>
      </c>
      <c r="R34" s="7">
        <f t="shared" si="1"/>
        <v>-2.1525311321582077</v>
      </c>
      <c r="S34" s="7">
        <f t="shared" si="0"/>
        <v>3.1734576430946487E-2</v>
      </c>
      <c r="T34" s="8">
        <f t="shared" si="2"/>
        <v>-1.0603982778636305</v>
      </c>
    </row>
    <row r="35" spans="1:23" x14ac:dyDescent="0.35">
      <c r="C35">
        <v>200</v>
      </c>
      <c r="D35">
        <v>200</v>
      </c>
      <c r="E35">
        <v>1</v>
      </c>
      <c r="F35">
        <v>0.92</v>
      </c>
      <c r="G35">
        <v>0.52</v>
      </c>
      <c r="J35" s="5"/>
      <c r="K35">
        <v>200</v>
      </c>
      <c r="L35">
        <v>200</v>
      </c>
      <c r="M35" s="5">
        <v>1153.5999999999999</v>
      </c>
      <c r="N35" s="5">
        <v>1396.56</v>
      </c>
      <c r="O35" s="5">
        <v>1322.53</v>
      </c>
      <c r="R35" s="7">
        <f t="shared" si="1"/>
        <v>-2.632628294036063</v>
      </c>
      <c r="S35" s="7">
        <f t="shared" si="0"/>
        <v>0.12192028985507242</v>
      </c>
      <c r="T35" s="8">
        <f t="shared" si="2"/>
        <v>-1.2553540020904954</v>
      </c>
    </row>
    <row r="36" spans="1:23" x14ac:dyDescent="0.35">
      <c r="B36" t="s">
        <v>66</v>
      </c>
      <c r="C36">
        <v>75</v>
      </c>
      <c r="D36">
        <v>75</v>
      </c>
      <c r="E36">
        <v>1</v>
      </c>
      <c r="F36">
        <v>0.87</v>
      </c>
      <c r="G36">
        <v>0.21</v>
      </c>
      <c r="K36">
        <v>75</v>
      </c>
      <c r="L36">
        <v>75</v>
      </c>
      <c r="M36">
        <v>933.12</v>
      </c>
      <c r="N36">
        <v>1247.3</v>
      </c>
      <c r="O36">
        <v>1215.3699999999999</v>
      </c>
      <c r="R36" s="7">
        <f t="shared" si="1"/>
        <v>-2.589987601561675</v>
      </c>
      <c r="S36" s="7">
        <f t="shared" si="0"/>
        <v>3.374452453663556E-2</v>
      </c>
      <c r="T36" s="8">
        <f t="shared" si="2"/>
        <v>-1.2781215385125198</v>
      </c>
    </row>
    <row r="37" spans="1:23" x14ac:dyDescent="0.35">
      <c r="C37">
        <v>130</v>
      </c>
      <c r="D37">
        <v>130</v>
      </c>
      <c r="E37">
        <v>1</v>
      </c>
      <c r="F37">
        <v>0.85</v>
      </c>
      <c r="G37">
        <v>0.44</v>
      </c>
      <c r="K37">
        <v>130</v>
      </c>
      <c r="L37">
        <v>130</v>
      </c>
      <c r="M37">
        <v>2903.11</v>
      </c>
      <c r="N37" s="5">
        <v>3941.37</v>
      </c>
      <c r="O37" s="5">
        <v>3638.63</v>
      </c>
      <c r="R37" s="7">
        <f t="shared" si="1"/>
        <v>-2.3842476975840845</v>
      </c>
      <c r="S37" s="7">
        <f t="shared" si="0"/>
        <v>0.15924201668888552</v>
      </c>
      <c r="T37" s="8">
        <f t="shared" si="2"/>
        <v>-1.1125028404475994</v>
      </c>
    </row>
    <row r="38" spans="1:23" x14ac:dyDescent="0.35">
      <c r="R38" s="8"/>
      <c r="S38" s="8"/>
      <c r="T38" s="8">
        <f>-AVERAGE(T5:T37)</f>
        <v>2.8333001947466441</v>
      </c>
    </row>
    <row r="39" spans="1:23" x14ac:dyDescent="0.35">
      <c r="A39" t="s">
        <v>67</v>
      </c>
      <c r="J39" s="5" t="s">
        <v>79</v>
      </c>
      <c r="R39" s="5"/>
    </row>
    <row r="40" spans="1:23" x14ac:dyDescent="0.35">
      <c r="B40" t="s">
        <v>46</v>
      </c>
      <c r="C40" t="s">
        <v>47</v>
      </c>
      <c r="D40" t="s">
        <v>48</v>
      </c>
      <c r="E40" t="s">
        <v>69</v>
      </c>
      <c r="F40" t="s">
        <v>50</v>
      </c>
      <c r="G40" t="s">
        <v>51</v>
      </c>
      <c r="H40" t="s">
        <v>68</v>
      </c>
      <c r="J40" s="5" t="s">
        <v>73</v>
      </c>
      <c r="K40" t="s">
        <v>47</v>
      </c>
      <c r="L40" t="s">
        <v>48</v>
      </c>
      <c r="M40" t="s">
        <v>80</v>
      </c>
      <c r="N40" t="s">
        <v>81</v>
      </c>
      <c r="O40" t="s">
        <v>76</v>
      </c>
      <c r="P40" t="s">
        <v>82</v>
      </c>
      <c r="R40" s="5"/>
    </row>
    <row r="41" spans="1:23" x14ac:dyDescent="0.35">
      <c r="B41" t="s">
        <v>52</v>
      </c>
      <c r="C41">
        <v>15</v>
      </c>
      <c r="D41">
        <v>40</v>
      </c>
      <c r="E41">
        <v>1</v>
      </c>
      <c r="F41">
        <v>0.79</v>
      </c>
      <c r="G41">
        <v>0.86</v>
      </c>
      <c r="H41">
        <v>0.4</v>
      </c>
      <c r="K41">
        <v>15</v>
      </c>
      <c r="L41">
        <v>40</v>
      </c>
      <c r="M41" s="5">
        <v>776.29</v>
      </c>
      <c r="N41" s="5">
        <v>834.96</v>
      </c>
      <c r="O41" s="5">
        <v>739.32</v>
      </c>
      <c r="P41" s="5">
        <v>896.23</v>
      </c>
      <c r="R41" s="7">
        <f>((N41-$M41)/($M41))/((F41-$E41)/($E41))</f>
        <v>-0.35989250458070149</v>
      </c>
      <c r="S41" s="7">
        <f t="shared" ref="S41:S46" si="3">((O41-$M41)/($M41))/((G41-$E41)/($E41))</f>
        <v>0.340171106894882</v>
      </c>
      <c r="T41" s="7">
        <f t="shared" ref="T41:T46" si="4">((P41-$M41)/($M41))/((H41-$E41)/($E41))</f>
        <v>-0.25750685954991059</v>
      </c>
      <c r="U41" s="8">
        <f>-AVERAGE(R41:T41)</f>
        <v>9.2409419078576693E-2</v>
      </c>
    </row>
    <row r="42" spans="1:23" x14ac:dyDescent="0.35">
      <c r="C42">
        <v>25</v>
      </c>
      <c r="D42">
        <v>50</v>
      </c>
      <c r="E42">
        <v>1</v>
      </c>
      <c r="F42">
        <v>0.83</v>
      </c>
      <c r="G42">
        <v>0.79</v>
      </c>
      <c r="H42">
        <v>0.59</v>
      </c>
      <c r="J42" t="s">
        <v>70</v>
      </c>
      <c r="K42">
        <v>25</v>
      </c>
      <c r="L42">
        <v>50</v>
      </c>
      <c r="M42" s="5">
        <v>910.28</v>
      </c>
      <c r="N42" s="5">
        <v>1024.4100000000001</v>
      </c>
      <c r="O42" s="5">
        <v>920.07</v>
      </c>
      <c r="P42" s="5">
        <v>1097.0119999999999</v>
      </c>
      <c r="R42" s="7">
        <f t="shared" ref="R42:R46" si="5">((N42-$M42)/($M42))/((F42-$E42)/($E42))</f>
        <v>-0.73752355448485207</v>
      </c>
      <c r="S42" s="7">
        <f t="shared" si="3"/>
        <v>-5.1213964515366694E-2</v>
      </c>
      <c r="T42" s="7">
        <f t="shared" si="4"/>
        <v>-0.5003338559992796</v>
      </c>
      <c r="U42" s="8">
        <f t="shared" ref="U42:U46" si="6">-AVERAGE(R42:T42)</f>
        <v>0.42969045833316616</v>
      </c>
    </row>
    <row r="43" spans="1:23" x14ac:dyDescent="0.35">
      <c r="B43" t="s">
        <v>70</v>
      </c>
      <c r="C43">
        <v>15</v>
      </c>
      <c r="D43">
        <v>90</v>
      </c>
      <c r="E43">
        <v>1</v>
      </c>
      <c r="F43">
        <v>0.85</v>
      </c>
      <c r="G43">
        <v>0.77</v>
      </c>
      <c r="H43">
        <v>0.6</v>
      </c>
      <c r="J43" s="5"/>
      <c r="K43">
        <v>15</v>
      </c>
      <c r="L43">
        <v>90</v>
      </c>
      <c r="M43" s="5">
        <v>866.8</v>
      </c>
      <c r="N43" s="5">
        <v>953.2</v>
      </c>
      <c r="O43" s="5">
        <v>853.21</v>
      </c>
      <c r="P43" s="5">
        <v>1020.138</v>
      </c>
      <c r="R43" s="7">
        <f t="shared" si="5"/>
        <v>-0.66451315182279713</v>
      </c>
      <c r="S43" s="7">
        <f t="shared" si="3"/>
        <v>6.816677032964788E-2</v>
      </c>
      <c r="T43" s="7">
        <f t="shared" si="4"/>
        <v>-0.44225311490539942</v>
      </c>
      <c r="U43" s="8">
        <f t="shared" si="6"/>
        <v>0.34619983213284949</v>
      </c>
    </row>
    <row r="44" spans="1:23" x14ac:dyDescent="0.35">
      <c r="C44">
        <v>20</v>
      </c>
      <c r="D44">
        <v>40</v>
      </c>
      <c r="E44">
        <v>1</v>
      </c>
      <c r="F44">
        <v>0.75</v>
      </c>
      <c r="G44">
        <v>0.74</v>
      </c>
      <c r="H44">
        <v>0.68</v>
      </c>
      <c r="J44" s="5"/>
      <c r="K44">
        <v>20</v>
      </c>
      <c r="L44">
        <v>40</v>
      </c>
      <c r="M44" s="5">
        <v>656.12</v>
      </c>
      <c r="N44" s="5">
        <v>728.66</v>
      </c>
      <c r="O44" s="5">
        <v>630.84</v>
      </c>
      <c r="P44" s="5">
        <v>792.76020000000005</v>
      </c>
      <c r="R44" s="7">
        <f t="shared" si="5"/>
        <v>-0.44223617630921153</v>
      </c>
      <c r="S44" s="7">
        <f t="shared" si="3"/>
        <v>0.14819052799909943</v>
      </c>
      <c r="T44" s="7">
        <f t="shared" si="4"/>
        <v>-0.65079653874291321</v>
      </c>
      <c r="U44" s="8">
        <f t="shared" si="6"/>
        <v>0.31494739568434177</v>
      </c>
    </row>
    <row r="45" spans="1:23" x14ac:dyDescent="0.35">
      <c r="C45">
        <v>35</v>
      </c>
      <c r="D45">
        <v>37</v>
      </c>
      <c r="E45">
        <v>1</v>
      </c>
      <c r="F45">
        <v>0.79</v>
      </c>
      <c r="G45">
        <v>0.73</v>
      </c>
      <c r="H45">
        <v>0.65</v>
      </c>
      <c r="J45" s="5" t="s">
        <v>71</v>
      </c>
      <c r="K45">
        <v>35</v>
      </c>
      <c r="L45">
        <v>37</v>
      </c>
      <c r="M45" s="5">
        <v>708.08</v>
      </c>
      <c r="N45" s="5">
        <v>794.48</v>
      </c>
      <c r="O45" s="5">
        <v>694.49</v>
      </c>
      <c r="P45" s="5">
        <v>861.41219999999998</v>
      </c>
      <c r="R45" s="7">
        <f t="shared" si="5"/>
        <v>-0.58104814629501089</v>
      </c>
      <c r="S45" s="7">
        <f t="shared" si="3"/>
        <v>7.1084246601137505E-2</v>
      </c>
      <c r="T45" s="7">
        <f t="shared" si="4"/>
        <v>-0.61870410123149899</v>
      </c>
      <c r="U45" s="8">
        <f t="shared" si="6"/>
        <v>0.37622266697512413</v>
      </c>
    </row>
    <row r="46" spans="1:23" x14ac:dyDescent="0.35">
      <c r="B46" t="s">
        <v>71</v>
      </c>
      <c r="C46">
        <v>25</v>
      </c>
      <c r="D46">
        <v>70</v>
      </c>
      <c r="E46">
        <v>1</v>
      </c>
      <c r="F46">
        <v>0.83</v>
      </c>
      <c r="G46">
        <v>0.77</v>
      </c>
      <c r="H46">
        <v>0.61</v>
      </c>
      <c r="K46">
        <v>25</v>
      </c>
      <c r="L46">
        <v>70</v>
      </c>
      <c r="M46" s="5">
        <v>743.53</v>
      </c>
      <c r="N46" s="5">
        <v>857.66</v>
      </c>
      <c r="O46" s="5">
        <v>753.33</v>
      </c>
      <c r="P46">
        <v>930.26480000000004</v>
      </c>
      <c r="R46" s="7">
        <f t="shared" si="5"/>
        <v>-0.90292650084928716</v>
      </c>
      <c r="S46" s="7">
        <f t="shared" si="3"/>
        <v>-5.7305953562296362E-2</v>
      </c>
      <c r="T46" s="7">
        <f t="shared" si="4"/>
        <v>-0.64396484269253385</v>
      </c>
      <c r="U46" s="8">
        <f t="shared" si="6"/>
        <v>0.53473243236803913</v>
      </c>
    </row>
    <row r="47" spans="1:23" x14ac:dyDescent="0.35">
      <c r="R47" s="8"/>
      <c r="S47" s="8"/>
      <c r="T47" s="8"/>
      <c r="U47" s="8">
        <f>AVERAGE(U41:U46)</f>
        <v>0.34903370076201617</v>
      </c>
      <c r="W47" s="14">
        <f>AVERAGE(U47,T38)</f>
        <v>1.5911669477543302</v>
      </c>
    </row>
    <row r="48" spans="1:23" x14ac:dyDescent="0.35">
      <c r="J48" s="5"/>
      <c r="R48" s="5"/>
    </row>
    <row r="49" spans="10:18" x14ac:dyDescent="0.35">
      <c r="J49" s="5"/>
      <c r="R49" s="5"/>
    </row>
    <row r="50" spans="10:18" x14ac:dyDescent="0.35">
      <c r="J50" s="5"/>
      <c r="R50" s="5"/>
    </row>
    <row r="51" spans="10:18" x14ac:dyDescent="0.35">
      <c r="R51" s="5"/>
    </row>
    <row r="52" spans="10:18" x14ac:dyDescent="0.35">
      <c r="R52" s="5"/>
    </row>
    <row r="53" spans="10:18" x14ac:dyDescent="0.35">
      <c r="R53" s="5"/>
    </row>
    <row r="54" spans="10:18" x14ac:dyDescent="0.35">
      <c r="J54" s="5"/>
      <c r="R54" s="5"/>
    </row>
    <row r="55" spans="10:18" x14ac:dyDescent="0.35">
      <c r="J55" s="5"/>
      <c r="R55" s="5"/>
    </row>
    <row r="56" spans="10:18" x14ac:dyDescent="0.35">
      <c r="J56" s="5"/>
      <c r="R56" s="5"/>
    </row>
    <row r="57" spans="10:18" x14ac:dyDescent="0.35">
      <c r="R57" s="5"/>
    </row>
    <row r="58" spans="10:18" x14ac:dyDescent="0.35">
      <c r="R58" s="5"/>
    </row>
    <row r="59" spans="10:18" x14ac:dyDescent="0.35">
      <c r="J59" s="5"/>
      <c r="R59" s="5"/>
    </row>
    <row r="60" spans="10:18" x14ac:dyDescent="0.35">
      <c r="J60" s="5"/>
      <c r="R60" s="5"/>
    </row>
    <row r="61" spans="10:18" x14ac:dyDescent="0.35">
      <c r="J61" s="5"/>
      <c r="R61" s="5"/>
    </row>
    <row r="62" spans="10:18" x14ac:dyDescent="0.35">
      <c r="R62" s="5"/>
    </row>
    <row r="63" spans="10:18" x14ac:dyDescent="0.35">
      <c r="R63" s="5"/>
    </row>
    <row r="64" spans="10:18" x14ac:dyDescent="0.35">
      <c r="J64" s="5"/>
      <c r="R64" s="5"/>
    </row>
    <row r="65" spans="10:18" x14ac:dyDescent="0.35">
      <c r="J65" s="5"/>
      <c r="R65" s="5"/>
    </row>
    <row r="66" spans="10:18" x14ac:dyDescent="0.35">
      <c r="J66" s="5"/>
      <c r="R66" s="5"/>
    </row>
    <row r="67" spans="10:18" x14ac:dyDescent="0.35">
      <c r="R67" s="5"/>
    </row>
    <row r="68" spans="10:18" x14ac:dyDescent="0.35">
      <c r="R68" s="5"/>
    </row>
    <row r="69" spans="10:18" x14ac:dyDescent="0.35">
      <c r="R69" s="5"/>
    </row>
    <row r="70" spans="10:18" x14ac:dyDescent="0.35">
      <c r="J70" s="5"/>
      <c r="R70" s="5"/>
    </row>
    <row r="71" spans="10:18" x14ac:dyDescent="0.35">
      <c r="J71" s="5"/>
      <c r="R71" s="5"/>
    </row>
    <row r="72" spans="10:18" x14ac:dyDescent="0.35">
      <c r="J72" s="5"/>
      <c r="R72" s="5"/>
    </row>
    <row r="73" spans="10:18" x14ac:dyDescent="0.35">
      <c r="R73" s="5"/>
    </row>
    <row r="74" spans="10:18" x14ac:dyDescent="0.35">
      <c r="R74" s="5"/>
    </row>
    <row r="75" spans="10:18" x14ac:dyDescent="0.35">
      <c r="J75" s="5"/>
      <c r="R75" s="5"/>
    </row>
    <row r="76" spans="10:18" x14ac:dyDescent="0.35">
      <c r="J76" s="5"/>
      <c r="R76" s="5"/>
    </row>
    <row r="77" spans="10:18" x14ac:dyDescent="0.35">
      <c r="J77" s="5"/>
      <c r="R77" s="5"/>
    </row>
    <row r="78" spans="10:18" x14ac:dyDescent="0.35">
      <c r="R78" s="5"/>
    </row>
    <row r="79" spans="10:18" x14ac:dyDescent="0.35">
      <c r="R79" s="5"/>
    </row>
    <row r="80" spans="10:18" x14ac:dyDescent="0.35">
      <c r="J80" s="5"/>
      <c r="R80" s="5"/>
    </row>
    <row r="81" spans="10:18" x14ac:dyDescent="0.35">
      <c r="J81" s="5"/>
      <c r="R81" s="5"/>
    </row>
    <row r="82" spans="10:18" x14ac:dyDescent="0.35">
      <c r="J82" s="5"/>
      <c r="R82" s="5"/>
    </row>
    <row r="83" spans="10:18" x14ac:dyDescent="0.35">
      <c r="R83" s="5"/>
    </row>
    <row r="84" spans="10:18" x14ac:dyDescent="0.35">
      <c r="R84" s="5"/>
    </row>
    <row r="85" spans="10:18" x14ac:dyDescent="0.35">
      <c r="R85" s="5"/>
    </row>
    <row r="86" spans="10:18" x14ac:dyDescent="0.35">
      <c r="J86" s="5"/>
      <c r="R86" s="5"/>
    </row>
    <row r="87" spans="10:18" x14ac:dyDescent="0.35">
      <c r="J87" s="5"/>
      <c r="R87" s="5"/>
    </row>
    <row r="88" spans="10:18" x14ac:dyDescent="0.35">
      <c r="J88" s="5"/>
      <c r="R88" s="5"/>
    </row>
    <row r="89" spans="10:18" x14ac:dyDescent="0.35">
      <c r="R89" s="5"/>
    </row>
    <row r="90" spans="10:18" x14ac:dyDescent="0.35">
      <c r="R90" s="5"/>
    </row>
    <row r="91" spans="10:18" x14ac:dyDescent="0.35">
      <c r="J91" s="5"/>
      <c r="R91" s="5"/>
    </row>
    <row r="92" spans="10:18" x14ac:dyDescent="0.35">
      <c r="J92" s="5"/>
      <c r="R92" s="5"/>
    </row>
    <row r="93" spans="10:18" x14ac:dyDescent="0.35">
      <c r="J93" s="5"/>
      <c r="R93" s="5"/>
    </row>
    <row r="94" spans="10:18" x14ac:dyDescent="0.35">
      <c r="R94" s="5"/>
    </row>
    <row r="95" spans="10:18" x14ac:dyDescent="0.35">
      <c r="R95" s="5"/>
    </row>
    <row r="96" spans="10:18" x14ac:dyDescent="0.35">
      <c r="J96" s="5"/>
      <c r="R96" s="5"/>
    </row>
    <row r="97" spans="10:18" x14ac:dyDescent="0.35">
      <c r="J97" s="5"/>
      <c r="R97" s="5"/>
    </row>
    <row r="98" spans="10:18" x14ac:dyDescent="0.35">
      <c r="J98" s="5"/>
      <c r="R98" s="5"/>
    </row>
    <row r="99" spans="10:18" x14ac:dyDescent="0.35">
      <c r="R99" s="5"/>
    </row>
    <row r="100" spans="10:18" x14ac:dyDescent="0.35">
      <c r="R100" s="5"/>
    </row>
    <row r="101" spans="10:18" x14ac:dyDescent="0.35">
      <c r="R101" s="5"/>
    </row>
    <row r="102" spans="10:18" x14ac:dyDescent="0.35">
      <c r="J102" s="5"/>
      <c r="R102" s="5"/>
    </row>
    <row r="103" spans="10:18" x14ac:dyDescent="0.35">
      <c r="J103" s="5"/>
      <c r="R103" s="5"/>
    </row>
    <row r="104" spans="10:18" x14ac:dyDescent="0.35">
      <c r="J104" s="5"/>
    </row>
    <row r="107" spans="10:18" x14ac:dyDescent="0.35">
      <c r="J107" s="5"/>
    </row>
    <row r="108" spans="10:18" x14ac:dyDescent="0.35">
      <c r="J108" s="5"/>
    </row>
    <row r="109" spans="10:18" x14ac:dyDescent="0.35">
      <c r="J109" s="5"/>
    </row>
    <row r="112" spans="10:18" x14ac:dyDescent="0.35">
      <c r="J112" s="5"/>
    </row>
    <row r="113" spans="10:10" x14ac:dyDescent="0.35">
      <c r="J113" s="5"/>
    </row>
    <row r="114" spans="10:10" x14ac:dyDescent="0.35">
      <c r="J114" s="5"/>
    </row>
  </sheetData>
  <conditionalFormatting sqref="M5:O3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B79DA-1807-4980-8716-C48017AC8EE8}">
  <dimension ref="B2:X23"/>
  <sheetViews>
    <sheetView topLeftCell="B1" zoomScale="85" zoomScaleNormal="85" workbookViewId="0">
      <selection activeCell="I17" sqref="C15:I17"/>
    </sheetView>
  </sheetViews>
  <sheetFormatPr defaultRowHeight="14.5" x14ac:dyDescent="0.35"/>
  <cols>
    <col min="2" max="2" width="5.453125" customWidth="1"/>
    <col min="3" max="3" width="3.26953125" bestFit="1" customWidth="1"/>
    <col min="4" max="4" width="51.54296875" bestFit="1" customWidth="1"/>
    <col min="5" max="9" width="6.81640625" bestFit="1" customWidth="1"/>
    <col min="11" max="11" width="9.81640625" bestFit="1" customWidth="1"/>
    <col min="12" max="12" width="4.54296875" bestFit="1" customWidth="1"/>
    <col min="13" max="13" width="49.1796875" bestFit="1" customWidth="1"/>
    <col min="14" max="14" width="8.81640625" bestFit="1" customWidth="1"/>
    <col min="15" max="15" width="10.54296875" bestFit="1" customWidth="1"/>
    <col min="16" max="18" width="8.81640625" bestFit="1" customWidth="1"/>
    <col min="24" max="24" width="10.54296875" bestFit="1" customWidth="1"/>
  </cols>
  <sheetData>
    <row r="2" spans="2:24" x14ac:dyDescent="0.35">
      <c r="B2" t="s">
        <v>86</v>
      </c>
      <c r="K2" t="s">
        <v>106</v>
      </c>
      <c r="M2" t="s">
        <v>107</v>
      </c>
    </row>
    <row r="3" spans="2:24" x14ac:dyDescent="0.35">
      <c r="B3" t="s">
        <v>87</v>
      </c>
      <c r="C3" t="s">
        <v>88</v>
      </c>
      <c r="K3" t="s">
        <v>108</v>
      </c>
      <c r="L3" t="s">
        <v>109</v>
      </c>
      <c r="M3" t="s">
        <v>110</v>
      </c>
      <c r="N3" t="s">
        <v>94</v>
      </c>
      <c r="O3" t="s">
        <v>89</v>
      </c>
      <c r="P3" t="s">
        <v>90</v>
      </c>
      <c r="Q3" t="s">
        <v>91</v>
      </c>
      <c r="R3" t="s">
        <v>92</v>
      </c>
    </row>
    <row r="4" spans="2:24" x14ac:dyDescent="0.35">
      <c r="D4" t="s">
        <v>93</v>
      </c>
      <c r="E4" t="s">
        <v>94</v>
      </c>
      <c r="F4" t="s">
        <v>89</v>
      </c>
      <c r="G4" t="s">
        <v>90</v>
      </c>
      <c r="H4" t="s">
        <v>91</v>
      </c>
      <c r="I4" t="s">
        <v>92</v>
      </c>
      <c r="M4" t="s">
        <v>111</v>
      </c>
    </row>
    <row r="5" spans="2:24" x14ac:dyDescent="0.35">
      <c r="C5" t="s">
        <v>95</v>
      </c>
      <c r="L5" t="s">
        <v>95</v>
      </c>
    </row>
    <row r="6" spans="2:24" x14ac:dyDescent="0.35">
      <c r="C6">
        <v>1</v>
      </c>
      <c r="D6" t="s">
        <v>96</v>
      </c>
      <c r="E6" s="9">
        <v>0.89500000000000002</v>
      </c>
      <c r="F6" s="9">
        <v>0.91</v>
      </c>
      <c r="G6" s="9">
        <v>0.91</v>
      </c>
      <c r="H6" s="9">
        <v>0.91700000000000004</v>
      </c>
      <c r="I6" s="9">
        <v>0.92400000000000004</v>
      </c>
      <c r="L6">
        <v>1</v>
      </c>
      <c r="M6" t="s">
        <v>96</v>
      </c>
      <c r="N6" s="5">
        <v>340.95</v>
      </c>
      <c r="O6" s="5">
        <v>424.52</v>
      </c>
      <c r="P6" s="5">
        <v>424.52</v>
      </c>
      <c r="Q6" s="5">
        <v>459.91</v>
      </c>
      <c r="R6" s="5">
        <v>614.47</v>
      </c>
      <c r="T6" s="7">
        <f>((O6-$N6)/($N6))/((F6-$E6)/($E6))</f>
        <v>14.624852128855636</v>
      </c>
      <c r="U6" s="7">
        <f t="shared" ref="U6:U16" si="0">((P6-$N6)/($N6))/((G6-$E6)/($E6))</f>
        <v>14.624852128855636</v>
      </c>
      <c r="V6" s="7">
        <f t="shared" ref="V6:V16" si="1">((Q6-$N6)/($N6))/((H6-$E6)/($E6))</f>
        <v>14.194190030529661</v>
      </c>
      <c r="W6" s="7">
        <f t="shared" ref="W6:W16" si="2">((R6-$N6)/($N6))/((I6-$E6)/($E6))</f>
        <v>24.758448756264176</v>
      </c>
      <c r="X6" s="8">
        <f>AVERAGE(T6:W6)</f>
        <v>17.050585761126278</v>
      </c>
    </row>
    <row r="7" spans="2:24" x14ac:dyDescent="0.35">
      <c r="C7">
        <v>2</v>
      </c>
      <c r="D7" t="s">
        <v>97</v>
      </c>
      <c r="E7" s="9">
        <v>0.93600000000000005</v>
      </c>
      <c r="F7" s="9">
        <v>0.94499999999999995</v>
      </c>
      <c r="G7" s="9">
        <v>0.94499999999999995</v>
      </c>
      <c r="H7" s="9">
        <v>0.95</v>
      </c>
      <c r="I7" s="9">
        <v>0.95399999999999996</v>
      </c>
      <c r="L7">
        <v>2</v>
      </c>
      <c r="M7" t="s">
        <v>97</v>
      </c>
      <c r="N7" s="10">
        <v>1331.4</v>
      </c>
      <c r="O7" s="5">
        <v>1792.24</v>
      </c>
      <c r="P7" s="10">
        <v>1792.24</v>
      </c>
      <c r="Q7" s="10">
        <v>1928.42</v>
      </c>
      <c r="R7" s="10">
        <v>1999.62</v>
      </c>
      <c r="T7" s="7">
        <f t="shared" ref="T7:T16" si="3">((O7-$N7)/($N7))/((F7-$E7)/($E7))</f>
        <v>35.997716689199741</v>
      </c>
      <c r="U7" s="7">
        <f t="shared" si="0"/>
        <v>35.997716689199741</v>
      </c>
      <c r="V7" s="7">
        <f t="shared" si="1"/>
        <v>29.979759222301119</v>
      </c>
      <c r="W7" s="7">
        <f t="shared" si="2"/>
        <v>26.098422712933882</v>
      </c>
      <c r="X7" s="8">
        <f t="shared" ref="X7:X16" si="4">AVERAGE(T7:W7)</f>
        <v>32.018403828408623</v>
      </c>
    </row>
    <row r="8" spans="2:24" x14ac:dyDescent="0.35">
      <c r="B8">
        <v>1</v>
      </c>
      <c r="C8">
        <v>3</v>
      </c>
      <c r="D8" t="s">
        <v>98</v>
      </c>
      <c r="E8" s="9">
        <v>0.95399999999999996</v>
      </c>
      <c r="F8" s="9">
        <v>0.95799999999999996</v>
      </c>
      <c r="G8" s="9">
        <v>0.96199999999999997</v>
      </c>
      <c r="H8" s="9">
        <v>0.96499999999999997</v>
      </c>
      <c r="I8" s="9">
        <v>0.96799999999999997</v>
      </c>
      <c r="K8">
        <v>1</v>
      </c>
      <c r="L8">
        <v>3</v>
      </c>
      <c r="M8" t="s">
        <v>98</v>
      </c>
      <c r="N8" s="10">
        <v>3724.25</v>
      </c>
      <c r="O8" s="5">
        <v>4577.13</v>
      </c>
      <c r="P8">
        <v>4943.96</v>
      </c>
      <c r="Q8" s="10">
        <v>5219.07</v>
      </c>
      <c r="R8" s="10">
        <v>5541.73</v>
      </c>
      <c r="T8" s="7">
        <f t="shared" si="3"/>
        <v>54.618213063032783</v>
      </c>
      <c r="U8" s="7">
        <f t="shared" si="0"/>
        <v>39.054955360139594</v>
      </c>
      <c r="V8" s="7">
        <f t="shared" si="1"/>
        <v>34.8101394423526</v>
      </c>
      <c r="W8" s="7">
        <f t="shared" si="2"/>
        <v>33.254555950862553</v>
      </c>
      <c r="X8" s="8">
        <f t="shared" si="4"/>
        <v>40.434465954096879</v>
      </c>
    </row>
    <row r="9" spans="2:24" x14ac:dyDescent="0.35">
      <c r="C9">
        <v>4</v>
      </c>
      <c r="D9" t="s">
        <v>99</v>
      </c>
      <c r="E9" s="9">
        <v>0.95799999999999996</v>
      </c>
      <c r="F9" s="9">
        <v>0.96199999999999997</v>
      </c>
      <c r="G9" s="9">
        <v>0.96499999999999997</v>
      </c>
      <c r="H9" s="9">
        <v>0.96799999999999997</v>
      </c>
      <c r="I9" s="9">
        <v>0.97099999999999997</v>
      </c>
      <c r="L9">
        <v>4</v>
      </c>
      <c r="M9" t="s">
        <v>99</v>
      </c>
      <c r="N9">
        <v>6181.17</v>
      </c>
      <c r="O9" s="5">
        <v>6378.33</v>
      </c>
      <c r="P9">
        <v>8205.5300000000007</v>
      </c>
      <c r="Q9">
        <v>8662.15</v>
      </c>
      <c r="R9" s="10">
        <v>9197.66</v>
      </c>
      <c r="T9" s="7">
        <f t="shared" si="3"/>
        <v>7.6393012973271919</v>
      </c>
      <c r="U9" s="7">
        <f t="shared" si="0"/>
        <v>44.821308217422519</v>
      </c>
      <c r="V9" s="7">
        <f t="shared" si="1"/>
        <v>38.451924797408857</v>
      </c>
      <c r="W9" s="7">
        <f t="shared" si="2"/>
        <v>35.962788473827608</v>
      </c>
      <c r="X9" s="8">
        <f t="shared" si="4"/>
        <v>31.718830696496546</v>
      </c>
    </row>
    <row r="10" spans="2:24" x14ac:dyDescent="0.35">
      <c r="C10">
        <v>5</v>
      </c>
      <c r="D10" t="s">
        <v>100</v>
      </c>
      <c r="E10" s="9">
        <v>0.96199999999999997</v>
      </c>
      <c r="F10" s="9">
        <v>0.96799999999999997</v>
      </c>
      <c r="G10" s="9">
        <v>0.96799999999999997</v>
      </c>
      <c r="H10" s="9">
        <v>0.97099999999999997</v>
      </c>
      <c r="I10" s="9">
        <v>0.97399999999999998</v>
      </c>
      <c r="L10">
        <v>5</v>
      </c>
      <c r="M10" t="s">
        <v>100</v>
      </c>
      <c r="N10" s="10">
        <v>12885.6</v>
      </c>
      <c r="O10" s="5">
        <v>15313.54</v>
      </c>
      <c r="P10" s="10">
        <v>15313.54</v>
      </c>
      <c r="Q10" s="10">
        <v>18042.150000000001</v>
      </c>
      <c r="R10" s="10">
        <v>19157.57</v>
      </c>
      <c r="T10" s="7">
        <f t="shared" si="3"/>
        <v>30.210445251546926</v>
      </c>
      <c r="U10" s="7">
        <f t="shared" si="0"/>
        <v>30.210445251546926</v>
      </c>
      <c r="V10" s="7">
        <f t="shared" si="1"/>
        <v>42.774717514124262</v>
      </c>
      <c r="W10" s="7">
        <f t="shared" si="2"/>
        <v>39.020528988431494</v>
      </c>
      <c r="X10" s="8">
        <f t="shared" si="4"/>
        <v>35.554034251412403</v>
      </c>
    </row>
    <row r="11" spans="2:24" x14ac:dyDescent="0.35">
      <c r="B11">
        <v>2</v>
      </c>
      <c r="C11">
        <v>6</v>
      </c>
      <c r="D11" t="s">
        <v>101</v>
      </c>
      <c r="E11" s="9">
        <v>0.95799999999999996</v>
      </c>
      <c r="F11" s="9">
        <v>0.96199999999999997</v>
      </c>
      <c r="G11" s="9">
        <v>0.96799999999999997</v>
      </c>
      <c r="H11" s="9">
        <v>0.96799999999999997</v>
      </c>
      <c r="I11" s="9">
        <v>0.97399999999999998</v>
      </c>
      <c r="K11">
        <v>2</v>
      </c>
      <c r="L11">
        <v>6</v>
      </c>
      <c r="M11" t="s">
        <v>101</v>
      </c>
      <c r="N11" s="10">
        <v>19711.599999999999</v>
      </c>
      <c r="O11" s="5">
        <v>20532.73</v>
      </c>
      <c r="P11">
        <v>24422.41</v>
      </c>
      <c r="Q11" s="10">
        <v>24422.41</v>
      </c>
      <c r="R11" s="10">
        <v>30552.959999999999</v>
      </c>
      <c r="T11" s="7">
        <f t="shared" si="3"/>
        <v>9.9768986282189207</v>
      </c>
      <c r="U11" s="7">
        <f t="shared" si="0"/>
        <v>22.894924714381364</v>
      </c>
      <c r="V11" s="7">
        <f t="shared" si="1"/>
        <v>22.894924714381364</v>
      </c>
      <c r="W11" s="7">
        <f t="shared" si="2"/>
        <v>32.931189248970121</v>
      </c>
      <c r="X11" s="8">
        <f t="shared" si="4"/>
        <v>22.174484326487942</v>
      </c>
    </row>
    <row r="12" spans="2:24" x14ac:dyDescent="0.35">
      <c r="C12">
        <v>7</v>
      </c>
      <c r="D12" t="s">
        <v>102</v>
      </c>
      <c r="E12" s="9">
        <v>0.875</v>
      </c>
      <c r="F12" s="9">
        <v>0.89500000000000002</v>
      </c>
      <c r="G12" s="9">
        <v>0.91</v>
      </c>
      <c r="H12" s="9">
        <v>0.91</v>
      </c>
      <c r="I12" s="9">
        <v>0.92400000000000004</v>
      </c>
      <c r="L12">
        <v>7</v>
      </c>
      <c r="M12" t="s">
        <v>102</v>
      </c>
      <c r="N12">
        <v>304.58999999999997</v>
      </c>
      <c r="O12">
        <v>332.96</v>
      </c>
      <c r="P12">
        <v>414.57</v>
      </c>
      <c r="Q12">
        <v>414.57</v>
      </c>
      <c r="R12">
        <v>554.4</v>
      </c>
      <c r="T12" s="7">
        <f t="shared" si="3"/>
        <v>4.0749450080435965</v>
      </c>
      <c r="U12" s="7">
        <f t="shared" si="0"/>
        <v>9.0268886043533865</v>
      </c>
      <c r="V12" s="7">
        <f t="shared" si="1"/>
        <v>9.0268886043533865</v>
      </c>
      <c r="W12" s="7">
        <f t="shared" si="2"/>
        <v>14.645565701903719</v>
      </c>
      <c r="X12" s="8">
        <f t="shared" si="4"/>
        <v>9.1935719796635222</v>
      </c>
    </row>
    <row r="13" spans="2:24" x14ac:dyDescent="0.35">
      <c r="C13">
        <v>8</v>
      </c>
      <c r="D13" t="s">
        <v>103</v>
      </c>
      <c r="E13" s="9">
        <v>0.92400000000000004</v>
      </c>
      <c r="F13" s="9">
        <v>0.93600000000000005</v>
      </c>
      <c r="G13" s="9">
        <v>0.94499999999999995</v>
      </c>
      <c r="H13" s="9">
        <v>0.94499999999999995</v>
      </c>
      <c r="I13" s="9">
        <v>0.95399999999999996</v>
      </c>
      <c r="L13">
        <v>8</v>
      </c>
      <c r="M13" t="s">
        <v>103</v>
      </c>
      <c r="N13" s="10">
        <v>1281.82</v>
      </c>
      <c r="O13" s="5">
        <v>1326.36</v>
      </c>
      <c r="P13" s="10">
        <v>1785.38</v>
      </c>
      <c r="Q13">
        <v>1785.38</v>
      </c>
      <c r="R13">
        <v>1975.97</v>
      </c>
      <c r="T13" s="7">
        <f t="shared" si="3"/>
        <v>2.675555070134648</v>
      </c>
      <c r="U13" s="7">
        <f t="shared" si="0"/>
        <v>17.285297467663252</v>
      </c>
      <c r="V13" s="7">
        <f t="shared" si="1"/>
        <v>17.285297467663252</v>
      </c>
      <c r="W13" s="7">
        <f t="shared" si="2"/>
        <v>16.679268540044674</v>
      </c>
      <c r="X13" s="8">
        <f t="shared" si="4"/>
        <v>13.481354636376457</v>
      </c>
    </row>
    <row r="14" spans="2:24" x14ac:dyDescent="0.35">
      <c r="C14">
        <v>9</v>
      </c>
      <c r="D14" t="s">
        <v>104</v>
      </c>
      <c r="E14" s="9">
        <v>0.94099999999999995</v>
      </c>
      <c r="F14" s="9">
        <v>0.95399999999999996</v>
      </c>
      <c r="G14" s="9">
        <v>0.95799999999999996</v>
      </c>
      <c r="H14" s="9">
        <v>0.96199999999999997</v>
      </c>
      <c r="I14" s="9">
        <v>0.96799999999999997</v>
      </c>
      <c r="L14">
        <v>9</v>
      </c>
      <c r="M14" t="s">
        <v>104</v>
      </c>
      <c r="N14" s="10">
        <v>3097.87</v>
      </c>
      <c r="O14" s="5">
        <v>3703.79</v>
      </c>
      <c r="P14">
        <v>4551.99</v>
      </c>
      <c r="Q14">
        <v>4910.1099999999997</v>
      </c>
      <c r="R14" s="10">
        <v>5510.57</v>
      </c>
      <c r="T14" s="7">
        <f t="shared" si="3"/>
        <v>14.1578846607011</v>
      </c>
      <c r="U14" s="7">
        <f t="shared" si="0"/>
        <v>25.982310046428459</v>
      </c>
      <c r="V14" s="7">
        <f t="shared" si="1"/>
        <v>26.213369647070838</v>
      </c>
      <c r="W14" s="7">
        <f t="shared" si="2"/>
        <v>27.143509237948297</v>
      </c>
      <c r="X14" s="8">
        <f t="shared" si="4"/>
        <v>23.374268398037174</v>
      </c>
    </row>
    <row r="15" spans="2:24" x14ac:dyDescent="0.35">
      <c r="B15">
        <v>3</v>
      </c>
      <c r="C15">
        <v>10</v>
      </c>
      <c r="E15" s="9">
        <v>0.95</v>
      </c>
      <c r="F15" s="9">
        <v>0.95799999999999996</v>
      </c>
      <c r="G15" s="9">
        <v>0.96199999999999997</v>
      </c>
      <c r="H15" s="9">
        <v>0.96499999999999997</v>
      </c>
      <c r="I15" s="9">
        <v>0.97099999999999997</v>
      </c>
      <c r="K15">
        <v>3</v>
      </c>
      <c r="L15">
        <v>10</v>
      </c>
      <c r="N15">
        <v>5352.67</v>
      </c>
      <c r="O15">
        <v>6199.2</v>
      </c>
      <c r="P15">
        <v>6396.94</v>
      </c>
      <c r="Q15">
        <v>8229.41</v>
      </c>
      <c r="R15">
        <v>8687.42</v>
      </c>
      <c r="T15" s="7">
        <f t="shared" si="3"/>
        <v>18.780428739302042</v>
      </c>
      <c r="U15" s="7">
        <f t="shared" si="0"/>
        <v>15.444885449691441</v>
      </c>
      <c r="V15" s="7">
        <f t="shared" si="1"/>
        <v>34.037878915257835</v>
      </c>
      <c r="W15" s="7">
        <f t="shared" si="2"/>
        <v>28.18364257375066</v>
      </c>
      <c r="X15" s="8">
        <f t="shared" si="4"/>
        <v>24.111708919500494</v>
      </c>
    </row>
    <row r="16" spans="2:24" x14ac:dyDescent="0.35">
      <c r="C16">
        <v>11</v>
      </c>
      <c r="D16" t="s">
        <v>105</v>
      </c>
      <c r="E16" s="9">
        <v>0.85499999999999998</v>
      </c>
      <c r="F16" s="9">
        <v>0.875</v>
      </c>
      <c r="G16" s="9">
        <v>0.89500000000000002</v>
      </c>
      <c r="H16" s="9">
        <v>0.91</v>
      </c>
      <c r="I16" s="9">
        <v>0.91</v>
      </c>
      <c r="L16">
        <v>11</v>
      </c>
      <c r="M16" t="s">
        <v>105</v>
      </c>
      <c r="N16" s="10">
        <v>304.58999999999997</v>
      </c>
      <c r="O16" s="5">
        <v>332.96</v>
      </c>
      <c r="P16">
        <v>414.57</v>
      </c>
      <c r="Q16">
        <v>554.4</v>
      </c>
      <c r="R16">
        <v>554.4</v>
      </c>
      <c r="T16" s="7">
        <f t="shared" si="3"/>
        <v>3.9818034078597431</v>
      </c>
      <c r="U16" s="7">
        <f t="shared" si="0"/>
        <v>7.7179897567221447</v>
      </c>
      <c r="V16" s="7">
        <f t="shared" si="1"/>
        <v>12.749630651039093</v>
      </c>
      <c r="W16" s="7">
        <f t="shared" si="2"/>
        <v>12.749630651039093</v>
      </c>
      <c r="X16" s="8">
        <f t="shared" si="4"/>
        <v>9.2997636166650182</v>
      </c>
    </row>
    <row r="17" spans="14:24" x14ac:dyDescent="0.35">
      <c r="Q17" s="5"/>
      <c r="R17" s="5"/>
      <c r="T17" s="8"/>
      <c r="U17" s="8"/>
      <c r="V17" s="8"/>
      <c r="W17" s="8"/>
      <c r="X17" s="14">
        <f>AVERAGE(X6:X16)</f>
        <v>23.491952033479212</v>
      </c>
    </row>
    <row r="18" spans="14:24" x14ac:dyDescent="0.35">
      <c r="N18" s="5"/>
      <c r="O18" s="5"/>
      <c r="P18" s="5"/>
    </row>
    <row r="19" spans="14:24" x14ac:dyDescent="0.35">
      <c r="O19" s="5"/>
      <c r="P19" s="10"/>
      <c r="Q19" s="10"/>
      <c r="R19" s="10"/>
    </row>
    <row r="20" spans="14:24" x14ac:dyDescent="0.35">
      <c r="N20" s="10"/>
      <c r="O20" s="5"/>
      <c r="Q20" s="10"/>
      <c r="R20" s="10"/>
    </row>
    <row r="22" spans="14:24" x14ac:dyDescent="0.35">
      <c r="N22" s="10"/>
      <c r="O22" s="5"/>
      <c r="P22" s="10"/>
      <c r="Q22" s="10"/>
      <c r="R22" s="10"/>
    </row>
    <row r="23" spans="14:24" x14ac:dyDescent="0.35">
      <c r="N23" s="5"/>
      <c r="O23" s="5"/>
      <c r="P23" s="5"/>
      <c r="Q23" s="5"/>
      <c r="R23"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73BFA-BFB8-479B-8580-77E23D72D642}">
  <dimension ref="B1:M51"/>
  <sheetViews>
    <sheetView topLeftCell="A23" workbookViewId="0">
      <selection activeCell="I52" sqref="I52"/>
    </sheetView>
  </sheetViews>
  <sheetFormatPr defaultRowHeight="14.5" x14ac:dyDescent="0.35"/>
  <cols>
    <col min="2" max="2" width="18" bestFit="1" customWidth="1"/>
    <col min="3" max="3" width="13.7265625" bestFit="1" customWidth="1"/>
    <col min="4" max="4" width="15.1796875" bestFit="1" customWidth="1"/>
    <col min="5" max="6" width="12.1796875" bestFit="1" customWidth="1"/>
    <col min="12" max="12" width="18.81640625" bestFit="1" customWidth="1"/>
  </cols>
  <sheetData>
    <row r="1" spans="2:13" x14ac:dyDescent="0.35">
      <c r="I1" s="1"/>
    </row>
    <row r="2" spans="2:13" x14ac:dyDescent="0.35">
      <c r="B2" t="s">
        <v>112</v>
      </c>
      <c r="I2" s="1"/>
    </row>
    <row r="3" spans="2:13" x14ac:dyDescent="0.35">
      <c r="B3" t="s">
        <v>113</v>
      </c>
      <c r="C3" t="s">
        <v>114</v>
      </c>
      <c r="D3" t="s">
        <v>115</v>
      </c>
      <c r="E3" t="s">
        <v>116</v>
      </c>
      <c r="I3" s="1"/>
    </row>
    <row r="4" spans="2:13" x14ac:dyDescent="0.35">
      <c r="C4" s="12">
        <v>0.8</v>
      </c>
      <c r="D4">
        <v>0</v>
      </c>
      <c r="F4" s="11">
        <f>D4+$E$6</f>
        <v>6928</v>
      </c>
      <c r="L4" t="s">
        <v>117</v>
      </c>
      <c r="M4" s="1">
        <f>AVERAGE(H5:H11)</f>
        <v>7.5361437213570515</v>
      </c>
    </row>
    <row r="5" spans="2:13" x14ac:dyDescent="0.35">
      <c r="C5" s="12">
        <v>0.81</v>
      </c>
      <c r="D5" s="11">
        <v>472</v>
      </c>
      <c r="F5" s="11">
        <f t="shared" ref="F5:F11" si="0">D5+$E$6</f>
        <v>7400</v>
      </c>
      <c r="H5">
        <f>((F5-$F$4)/($F$4))/((C5-$C$4)/($C$4))</f>
        <v>5.4503464203233207</v>
      </c>
      <c r="I5" s="1"/>
      <c r="L5" t="s">
        <v>118</v>
      </c>
      <c r="M5" s="1">
        <f>AVERAGE(H13:H17)</f>
        <v>10.236696165191734</v>
      </c>
    </row>
    <row r="6" spans="2:13" x14ac:dyDescent="0.35">
      <c r="B6" t="s">
        <v>117</v>
      </c>
      <c r="C6" s="12">
        <v>0.82</v>
      </c>
      <c r="D6">
        <v>977</v>
      </c>
      <c r="E6" s="11">
        <v>6928</v>
      </c>
      <c r="F6" s="11">
        <f t="shared" si="0"/>
        <v>7905</v>
      </c>
      <c r="H6">
        <f t="shared" ref="H6:H11" si="1">((F6-$F$4)/($F$4))/((C6-$C$4)/($C$4))</f>
        <v>5.6408775981524517</v>
      </c>
      <c r="I6" s="1"/>
      <c r="L6" t="s">
        <v>119</v>
      </c>
      <c r="M6" s="1">
        <f>AVERAGE(H19:H24)</f>
        <v>7.5709278650378069</v>
      </c>
    </row>
    <row r="7" spans="2:13" x14ac:dyDescent="0.35">
      <c r="C7" s="12">
        <v>0.84</v>
      </c>
      <c r="D7" s="11">
        <v>2759</v>
      </c>
      <c r="F7" s="11">
        <f t="shared" si="0"/>
        <v>9687</v>
      </c>
      <c r="H7">
        <f t="shared" si="1"/>
        <v>7.9647806004619088</v>
      </c>
      <c r="I7" s="1"/>
      <c r="L7" t="s">
        <v>120</v>
      </c>
      <c r="M7" s="1">
        <f>AVERAGE(H26:H29)</f>
        <v>13.093142804855722</v>
      </c>
    </row>
    <row r="8" spans="2:13" x14ac:dyDescent="0.35">
      <c r="C8" s="12">
        <v>0.85</v>
      </c>
      <c r="D8">
        <v>3561</v>
      </c>
      <c r="F8" s="11">
        <f t="shared" si="0"/>
        <v>10489</v>
      </c>
      <c r="H8">
        <f t="shared" si="1"/>
        <v>8.2240184757505883</v>
      </c>
      <c r="I8" s="1"/>
      <c r="L8" t="s">
        <v>121</v>
      </c>
      <c r="M8" s="1">
        <f>AVERAGE(H31:H35)</f>
        <v>6.8445086849877326</v>
      </c>
    </row>
    <row r="9" spans="2:13" x14ac:dyDescent="0.35">
      <c r="C9" s="12">
        <v>0.93</v>
      </c>
      <c r="D9" s="11">
        <v>10027</v>
      </c>
      <c r="F9" s="11">
        <f t="shared" si="0"/>
        <v>16955</v>
      </c>
      <c r="H9">
        <f t="shared" si="1"/>
        <v>8.9065553384260081</v>
      </c>
      <c r="I9" s="1"/>
      <c r="L9" t="s">
        <v>122</v>
      </c>
      <c r="M9" s="1">
        <f>AVERAGE(H37:H42)</f>
        <v>4.7753002649653098</v>
      </c>
    </row>
    <row r="10" spans="2:13" x14ac:dyDescent="0.35">
      <c r="C10" s="12">
        <v>0.95</v>
      </c>
      <c r="D10" s="11">
        <v>10494</v>
      </c>
      <c r="F10" s="11">
        <f t="shared" si="0"/>
        <v>17422</v>
      </c>
      <c r="H10">
        <f t="shared" si="1"/>
        <v>8.0785219399538146</v>
      </c>
      <c r="I10" s="1"/>
      <c r="L10" t="s">
        <v>123</v>
      </c>
      <c r="M10" s="1">
        <f>AVERAGE(H44:H46)</f>
        <v>10.329147244310422</v>
      </c>
    </row>
    <row r="11" spans="2:13" x14ac:dyDescent="0.35">
      <c r="C11" s="12">
        <v>0.99</v>
      </c>
      <c r="D11" s="11">
        <v>13966</v>
      </c>
      <c r="F11" s="11">
        <f t="shared" si="0"/>
        <v>20894</v>
      </c>
      <c r="H11">
        <f t="shared" si="1"/>
        <v>8.4879056764312661</v>
      </c>
      <c r="I11" s="1"/>
      <c r="L11" t="s">
        <v>124</v>
      </c>
      <c r="M11" s="1">
        <f>AVERAGE(H48:H50)</f>
        <v>7.1185033686236947</v>
      </c>
    </row>
    <row r="12" spans="2:13" x14ac:dyDescent="0.35">
      <c r="C12" s="12">
        <v>0.82</v>
      </c>
      <c r="D12">
        <v>0</v>
      </c>
      <c r="F12" s="11">
        <f>D12+$E$14</f>
        <v>21244</v>
      </c>
    </row>
    <row r="13" spans="2:13" x14ac:dyDescent="0.35">
      <c r="C13" s="12">
        <v>0.83</v>
      </c>
      <c r="D13" s="11">
        <v>2534</v>
      </c>
      <c r="F13" s="11">
        <f t="shared" ref="F13:F17" si="2">D13+$E$14</f>
        <v>23778</v>
      </c>
      <c r="H13">
        <f>((F13-$F$12)/($F$12))/((C13-$C$12)/($C$12))</f>
        <v>9.7810205234419048</v>
      </c>
      <c r="I13" s="1"/>
    </row>
    <row r="14" spans="2:13" x14ac:dyDescent="0.35">
      <c r="B14" t="s">
        <v>118</v>
      </c>
      <c r="C14" s="12">
        <v>0.84</v>
      </c>
      <c r="D14" s="5">
        <v>5370</v>
      </c>
      <c r="E14" s="11">
        <v>21244</v>
      </c>
      <c r="F14" s="11">
        <f t="shared" si="2"/>
        <v>26614</v>
      </c>
      <c r="H14">
        <f t="shared" ref="H14:H17" si="3">((F14-$F$12)/($F$12))/((C14-$C$12)/($C$12))</f>
        <v>10.363867444925617</v>
      </c>
      <c r="I14" s="1"/>
    </row>
    <row r="15" spans="2:13" x14ac:dyDescent="0.35">
      <c r="C15" s="12">
        <v>0.85</v>
      </c>
      <c r="D15" s="11">
        <v>8544</v>
      </c>
      <c r="F15" s="11">
        <f t="shared" si="2"/>
        <v>29788</v>
      </c>
      <c r="H15">
        <f t="shared" si="3"/>
        <v>10.993033327057042</v>
      </c>
      <c r="I15" s="1"/>
    </row>
    <row r="16" spans="2:13" x14ac:dyDescent="0.35">
      <c r="C16" s="12">
        <v>0.94</v>
      </c>
      <c r="D16" s="11">
        <v>32796</v>
      </c>
      <c r="F16" s="11">
        <f t="shared" si="2"/>
        <v>54040</v>
      </c>
      <c r="H16">
        <f t="shared" si="3"/>
        <v>10.549143287516475</v>
      </c>
      <c r="I16" s="1"/>
    </row>
    <row r="17" spans="2:9" x14ac:dyDescent="0.35">
      <c r="C17" s="12">
        <v>0.97</v>
      </c>
      <c r="D17" s="11">
        <v>36904</v>
      </c>
      <c r="F17" s="11">
        <f t="shared" si="2"/>
        <v>58148</v>
      </c>
      <c r="H17">
        <f t="shared" si="3"/>
        <v>9.4964162430176344</v>
      </c>
      <c r="I17" s="1"/>
    </row>
    <row r="18" spans="2:9" x14ac:dyDescent="0.35">
      <c r="C18" s="12">
        <v>0.82</v>
      </c>
      <c r="D18">
        <v>0</v>
      </c>
      <c r="F18" s="11">
        <f>D18+$E$21</f>
        <v>8404</v>
      </c>
    </row>
    <row r="19" spans="2:9" x14ac:dyDescent="0.35">
      <c r="C19" s="12">
        <v>0.83</v>
      </c>
      <c r="D19" s="11">
        <v>634</v>
      </c>
      <c r="F19" s="11">
        <f t="shared" ref="F19:F24" si="4">D19+$E$21</f>
        <v>9038</v>
      </c>
      <c r="H19">
        <f>((F19-$F$18)/($F$18))/((C19-$C$18)/($C$18))</f>
        <v>6.1861018562589187</v>
      </c>
      <c r="I19" s="1"/>
    </row>
    <row r="20" spans="2:9" x14ac:dyDescent="0.35">
      <c r="C20" s="12">
        <v>0.84</v>
      </c>
      <c r="D20">
        <v>1315</v>
      </c>
      <c r="F20" s="11">
        <f t="shared" si="4"/>
        <v>9719</v>
      </c>
      <c r="H20">
        <f t="shared" ref="H20:H24" si="5">((F20-$F$18)/($F$18))/((C20-$C$18)/($C$18))</f>
        <v>6.4153974297953296</v>
      </c>
      <c r="I20" s="1"/>
    </row>
    <row r="21" spans="2:9" x14ac:dyDescent="0.35">
      <c r="B21" t="s">
        <v>119</v>
      </c>
      <c r="C21" s="12">
        <v>0.85</v>
      </c>
      <c r="D21" s="11">
        <v>2048</v>
      </c>
      <c r="E21" s="11">
        <v>8404</v>
      </c>
      <c r="F21" s="11">
        <f t="shared" si="4"/>
        <v>10452</v>
      </c>
      <c r="H21">
        <f t="shared" si="5"/>
        <v>6.6609551007456709</v>
      </c>
      <c r="I21" s="1"/>
    </row>
    <row r="22" spans="2:9" x14ac:dyDescent="0.35">
      <c r="C22" s="12">
        <v>0.87</v>
      </c>
      <c r="D22">
        <v>3683</v>
      </c>
      <c r="F22" s="11">
        <f t="shared" si="4"/>
        <v>12087</v>
      </c>
      <c r="H22">
        <f t="shared" si="5"/>
        <v>7.1871965730604401</v>
      </c>
      <c r="I22" s="1"/>
    </row>
    <row r="23" spans="2:9" x14ac:dyDescent="0.35">
      <c r="C23" s="12">
        <v>0.88</v>
      </c>
      <c r="D23" s="11">
        <v>4594</v>
      </c>
      <c r="F23" s="11">
        <f t="shared" si="4"/>
        <v>12998</v>
      </c>
      <c r="H23">
        <f t="shared" si="5"/>
        <v>7.4708075519593775</v>
      </c>
      <c r="I23" s="1"/>
    </row>
    <row r="24" spans="2:9" x14ac:dyDescent="0.35">
      <c r="C24" s="12">
        <v>0.97</v>
      </c>
      <c r="D24" s="5">
        <v>17687</v>
      </c>
      <c r="F24" s="11">
        <f t="shared" si="4"/>
        <v>26091</v>
      </c>
      <c r="H24">
        <f t="shared" si="5"/>
        <v>11.505108678407106</v>
      </c>
      <c r="I24" s="1"/>
    </row>
    <row r="25" spans="2:9" x14ac:dyDescent="0.35">
      <c r="C25" s="12">
        <v>0.84</v>
      </c>
      <c r="D25">
        <v>0</v>
      </c>
      <c r="F25" s="11">
        <f>D25+$E$27</f>
        <v>18915</v>
      </c>
    </row>
    <row r="26" spans="2:9" x14ac:dyDescent="0.35">
      <c r="C26" s="12">
        <v>0.86</v>
      </c>
      <c r="D26" s="11">
        <v>4785</v>
      </c>
      <c r="F26" s="11">
        <f t="shared" ref="F26:F29" si="6">D26+$E$27</f>
        <v>23700</v>
      </c>
      <c r="H26">
        <f>((F26-$F$25)/($F$25))/((C26-$C$25)/($C$25))</f>
        <v>10.624900872323542</v>
      </c>
      <c r="I26" s="1"/>
    </row>
    <row r="27" spans="2:9" x14ac:dyDescent="0.35">
      <c r="B27" t="s">
        <v>120</v>
      </c>
      <c r="C27" s="12">
        <v>0.88</v>
      </c>
      <c r="D27" s="11">
        <v>10781</v>
      </c>
      <c r="E27" s="11">
        <v>18915</v>
      </c>
      <c r="F27" s="11">
        <f t="shared" si="6"/>
        <v>29696</v>
      </c>
      <c r="H27">
        <f t="shared" ref="H27:H29" si="7">((F27-$F$25)/($F$25))/((C27-$C$25)/($C$25))</f>
        <v>11.969389373513073</v>
      </c>
      <c r="I27" s="1"/>
    </row>
    <row r="28" spans="2:9" x14ac:dyDescent="0.35">
      <c r="C28" s="12">
        <v>0.89</v>
      </c>
      <c r="D28" s="11">
        <v>14326</v>
      </c>
      <c r="F28" s="11">
        <f t="shared" si="6"/>
        <v>33241</v>
      </c>
      <c r="H28">
        <f t="shared" si="7"/>
        <v>12.724123711340194</v>
      </c>
      <c r="I28" s="1"/>
    </row>
    <row r="29" spans="2:9" x14ac:dyDescent="0.35">
      <c r="C29" s="12">
        <v>0.97</v>
      </c>
      <c r="D29" s="5">
        <v>49923</v>
      </c>
      <c r="F29" s="11">
        <f t="shared" si="6"/>
        <v>68838</v>
      </c>
      <c r="H29">
        <f t="shared" si="7"/>
        <v>17.054157262246079</v>
      </c>
      <c r="I29" s="1"/>
    </row>
    <row r="30" spans="2:9" x14ac:dyDescent="0.35">
      <c r="C30" s="12">
        <v>0.77</v>
      </c>
      <c r="D30">
        <v>0</v>
      </c>
      <c r="F30" s="11">
        <f>D30+$E$32</f>
        <v>6659</v>
      </c>
    </row>
    <row r="31" spans="2:9" x14ac:dyDescent="0.35">
      <c r="C31" s="12">
        <v>0.78</v>
      </c>
      <c r="D31" s="11">
        <v>540</v>
      </c>
      <c r="F31" s="11">
        <f t="shared" ref="F31:F35" si="8">D31+$E$32</f>
        <v>7199</v>
      </c>
      <c r="H31">
        <f>((F31-$F$30)/($F$30))/((C31-$C$30)/($C$30))</f>
        <v>6.244180807929113</v>
      </c>
      <c r="I31" s="1"/>
    </row>
    <row r="32" spans="2:9" x14ac:dyDescent="0.35">
      <c r="B32" t="s">
        <v>121</v>
      </c>
      <c r="C32" s="12">
        <v>0.79</v>
      </c>
      <c r="D32" s="5">
        <v>1124</v>
      </c>
      <c r="E32" s="11">
        <v>6659</v>
      </c>
      <c r="F32" s="11">
        <f t="shared" si="8"/>
        <v>7783</v>
      </c>
      <c r="H32">
        <f t="shared" ref="H32:H35" si="9">((F32-$F$30)/($F$30))/((C32-$C$30)/($C$30))</f>
        <v>6.4985733593632622</v>
      </c>
      <c r="I32" s="1"/>
    </row>
    <row r="33" spans="2:9" x14ac:dyDescent="0.35">
      <c r="C33" s="12">
        <v>0.8</v>
      </c>
      <c r="D33" s="11">
        <v>1756</v>
      </c>
      <c r="F33" s="11">
        <f t="shared" si="8"/>
        <v>8415</v>
      </c>
      <c r="H33">
        <f t="shared" si="9"/>
        <v>6.7683836411873592</v>
      </c>
      <c r="I33" s="1"/>
    </row>
    <row r="34" spans="2:9" x14ac:dyDescent="0.35">
      <c r="C34" s="12">
        <v>0.81</v>
      </c>
      <c r="D34" s="5">
        <v>2439</v>
      </c>
      <c r="F34" s="11">
        <f t="shared" si="8"/>
        <v>9098</v>
      </c>
      <c r="H34">
        <f t="shared" si="9"/>
        <v>7.0507208289532901</v>
      </c>
      <c r="I34" s="1"/>
    </row>
    <row r="35" spans="2:9" x14ac:dyDescent="0.35">
      <c r="C35" s="12">
        <v>0.83</v>
      </c>
      <c r="D35" s="11">
        <v>3975</v>
      </c>
      <c r="F35" s="11">
        <f t="shared" si="8"/>
        <v>10634</v>
      </c>
      <c r="H35">
        <f t="shared" si="9"/>
        <v>7.6606847875056383</v>
      </c>
      <c r="I35" s="1"/>
    </row>
    <row r="36" spans="2:9" x14ac:dyDescent="0.35">
      <c r="C36" s="12">
        <v>0.77</v>
      </c>
      <c r="D36">
        <v>0</v>
      </c>
      <c r="F36" s="11">
        <f>D36+$E$39</f>
        <v>19122</v>
      </c>
    </row>
    <row r="37" spans="2:9" x14ac:dyDescent="0.35">
      <c r="C37" s="12">
        <v>0.78</v>
      </c>
      <c r="D37" s="5">
        <v>1097</v>
      </c>
      <c r="F37" s="11">
        <f t="shared" ref="F37:F42" si="10">D37+$E$39</f>
        <v>20219</v>
      </c>
      <c r="H37">
        <f>((F37-$F$36)/($F$36))/((C37-$C$36)/($C$36))</f>
        <v>4.4173726597636191</v>
      </c>
      <c r="I37" s="1"/>
    </row>
    <row r="38" spans="2:9" x14ac:dyDescent="0.35">
      <c r="C38" s="12">
        <v>0.79</v>
      </c>
      <c r="D38" s="5">
        <v>2256</v>
      </c>
      <c r="F38" s="11">
        <f t="shared" si="10"/>
        <v>21378</v>
      </c>
      <c r="H38">
        <f t="shared" ref="H38:H42" si="11">((F38-$F$36)/($F$36))/((C38-$C$36)/($C$36))</f>
        <v>4.5422026984624999</v>
      </c>
      <c r="I38" s="1"/>
    </row>
    <row r="39" spans="2:9" x14ac:dyDescent="0.35">
      <c r="B39" t="s">
        <v>122</v>
      </c>
      <c r="C39" s="12">
        <v>0.8</v>
      </c>
      <c r="D39" s="5">
        <v>3483</v>
      </c>
      <c r="E39" s="11">
        <v>19122</v>
      </c>
      <c r="F39" s="11">
        <f t="shared" si="10"/>
        <v>22605</v>
      </c>
      <c r="H39">
        <f t="shared" si="11"/>
        <v>4.67508628804518</v>
      </c>
      <c r="I39" s="1"/>
    </row>
    <row r="40" spans="2:9" x14ac:dyDescent="0.35">
      <c r="C40" s="12">
        <v>0.81</v>
      </c>
      <c r="D40">
        <v>4779</v>
      </c>
      <c r="F40" s="11">
        <f t="shared" si="10"/>
        <v>23901</v>
      </c>
      <c r="H40">
        <f t="shared" si="11"/>
        <v>4.8109899592092837</v>
      </c>
      <c r="I40" s="1"/>
    </row>
    <row r="41" spans="2:9" x14ac:dyDescent="0.35">
      <c r="C41" s="12">
        <v>0.82</v>
      </c>
      <c r="D41" s="11">
        <v>6150</v>
      </c>
      <c r="F41" s="11">
        <f t="shared" si="10"/>
        <v>25272</v>
      </c>
      <c r="H41">
        <f t="shared" si="11"/>
        <v>4.9529337935362481</v>
      </c>
      <c r="I41" s="1"/>
    </row>
    <row r="42" spans="2:9" x14ac:dyDescent="0.35">
      <c r="C42" s="12">
        <v>0.84</v>
      </c>
      <c r="D42">
        <v>9132</v>
      </c>
      <c r="F42" s="11">
        <f t="shared" si="10"/>
        <v>28254</v>
      </c>
      <c r="H42">
        <f t="shared" si="11"/>
        <v>5.2532161907750279</v>
      </c>
      <c r="I42" s="1"/>
    </row>
    <row r="43" spans="2:9" x14ac:dyDescent="0.35">
      <c r="C43" s="12">
        <v>0.81</v>
      </c>
      <c r="D43">
        <v>0</v>
      </c>
      <c r="F43" s="11">
        <f>D43+$E$44</f>
        <v>7294</v>
      </c>
    </row>
    <row r="44" spans="2:9" x14ac:dyDescent="0.35">
      <c r="B44" t="s">
        <v>123</v>
      </c>
      <c r="C44" s="12">
        <v>0.83</v>
      </c>
      <c r="D44" s="5">
        <v>1722</v>
      </c>
      <c r="E44" s="11">
        <v>7294</v>
      </c>
      <c r="F44" s="11">
        <f t="shared" ref="F44:F46" si="12">D44+$E$44</f>
        <v>9016</v>
      </c>
      <c r="H44">
        <f>((F44-$F$43)/($F$43))/((C44-$C$43)/($C$43))</f>
        <v>9.5614203454894877</v>
      </c>
      <c r="I44" s="1"/>
    </row>
    <row r="45" spans="2:9" x14ac:dyDescent="0.35">
      <c r="C45" s="12">
        <v>0.84</v>
      </c>
      <c r="D45">
        <v>2730</v>
      </c>
      <c r="F45" s="11">
        <f t="shared" si="12"/>
        <v>10024</v>
      </c>
      <c r="H45">
        <f t="shared" ref="H45:H46" si="13">((F45-$F$43)/($F$43))/((C45-$C$43)/($C$43))</f>
        <v>10.10556621881001</v>
      </c>
      <c r="I45" s="1"/>
    </row>
    <row r="46" spans="2:9" x14ac:dyDescent="0.35">
      <c r="C46" s="12">
        <v>0.86</v>
      </c>
      <c r="D46" s="11">
        <v>5097</v>
      </c>
      <c r="F46" s="11">
        <f t="shared" si="12"/>
        <v>12391</v>
      </c>
      <c r="H46">
        <f t="shared" si="13"/>
        <v>11.320455168631767</v>
      </c>
      <c r="I46" s="1"/>
    </row>
    <row r="47" spans="2:9" x14ac:dyDescent="0.35">
      <c r="C47" s="12">
        <v>0.81</v>
      </c>
      <c r="D47">
        <v>0</v>
      </c>
      <c r="F47" s="11">
        <f>D47+$E$48</f>
        <v>18702</v>
      </c>
    </row>
    <row r="48" spans="2:9" x14ac:dyDescent="0.35">
      <c r="B48" t="s">
        <v>124</v>
      </c>
      <c r="C48" s="12">
        <v>0.83</v>
      </c>
      <c r="D48" s="11">
        <v>3071</v>
      </c>
      <c r="E48" s="11">
        <v>18702</v>
      </c>
      <c r="F48" s="11">
        <f t="shared" ref="F48:F50" si="14">D48+$E$48</f>
        <v>21773</v>
      </c>
      <c r="H48">
        <f>((F48-$F$47)/($F$47))/((C48-$C$47)/($C$47))</f>
        <v>6.6503849855630728</v>
      </c>
      <c r="I48" s="1"/>
    </row>
    <row r="49" spans="3:9" x14ac:dyDescent="0.35">
      <c r="C49" s="12">
        <v>0.85</v>
      </c>
      <c r="D49" s="11">
        <v>6521</v>
      </c>
      <c r="F49" s="11">
        <f t="shared" si="14"/>
        <v>25223</v>
      </c>
      <c r="H49">
        <f t="shared" ref="H49:H50" si="15">((F49-$F$47)/($F$47))/((C49-$C$47)/($C$47))</f>
        <v>7.060755534167483</v>
      </c>
      <c r="I49" s="1"/>
    </row>
    <row r="50" spans="3:9" x14ac:dyDescent="0.35">
      <c r="C50" s="12">
        <v>0.87</v>
      </c>
      <c r="D50" s="11">
        <v>10590</v>
      </c>
      <c r="F50" s="11">
        <f t="shared" si="14"/>
        <v>29292</v>
      </c>
      <c r="H50">
        <f t="shared" si="15"/>
        <v>7.6443695861405265</v>
      </c>
      <c r="I50" s="1"/>
    </row>
    <row r="51" spans="3:9" x14ac:dyDescent="0.35">
      <c r="I51" s="13">
        <f>AVERAGE(H1:H50)</f>
        <v>8.126972362529246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9F440-FA8D-440E-B9E0-04BD2776E781}">
  <dimension ref="B2:O26"/>
  <sheetViews>
    <sheetView zoomScale="74" workbookViewId="0">
      <selection activeCell="A28" sqref="A28"/>
    </sheetView>
  </sheetViews>
  <sheetFormatPr defaultRowHeight="14.5" x14ac:dyDescent="0.35"/>
  <sheetData>
    <row r="2" spans="2:15" x14ac:dyDescent="0.35">
      <c r="B2" t="s">
        <v>185</v>
      </c>
    </row>
    <row r="3" spans="2:15" x14ac:dyDescent="0.35">
      <c r="B3" t="s">
        <v>186</v>
      </c>
      <c r="C3" t="s">
        <v>187</v>
      </c>
      <c r="D3" t="s">
        <v>188</v>
      </c>
      <c r="E3" t="s">
        <v>189</v>
      </c>
      <c r="F3" t="s">
        <v>190</v>
      </c>
      <c r="G3" t="s">
        <v>191</v>
      </c>
      <c r="H3" t="s">
        <v>192</v>
      </c>
      <c r="I3" t="s">
        <v>193</v>
      </c>
      <c r="J3" t="s">
        <v>194</v>
      </c>
      <c r="K3" t="s">
        <v>195</v>
      </c>
    </row>
    <row r="4" spans="2:15" x14ac:dyDescent="0.35">
      <c r="B4">
        <v>1</v>
      </c>
      <c r="C4" t="s">
        <v>180</v>
      </c>
      <c r="D4">
        <v>3290</v>
      </c>
      <c r="E4">
        <v>59.1</v>
      </c>
      <c r="F4" t="s">
        <v>181</v>
      </c>
      <c r="G4" t="s">
        <v>182</v>
      </c>
      <c r="H4">
        <v>115.1</v>
      </c>
      <c r="I4" t="s">
        <v>183</v>
      </c>
      <c r="J4" t="s">
        <v>184</v>
      </c>
      <c r="K4">
        <v>138.1</v>
      </c>
    </row>
    <row r="5" spans="2:15" x14ac:dyDescent="0.35">
      <c r="B5">
        <v>2</v>
      </c>
      <c r="C5" t="s">
        <v>180</v>
      </c>
      <c r="D5">
        <v>3260</v>
      </c>
      <c r="E5">
        <v>59.1</v>
      </c>
      <c r="F5" t="s">
        <v>181</v>
      </c>
      <c r="G5" t="s">
        <v>182</v>
      </c>
      <c r="H5">
        <v>115.1</v>
      </c>
      <c r="I5" t="s">
        <v>183</v>
      </c>
      <c r="J5" t="s">
        <v>184</v>
      </c>
      <c r="K5">
        <v>138.1</v>
      </c>
    </row>
    <row r="6" spans="2:15" x14ac:dyDescent="0.35">
      <c r="B6">
        <v>3</v>
      </c>
      <c r="C6">
        <v>7</v>
      </c>
      <c r="D6">
        <v>9200</v>
      </c>
      <c r="E6">
        <v>97</v>
      </c>
      <c r="F6" t="s">
        <v>196</v>
      </c>
      <c r="G6" t="s">
        <v>197</v>
      </c>
      <c r="H6">
        <v>271.10000000000002</v>
      </c>
      <c r="I6" t="s">
        <v>198</v>
      </c>
      <c r="J6" t="s">
        <v>199</v>
      </c>
      <c r="K6">
        <v>326.38</v>
      </c>
    </row>
    <row r="7" spans="2:15" x14ac:dyDescent="0.35">
      <c r="B7">
        <v>4</v>
      </c>
      <c r="C7">
        <v>7</v>
      </c>
      <c r="D7">
        <v>9130</v>
      </c>
      <c r="E7">
        <v>97</v>
      </c>
      <c r="F7" t="s">
        <v>196</v>
      </c>
      <c r="G7" t="s">
        <v>197</v>
      </c>
      <c r="H7">
        <v>272</v>
      </c>
      <c r="I7" t="s">
        <v>198</v>
      </c>
      <c r="J7" t="s">
        <v>199</v>
      </c>
      <c r="K7">
        <v>326.38</v>
      </c>
    </row>
    <row r="8" spans="2:15" x14ac:dyDescent="0.35">
      <c r="B8">
        <v>5</v>
      </c>
      <c r="C8">
        <v>20</v>
      </c>
      <c r="D8">
        <v>26280</v>
      </c>
      <c r="E8">
        <v>135.6</v>
      </c>
      <c r="F8" t="s">
        <v>200</v>
      </c>
      <c r="G8" t="s">
        <v>201</v>
      </c>
      <c r="H8">
        <v>386.6</v>
      </c>
      <c r="I8" t="s">
        <v>202</v>
      </c>
      <c r="J8" t="s">
        <v>198</v>
      </c>
      <c r="K8">
        <v>463.95499999999998</v>
      </c>
    </row>
    <row r="9" spans="2:15" x14ac:dyDescent="0.35">
      <c r="B9">
        <v>6</v>
      </c>
      <c r="C9">
        <v>20</v>
      </c>
      <c r="D9">
        <v>26070</v>
      </c>
      <c r="E9">
        <v>135.6</v>
      </c>
      <c r="F9" t="s">
        <v>200</v>
      </c>
      <c r="G9" t="s">
        <v>201</v>
      </c>
      <c r="H9">
        <v>386.6</v>
      </c>
      <c r="I9" t="s">
        <v>202</v>
      </c>
      <c r="J9" t="s">
        <v>198</v>
      </c>
      <c r="K9">
        <v>463.95499999999998</v>
      </c>
    </row>
    <row r="10" spans="2:15" x14ac:dyDescent="0.35">
      <c r="B10">
        <v>7</v>
      </c>
      <c r="C10">
        <v>35</v>
      </c>
      <c r="D10">
        <v>46000</v>
      </c>
      <c r="E10">
        <v>156.19999999999999</v>
      </c>
      <c r="F10" t="s">
        <v>203</v>
      </c>
      <c r="G10" t="s">
        <v>204</v>
      </c>
      <c r="H10">
        <v>436.2</v>
      </c>
      <c r="I10" t="s">
        <v>205</v>
      </c>
      <c r="J10" t="s">
        <v>206</v>
      </c>
      <c r="K10">
        <v>523.48</v>
      </c>
    </row>
    <row r="11" spans="2:15" x14ac:dyDescent="0.35">
      <c r="B11">
        <v>8</v>
      </c>
      <c r="C11">
        <v>35</v>
      </c>
      <c r="D11">
        <v>45630</v>
      </c>
      <c r="E11">
        <v>156.19999999999999</v>
      </c>
      <c r="F11" t="s">
        <v>203</v>
      </c>
      <c r="G11" t="s">
        <v>204</v>
      </c>
      <c r="H11">
        <v>436.2</v>
      </c>
      <c r="I11" t="s">
        <v>205</v>
      </c>
      <c r="J11" t="s">
        <v>206</v>
      </c>
      <c r="K11">
        <v>523.48</v>
      </c>
    </row>
    <row r="13" spans="2:15" x14ac:dyDescent="0.35">
      <c r="B13" t="s">
        <v>208</v>
      </c>
    </row>
    <row r="14" spans="2:15" x14ac:dyDescent="0.35">
      <c r="F14" t="s">
        <v>216</v>
      </c>
      <c r="H14" t="s">
        <v>217</v>
      </c>
      <c r="J14" t="s">
        <v>218</v>
      </c>
    </row>
    <row r="15" spans="2:15" x14ac:dyDescent="0.35">
      <c r="B15" t="s">
        <v>186</v>
      </c>
      <c r="C15" t="s">
        <v>187</v>
      </c>
      <c r="D15" t="s">
        <v>209</v>
      </c>
      <c r="E15" t="s">
        <v>210</v>
      </c>
      <c r="F15" t="s">
        <v>211</v>
      </c>
      <c r="G15" t="s">
        <v>212</v>
      </c>
      <c r="H15" t="s">
        <v>211</v>
      </c>
      <c r="I15" t="s">
        <v>212</v>
      </c>
      <c r="J15" t="s">
        <v>211</v>
      </c>
      <c r="K15" t="s">
        <v>212</v>
      </c>
      <c r="L15" t="s">
        <v>213</v>
      </c>
      <c r="M15" t="s">
        <v>214</v>
      </c>
      <c r="N15" t="s">
        <v>215</v>
      </c>
    </row>
    <row r="16" spans="2:15" x14ac:dyDescent="0.35">
      <c r="B16">
        <v>1</v>
      </c>
      <c r="C16" t="s">
        <v>180</v>
      </c>
      <c r="D16">
        <v>87</v>
      </c>
      <c r="E16">
        <v>15</v>
      </c>
      <c r="F16" t="s">
        <v>219</v>
      </c>
      <c r="G16">
        <v>15</v>
      </c>
      <c r="H16" t="s">
        <v>220</v>
      </c>
      <c r="I16">
        <v>21</v>
      </c>
      <c r="J16" t="s">
        <v>221</v>
      </c>
      <c r="K16">
        <v>30</v>
      </c>
      <c r="L16">
        <v>95.25</v>
      </c>
      <c r="M16">
        <v>59.1</v>
      </c>
      <c r="N16">
        <v>125.1</v>
      </c>
      <c r="O16" s="7">
        <f>((N16-M16)/(M16))/((L16-D16)/(D16))</f>
        <v>11.776649746192895</v>
      </c>
    </row>
    <row r="17" spans="2:15" x14ac:dyDescent="0.35">
      <c r="B17">
        <v>2</v>
      </c>
      <c r="C17" t="s">
        <v>180</v>
      </c>
      <c r="D17">
        <v>86</v>
      </c>
      <c r="E17">
        <v>25</v>
      </c>
      <c r="F17" t="s">
        <v>219</v>
      </c>
      <c r="G17">
        <v>14</v>
      </c>
      <c r="H17" t="s">
        <v>220</v>
      </c>
      <c r="I17">
        <v>30</v>
      </c>
      <c r="J17" t="s">
        <v>221</v>
      </c>
      <c r="K17">
        <v>30</v>
      </c>
      <c r="L17">
        <v>94.25</v>
      </c>
      <c r="M17">
        <v>59.1</v>
      </c>
      <c r="N17">
        <v>133.1</v>
      </c>
      <c r="O17" s="7">
        <f t="shared" ref="O17:O25" si="0">((N17-M17)/(M17))/((L17-D17)/(D17))</f>
        <v>13.052350920371223</v>
      </c>
    </row>
    <row r="18" spans="2:15" x14ac:dyDescent="0.35">
      <c r="B18">
        <v>3</v>
      </c>
      <c r="C18">
        <v>7</v>
      </c>
      <c r="D18">
        <v>87</v>
      </c>
      <c r="E18">
        <v>15</v>
      </c>
      <c r="F18" t="s">
        <v>219</v>
      </c>
      <c r="G18">
        <v>23</v>
      </c>
      <c r="H18" t="s">
        <v>220</v>
      </c>
      <c r="I18">
        <v>62</v>
      </c>
      <c r="J18" t="s">
        <v>221</v>
      </c>
      <c r="K18">
        <v>30</v>
      </c>
      <c r="L18">
        <v>95.25</v>
      </c>
      <c r="M18">
        <v>97</v>
      </c>
      <c r="N18">
        <v>212</v>
      </c>
      <c r="O18" s="7">
        <f t="shared" si="0"/>
        <v>12.502343017806936</v>
      </c>
    </row>
    <row r="19" spans="2:15" x14ac:dyDescent="0.35">
      <c r="B19">
        <v>4</v>
      </c>
      <c r="C19">
        <v>7</v>
      </c>
      <c r="D19">
        <v>86</v>
      </c>
      <c r="E19">
        <v>25</v>
      </c>
      <c r="F19" t="s">
        <v>219</v>
      </c>
      <c r="G19">
        <v>21</v>
      </c>
      <c r="H19" t="s">
        <v>220</v>
      </c>
      <c r="I19">
        <v>59</v>
      </c>
      <c r="J19" t="s">
        <v>221</v>
      </c>
      <c r="K19">
        <v>30</v>
      </c>
      <c r="L19">
        <v>94.25</v>
      </c>
      <c r="M19">
        <v>97</v>
      </c>
      <c r="N19">
        <v>207</v>
      </c>
      <c r="O19" s="7">
        <f t="shared" si="0"/>
        <v>11.821305841924397</v>
      </c>
    </row>
    <row r="20" spans="2:15" x14ac:dyDescent="0.35">
      <c r="B20">
        <v>5</v>
      </c>
      <c r="C20">
        <v>20</v>
      </c>
      <c r="D20">
        <v>87</v>
      </c>
      <c r="E20">
        <v>15</v>
      </c>
      <c r="F20" t="s">
        <v>219</v>
      </c>
      <c r="G20">
        <v>48</v>
      </c>
      <c r="H20" t="s">
        <v>220</v>
      </c>
      <c r="I20">
        <v>128</v>
      </c>
      <c r="J20" t="s">
        <v>221</v>
      </c>
      <c r="K20">
        <v>30</v>
      </c>
      <c r="L20">
        <v>95.25</v>
      </c>
      <c r="M20">
        <v>135.6</v>
      </c>
      <c r="N20">
        <v>341.6</v>
      </c>
      <c r="O20" s="7">
        <f t="shared" si="0"/>
        <v>16.020380799141865</v>
      </c>
    </row>
    <row r="21" spans="2:15" x14ac:dyDescent="0.35">
      <c r="B21">
        <v>6</v>
      </c>
      <c r="C21">
        <v>20</v>
      </c>
      <c r="D21">
        <v>86</v>
      </c>
      <c r="E21">
        <v>25</v>
      </c>
      <c r="F21" t="s">
        <v>219</v>
      </c>
      <c r="G21">
        <v>42</v>
      </c>
      <c r="H21" t="s">
        <v>220</v>
      </c>
      <c r="I21">
        <v>169</v>
      </c>
      <c r="J21" t="s">
        <v>221</v>
      </c>
      <c r="K21">
        <v>30</v>
      </c>
      <c r="L21">
        <v>94.25</v>
      </c>
      <c r="M21">
        <v>135.6</v>
      </c>
      <c r="N21">
        <v>376.6</v>
      </c>
      <c r="O21" s="7">
        <f t="shared" si="0"/>
        <v>18.526861535711095</v>
      </c>
    </row>
    <row r="22" spans="2:15" x14ac:dyDescent="0.35">
      <c r="B22">
        <v>7</v>
      </c>
      <c r="C22">
        <v>35</v>
      </c>
      <c r="D22">
        <v>87</v>
      </c>
      <c r="E22">
        <v>15</v>
      </c>
      <c r="F22" t="s">
        <v>219</v>
      </c>
      <c r="G22">
        <v>75</v>
      </c>
      <c r="H22" t="s">
        <v>220</v>
      </c>
      <c r="I22">
        <v>124</v>
      </c>
      <c r="J22" t="s">
        <v>221</v>
      </c>
      <c r="K22">
        <v>30</v>
      </c>
      <c r="L22">
        <v>95.25</v>
      </c>
      <c r="M22">
        <v>156.19999999999999</v>
      </c>
      <c r="N22">
        <v>385.2</v>
      </c>
      <c r="O22" s="7">
        <f t="shared" si="0"/>
        <v>15.460365498777794</v>
      </c>
    </row>
    <row r="23" spans="2:15" x14ac:dyDescent="0.35">
      <c r="B23">
        <v>8</v>
      </c>
      <c r="C23">
        <v>35</v>
      </c>
      <c r="D23">
        <v>86</v>
      </c>
      <c r="E23">
        <v>25</v>
      </c>
      <c r="F23" t="s">
        <v>219</v>
      </c>
      <c r="G23">
        <v>66</v>
      </c>
      <c r="H23" t="s">
        <v>220</v>
      </c>
      <c r="I23">
        <v>106</v>
      </c>
      <c r="J23" t="s">
        <v>221</v>
      </c>
      <c r="K23">
        <v>30</v>
      </c>
      <c r="L23">
        <v>94.25</v>
      </c>
      <c r="M23">
        <v>156.19999999999999</v>
      </c>
      <c r="N23">
        <v>358.2</v>
      </c>
      <c r="O23" s="7">
        <f t="shared" si="0"/>
        <v>13.480774453885848</v>
      </c>
    </row>
    <row r="24" spans="2:15" x14ac:dyDescent="0.35">
      <c r="B24">
        <v>9</v>
      </c>
      <c r="C24">
        <v>35</v>
      </c>
      <c r="D24">
        <v>85</v>
      </c>
      <c r="E24">
        <v>15</v>
      </c>
      <c r="F24" t="s">
        <v>219</v>
      </c>
      <c r="G24">
        <v>80</v>
      </c>
      <c r="H24" t="s">
        <v>220</v>
      </c>
      <c r="I24">
        <v>201</v>
      </c>
      <c r="J24" t="s">
        <v>221</v>
      </c>
      <c r="K24">
        <v>30</v>
      </c>
      <c r="L24">
        <v>93.25</v>
      </c>
      <c r="M24">
        <v>156.19999999999999</v>
      </c>
      <c r="N24">
        <v>467.2</v>
      </c>
      <c r="O24" s="7">
        <f t="shared" si="0"/>
        <v>20.513715904240872</v>
      </c>
    </row>
    <row r="25" spans="2:15" x14ac:dyDescent="0.35">
      <c r="B25">
        <v>10</v>
      </c>
      <c r="C25">
        <v>35</v>
      </c>
      <c r="D25">
        <v>84</v>
      </c>
      <c r="E25">
        <v>25</v>
      </c>
      <c r="F25" t="s">
        <v>219</v>
      </c>
      <c r="G25">
        <v>65</v>
      </c>
      <c r="H25" t="s">
        <v>220</v>
      </c>
      <c r="I25">
        <v>255</v>
      </c>
      <c r="J25" t="s">
        <v>221</v>
      </c>
      <c r="K25">
        <v>30</v>
      </c>
      <c r="L25">
        <v>92.25</v>
      </c>
      <c r="M25">
        <v>156.19999999999999</v>
      </c>
      <c r="N25">
        <v>506.2</v>
      </c>
      <c r="O25" s="7">
        <f t="shared" si="0"/>
        <v>22.814573390757772</v>
      </c>
    </row>
    <row r="26" spans="2:15" x14ac:dyDescent="0.35">
      <c r="O26" s="8">
        <f>AVERAGE(O16:O25)</f>
        <v>15.59693211088107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F9701-D73C-4593-9C81-F6045C33961E}">
  <dimension ref="A1:AD94"/>
  <sheetViews>
    <sheetView topLeftCell="A58" zoomScale="69" zoomScaleNormal="85" workbookViewId="0">
      <selection activeCell="G14" sqref="G14"/>
    </sheetView>
  </sheetViews>
  <sheetFormatPr defaultRowHeight="14.5" x14ac:dyDescent="0.35"/>
  <cols>
    <col min="1" max="1" width="11.453125" bestFit="1" customWidth="1"/>
    <col min="2" max="2" width="11.453125" customWidth="1"/>
  </cols>
  <sheetData>
    <row r="1" spans="1:30" x14ac:dyDescent="0.35">
      <c r="A1" s="19" t="s">
        <v>275</v>
      </c>
      <c r="B1" s="18" t="s">
        <v>307</v>
      </c>
      <c r="C1" s="18"/>
      <c r="D1" s="18"/>
      <c r="E1" s="18"/>
      <c r="F1" s="18"/>
      <c r="G1" s="18"/>
      <c r="H1" s="18"/>
      <c r="I1" s="18"/>
    </row>
    <row r="2" spans="1:30" x14ac:dyDescent="0.35">
      <c r="A2" t="s">
        <v>222</v>
      </c>
    </row>
    <row r="4" spans="1:30" x14ac:dyDescent="0.35">
      <c r="F4" t="s">
        <v>223</v>
      </c>
      <c r="G4" t="s">
        <v>223</v>
      </c>
      <c r="H4" t="s">
        <v>223</v>
      </c>
      <c r="I4" t="s">
        <v>223</v>
      </c>
      <c r="J4" t="s">
        <v>223</v>
      </c>
      <c r="K4" t="s">
        <v>223</v>
      </c>
      <c r="L4" t="s">
        <v>223</v>
      </c>
      <c r="M4" t="s">
        <v>223</v>
      </c>
      <c r="N4" t="s">
        <v>223</v>
      </c>
      <c r="O4" t="s">
        <v>223</v>
      </c>
      <c r="P4" t="s">
        <v>223</v>
      </c>
      <c r="Q4" t="s">
        <v>223</v>
      </c>
      <c r="R4" t="s">
        <v>223</v>
      </c>
      <c r="S4" t="s">
        <v>223</v>
      </c>
      <c r="T4" t="s">
        <v>223</v>
      </c>
      <c r="U4" t="s">
        <v>223</v>
      </c>
      <c r="V4" t="s">
        <v>223</v>
      </c>
      <c r="W4" t="s">
        <v>223</v>
      </c>
      <c r="X4" t="s">
        <v>223</v>
      </c>
      <c r="Y4" t="s">
        <v>223</v>
      </c>
      <c r="Z4" t="s">
        <v>223</v>
      </c>
      <c r="AA4" t="s">
        <v>223</v>
      </c>
      <c r="AB4" t="s">
        <v>223</v>
      </c>
      <c r="AC4" t="s">
        <v>223</v>
      </c>
      <c r="AD4" t="s">
        <v>223</v>
      </c>
    </row>
    <row r="5" spans="1:30" x14ac:dyDescent="0.35">
      <c r="C5" t="s">
        <v>224</v>
      </c>
      <c r="D5" t="s">
        <v>225</v>
      </c>
      <c r="E5" t="s">
        <v>226</v>
      </c>
      <c r="F5">
        <f>183-34</f>
        <v>149</v>
      </c>
      <c r="G5">
        <f>120-60</f>
        <v>60</v>
      </c>
      <c r="H5">
        <f>90-30</f>
        <v>60</v>
      </c>
      <c r="I5">
        <f>140-85</f>
        <v>55</v>
      </c>
      <c r="J5">
        <f>165-115</f>
        <v>50</v>
      </c>
      <c r="K5">
        <v>100</v>
      </c>
      <c r="L5">
        <v>109</v>
      </c>
      <c r="M5">
        <v>115</v>
      </c>
      <c r="N5">
        <v>135</v>
      </c>
      <c r="O5">
        <f>160-113</f>
        <v>47</v>
      </c>
      <c r="P5">
        <f>160-50</f>
        <v>110</v>
      </c>
      <c r="Q5">
        <f>212-65</f>
        <v>147</v>
      </c>
      <c r="R5">
        <f>160-12</f>
        <v>148</v>
      </c>
      <c r="S5">
        <f>212-12</f>
        <v>200</v>
      </c>
      <c r="T5">
        <f>201-105</f>
        <v>96</v>
      </c>
      <c r="U5">
        <f>211-105</f>
        <v>106</v>
      </c>
      <c r="V5">
        <f>95--1</f>
        <v>96</v>
      </c>
      <c r="W5">
        <f>110-7</f>
        <v>103</v>
      </c>
      <c r="X5">
        <f>150-17</f>
        <v>133</v>
      </c>
      <c r="Y5">
        <f>131-60</f>
        <v>71</v>
      </c>
      <c r="Z5">
        <f>150-105</f>
        <v>45</v>
      </c>
      <c r="AA5">
        <f>120-30</f>
        <v>90</v>
      </c>
      <c r="AB5">
        <f>105-0.5</f>
        <v>104.5</v>
      </c>
      <c r="AC5">
        <f>190-60</f>
        <v>130</v>
      </c>
      <c r="AD5">
        <f>185-120</f>
        <v>65</v>
      </c>
    </row>
    <row r="6" spans="1:30" x14ac:dyDescent="0.35">
      <c r="A6" t="s">
        <v>227</v>
      </c>
      <c r="B6" t="s">
        <v>228</v>
      </c>
      <c r="C6">
        <v>0.3</v>
      </c>
      <c r="D6">
        <v>115</v>
      </c>
      <c r="E6">
        <v>600</v>
      </c>
      <c r="K6">
        <v>1.95</v>
      </c>
      <c r="L6">
        <v>2.2999999999999998</v>
      </c>
      <c r="M6">
        <v>2.5</v>
      </c>
      <c r="N6">
        <v>2.8</v>
      </c>
    </row>
    <row r="7" spans="1:30" x14ac:dyDescent="0.35">
      <c r="A7" t="s">
        <v>229</v>
      </c>
      <c r="C7">
        <v>0.7</v>
      </c>
      <c r="D7">
        <v>150</v>
      </c>
      <c r="E7">
        <v>700</v>
      </c>
    </row>
    <row r="8" spans="1:30" x14ac:dyDescent="0.35">
      <c r="A8" t="s">
        <v>230</v>
      </c>
      <c r="B8" t="s">
        <v>231</v>
      </c>
      <c r="C8">
        <v>0.75</v>
      </c>
      <c r="D8">
        <v>120</v>
      </c>
      <c r="E8">
        <v>450</v>
      </c>
    </row>
    <row r="9" spans="1:30" x14ac:dyDescent="0.35">
      <c r="A9" t="s">
        <v>230</v>
      </c>
      <c r="B9" t="s">
        <v>232</v>
      </c>
      <c r="C9">
        <v>1</v>
      </c>
      <c r="D9">
        <v>145</v>
      </c>
      <c r="E9">
        <v>720</v>
      </c>
    </row>
    <row r="10" spans="1:30" x14ac:dyDescent="0.35">
      <c r="A10" t="s">
        <v>233</v>
      </c>
      <c r="C10" t="s">
        <v>234</v>
      </c>
      <c r="D10">
        <v>130</v>
      </c>
      <c r="E10">
        <v>250</v>
      </c>
    </row>
    <row r="11" spans="1:30" x14ac:dyDescent="0.35">
      <c r="A11" t="s">
        <v>235</v>
      </c>
      <c r="C11" t="s">
        <v>236</v>
      </c>
      <c r="D11">
        <v>120</v>
      </c>
      <c r="E11">
        <f>AVERAGE(250,425)</f>
        <v>337.5</v>
      </c>
      <c r="X11" t="s">
        <v>274</v>
      </c>
      <c r="AA11" t="s">
        <v>270</v>
      </c>
    </row>
    <row r="12" spans="1:30" x14ac:dyDescent="0.35">
      <c r="A12" t="s">
        <v>237</v>
      </c>
      <c r="C12" t="s">
        <v>238</v>
      </c>
      <c r="D12">
        <v>160</v>
      </c>
      <c r="E12">
        <v>300</v>
      </c>
      <c r="X12">
        <f>E25</f>
        <v>850</v>
      </c>
      <c r="Y12">
        <f>Y25</f>
        <v>4.4000000000000004</v>
      </c>
      <c r="AA12">
        <f>E19</f>
        <v>700</v>
      </c>
      <c r="AB12">
        <f>P19</f>
        <v>2.3250000000000002</v>
      </c>
    </row>
    <row r="13" spans="1:30" x14ac:dyDescent="0.35">
      <c r="A13" t="s">
        <v>239</v>
      </c>
      <c r="C13" t="s">
        <v>240</v>
      </c>
      <c r="D13">
        <v>120</v>
      </c>
      <c r="E13">
        <v>300</v>
      </c>
      <c r="X13">
        <f>E19</f>
        <v>700</v>
      </c>
      <c r="Y13">
        <f>O19</f>
        <v>3.5</v>
      </c>
      <c r="AA13">
        <f>E6</f>
        <v>600</v>
      </c>
      <c r="AB13">
        <f>K6</f>
        <v>1.95</v>
      </c>
    </row>
    <row r="14" spans="1:30" x14ac:dyDescent="0.35">
      <c r="A14" t="s">
        <v>241</v>
      </c>
      <c r="C14" t="s">
        <v>242</v>
      </c>
      <c r="D14">
        <v>165</v>
      </c>
      <c r="E14">
        <f>AVERAGE(150,1000)</f>
        <v>575</v>
      </c>
      <c r="X14">
        <f>E26</f>
        <v>525</v>
      </c>
      <c r="Y14">
        <f>Z26</f>
        <v>4.0999999999999996</v>
      </c>
      <c r="AA14">
        <f>E26</f>
        <v>525</v>
      </c>
      <c r="AB14">
        <f>AVERAGE(AA26:AB26)</f>
        <v>2.6</v>
      </c>
    </row>
    <row r="15" spans="1:30" x14ac:dyDescent="0.35">
      <c r="A15" t="s">
        <v>243</v>
      </c>
      <c r="C15" t="s">
        <v>244</v>
      </c>
      <c r="D15">
        <v>188</v>
      </c>
      <c r="E15">
        <f>AVERAGE(250,430)</f>
        <v>340</v>
      </c>
      <c r="X15">
        <f>E18</f>
        <v>300</v>
      </c>
      <c r="Y15">
        <f>G18</f>
        <v>3.4</v>
      </c>
      <c r="AA15">
        <f>E24</f>
        <v>400</v>
      </c>
      <c r="AB15">
        <f>AVERAGE(V24:W24)</f>
        <v>3.15</v>
      </c>
    </row>
    <row r="16" spans="1:30" x14ac:dyDescent="0.35">
      <c r="A16" t="s">
        <v>245</v>
      </c>
      <c r="B16" s="16"/>
      <c r="C16" t="s">
        <v>246</v>
      </c>
      <c r="D16">
        <v>160</v>
      </c>
      <c r="E16">
        <f>AVERAGE(150,250)</f>
        <v>200</v>
      </c>
      <c r="AA16">
        <f>E21</f>
        <v>250</v>
      </c>
      <c r="AB16">
        <f>AVERAGE(T21:U21)</f>
        <v>4.75</v>
      </c>
    </row>
    <row r="17" spans="1:30" x14ac:dyDescent="0.35">
      <c r="A17" t="s">
        <v>247</v>
      </c>
      <c r="C17">
        <v>5</v>
      </c>
      <c r="D17">
        <v>200</v>
      </c>
      <c r="E17">
        <v>1200</v>
      </c>
      <c r="F17">
        <v>1.7</v>
      </c>
    </row>
    <row r="18" spans="1:30" x14ac:dyDescent="0.35">
      <c r="A18" t="s">
        <v>248</v>
      </c>
      <c r="B18" t="s">
        <v>249</v>
      </c>
      <c r="C18" t="s">
        <v>250</v>
      </c>
      <c r="D18">
        <v>200</v>
      </c>
      <c r="E18">
        <v>300</v>
      </c>
      <c r="G18">
        <v>3.4</v>
      </c>
      <c r="H18">
        <v>3.3</v>
      </c>
      <c r="I18">
        <v>3.9</v>
      </c>
      <c r="J18">
        <v>4.5999999999999996</v>
      </c>
    </row>
    <row r="19" spans="1:30" x14ac:dyDescent="0.35">
      <c r="A19" t="s">
        <v>251</v>
      </c>
      <c r="C19" t="s">
        <v>252</v>
      </c>
      <c r="D19">
        <v>250</v>
      </c>
      <c r="E19">
        <v>700</v>
      </c>
      <c r="O19">
        <v>3.5</v>
      </c>
      <c r="P19">
        <v>2.3250000000000002</v>
      </c>
      <c r="Q19">
        <f>AVERAGE(2,2.15)</f>
        <v>2.0750000000000002</v>
      </c>
      <c r="R19">
        <f>AVERAGE(1.75,1.9)</f>
        <v>1.825</v>
      </c>
      <c r="S19">
        <v>1.65</v>
      </c>
    </row>
    <row r="20" spans="1:30" x14ac:dyDescent="0.35">
      <c r="A20" t="s">
        <v>253</v>
      </c>
      <c r="C20" t="s">
        <v>254</v>
      </c>
      <c r="D20">
        <v>160</v>
      </c>
      <c r="E20">
        <v>350</v>
      </c>
    </row>
    <row r="21" spans="1:30" x14ac:dyDescent="0.35">
      <c r="A21" t="s">
        <v>255</v>
      </c>
      <c r="C21" t="s">
        <v>256</v>
      </c>
      <c r="D21">
        <v>280</v>
      </c>
      <c r="E21">
        <v>250</v>
      </c>
      <c r="T21">
        <v>4.2</v>
      </c>
      <c r="U21">
        <v>5.3</v>
      </c>
    </row>
    <row r="22" spans="1:30" x14ac:dyDescent="0.35">
      <c r="A22" t="s">
        <v>257</v>
      </c>
      <c r="C22" t="s">
        <v>258</v>
      </c>
      <c r="D22">
        <v>150</v>
      </c>
      <c r="E22">
        <v>300</v>
      </c>
    </row>
    <row r="23" spans="1:30" x14ac:dyDescent="0.35">
      <c r="A23" t="s">
        <v>259</v>
      </c>
      <c r="C23" t="s">
        <v>260</v>
      </c>
      <c r="D23">
        <v>200</v>
      </c>
      <c r="E23" t="s">
        <v>261</v>
      </c>
    </row>
    <row r="24" spans="1:30" x14ac:dyDescent="0.35">
      <c r="A24" t="s">
        <v>262</v>
      </c>
      <c r="C24" t="s">
        <v>263</v>
      </c>
      <c r="D24">
        <v>150</v>
      </c>
      <c r="E24">
        <v>400</v>
      </c>
      <c r="V24">
        <v>3.25</v>
      </c>
      <c r="W24">
        <v>3.05</v>
      </c>
      <c r="X24">
        <v>2.85</v>
      </c>
    </row>
    <row r="25" spans="1:30" x14ac:dyDescent="0.35">
      <c r="A25" t="s">
        <v>264</v>
      </c>
      <c r="C25" t="s">
        <v>265</v>
      </c>
      <c r="D25">
        <v>212</v>
      </c>
      <c r="E25">
        <v>850</v>
      </c>
      <c r="K25" s="17" t="s">
        <v>271</v>
      </c>
      <c r="Y25">
        <v>4.4000000000000004</v>
      </c>
    </row>
    <row r="26" spans="1:30" x14ac:dyDescent="0.35">
      <c r="A26" t="s">
        <v>266</v>
      </c>
      <c r="C26" t="s">
        <v>267</v>
      </c>
      <c r="D26">
        <v>160</v>
      </c>
      <c r="E26">
        <f>AVERAGE(250,800)</f>
        <v>525</v>
      </c>
      <c r="K26" s="17" t="s">
        <v>272</v>
      </c>
      <c r="Z26">
        <v>4.0999999999999996</v>
      </c>
      <c r="AA26">
        <v>2.7</v>
      </c>
      <c r="AB26">
        <v>2.5</v>
      </c>
      <c r="AC26">
        <v>2.9</v>
      </c>
    </row>
    <row r="27" spans="1:30" x14ac:dyDescent="0.35">
      <c r="A27" t="s">
        <v>268</v>
      </c>
      <c r="C27" t="s">
        <v>269</v>
      </c>
      <c r="D27">
        <v>230</v>
      </c>
      <c r="E27">
        <v>1500</v>
      </c>
      <c r="K27" s="17" t="s">
        <v>273</v>
      </c>
      <c r="AD27">
        <f>0.45</f>
        <v>0.45</v>
      </c>
    </row>
    <row r="30" spans="1:30" x14ac:dyDescent="0.35">
      <c r="A30" s="19" t="s">
        <v>276</v>
      </c>
      <c r="B30" s="18"/>
      <c r="C30" s="18"/>
      <c r="D30" s="18"/>
      <c r="E30" s="18"/>
      <c r="F30" s="18"/>
      <c r="G30" s="18"/>
      <c r="H30" s="18"/>
      <c r="I30" s="18"/>
    </row>
    <row r="31" spans="1:30" x14ac:dyDescent="0.35">
      <c r="A31" t="s">
        <v>277</v>
      </c>
    </row>
    <row r="34" spans="2:12" x14ac:dyDescent="0.35">
      <c r="B34" s="1" t="s">
        <v>292</v>
      </c>
    </row>
    <row r="35" spans="2:12" x14ac:dyDescent="0.35">
      <c r="B35" t="s">
        <v>278</v>
      </c>
    </row>
    <row r="36" spans="2:12" x14ac:dyDescent="0.35">
      <c r="C36" t="s">
        <v>279</v>
      </c>
      <c r="D36" t="s">
        <v>297</v>
      </c>
      <c r="E36" s="22" t="s">
        <v>298</v>
      </c>
      <c r="F36" s="20"/>
    </row>
    <row r="37" spans="2:12" x14ac:dyDescent="0.35">
      <c r="B37" t="s">
        <v>280</v>
      </c>
      <c r="C37">
        <v>144.19999999999999</v>
      </c>
      <c r="D37">
        <v>2.8443999999999998</v>
      </c>
      <c r="E37">
        <f>((C39-C37)/(C39+C37))/((D39-D37)/(D39+D37))</f>
        <v>0.31975937464320986</v>
      </c>
      <c r="G37" s="17"/>
    </row>
    <row r="38" spans="2:12" x14ac:dyDescent="0.35">
      <c r="B38" t="s">
        <v>281</v>
      </c>
      <c r="C38">
        <v>136.5</v>
      </c>
      <c r="D38">
        <v>3.4495</v>
      </c>
      <c r="E38">
        <f>((C39-C38)/(C39+C38))/((D39-D38)/(D39+D38))</f>
        <v>1.246122375645043</v>
      </c>
    </row>
    <row r="39" spans="2:12" x14ac:dyDescent="0.35">
      <c r="B39" t="s">
        <v>282</v>
      </c>
      <c r="C39">
        <v>159.5</v>
      </c>
      <c r="D39">
        <v>3.9083000000000001</v>
      </c>
      <c r="F39" s="1">
        <f>AVERAGE(E37:E38)</f>
        <v>0.78294087514412647</v>
      </c>
    </row>
    <row r="40" spans="2:12" x14ac:dyDescent="0.35">
      <c r="E40" s="1"/>
    </row>
    <row r="41" spans="2:12" x14ac:dyDescent="0.35">
      <c r="B41" t="s">
        <v>291</v>
      </c>
      <c r="F41" t="s">
        <v>287</v>
      </c>
      <c r="J41" t="s">
        <v>288</v>
      </c>
    </row>
    <row r="42" spans="2:12" x14ac:dyDescent="0.35">
      <c r="C42" t="s">
        <v>283</v>
      </c>
      <c r="G42" t="s">
        <v>283</v>
      </c>
      <c r="K42" t="s">
        <v>283</v>
      </c>
    </row>
    <row r="43" spans="2:12" x14ac:dyDescent="0.35">
      <c r="B43" t="s">
        <v>284</v>
      </c>
      <c r="C43" t="s">
        <v>285</v>
      </c>
      <c r="D43" t="s">
        <v>286</v>
      </c>
      <c r="F43" t="s">
        <v>284</v>
      </c>
      <c r="G43" t="s">
        <v>285</v>
      </c>
      <c r="H43" t="s">
        <v>286</v>
      </c>
      <c r="J43" t="s">
        <v>284</v>
      </c>
      <c r="K43" t="s">
        <v>285</v>
      </c>
      <c r="L43" t="s">
        <v>286</v>
      </c>
    </row>
    <row r="44" spans="2:12" x14ac:dyDescent="0.35">
      <c r="B44" t="s">
        <v>285</v>
      </c>
      <c r="C44">
        <v>3.5870000000000002</v>
      </c>
      <c r="D44">
        <v>3.085</v>
      </c>
      <c r="F44" t="s">
        <v>285</v>
      </c>
      <c r="G44">
        <v>3.9820000000000002</v>
      </c>
      <c r="H44">
        <v>3.6019999999999999</v>
      </c>
      <c r="J44" t="s">
        <v>285</v>
      </c>
      <c r="K44">
        <v>4.3470000000000004</v>
      </c>
      <c r="L44">
        <v>4.0579999999999998</v>
      </c>
    </row>
    <row r="45" spans="2:12" x14ac:dyDescent="0.35">
      <c r="B45" t="s">
        <v>286</v>
      </c>
      <c r="C45">
        <v>3.4039999999999999</v>
      </c>
      <c r="D45">
        <v>2.8879999999999999</v>
      </c>
      <c r="F45" t="s">
        <v>286</v>
      </c>
      <c r="G45">
        <v>3.8149999999999999</v>
      </c>
      <c r="H45">
        <v>3.4649999999999999</v>
      </c>
      <c r="J45" t="s">
        <v>286</v>
      </c>
      <c r="K45">
        <v>4.1790000000000003</v>
      </c>
      <c r="L45">
        <v>3.9049999999999998</v>
      </c>
    </row>
    <row r="47" spans="2:12" x14ac:dyDescent="0.35">
      <c r="B47" t="s">
        <v>289</v>
      </c>
      <c r="F47" t="s">
        <v>287</v>
      </c>
      <c r="J47" t="s">
        <v>288</v>
      </c>
    </row>
    <row r="48" spans="2:12" x14ac:dyDescent="0.35">
      <c r="C48" t="s">
        <v>283</v>
      </c>
      <c r="G48" t="s">
        <v>283</v>
      </c>
      <c r="K48" t="s">
        <v>283</v>
      </c>
    </row>
    <row r="49" spans="2:13" x14ac:dyDescent="0.35">
      <c r="B49" t="s">
        <v>284</v>
      </c>
      <c r="C49" t="s">
        <v>285</v>
      </c>
      <c r="D49" t="s">
        <v>286</v>
      </c>
      <c r="F49" t="s">
        <v>284</v>
      </c>
      <c r="G49" t="s">
        <v>285</v>
      </c>
      <c r="H49" t="s">
        <v>286</v>
      </c>
      <c r="J49" t="s">
        <v>284</v>
      </c>
      <c r="K49" t="s">
        <v>285</v>
      </c>
      <c r="L49" t="s">
        <v>286</v>
      </c>
    </row>
    <row r="50" spans="2:13" x14ac:dyDescent="0.35">
      <c r="B50" t="s">
        <v>285</v>
      </c>
      <c r="C50">
        <v>149.84</v>
      </c>
      <c r="D50">
        <v>148.63999999999999</v>
      </c>
      <c r="F50" t="s">
        <v>285</v>
      </c>
      <c r="G50">
        <v>149.85</v>
      </c>
      <c r="H50">
        <v>137.76</v>
      </c>
      <c r="J50" t="s">
        <v>285</v>
      </c>
      <c r="K50">
        <v>169.7</v>
      </c>
    </row>
    <row r="51" spans="2:13" x14ac:dyDescent="0.35">
      <c r="B51" t="s">
        <v>286</v>
      </c>
      <c r="C51">
        <v>138.97</v>
      </c>
      <c r="D51">
        <v>142.6</v>
      </c>
      <c r="F51" t="s">
        <v>286</v>
      </c>
      <c r="G51">
        <v>137.76</v>
      </c>
      <c r="H51">
        <v>130.51400000000001</v>
      </c>
      <c r="J51" t="s">
        <v>286</v>
      </c>
      <c r="L51">
        <v>158.79</v>
      </c>
    </row>
    <row r="53" spans="2:13" x14ac:dyDescent="0.35">
      <c r="B53" t="s">
        <v>290</v>
      </c>
      <c r="F53" t="s">
        <v>287</v>
      </c>
      <c r="J53" t="s">
        <v>288</v>
      </c>
    </row>
    <row r="54" spans="2:13" x14ac:dyDescent="0.35">
      <c r="B54">
        <f>((C50-D51)/(D51))/((C44-D45)/(D45))</f>
        <v>0.20976791128179526</v>
      </c>
      <c r="F54">
        <f>((G50-H51)/(H51))/((G44-H45)/(H45))</f>
        <v>0.99293823210944188</v>
      </c>
      <c r="J54">
        <f>((K50-L51)/(L51))/((K44-L45)/(L45))</f>
        <v>0.60701632452890952</v>
      </c>
    </row>
    <row r="55" spans="2:13" x14ac:dyDescent="0.35">
      <c r="B55" t="s">
        <v>293</v>
      </c>
    </row>
    <row r="56" spans="2:13" x14ac:dyDescent="0.35">
      <c r="B56" s="1">
        <f>AVERAGE(B54,F54,J54)</f>
        <v>0.60324082264004886</v>
      </c>
    </row>
    <row r="58" spans="2:13" x14ac:dyDescent="0.35">
      <c r="B58" s="1" t="s">
        <v>294</v>
      </c>
    </row>
    <row r="59" spans="2:13" x14ac:dyDescent="0.35">
      <c r="B59" s="17" t="s">
        <v>295</v>
      </c>
    </row>
    <row r="60" spans="2:13" x14ac:dyDescent="0.35">
      <c r="B60" s="17" t="s">
        <v>296</v>
      </c>
    </row>
    <row r="61" spans="2:13" x14ac:dyDescent="0.35">
      <c r="M61">
        <f>75+40+35</f>
        <v>150</v>
      </c>
    </row>
    <row r="62" spans="2:13" x14ac:dyDescent="0.35">
      <c r="B62" s="1" t="s">
        <v>299</v>
      </c>
      <c r="M62">
        <f>M61*4.16</f>
        <v>624</v>
      </c>
    </row>
    <row r="63" spans="2:13" x14ac:dyDescent="0.35">
      <c r="B63" s="21">
        <f>AVERAGE(B56,F39)</f>
        <v>0.69309084889208772</v>
      </c>
    </row>
    <row r="67" spans="1:9" x14ac:dyDescent="0.35">
      <c r="A67" s="19" t="s">
        <v>300</v>
      </c>
      <c r="B67" s="18"/>
      <c r="C67" s="18"/>
      <c r="D67" s="18"/>
      <c r="E67" s="18"/>
      <c r="F67" s="18"/>
      <c r="G67" s="18"/>
      <c r="H67" s="18"/>
      <c r="I67" s="18"/>
    </row>
    <row r="68" spans="1:9" x14ac:dyDescent="0.35">
      <c r="A68" t="s">
        <v>306</v>
      </c>
    </row>
    <row r="70" spans="1:9" x14ac:dyDescent="0.35">
      <c r="B70" t="s">
        <v>302</v>
      </c>
      <c r="C70" t="s">
        <v>301</v>
      </c>
      <c r="E70" s="1" t="s">
        <v>303</v>
      </c>
    </row>
    <row r="71" spans="1:9" x14ac:dyDescent="0.35">
      <c r="B71">
        <v>4.59475218658892</v>
      </c>
      <c r="C71">
        <v>0.61180308422301299</v>
      </c>
    </row>
    <row r="72" spans="1:9" x14ac:dyDescent="0.35">
      <c r="B72">
        <v>4.5510204081632599</v>
      </c>
      <c r="C72">
        <v>0.54122182680901498</v>
      </c>
      <c r="E72">
        <f>((C71-C72)/(C72))/((B71-B72)/(B72))</f>
        <v>13.571433789953121</v>
      </c>
      <c r="G72" s="1"/>
    </row>
    <row r="73" spans="1:9" x14ac:dyDescent="0.35">
      <c r="B73">
        <v>4.5014577259475201</v>
      </c>
      <c r="C73">
        <v>0.49928825622775802</v>
      </c>
      <c r="E73">
        <f t="shared" ref="E73:E91" si="0">((C72-C73)/(C73))/((B72-B73)/(B73))</f>
        <v>7.6279680796058047</v>
      </c>
      <c r="G73" s="21"/>
    </row>
    <row r="74" spans="1:9" x14ac:dyDescent="0.35">
      <c r="B74">
        <v>4.4504373177842496</v>
      </c>
      <c r="C74">
        <v>0.46981020166073501</v>
      </c>
      <c r="E74">
        <f t="shared" si="0"/>
        <v>5.473122080544905</v>
      </c>
    </row>
    <row r="75" spans="1:9" x14ac:dyDescent="0.35">
      <c r="B75">
        <v>4.4008746355685098</v>
      </c>
      <c r="C75">
        <v>0.44365361803084202</v>
      </c>
      <c r="E75">
        <f t="shared" si="0"/>
        <v>5.2350542623469831</v>
      </c>
    </row>
    <row r="76" spans="1:9" x14ac:dyDescent="0.35">
      <c r="B76">
        <v>4.3498542274052401</v>
      </c>
      <c r="C76">
        <v>0.41791221826809</v>
      </c>
      <c r="E76">
        <f t="shared" si="0"/>
        <v>5.251433437410828</v>
      </c>
    </row>
    <row r="77" spans="1:9" x14ac:dyDescent="0.35">
      <c r="B77">
        <v>4.3002915451895003</v>
      </c>
      <c r="C77">
        <v>0.40005931198102002</v>
      </c>
      <c r="E77">
        <f t="shared" si="0"/>
        <v>3.8719312780711839</v>
      </c>
    </row>
    <row r="78" spans="1:9" x14ac:dyDescent="0.35">
      <c r="B78">
        <v>4.2507288629737596</v>
      </c>
      <c r="C78">
        <v>0.39051008303677298</v>
      </c>
      <c r="E78">
        <f t="shared" si="0"/>
        <v>2.0972232149240635</v>
      </c>
    </row>
    <row r="79" spans="1:9" x14ac:dyDescent="0.35">
      <c r="B79">
        <v>4.2011661807580101</v>
      </c>
      <c r="C79">
        <v>0.38179122182680902</v>
      </c>
      <c r="E79">
        <f t="shared" si="0"/>
        <v>1.935748293413651</v>
      </c>
    </row>
    <row r="80" spans="1:9" x14ac:dyDescent="0.35">
      <c r="B80">
        <v>4.1516034985422703</v>
      </c>
      <c r="C80">
        <v>0.374733096085409</v>
      </c>
      <c r="E80">
        <f t="shared" si="0"/>
        <v>1.5777144666035297</v>
      </c>
    </row>
    <row r="81" spans="2:8" x14ac:dyDescent="0.35">
      <c r="B81">
        <v>4.1005830903789997</v>
      </c>
      <c r="C81">
        <v>0.36933570581257402</v>
      </c>
      <c r="E81">
        <f t="shared" si="0"/>
        <v>1.1745302713985946</v>
      </c>
    </row>
    <row r="82" spans="2:8" x14ac:dyDescent="0.35">
      <c r="B82">
        <v>4.0510204081632599</v>
      </c>
      <c r="C82">
        <v>0.36476868327402101</v>
      </c>
      <c r="E82">
        <f t="shared" si="0"/>
        <v>1.0233524629365194</v>
      </c>
    </row>
    <row r="83" spans="2:8" x14ac:dyDescent="0.35">
      <c r="B83">
        <v>4</v>
      </c>
      <c r="C83">
        <v>0.35895610913404502</v>
      </c>
      <c r="E83">
        <f t="shared" si="0"/>
        <v>1.2695307336418431</v>
      </c>
    </row>
    <row r="84" spans="2:8" x14ac:dyDescent="0.35">
      <c r="B84">
        <v>3.95043731778425</v>
      </c>
      <c r="C84">
        <v>0.35314353499406798</v>
      </c>
      <c r="E84">
        <f t="shared" si="0"/>
        <v>1.3119208045999733</v>
      </c>
    </row>
    <row r="85" spans="2:8" x14ac:dyDescent="0.35">
      <c r="B85">
        <v>3.8994169096209901</v>
      </c>
      <c r="C85">
        <v>0.347746144721233</v>
      </c>
      <c r="E85">
        <f t="shared" si="0"/>
        <v>1.186252771618723</v>
      </c>
    </row>
    <row r="86" spans="2:8" x14ac:dyDescent="0.35">
      <c r="B86">
        <v>3.8498542274052401</v>
      </c>
      <c r="C86">
        <v>0.34442467378410402</v>
      </c>
      <c r="E86">
        <f t="shared" si="0"/>
        <v>0.74907565919410624</v>
      </c>
    </row>
    <row r="87" spans="2:8" x14ac:dyDescent="0.35">
      <c r="B87">
        <v>3.8002915451894999</v>
      </c>
      <c r="C87">
        <v>0.34193357058125701</v>
      </c>
      <c r="E87">
        <f t="shared" si="0"/>
        <v>0.55861435641043156</v>
      </c>
    </row>
    <row r="88" spans="2:8" x14ac:dyDescent="0.35">
      <c r="B88">
        <v>3.7580174927113701</v>
      </c>
      <c r="C88">
        <v>0.33985765124555101</v>
      </c>
      <c r="E88">
        <f t="shared" si="0"/>
        <v>0.54299813444073886</v>
      </c>
    </row>
    <row r="89" spans="2:8" x14ac:dyDescent="0.35">
      <c r="B89">
        <v>3.6997084548104899</v>
      </c>
      <c r="C89">
        <v>0.33861209964412797</v>
      </c>
      <c r="E89">
        <f t="shared" si="0"/>
        <v>0.2333946400419315</v>
      </c>
    </row>
    <row r="90" spans="2:8" x14ac:dyDescent="0.35">
      <c r="B90">
        <v>3.6501457725947501</v>
      </c>
      <c r="C90">
        <v>0.33819691577698602</v>
      </c>
      <c r="E90">
        <f t="shared" si="0"/>
        <v>9.0412032929801656E-2</v>
      </c>
    </row>
    <row r="91" spans="2:8" x14ac:dyDescent="0.35">
      <c r="B91">
        <v>3.5801749271137</v>
      </c>
      <c r="C91">
        <v>0.33778173190984501</v>
      </c>
      <c r="E91">
        <f t="shared" si="0"/>
        <v>6.2891425226783801E-2</v>
      </c>
    </row>
    <row r="92" spans="2:8" x14ac:dyDescent="0.35">
      <c r="E92" s="1">
        <f>AVERAGE(E73:E91)</f>
        <v>2.1722720213347571</v>
      </c>
      <c r="F92" t="s">
        <v>304</v>
      </c>
      <c r="H92" s="20"/>
    </row>
    <row r="93" spans="2:8" x14ac:dyDescent="0.35">
      <c r="E93" s="1">
        <f>((C71-C91)/(C71+C91))/((B71-B91)/(B71+B91))</f>
        <v>2.3251416140774124</v>
      </c>
      <c r="F93" t="s">
        <v>305</v>
      </c>
    </row>
    <row r="94" spans="2:8" x14ac:dyDescent="0.35">
      <c r="E94" s="1"/>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1C56E-59CC-41D7-BD37-B8D3833EEA91}">
  <dimension ref="B2:G36"/>
  <sheetViews>
    <sheetView zoomScaleNormal="100" workbookViewId="0">
      <selection activeCell="E6" sqref="A5:E6"/>
    </sheetView>
  </sheetViews>
  <sheetFormatPr defaultRowHeight="14.5" x14ac:dyDescent="0.35"/>
  <cols>
    <col min="3" max="3" width="23.81640625" bestFit="1" customWidth="1"/>
    <col min="4" max="6" width="14.54296875" bestFit="1" customWidth="1"/>
    <col min="7" max="7" width="27.453125" bestFit="1" customWidth="1"/>
  </cols>
  <sheetData>
    <row r="2" spans="2:7" x14ac:dyDescent="0.35">
      <c r="B2" t="s">
        <v>358</v>
      </c>
    </row>
    <row r="3" spans="2:7" x14ac:dyDescent="0.35">
      <c r="D3" t="s">
        <v>357</v>
      </c>
    </row>
    <row r="4" spans="2:7" x14ac:dyDescent="0.35">
      <c r="B4" t="s">
        <v>342</v>
      </c>
      <c r="C4" t="s">
        <v>343</v>
      </c>
      <c r="D4" t="s">
        <v>344</v>
      </c>
      <c r="E4" t="s">
        <v>345</v>
      </c>
      <c r="F4" t="s">
        <v>346</v>
      </c>
      <c r="G4" t="s">
        <v>347</v>
      </c>
    </row>
    <row r="5" spans="2:7" x14ac:dyDescent="0.35">
      <c r="B5" t="s">
        <v>348</v>
      </c>
      <c r="C5" t="s">
        <v>138</v>
      </c>
      <c r="D5">
        <v>2.98</v>
      </c>
      <c r="E5">
        <v>5.21</v>
      </c>
      <c r="F5">
        <v>8.39</v>
      </c>
      <c r="G5">
        <v>1.33</v>
      </c>
    </row>
    <row r="6" spans="2:7" x14ac:dyDescent="0.35">
      <c r="B6" t="s">
        <v>172</v>
      </c>
      <c r="C6" t="s">
        <v>349</v>
      </c>
      <c r="D6">
        <v>2.98</v>
      </c>
      <c r="E6">
        <v>5.91</v>
      </c>
      <c r="F6">
        <v>9.26</v>
      </c>
      <c r="G6">
        <v>1.33</v>
      </c>
    </row>
    <row r="7" spans="2:7" x14ac:dyDescent="0.35">
      <c r="B7" t="s">
        <v>90</v>
      </c>
      <c r="C7" t="s">
        <v>350</v>
      </c>
      <c r="D7">
        <v>3.18</v>
      </c>
      <c r="E7">
        <v>6.48</v>
      </c>
      <c r="F7">
        <v>10.6</v>
      </c>
      <c r="G7">
        <v>1.44</v>
      </c>
    </row>
    <row r="8" spans="2:7" x14ac:dyDescent="0.35">
      <c r="B8" t="s">
        <v>91</v>
      </c>
      <c r="C8" t="s">
        <v>351</v>
      </c>
      <c r="D8">
        <v>6.14</v>
      </c>
      <c r="E8">
        <v>10.1</v>
      </c>
      <c r="F8">
        <v>14.2</v>
      </c>
      <c r="G8">
        <v>2.17</v>
      </c>
    </row>
    <row r="9" spans="2:7" x14ac:dyDescent="0.35">
      <c r="B9" t="s">
        <v>92</v>
      </c>
      <c r="C9" t="s">
        <v>352</v>
      </c>
      <c r="D9">
        <v>12.2</v>
      </c>
      <c r="E9">
        <v>17.3</v>
      </c>
      <c r="F9">
        <v>21.5</v>
      </c>
      <c r="G9">
        <v>3.65</v>
      </c>
    </row>
    <row r="10" spans="2:7" x14ac:dyDescent="0.35">
      <c r="B10" t="s">
        <v>353</v>
      </c>
      <c r="C10" t="s">
        <v>354</v>
      </c>
      <c r="D10">
        <v>20</v>
      </c>
      <c r="E10">
        <v>25.2</v>
      </c>
      <c r="F10">
        <v>27.2</v>
      </c>
      <c r="G10">
        <v>5.87</v>
      </c>
    </row>
    <row r="11" spans="2:7" x14ac:dyDescent="0.35">
      <c r="B11" t="s">
        <v>355</v>
      </c>
      <c r="C11" t="s">
        <v>356</v>
      </c>
      <c r="D11">
        <v>24.3</v>
      </c>
      <c r="E11">
        <v>29.8</v>
      </c>
      <c r="F11">
        <v>30.8</v>
      </c>
      <c r="G11">
        <v>7.02</v>
      </c>
    </row>
    <row r="14" spans="2:7" x14ac:dyDescent="0.35">
      <c r="B14" s="27"/>
    </row>
    <row r="15" spans="2:7" x14ac:dyDescent="0.35">
      <c r="B15" t="s">
        <v>359</v>
      </c>
    </row>
    <row r="17" spans="2:7" x14ac:dyDescent="0.35">
      <c r="B17" t="s">
        <v>360</v>
      </c>
      <c r="C17" t="s">
        <v>343</v>
      </c>
      <c r="D17" t="s">
        <v>368</v>
      </c>
      <c r="E17" t="s">
        <v>369</v>
      </c>
      <c r="F17" t="s">
        <v>370</v>
      </c>
      <c r="G17" t="s">
        <v>371</v>
      </c>
    </row>
    <row r="18" spans="2:7" x14ac:dyDescent="0.35">
      <c r="B18" t="s">
        <v>361</v>
      </c>
      <c r="C18" t="s">
        <v>138</v>
      </c>
      <c r="D18" s="5">
        <v>111.11</v>
      </c>
      <c r="E18" s="5">
        <v>274.95</v>
      </c>
      <c r="F18" s="5">
        <v>429.63</v>
      </c>
      <c r="G18" s="5">
        <v>62.88</v>
      </c>
    </row>
    <row r="19" spans="2:7" x14ac:dyDescent="0.35">
      <c r="B19" t="s">
        <v>362</v>
      </c>
      <c r="C19" t="s">
        <v>349</v>
      </c>
      <c r="D19" s="5">
        <v>111.11</v>
      </c>
      <c r="E19" s="5">
        <v>212.86</v>
      </c>
      <c r="F19" s="5">
        <v>366.35</v>
      </c>
      <c r="G19" s="5">
        <v>62.88</v>
      </c>
    </row>
    <row r="20" spans="2:7" x14ac:dyDescent="0.35">
      <c r="B20" t="s">
        <v>363</v>
      </c>
      <c r="C20" t="s">
        <v>350</v>
      </c>
      <c r="D20" s="5">
        <v>129.29</v>
      </c>
      <c r="E20" s="5">
        <v>231.12</v>
      </c>
      <c r="F20" s="5">
        <v>393.16</v>
      </c>
      <c r="G20" s="5">
        <v>90.44</v>
      </c>
    </row>
    <row r="21" spans="2:7" x14ac:dyDescent="0.35">
      <c r="B21" t="s">
        <v>364</v>
      </c>
      <c r="C21" t="s">
        <v>351</v>
      </c>
      <c r="D21" s="5">
        <v>129.29</v>
      </c>
      <c r="E21" s="5">
        <v>231.12</v>
      </c>
      <c r="F21" s="5">
        <v>393.16</v>
      </c>
      <c r="G21" s="5">
        <v>90.44</v>
      </c>
    </row>
    <row r="22" spans="2:7" x14ac:dyDescent="0.35">
      <c r="B22" t="s">
        <v>365</v>
      </c>
      <c r="C22" t="s">
        <v>352</v>
      </c>
      <c r="D22" s="5">
        <v>129.29</v>
      </c>
      <c r="E22" s="5">
        <v>231.12</v>
      </c>
      <c r="F22" s="5">
        <v>393.16</v>
      </c>
      <c r="G22" s="5">
        <v>90.44</v>
      </c>
    </row>
    <row r="23" spans="2:7" x14ac:dyDescent="0.35">
      <c r="B23" t="s">
        <v>366</v>
      </c>
      <c r="C23" t="s">
        <v>354</v>
      </c>
      <c r="D23" s="5">
        <v>129.29</v>
      </c>
      <c r="E23" s="5">
        <v>231.12</v>
      </c>
      <c r="F23" s="5">
        <v>393.16</v>
      </c>
      <c r="G23" s="5">
        <v>90.44</v>
      </c>
    </row>
    <row r="24" spans="2:7" x14ac:dyDescent="0.35">
      <c r="B24" t="s">
        <v>367</v>
      </c>
      <c r="C24" t="s">
        <v>356</v>
      </c>
      <c r="D24" s="5">
        <v>159.99</v>
      </c>
      <c r="E24" s="5">
        <v>264.57</v>
      </c>
      <c r="F24" s="5">
        <v>433.88</v>
      </c>
      <c r="G24" s="5">
        <v>116.11</v>
      </c>
    </row>
    <row r="26" spans="2:7" x14ac:dyDescent="0.35">
      <c r="B26" t="s">
        <v>372</v>
      </c>
    </row>
    <row r="27" spans="2:7" x14ac:dyDescent="0.35">
      <c r="B27" t="s">
        <v>360</v>
      </c>
      <c r="C27" t="s">
        <v>343</v>
      </c>
      <c r="D27" t="s">
        <v>368</v>
      </c>
      <c r="E27" t="s">
        <v>369</v>
      </c>
      <c r="F27" t="s">
        <v>370</v>
      </c>
      <c r="G27" t="s">
        <v>371</v>
      </c>
    </row>
    <row r="28" spans="2:7" x14ac:dyDescent="0.35">
      <c r="B28" t="s">
        <v>361</v>
      </c>
      <c r="C28" t="s">
        <v>138</v>
      </c>
      <c r="D28" s="5"/>
      <c r="E28" s="5"/>
      <c r="F28" s="5"/>
      <c r="G28" s="5"/>
    </row>
    <row r="29" spans="2:7" x14ac:dyDescent="0.35">
      <c r="B29" t="s">
        <v>362</v>
      </c>
      <c r="C29" t="s">
        <v>349</v>
      </c>
      <c r="D29" t="e">
        <f>((D19-D$18)/(D19+D$18))/((D6-D$5)/(D6+D$5))</f>
        <v>#DIV/0!</v>
      </c>
      <c r="E29" s="26">
        <f t="shared" ref="E29:F29" si="0">((E19-E$18)/(E$18))/((E6-E$5)/(E$5))</f>
        <v>-1.6807674122567731</v>
      </c>
      <c r="F29" s="26">
        <f t="shared" si="0"/>
        <v>-1.4204128064217787</v>
      </c>
      <c r="G29" t="e">
        <f t="shared" ref="G29" si="1">((G19-G$18)/(G19+G$18))/((G6-G$5)/(G6+G$5))</f>
        <v>#DIV/0!</v>
      </c>
    </row>
    <row r="30" spans="2:7" x14ac:dyDescent="0.35">
      <c r="B30" t="s">
        <v>363</v>
      </c>
      <c r="C30" t="s">
        <v>350</v>
      </c>
      <c r="D30" s="26">
        <f>((D20-D$18)/(D$18))/((D7-D$5)/(D$5))</f>
        <v>2.4379623796237935</v>
      </c>
      <c r="E30" s="26">
        <f t="shared" ref="E30:G30" si="2">((E20-E$18)/(E$18))/((E7-E$5)/(E$5))</f>
        <v>-0.653960849001894</v>
      </c>
      <c r="F30" s="26">
        <f t="shared" si="2"/>
        <v>-0.32226330074820764</v>
      </c>
      <c r="G30" s="26">
        <f t="shared" si="2"/>
        <v>5.2993869997686849</v>
      </c>
    </row>
    <row r="31" spans="2:7" x14ac:dyDescent="0.35">
      <c r="B31" t="s">
        <v>364</v>
      </c>
      <c r="C31" t="s">
        <v>351</v>
      </c>
      <c r="D31" s="26">
        <f t="shared" ref="D31:G31" si="3">((D21-D$18)/(D$18))/((D8-D$5)/(D$5))</f>
        <v>0.15430141643188583</v>
      </c>
      <c r="E31" s="26">
        <f t="shared" si="3"/>
        <v>-0.16984259268556354</v>
      </c>
      <c r="F31" s="26">
        <f t="shared" si="3"/>
        <v>-0.12258208169596191</v>
      </c>
      <c r="G31" s="26">
        <f t="shared" si="3"/>
        <v>0.69396734520780323</v>
      </c>
    </row>
    <row r="32" spans="2:7" x14ac:dyDescent="0.35">
      <c r="B32" t="s">
        <v>365</v>
      </c>
      <c r="C32" t="s">
        <v>352</v>
      </c>
      <c r="D32" s="26">
        <f t="shared" ref="D32:G32" si="4">((D22-D$18)/(D$18))/((D9-D$5)/(D$5))</f>
        <v>5.2884216477739603E-2</v>
      </c>
      <c r="E32" s="26">
        <f t="shared" si="4"/>
        <v>-6.8695639225178309E-2</v>
      </c>
      <c r="F32" s="26">
        <f t="shared" si="4"/>
        <v>-5.432508731148273E-2</v>
      </c>
      <c r="G32" s="26">
        <f t="shared" si="4"/>
        <v>0.25126403878213566</v>
      </c>
    </row>
    <row r="33" spans="2:7" x14ac:dyDescent="0.35">
      <c r="B33" t="s">
        <v>366</v>
      </c>
      <c r="C33" t="s">
        <v>354</v>
      </c>
      <c r="D33" s="26">
        <f t="shared" ref="D33:G33" si="5">((D23-D$18)/(D$18))/((D10-D$5)/(D$5))</f>
        <v>2.8648206576072803E-2</v>
      </c>
      <c r="E33" s="26">
        <f t="shared" si="5"/>
        <v>-4.1547287555397987E-2</v>
      </c>
      <c r="F33" s="26">
        <f t="shared" si="5"/>
        <v>-3.7862939641336447E-2</v>
      </c>
      <c r="G33" s="26">
        <f t="shared" si="5"/>
        <v>0.12839924448778736</v>
      </c>
    </row>
    <row r="34" spans="2:7" x14ac:dyDescent="0.35">
      <c r="B34" t="s">
        <v>367</v>
      </c>
      <c r="C34" t="s">
        <v>356</v>
      </c>
      <c r="D34" s="26">
        <f t="shared" ref="D34:G34" si="6">((D24-D$18)/(D$18))/((D11-D$5)/(D$5))</f>
        <v>6.1490371001270992E-2</v>
      </c>
      <c r="E34" s="26">
        <f t="shared" si="6"/>
        <v>-7.9987629086467026E-3</v>
      </c>
      <c r="F34" s="26">
        <f t="shared" si="6"/>
        <v>3.7035177877858712E-3</v>
      </c>
      <c r="G34" s="26">
        <f t="shared" si="6"/>
        <v>0.19787152810385616</v>
      </c>
    </row>
    <row r="36" spans="2:7" x14ac:dyDescent="0.35">
      <c r="D36" s="28">
        <f>AVERAGE(D30:D34,G30:G34)</f>
        <v>0.93061757464610295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80A1E-9380-4D67-8452-F9501E3A0DC6}">
  <dimension ref="A2:J19"/>
  <sheetViews>
    <sheetView zoomScale="69" workbookViewId="0">
      <selection activeCell="A3" sqref="A3"/>
    </sheetView>
  </sheetViews>
  <sheetFormatPr defaultRowHeight="14.5" x14ac:dyDescent="0.35"/>
  <cols>
    <col min="2" max="2" width="29.1796875" customWidth="1"/>
    <col min="3" max="3" width="14.453125" bestFit="1" customWidth="1"/>
  </cols>
  <sheetData>
    <row r="2" spans="1:10" x14ac:dyDescent="0.35">
      <c r="B2" t="s">
        <v>408</v>
      </c>
    </row>
    <row r="3" spans="1:10" x14ac:dyDescent="0.35">
      <c r="A3" t="s">
        <v>408</v>
      </c>
    </row>
    <row r="4" spans="1:10" x14ac:dyDescent="0.35">
      <c r="B4" t="s">
        <v>409</v>
      </c>
    </row>
    <row r="5" spans="1:10" x14ac:dyDescent="0.35">
      <c r="C5" t="s">
        <v>415</v>
      </c>
      <c r="D5" t="s">
        <v>378</v>
      </c>
      <c r="E5" t="s">
        <v>416</v>
      </c>
      <c r="F5" t="s">
        <v>421</v>
      </c>
      <c r="G5" t="s">
        <v>422</v>
      </c>
      <c r="H5" t="s">
        <v>424</v>
      </c>
    </row>
    <row r="6" spans="1:10" x14ac:dyDescent="0.35">
      <c r="B6" t="s">
        <v>410</v>
      </c>
      <c r="C6">
        <v>18</v>
      </c>
      <c r="D6" s="12">
        <v>0.66</v>
      </c>
      <c r="E6" t="s">
        <v>417</v>
      </c>
      <c r="F6">
        <v>3000</v>
      </c>
      <c r="G6">
        <v>1500</v>
      </c>
      <c r="H6">
        <f t="shared" ref="H6:H10" si="0">SUM(F6:G6)</f>
        <v>4500</v>
      </c>
    </row>
    <row r="7" spans="1:10" x14ac:dyDescent="0.35">
      <c r="B7" t="s">
        <v>411</v>
      </c>
      <c r="C7">
        <v>20</v>
      </c>
      <c r="D7" s="12">
        <v>0.88</v>
      </c>
      <c r="E7" t="s">
        <v>417</v>
      </c>
      <c r="F7">
        <v>5000</v>
      </c>
      <c r="G7">
        <v>1500</v>
      </c>
      <c r="H7">
        <f t="shared" si="0"/>
        <v>6500</v>
      </c>
    </row>
    <row r="8" spans="1:10" x14ac:dyDescent="0.35">
      <c r="B8" t="s">
        <v>412</v>
      </c>
      <c r="C8">
        <v>25</v>
      </c>
      <c r="D8" s="12">
        <v>0.82</v>
      </c>
      <c r="E8" t="s">
        <v>418</v>
      </c>
      <c r="F8">
        <v>4000</v>
      </c>
      <c r="G8">
        <v>1500</v>
      </c>
      <c r="H8">
        <f t="shared" si="0"/>
        <v>5500</v>
      </c>
    </row>
    <row r="9" spans="1:10" x14ac:dyDescent="0.35">
      <c r="B9" t="s">
        <v>413</v>
      </c>
      <c r="C9">
        <v>25</v>
      </c>
      <c r="D9" s="12">
        <v>0.88</v>
      </c>
      <c r="E9" t="s">
        <v>419</v>
      </c>
      <c r="F9">
        <v>6000</v>
      </c>
      <c r="G9">
        <v>2000</v>
      </c>
      <c r="H9">
        <f t="shared" si="0"/>
        <v>8000</v>
      </c>
    </row>
    <row r="10" spans="1:10" x14ac:dyDescent="0.35">
      <c r="B10" t="s">
        <v>414</v>
      </c>
      <c r="C10">
        <v>160</v>
      </c>
      <c r="D10" s="12">
        <v>0.88</v>
      </c>
      <c r="E10" t="s">
        <v>420</v>
      </c>
      <c r="F10">
        <v>30000</v>
      </c>
      <c r="G10">
        <v>3500</v>
      </c>
      <c r="H10">
        <f t="shared" si="0"/>
        <v>33500</v>
      </c>
    </row>
    <row r="12" spans="1:10" x14ac:dyDescent="0.35">
      <c r="B12" t="s">
        <v>423</v>
      </c>
    </row>
    <row r="13" spans="1:10" x14ac:dyDescent="0.35">
      <c r="C13" t="s">
        <v>415</v>
      </c>
      <c r="D13" t="s">
        <v>378</v>
      </c>
      <c r="E13" t="s">
        <v>416</v>
      </c>
      <c r="F13" t="s">
        <v>421</v>
      </c>
      <c r="G13" t="s">
        <v>422</v>
      </c>
      <c r="H13" t="s">
        <v>424</v>
      </c>
      <c r="J13" t="s">
        <v>318</v>
      </c>
    </row>
    <row r="14" spans="1:10" x14ac:dyDescent="0.35">
      <c r="B14" t="s">
        <v>410</v>
      </c>
      <c r="C14">
        <v>18</v>
      </c>
      <c r="D14" s="12">
        <v>0.91</v>
      </c>
      <c r="E14" t="s">
        <v>417</v>
      </c>
      <c r="F14">
        <v>6305</v>
      </c>
      <c r="G14">
        <v>1500</v>
      </c>
      <c r="H14">
        <f>SUM(F14:G14)</f>
        <v>7805</v>
      </c>
      <c r="J14">
        <f>((H14-$H6)/$H6)/((D14-$D6)/$D6)</f>
        <v>1.9389333333333334</v>
      </c>
    </row>
    <row r="15" spans="1:10" x14ac:dyDescent="0.35">
      <c r="B15" t="s">
        <v>411</v>
      </c>
      <c r="C15">
        <v>20</v>
      </c>
      <c r="D15" s="12">
        <v>0.91</v>
      </c>
      <c r="E15" t="s">
        <v>417</v>
      </c>
      <c r="F15">
        <v>6305</v>
      </c>
      <c r="G15">
        <v>1500</v>
      </c>
      <c r="H15">
        <f t="shared" ref="H15:H18" si="1">SUM(F15:G15)</f>
        <v>7805</v>
      </c>
      <c r="J15">
        <f t="shared" ref="J15:J18" si="2">((H15-$H7)/$H7)/((D15-$D7)/$D7)</f>
        <v>5.8892307692307631</v>
      </c>
    </row>
    <row r="16" spans="1:10" x14ac:dyDescent="0.35">
      <c r="B16" t="s">
        <v>412</v>
      </c>
      <c r="C16">
        <v>25</v>
      </c>
      <c r="D16" s="12">
        <v>0.88</v>
      </c>
      <c r="E16" t="s">
        <v>418</v>
      </c>
      <c r="F16">
        <v>4000</v>
      </c>
      <c r="G16">
        <v>1500</v>
      </c>
      <c r="H16">
        <f t="shared" si="1"/>
        <v>5500</v>
      </c>
      <c r="J16">
        <f t="shared" si="2"/>
        <v>0</v>
      </c>
    </row>
    <row r="17" spans="2:10" x14ac:dyDescent="0.35">
      <c r="B17" t="s">
        <v>413</v>
      </c>
      <c r="C17">
        <v>25</v>
      </c>
      <c r="D17" s="12">
        <v>0.93</v>
      </c>
      <c r="E17" t="s">
        <v>419</v>
      </c>
      <c r="F17">
        <v>6990</v>
      </c>
      <c r="G17">
        <v>2000</v>
      </c>
      <c r="H17">
        <f t="shared" si="1"/>
        <v>8990</v>
      </c>
      <c r="J17">
        <f t="shared" si="2"/>
        <v>2.1779999999999977</v>
      </c>
    </row>
    <row r="18" spans="2:10" x14ac:dyDescent="0.35">
      <c r="B18" t="s">
        <v>414</v>
      </c>
      <c r="C18">
        <v>160</v>
      </c>
      <c r="D18" s="12">
        <v>0.92</v>
      </c>
      <c r="E18" t="s">
        <v>420</v>
      </c>
      <c r="F18">
        <v>35000</v>
      </c>
      <c r="G18">
        <v>3500</v>
      </c>
      <c r="H18">
        <f t="shared" si="1"/>
        <v>38500</v>
      </c>
      <c r="J18">
        <f t="shared" si="2"/>
        <v>3.2835820895522354</v>
      </c>
    </row>
    <row r="19" spans="2:10" x14ac:dyDescent="0.35">
      <c r="J19" s="13">
        <f>AVERAGE(J14:J18)</f>
        <v>2.6579492384232659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718AA-AC7D-4D9E-9BAB-C38A4CE85A96}">
  <dimension ref="A1:W63"/>
  <sheetViews>
    <sheetView topLeftCell="A19" zoomScale="72" workbookViewId="0">
      <selection activeCell="G63" sqref="G63"/>
    </sheetView>
  </sheetViews>
  <sheetFormatPr defaultRowHeight="14.5" x14ac:dyDescent="0.35"/>
  <cols>
    <col min="2" max="2" width="15.1796875" bestFit="1" customWidth="1"/>
    <col min="3" max="3" width="9.1796875" customWidth="1"/>
    <col min="4" max="7" width="12" bestFit="1" customWidth="1"/>
    <col min="8" max="9" width="10.54296875" customWidth="1"/>
    <col min="10" max="11" width="12.1796875" bestFit="1" customWidth="1"/>
    <col min="12" max="12" width="12" bestFit="1" customWidth="1"/>
    <col min="13" max="13" width="13.26953125" bestFit="1" customWidth="1"/>
    <col min="14" max="14" width="12" bestFit="1" customWidth="1"/>
    <col min="15" max="15" width="15.1796875" bestFit="1" customWidth="1"/>
    <col min="16" max="18" width="9.26953125" bestFit="1" customWidth="1"/>
    <col min="19" max="19" width="12" bestFit="1" customWidth="1"/>
    <col min="20" max="20" width="9.26953125" bestFit="1" customWidth="1"/>
  </cols>
  <sheetData>
    <row r="1" spans="1:23" x14ac:dyDescent="0.35">
      <c r="A1" t="s">
        <v>428</v>
      </c>
      <c r="P1" t="s">
        <v>429</v>
      </c>
    </row>
    <row r="3" spans="1:23" x14ac:dyDescent="0.35">
      <c r="C3" t="s">
        <v>430</v>
      </c>
      <c r="D3" t="s">
        <v>431</v>
      </c>
      <c r="E3" t="s">
        <v>431</v>
      </c>
      <c r="F3" t="s">
        <v>431</v>
      </c>
      <c r="G3" t="s">
        <v>431</v>
      </c>
      <c r="H3" t="s">
        <v>431</v>
      </c>
      <c r="I3" t="s">
        <v>431</v>
      </c>
      <c r="J3" t="s">
        <v>431</v>
      </c>
      <c r="K3" t="s">
        <v>432</v>
      </c>
      <c r="L3" t="s">
        <v>432</v>
      </c>
      <c r="M3" t="s">
        <v>432</v>
      </c>
      <c r="N3" t="s">
        <v>433</v>
      </c>
      <c r="O3" t="s">
        <v>433</v>
      </c>
      <c r="P3" t="s">
        <v>434</v>
      </c>
      <c r="Q3" t="s">
        <v>434</v>
      </c>
      <c r="R3" t="s">
        <v>434</v>
      </c>
      <c r="S3" t="s">
        <v>434</v>
      </c>
      <c r="T3" t="s">
        <v>434</v>
      </c>
    </row>
    <row r="4" spans="1:23" x14ac:dyDescent="0.35">
      <c r="C4" t="s">
        <v>435</v>
      </c>
      <c r="D4" t="s">
        <v>436</v>
      </c>
      <c r="E4" t="s">
        <v>437</v>
      </c>
      <c r="F4" t="s">
        <v>436</v>
      </c>
      <c r="G4" t="s">
        <v>436</v>
      </c>
      <c r="H4" t="s">
        <v>435</v>
      </c>
      <c r="I4" t="s">
        <v>438</v>
      </c>
      <c r="J4" t="s">
        <v>438</v>
      </c>
      <c r="K4" t="s">
        <v>439</v>
      </c>
      <c r="L4" t="s">
        <v>438</v>
      </c>
      <c r="M4" t="s">
        <v>438</v>
      </c>
      <c r="N4" t="s">
        <v>435</v>
      </c>
      <c r="O4" t="s">
        <v>435</v>
      </c>
      <c r="P4" t="s">
        <v>435</v>
      </c>
      <c r="Q4" t="s">
        <v>435</v>
      </c>
      <c r="R4" t="s">
        <v>435</v>
      </c>
      <c r="S4" t="s">
        <v>440</v>
      </c>
      <c r="T4" t="s">
        <v>440</v>
      </c>
    </row>
    <row r="5" spans="1:23" x14ac:dyDescent="0.35">
      <c r="C5" t="s">
        <v>441</v>
      </c>
      <c r="D5" t="s">
        <v>442</v>
      </c>
      <c r="E5" t="s">
        <v>443</v>
      </c>
      <c r="F5" t="s">
        <v>444</v>
      </c>
      <c r="G5" t="s">
        <v>445</v>
      </c>
      <c r="H5" t="s">
        <v>446</v>
      </c>
      <c r="I5" t="s">
        <v>447</v>
      </c>
      <c r="J5" t="s">
        <v>448</v>
      </c>
      <c r="K5" t="s">
        <v>449</v>
      </c>
      <c r="L5" t="s">
        <v>450</v>
      </c>
      <c r="M5" t="s">
        <v>451</v>
      </c>
      <c r="N5" t="s">
        <v>452</v>
      </c>
      <c r="O5" t="s">
        <v>452</v>
      </c>
      <c r="P5" t="s">
        <v>453</v>
      </c>
      <c r="Q5" t="s">
        <v>454</v>
      </c>
      <c r="R5" t="s">
        <v>455</v>
      </c>
      <c r="S5" t="s">
        <v>456</v>
      </c>
      <c r="T5" t="s">
        <v>457</v>
      </c>
    </row>
    <row r="6" spans="1:23" x14ac:dyDescent="0.35">
      <c r="B6" s="29" t="s">
        <v>458</v>
      </c>
      <c r="C6">
        <v>1.3</v>
      </c>
      <c r="D6">
        <v>5.15</v>
      </c>
      <c r="E6">
        <v>7.48</v>
      </c>
      <c r="F6">
        <v>8.3000000000000007</v>
      </c>
      <c r="G6">
        <v>11.84</v>
      </c>
      <c r="H6">
        <f>12.98/4</f>
        <v>3.2450000000000001</v>
      </c>
      <c r="I6">
        <f>124.94/10</f>
        <v>12.494</v>
      </c>
      <c r="J6">
        <f>172.75/25</f>
        <v>6.91</v>
      </c>
      <c r="K6">
        <f>5.21</f>
        <v>5.21</v>
      </c>
      <c r="L6">
        <f>206.09/40</f>
        <v>5.1522500000000004</v>
      </c>
      <c r="M6">
        <f>28.85/6</f>
        <v>4.8083333333333336</v>
      </c>
      <c r="N6">
        <f>16.57/3</f>
        <v>5.5233333333333334</v>
      </c>
      <c r="O6">
        <f>198.86/12/3</f>
        <v>5.52388888888889</v>
      </c>
      <c r="P6">
        <v>15.99</v>
      </c>
      <c r="Q6">
        <v>27.95</v>
      </c>
      <c r="R6">
        <v>39.950000000000003</v>
      </c>
      <c r="S6">
        <v>17</v>
      </c>
      <c r="T6">
        <v>12</v>
      </c>
      <c r="W6" t="s">
        <v>458</v>
      </c>
    </row>
    <row r="7" spans="1:23" x14ac:dyDescent="0.35">
      <c r="B7" s="29" t="s">
        <v>459</v>
      </c>
      <c r="C7">
        <v>40</v>
      </c>
      <c r="D7">
        <v>6.5</v>
      </c>
      <c r="E7">
        <v>7.5</v>
      </c>
      <c r="F7">
        <v>12</v>
      </c>
      <c r="G7">
        <v>15</v>
      </c>
      <c r="H7">
        <v>10</v>
      </c>
      <c r="I7">
        <v>40</v>
      </c>
      <c r="J7">
        <v>11</v>
      </c>
      <c r="K7">
        <v>13</v>
      </c>
      <c r="L7">
        <v>54</v>
      </c>
      <c r="M7">
        <v>32</v>
      </c>
      <c r="N7">
        <v>23</v>
      </c>
      <c r="O7">
        <v>23</v>
      </c>
      <c r="P7">
        <v>100</v>
      </c>
      <c r="Q7">
        <v>1000</v>
      </c>
      <c r="R7">
        <v>1000</v>
      </c>
      <c r="S7">
        <v>70</v>
      </c>
      <c r="T7">
        <v>100</v>
      </c>
    </row>
    <row r="8" spans="1:23" x14ac:dyDescent="0.35">
      <c r="B8" s="29" t="s">
        <v>460</v>
      </c>
      <c r="C8">
        <v>225</v>
      </c>
      <c r="D8">
        <v>520</v>
      </c>
      <c r="E8">
        <v>650</v>
      </c>
      <c r="F8">
        <v>1000</v>
      </c>
      <c r="G8">
        <v>1200</v>
      </c>
      <c r="H8">
        <v>800</v>
      </c>
      <c r="I8">
        <v>5500</v>
      </c>
      <c r="J8">
        <v>1800</v>
      </c>
      <c r="K8">
        <v>800</v>
      </c>
      <c r="L8">
        <v>5000</v>
      </c>
      <c r="M8">
        <v>3050</v>
      </c>
      <c r="N8">
        <v>1600</v>
      </c>
      <c r="O8">
        <v>1600</v>
      </c>
      <c r="P8">
        <v>8500</v>
      </c>
      <c r="Q8">
        <v>110000</v>
      </c>
    </row>
    <row r="9" spans="1:23" x14ac:dyDescent="0.35">
      <c r="B9" s="29" t="s">
        <v>461</v>
      </c>
      <c r="C9">
        <v>2500</v>
      </c>
      <c r="D9">
        <v>25000</v>
      </c>
      <c r="E9">
        <v>25000</v>
      </c>
      <c r="F9">
        <v>25000</v>
      </c>
      <c r="G9">
        <v>25000</v>
      </c>
      <c r="H9">
        <v>15000</v>
      </c>
      <c r="I9">
        <v>50000</v>
      </c>
      <c r="J9">
        <v>50000</v>
      </c>
      <c r="K9">
        <v>12000</v>
      </c>
      <c r="L9">
        <v>24000</v>
      </c>
      <c r="M9">
        <v>24000</v>
      </c>
      <c r="N9">
        <v>12000</v>
      </c>
      <c r="O9">
        <v>12000</v>
      </c>
      <c r="P9">
        <v>15000</v>
      </c>
      <c r="Q9">
        <v>10000</v>
      </c>
      <c r="R9">
        <v>5000</v>
      </c>
      <c r="S9">
        <v>6000</v>
      </c>
    </row>
    <row r="10" spans="1:23" x14ac:dyDescent="0.35">
      <c r="B10" s="29" t="s">
        <v>462</v>
      </c>
      <c r="D10">
        <v>50</v>
      </c>
      <c r="E10">
        <v>65</v>
      </c>
      <c r="F10">
        <v>75</v>
      </c>
      <c r="G10">
        <v>90</v>
      </c>
      <c r="H10">
        <v>60</v>
      </c>
      <c r="I10">
        <v>59</v>
      </c>
      <c r="J10" t="s">
        <v>463</v>
      </c>
      <c r="N10">
        <v>100</v>
      </c>
      <c r="O10">
        <v>100</v>
      </c>
    </row>
    <row r="11" spans="1:23" x14ac:dyDescent="0.35">
      <c r="C11">
        <f>C6/C7</f>
        <v>3.2500000000000001E-2</v>
      </c>
      <c r="D11">
        <f t="shared" ref="D11:T11" si="0">D6/D7</f>
        <v>0.79230769230769238</v>
      </c>
      <c r="E11">
        <f t="shared" si="0"/>
        <v>0.9973333333333334</v>
      </c>
      <c r="F11">
        <f t="shared" si="0"/>
        <v>0.69166666666666676</v>
      </c>
      <c r="G11">
        <f t="shared" si="0"/>
        <v>0.78933333333333333</v>
      </c>
      <c r="H11">
        <f t="shared" si="0"/>
        <v>0.32450000000000001</v>
      </c>
      <c r="I11">
        <f t="shared" si="0"/>
        <v>0.31235000000000002</v>
      </c>
      <c r="J11">
        <f t="shared" si="0"/>
        <v>0.62818181818181817</v>
      </c>
      <c r="K11">
        <f t="shared" si="0"/>
        <v>0.40076923076923077</v>
      </c>
      <c r="L11">
        <f t="shared" si="0"/>
        <v>9.5412037037037045E-2</v>
      </c>
      <c r="M11">
        <f t="shared" si="0"/>
        <v>0.15026041666666667</v>
      </c>
      <c r="N11">
        <f t="shared" si="0"/>
        <v>0.2401449275362319</v>
      </c>
      <c r="O11">
        <f t="shared" si="0"/>
        <v>0.24016908212560392</v>
      </c>
      <c r="P11">
        <f t="shared" si="0"/>
        <v>0.15990000000000001</v>
      </c>
      <c r="Q11">
        <f t="shared" si="0"/>
        <v>2.7949999999999999E-2</v>
      </c>
      <c r="R11">
        <f t="shared" si="0"/>
        <v>3.9949999999999999E-2</v>
      </c>
      <c r="S11">
        <f t="shared" si="0"/>
        <v>0.24285714285714285</v>
      </c>
      <c r="T11">
        <f t="shared" si="0"/>
        <v>0.12</v>
      </c>
    </row>
    <row r="13" spans="1:23" x14ac:dyDescent="0.35">
      <c r="H13" t="s">
        <v>464</v>
      </c>
    </row>
    <row r="14" spans="1:23" x14ac:dyDescent="0.35">
      <c r="C14" t="s">
        <v>458</v>
      </c>
      <c r="D14" t="s">
        <v>466</v>
      </c>
      <c r="E14" t="s">
        <v>465</v>
      </c>
      <c r="F14" t="s">
        <v>459</v>
      </c>
      <c r="H14" t="s">
        <v>467</v>
      </c>
    </row>
    <row r="15" spans="1:23" x14ac:dyDescent="0.35">
      <c r="B15" s="29" t="s">
        <v>430</v>
      </c>
      <c r="C15" s="7">
        <f>AVERAGEIFS($C$6:$T$6,$C$3:$T$3,$B15)</f>
        <v>1.3</v>
      </c>
      <c r="D15" s="23">
        <f>AVERAGEIFS($C$7:$T$7,$C$3:$T$3,$B15)*$O$19/1000*$O$21</f>
        <v>377565.42095238098</v>
      </c>
      <c r="E15" s="23">
        <f>AVERAGEIFS($C$9:$T$9,$C$3:$T$3,$B15)</f>
        <v>2500</v>
      </c>
      <c r="F15" s="23">
        <f>AVERAGEIFS($C$7:$T$7,$C$3:$T$3,$B15)</f>
        <v>40</v>
      </c>
      <c r="G15" s="23"/>
      <c r="H15" t="s">
        <v>431</v>
      </c>
      <c r="I15" s="30">
        <v>0.65200000000000002</v>
      </c>
      <c r="J15" s="23">
        <f>I15*E16</f>
        <v>20025.714285714286</v>
      </c>
      <c r="K15" s="23">
        <f>I15*D16</f>
        <v>89677.181267918349</v>
      </c>
      <c r="L15">
        <f>C16*I15</f>
        <v>5.1618839999999997</v>
      </c>
      <c r="M15">
        <f>I15*F16</f>
        <v>9.500571428571428</v>
      </c>
    </row>
    <row r="16" spans="1:23" x14ac:dyDescent="0.35">
      <c r="B16" s="29" t="s">
        <v>431</v>
      </c>
      <c r="C16" s="7">
        <f t="shared" ref="C16:C19" si="1">AVERAGEIFS($C$6:$T$6,$C$3:$T$3,$B16)</f>
        <v>7.9169999999999998</v>
      </c>
      <c r="D16" s="23">
        <f>AVERAGEIFS($C$7:$T$7,$C$3:$T$3,$B16)*$O$19/1000*$O$21</f>
        <v>137541.68906122446</v>
      </c>
      <c r="E16" s="23">
        <f t="shared" ref="E16:E19" si="2">AVERAGEIFS($C$9:$T$9,$C$3:$T$3,$B16)</f>
        <v>30714.285714285714</v>
      </c>
      <c r="F16" s="23">
        <f t="shared" ref="F16:F19" si="3">AVERAGEIFS($C$7:$T$7,$C$3:$T$3,$B16)</f>
        <v>14.571428571428571</v>
      </c>
      <c r="G16" s="23"/>
      <c r="H16" t="s">
        <v>468</v>
      </c>
      <c r="I16" s="30">
        <v>0.13650000000000001</v>
      </c>
      <c r="J16" s="23">
        <f>I16*E17</f>
        <v>2730</v>
      </c>
      <c r="K16" s="23">
        <f>I16*D17</f>
        <v>42518.585966999999</v>
      </c>
      <c r="L16">
        <f>I16*C17</f>
        <v>0.69026154166666676</v>
      </c>
      <c r="M16">
        <f>I16*F17</f>
        <v>4.5045000000000002</v>
      </c>
      <c r="O16" t="s">
        <v>469</v>
      </c>
    </row>
    <row r="17" spans="2:16" x14ac:dyDescent="0.35">
      <c r="B17" s="29" t="s">
        <v>432</v>
      </c>
      <c r="C17" s="7">
        <f t="shared" si="1"/>
        <v>5.056861111111111</v>
      </c>
      <c r="D17" s="23">
        <f>AVERAGEIFS($C$7:$T$7,$C$3:$T$3,$B17)*$O$19/1000*$O$21</f>
        <v>311491.47228571423</v>
      </c>
      <c r="E17" s="23">
        <f t="shared" si="2"/>
        <v>20000</v>
      </c>
      <c r="F17" s="23">
        <f t="shared" si="3"/>
        <v>33</v>
      </c>
      <c r="G17" s="23"/>
      <c r="H17" t="s">
        <v>470</v>
      </c>
      <c r="I17" s="30">
        <v>0.20050000000000001</v>
      </c>
      <c r="J17" s="23">
        <f>I17*E19</f>
        <v>1804.5</v>
      </c>
      <c r="K17" s="23">
        <f>I17*D19</f>
        <v>859216.18932580936</v>
      </c>
      <c r="L17">
        <f>I17*C19</f>
        <v>4.5268889999999997</v>
      </c>
      <c r="M17">
        <f>I17*F19</f>
        <v>91.027000000000001</v>
      </c>
      <c r="O17">
        <v>9</v>
      </c>
      <c r="P17" t="s">
        <v>471</v>
      </c>
    </row>
    <row r="18" spans="2:16" x14ac:dyDescent="0.35">
      <c r="B18" s="29" t="s">
        <v>433</v>
      </c>
      <c r="C18" s="7">
        <f t="shared" si="1"/>
        <v>5.5236111111111121</v>
      </c>
      <c r="D18" s="23">
        <f>AVERAGEIFS($C$7:$T$7,$C$3:$T$3,$B18)*$O$19/1000*$O$21</f>
        <v>217100.11704761902</v>
      </c>
      <c r="E18" s="23">
        <f t="shared" si="2"/>
        <v>12000</v>
      </c>
      <c r="F18" s="23">
        <f t="shared" si="3"/>
        <v>23</v>
      </c>
      <c r="G18" s="23"/>
      <c r="H18" t="s">
        <v>472</v>
      </c>
      <c r="I18" s="30">
        <v>1.0999999999999999E-2</v>
      </c>
      <c r="J18" s="23">
        <f>I18*E16</f>
        <v>337.85714285714283</v>
      </c>
      <c r="K18" s="23">
        <f>I18*D16</f>
        <v>1512.9585796734689</v>
      </c>
      <c r="L18">
        <f>I18*C16</f>
        <v>8.7086999999999998E-2</v>
      </c>
      <c r="M18">
        <f>I18*F16</f>
        <v>0.16028571428571428</v>
      </c>
    </row>
    <row r="19" spans="2:16" x14ac:dyDescent="0.35">
      <c r="B19" s="29" t="s">
        <v>434</v>
      </c>
      <c r="C19" s="7">
        <f t="shared" si="1"/>
        <v>22.577999999999999</v>
      </c>
      <c r="D19" s="23">
        <f>AVERAGEIFS($C$7:$T$7,$C$3:$T$3,$B19)*$O$19/1000*$O$21</f>
        <v>4285367.527809523</v>
      </c>
      <c r="E19" s="23">
        <f t="shared" si="2"/>
        <v>9000</v>
      </c>
      <c r="F19" s="23">
        <f t="shared" si="3"/>
        <v>454</v>
      </c>
      <c r="G19" s="23"/>
      <c r="J19" s="31">
        <f>SUM(J15:J18)</f>
        <v>24898.071428571428</v>
      </c>
      <c r="K19" s="31">
        <f>SUM(K15:K18)</f>
        <v>992924.91514040111</v>
      </c>
      <c r="L19" s="32">
        <f>SUM(L15:L18)</f>
        <v>10.466121541666666</v>
      </c>
      <c r="M19" s="31">
        <f>SUM(M15:M18)</f>
        <v>105.19235714285715</v>
      </c>
      <c r="O19" s="31">
        <f>J19/9</f>
        <v>2766.4523809523807</v>
      </c>
      <c r="P19" s="1" t="s">
        <v>473</v>
      </c>
    </row>
    <row r="20" spans="2:16" x14ac:dyDescent="0.35">
      <c r="J20" s="1" t="s">
        <v>474</v>
      </c>
      <c r="K20" s="1" t="s">
        <v>466</v>
      </c>
      <c r="L20" t="s">
        <v>458</v>
      </c>
      <c r="M20" s="1" t="s">
        <v>459</v>
      </c>
    </row>
    <row r="21" spans="2:16" x14ac:dyDescent="0.35">
      <c r="O21">
        <v>3412</v>
      </c>
      <c r="P21" t="s">
        <v>475</v>
      </c>
    </row>
    <row r="23" spans="2:16" x14ac:dyDescent="0.35">
      <c r="O23" s="33">
        <f>L19/K19</f>
        <v>1.0540697873601793E-5</v>
      </c>
      <c r="P23" t="s">
        <v>476</v>
      </c>
    </row>
    <row r="24" spans="2:16" x14ac:dyDescent="0.35">
      <c r="B24" t="s">
        <v>477</v>
      </c>
    </row>
    <row r="25" spans="2:16" x14ac:dyDescent="0.35">
      <c r="B25" t="s">
        <v>478</v>
      </c>
    </row>
    <row r="27" spans="2:16" x14ac:dyDescent="0.35">
      <c r="B27" s="30">
        <f>0.35</f>
        <v>0.35</v>
      </c>
      <c r="C27" t="s">
        <v>479</v>
      </c>
    </row>
    <row r="28" spans="2:16" x14ac:dyDescent="0.35">
      <c r="B28">
        <f>O23*B27</f>
        <v>3.6892442557606274E-6</v>
      </c>
      <c r="C28" t="s">
        <v>480</v>
      </c>
    </row>
    <row r="31" spans="2:16" x14ac:dyDescent="0.35">
      <c r="B31" t="s">
        <v>481</v>
      </c>
    </row>
    <row r="32" spans="2:16" x14ac:dyDescent="0.35">
      <c r="B32" t="s">
        <v>482</v>
      </c>
      <c r="C32" t="s">
        <v>483</v>
      </c>
      <c r="D32" t="s">
        <v>484</v>
      </c>
      <c r="E32" t="s">
        <v>485</v>
      </c>
      <c r="F32" t="s">
        <v>486</v>
      </c>
      <c r="G32" t="s">
        <v>487</v>
      </c>
      <c r="H32" t="s">
        <v>488</v>
      </c>
    </row>
    <row r="33" spans="1:11" x14ac:dyDescent="0.35">
      <c r="A33" t="s">
        <v>458</v>
      </c>
      <c r="B33">
        <v>3579</v>
      </c>
      <c r="C33">
        <v>649</v>
      </c>
      <c r="D33">
        <v>849</v>
      </c>
      <c r="E33">
        <v>926</v>
      </c>
      <c r="F33">
        <v>399.99</v>
      </c>
      <c r="G33">
        <v>1299</v>
      </c>
      <c r="H33">
        <v>999</v>
      </c>
      <c r="I33" s="23">
        <f>AVERAGE(Lighting!B33:H33)</f>
        <v>1242.9985714285715</v>
      </c>
      <c r="J33" t="s">
        <v>489</v>
      </c>
    </row>
    <row r="34" spans="1:11" x14ac:dyDescent="0.35">
      <c r="A34" t="s">
        <v>459</v>
      </c>
      <c r="B34">
        <v>10000</v>
      </c>
      <c r="C34">
        <v>5300</v>
      </c>
      <c r="D34">
        <v>7500</v>
      </c>
      <c r="E34">
        <v>9500</v>
      </c>
      <c r="F34">
        <v>5600</v>
      </c>
      <c r="G34">
        <v>13000</v>
      </c>
      <c r="H34">
        <f>AVERAGE(10000,8000)</f>
        <v>9000</v>
      </c>
      <c r="I34" s="23">
        <f>AVERAGE(Lighting!B34:H34)</f>
        <v>8557.1428571428569</v>
      </c>
      <c r="J34" t="s">
        <v>490</v>
      </c>
    </row>
    <row r="35" spans="1:11" x14ac:dyDescent="0.35">
      <c r="B35">
        <f>B33/B34</f>
        <v>0.3579</v>
      </c>
      <c r="C35">
        <f t="shared" ref="C35:H35" si="4">C33/C34</f>
        <v>0.12245283018867925</v>
      </c>
      <c r="D35">
        <f t="shared" si="4"/>
        <v>0.1132</v>
      </c>
      <c r="E35">
        <f t="shared" si="4"/>
        <v>9.747368421052631E-2</v>
      </c>
      <c r="F35">
        <f t="shared" si="4"/>
        <v>7.142678571428572E-2</v>
      </c>
      <c r="G35">
        <f t="shared" si="4"/>
        <v>9.992307692307692E-2</v>
      </c>
      <c r="H35">
        <f t="shared" si="4"/>
        <v>0.111</v>
      </c>
    </row>
    <row r="37" spans="1:11" x14ac:dyDescent="0.35">
      <c r="I37" s="23">
        <f>I33*M19/I34</f>
        <v>15.280094283412833</v>
      </c>
      <c r="J37" t="s">
        <v>458</v>
      </c>
      <c r="K37" t="s">
        <v>491</v>
      </c>
    </row>
    <row r="38" spans="1:11" x14ac:dyDescent="0.35">
      <c r="I38">
        <f>I37/K19*B27</f>
        <v>5.3861403995872857E-6</v>
      </c>
      <c r="K38" t="s">
        <v>492</v>
      </c>
    </row>
    <row r="39" spans="1:11" x14ac:dyDescent="0.35">
      <c r="I39" s="33">
        <f>I38+B28</f>
        <v>9.0753846553479132E-6</v>
      </c>
      <c r="K39" t="s">
        <v>493</v>
      </c>
    </row>
    <row r="42" spans="1:11" x14ac:dyDescent="0.35">
      <c r="C42" t="s">
        <v>497</v>
      </c>
    </row>
    <row r="43" spans="1:11" x14ac:dyDescent="0.35">
      <c r="D43" t="s">
        <v>495</v>
      </c>
      <c r="E43" t="s">
        <v>468</v>
      </c>
      <c r="F43" t="s">
        <v>431</v>
      </c>
    </row>
    <row r="44" spans="1:11" x14ac:dyDescent="0.35">
      <c r="B44" t="s">
        <v>498</v>
      </c>
      <c r="C44" t="s">
        <v>494</v>
      </c>
      <c r="D44">
        <f>C6</f>
        <v>1.3</v>
      </c>
      <c r="E44">
        <v>2.99</v>
      </c>
      <c r="F44">
        <v>3</v>
      </c>
    </row>
    <row r="46" spans="1:11" x14ac:dyDescent="0.35">
      <c r="C46" t="s">
        <v>496</v>
      </c>
      <c r="D46">
        <f>AVERAGE(1.3,1.83)</f>
        <v>1.5649999999999999</v>
      </c>
      <c r="E46">
        <v>3.5</v>
      </c>
    </row>
    <row r="48" spans="1:11" x14ac:dyDescent="0.35">
      <c r="B48" t="s">
        <v>438</v>
      </c>
      <c r="C48" t="s">
        <v>499</v>
      </c>
      <c r="E48">
        <f>L6</f>
        <v>5.1522500000000004</v>
      </c>
      <c r="F48">
        <f>I6</f>
        <v>12.494</v>
      </c>
    </row>
    <row r="50" spans="3:10" x14ac:dyDescent="0.35">
      <c r="C50" t="s">
        <v>432</v>
      </c>
      <c r="D50" t="s">
        <v>432</v>
      </c>
      <c r="E50" t="s">
        <v>432</v>
      </c>
      <c r="F50" t="s">
        <v>432</v>
      </c>
      <c r="G50" t="s">
        <v>431</v>
      </c>
      <c r="H50" t="s">
        <v>431</v>
      </c>
      <c r="I50" t="s">
        <v>431</v>
      </c>
      <c r="J50" t="s">
        <v>431</v>
      </c>
    </row>
    <row r="51" spans="3:10" x14ac:dyDescent="0.35">
      <c r="C51" t="s">
        <v>500</v>
      </c>
      <c r="D51" t="s">
        <v>502</v>
      </c>
      <c r="E51" t="s">
        <v>504</v>
      </c>
      <c r="F51" t="s">
        <v>505</v>
      </c>
      <c r="G51" t="s">
        <v>507</v>
      </c>
      <c r="H51" t="s">
        <v>510</v>
      </c>
      <c r="I51" t="s">
        <v>512</v>
      </c>
      <c r="J51" t="s">
        <v>511</v>
      </c>
    </row>
    <row r="52" spans="3:10" x14ac:dyDescent="0.35">
      <c r="C52">
        <v>32</v>
      </c>
      <c r="D52">
        <v>32</v>
      </c>
      <c r="E52">
        <v>32</v>
      </c>
      <c r="F52">
        <v>25</v>
      </c>
      <c r="G52">
        <v>18</v>
      </c>
      <c r="H52">
        <v>15</v>
      </c>
      <c r="I52">
        <v>22</v>
      </c>
      <c r="J52">
        <v>17</v>
      </c>
    </row>
    <row r="53" spans="3:10" x14ac:dyDescent="0.35">
      <c r="C53">
        <v>2600</v>
      </c>
      <c r="D53">
        <v>2800</v>
      </c>
      <c r="E53">
        <v>2800</v>
      </c>
      <c r="F53">
        <v>2225</v>
      </c>
      <c r="G53">
        <v>2300</v>
      </c>
      <c r="H53">
        <v>2100</v>
      </c>
      <c r="I53">
        <v>2860</v>
      </c>
      <c r="J53">
        <v>2500</v>
      </c>
    </row>
    <row r="54" spans="3:10" x14ac:dyDescent="0.35">
      <c r="C54">
        <v>3.17</v>
      </c>
      <c r="D54">
        <v>6.29</v>
      </c>
      <c r="E54">
        <v>5.33</v>
      </c>
      <c r="F54">
        <v>6.9</v>
      </c>
      <c r="G54">
        <f>224.99/25</f>
        <v>8.9996000000000009</v>
      </c>
      <c r="H54">
        <v>14.58</v>
      </c>
      <c r="I54">
        <f>224.99/30</f>
        <v>7.4996666666666671</v>
      </c>
      <c r="J54">
        <f>193.99/25</f>
        <v>7.7596000000000007</v>
      </c>
    </row>
    <row r="55" spans="3:10" x14ac:dyDescent="0.35">
      <c r="C55" t="s">
        <v>501</v>
      </c>
      <c r="D55" t="s">
        <v>503</v>
      </c>
      <c r="E55" t="s">
        <v>497</v>
      </c>
      <c r="F55" t="s">
        <v>506</v>
      </c>
      <c r="G55" t="s">
        <v>509</v>
      </c>
      <c r="H55" t="s">
        <v>509</v>
      </c>
      <c r="I55" t="s">
        <v>509</v>
      </c>
      <c r="J55" t="s">
        <v>509</v>
      </c>
    </row>
    <row r="56" spans="3:10" x14ac:dyDescent="0.35">
      <c r="F56" t="s">
        <v>508</v>
      </c>
    </row>
    <row r="58" spans="3:10" x14ac:dyDescent="0.35">
      <c r="F58" t="s">
        <v>513</v>
      </c>
      <c r="G58" t="s">
        <v>431</v>
      </c>
    </row>
    <row r="59" spans="3:10" x14ac:dyDescent="0.35">
      <c r="F59">
        <f>AVERAGE(C52:F52)</f>
        <v>30.25</v>
      </c>
      <c r="G59">
        <f>AVERAGE(G52:J52)</f>
        <v>18</v>
      </c>
      <c r="H59" t="s">
        <v>514</v>
      </c>
    </row>
    <row r="60" spans="3:10" x14ac:dyDescent="0.35">
      <c r="F60">
        <f t="shared" ref="F60:F61" si="5">AVERAGE(C53:F53)</f>
        <v>2606.25</v>
      </c>
      <c r="G60">
        <f t="shared" ref="G60:G61" si="6">AVERAGE(G53:J53)</f>
        <v>2440</v>
      </c>
      <c r="H60" t="s">
        <v>515</v>
      </c>
    </row>
    <row r="61" spans="3:10" x14ac:dyDescent="0.35">
      <c r="F61">
        <f t="shared" si="5"/>
        <v>5.4225000000000003</v>
      </c>
      <c r="G61">
        <f t="shared" si="6"/>
        <v>9.709716666666667</v>
      </c>
      <c r="H61" t="s">
        <v>421</v>
      </c>
    </row>
    <row r="63" spans="3:10" x14ac:dyDescent="0.35">
      <c r="G63">
        <f>((G61-F61)/F61)/((1/G59-1/F59)/(1/F59))</f>
        <v>1.1617489485420724</v>
      </c>
      <c r="H63" t="s">
        <v>318</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D96FA-EB4C-4695-AB05-D346A69359A2}">
  <dimension ref="A1:G49"/>
  <sheetViews>
    <sheetView topLeftCell="A16" zoomScale="70" zoomScaleNormal="70" workbookViewId="0">
      <selection activeCell="A50" sqref="A50"/>
    </sheetView>
  </sheetViews>
  <sheetFormatPr defaultRowHeight="14.5" x14ac:dyDescent="0.35"/>
  <cols>
    <col min="1" max="1" width="28.54296875" customWidth="1"/>
    <col min="2" max="4" width="10.7265625" customWidth="1"/>
    <col min="20" max="20" width="6.81640625" bestFit="1" customWidth="1"/>
    <col min="21" max="21" width="12.54296875" bestFit="1" customWidth="1"/>
    <col min="22" max="22" width="6.26953125" bestFit="1" customWidth="1"/>
    <col min="23" max="23" width="6.81640625" bestFit="1" customWidth="1"/>
  </cols>
  <sheetData>
    <row r="1" spans="1:6" x14ac:dyDescent="0.35">
      <c r="A1" t="s">
        <v>518</v>
      </c>
    </row>
    <row r="3" spans="1:6" x14ac:dyDescent="0.35">
      <c r="A3" t="s">
        <v>596</v>
      </c>
    </row>
    <row r="4" spans="1:6" ht="43.5" x14ac:dyDescent="0.35">
      <c r="B4" s="24" t="s">
        <v>601</v>
      </c>
      <c r="C4" s="24" t="s">
        <v>602</v>
      </c>
      <c r="D4" s="24" t="s">
        <v>603</v>
      </c>
      <c r="E4" s="24"/>
      <c r="F4" s="24"/>
    </row>
    <row r="5" spans="1:6" x14ac:dyDescent="0.35">
      <c r="A5" t="s">
        <v>597</v>
      </c>
      <c r="B5">
        <v>17.670000000000002</v>
      </c>
      <c r="C5">
        <v>17.64</v>
      </c>
      <c r="D5">
        <v>18.37</v>
      </c>
    </row>
    <row r="6" spans="1:6" x14ac:dyDescent="0.35">
      <c r="A6" t="s">
        <v>598</v>
      </c>
      <c r="B6">
        <v>1440</v>
      </c>
      <c r="C6">
        <v>1297</v>
      </c>
      <c r="D6">
        <v>314</v>
      </c>
    </row>
    <row r="7" spans="1:6" x14ac:dyDescent="0.35">
      <c r="A7" t="s">
        <v>599</v>
      </c>
      <c r="B7">
        <v>9.7000000000000003E-2</v>
      </c>
      <c r="C7">
        <v>0.105</v>
      </c>
      <c r="D7">
        <v>0.14099999999999999</v>
      </c>
    </row>
    <row r="8" spans="1:6" x14ac:dyDescent="0.35">
      <c r="A8" t="s">
        <v>600</v>
      </c>
      <c r="B8" s="9">
        <v>5.4999999999999997E-3</v>
      </c>
      <c r="C8" s="9">
        <v>6.0000000000000001E-3</v>
      </c>
      <c r="D8" s="9">
        <v>7.7000000000000002E-3</v>
      </c>
    </row>
    <row r="11" spans="1:6" x14ac:dyDescent="0.35">
      <c r="A11" t="s">
        <v>589</v>
      </c>
    </row>
    <row r="38" spans="1:7" x14ac:dyDescent="0.35">
      <c r="B38">
        <v>2001</v>
      </c>
      <c r="C38">
        <v>2011</v>
      </c>
      <c r="D38">
        <v>2021</v>
      </c>
      <c r="F38">
        <v>2015</v>
      </c>
      <c r="G38">
        <v>2021</v>
      </c>
    </row>
    <row r="39" spans="1:7" x14ac:dyDescent="0.35">
      <c r="A39" t="s">
        <v>592</v>
      </c>
      <c r="B39">
        <v>68</v>
      </c>
      <c r="C39">
        <v>100</v>
      </c>
      <c r="D39">
        <v>123</v>
      </c>
      <c r="F39">
        <v>110</v>
      </c>
      <c r="G39">
        <v>131</v>
      </c>
    </row>
    <row r="40" spans="1:7" x14ac:dyDescent="0.35">
      <c r="A40" t="s">
        <v>590</v>
      </c>
      <c r="B40">
        <f>cpi!D39</f>
        <v>177.1</v>
      </c>
      <c r="C40">
        <f>cpi!D49</f>
        <v>224.93899999999999</v>
      </c>
      <c r="D40">
        <f>cpi!D59</f>
        <v>270.97000000000003</v>
      </c>
      <c r="F40">
        <f>cpi!D53</f>
        <v>237.017</v>
      </c>
      <c r="G40">
        <f>cpi!D59</f>
        <v>270.97000000000003</v>
      </c>
    </row>
    <row r="41" spans="1:7" x14ac:dyDescent="0.35">
      <c r="A41" t="s">
        <v>591</v>
      </c>
      <c r="B41">
        <v>1</v>
      </c>
      <c r="C41">
        <f>C40/B40</f>
        <v>1.2701242236024846</v>
      </c>
      <c r="D41">
        <f>D40/B40</f>
        <v>1.5300395256916999</v>
      </c>
      <c r="F41">
        <v>1</v>
      </c>
      <c r="G41">
        <f>G40/F40</f>
        <v>1.143251327963817</v>
      </c>
    </row>
    <row r="42" spans="1:7" x14ac:dyDescent="0.35">
      <c r="A42" t="s">
        <v>593</v>
      </c>
      <c r="B42">
        <f>B39/B41</f>
        <v>68</v>
      </c>
      <c r="C42">
        <f>C39/C41</f>
        <v>78.732456354833971</v>
      </c>
      <c r="D42">
        <f>D39/D41</f>
        <v>80.390080082665961</v>
      </c>
      <c r="F42">
        <f t="shared" ref="F42:G42" si="0">F39/F41</f>
        <v>110</v>
      </c>
      <c r="G42">
        <f t="shared" si="0"/>
        <v>114.58547809720632</v>
      </c>
    </row>
    <row r="44" spans="1:7" x14ac:dyDescent="0.35">
      <c r="A44" t="s">
        <v>594</v>
      </c>
      <c r="B44" s="38">
        <f>(D42/B42)^(1/(D38-B38))-1</f>
        <v>8.4042733414155801E-3</v>
      </c>
      <c r="C44" s="1" t="s">
        <v>595</v>
      </c>
      <c r="F44" s="38">
        <f>(G42/F42)^(1/(G38-F38))-1</f>
        <v>6.8300041962665592E-3</v>
      </c>
    </row>
    <row r="47" spans="1:7" x14ac:dyDescent="0.35">
      <c r="A47" t="s">
        <v>604</v>
      </c>
      <c r="B47" s="7">
        <f>B44/B8</f>
        <v>1.5280496984391965</v>
      </c>
      <c r="F47" s="7">
        <f>F44/D8</f>
        <v>0.88701353198266997</v>
      </c>
    </row>
    <row r="49" spans="1:2" x14ac:dyDescent="0.35">
      <c r="A49" t="s">
        <v>605</v>
      </c>
      <c r="B49" s="7">
        <f>AVERAGE(B47,F47)</f>
        <v>1.2075316152109332</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271D-8741-40B6-92F2-97D4F5B6382F}">
  <dimension ref="A1:L13"/>
  <sheetViews>
    <sheetView zoomScale="67" workbookViewId="0">
      <selection activeCell="H23" sqref="H23"/>
    </sheetView>
  </sheetViews>
  <sheetFormatPr defaultRowHeight="14.5" x14ac:dyDescent="0.35"/>
  <cols>
    <col min="1" max="1" width="33.54296875" customWidth="1"/>
    <col min="2" max="2" width="16.08984375" bestFit="1" customWidth="1"/>
    <col min="3" max="4" width="16.36328125" bestFit="1" customWidth="1"/>
    <col min="5" max="5" width="17.453125" bestFit="1" customWidth="1"/>
    <col min="6" max="6" width="17.36328125" bestFit="1" customWidth="1"/>
    <col min="7" max="9" width="13.54296875" customWidth="1"/>
    <col min="12" max="12" width="13.453125" bestFit="1" customWidth="1"/>
  </cols>
  <sheetData>
    <row r="1" spans="1:12" ht="29" x14ac:dyDescent="0.35">
      <c r="A1" s="3" t="s">
        <v>13</v>
      </c>
      <c r="B1" s="39" t="s">
        <v>606</v>
      </c>
      <c r="C1" s="39" t="s">
        <v>607</v>
      </c>
      <c r="D1" s="39" t="s">
        <v>608</v>
      </c>
      <c r="E1" s="39" t="s">
        <v>609</v>
      </c>
      <c r="F1" s="39" t="s">
        <v>610</v>
      </c>
      <c r="G1" s="24" t="s">
        <v>339</v>
      </c>
      <c r="H1" s="24" t="s">
        <v>340</v>
      </c>
      <c r="I1" s="24" t="s">
        <v>341</v>
      </c>
      <c r="J1" s="24" t="s">
        <v>425</v>
      </c>
      <c r="K1" s="24" t="s">
        <v>426</v>
      </c>
      <c r="L1" s="24" t="s">
        <v>427</v>
      </c>
    </row>
    <row r="2" spans="1:12" x14ac:dyDescent="0.35">
      <c r="A2" t="s">
        <v>2</v>
      </c>
      <c r="B2" s="25">
        <f>AVERAGE('indst heat pumps'!E92,'indst heat pumps'!B63)</f>
        <v>1.4326814351134223</v>
      </c>
      <c r="C2" s="26">
        <f>B2</f>
        <v>1.4326814351134223</v>
      </c>
      <c r="D2" s="25">
        <f>AVERAGE(D4,D6)</f>
        <v>6.948809456886007</v>
      </c>
      <c r="E2" s="26">
        <f>D2</f>
        <v>6.948809456886007</v>
      </c>
      <c r="F2" s="26">
        <f>D2</f>
        <v>6.948809456886007</v>
      </c>
      <c r="G2" s="25">
        <f>'process chillers'!$K$15</f>
        <v>0.84489777592279791</v>
      </c>
      <c r="H2" s="25">
        <f>AVERAGE('fans-blowers'!D36,'indst motors'!H49,pumps!W47)</f>
        <v>2.5525704426134292</v>
      </c>
      <c r="I2" s="26">
        <f t="shared" ref="I2:I13" si="0">AVERAGE($B$2:$H$13)</f>
        <v>4.8189511162903713</v>
      </c>
      <c r="J2" s="26">
        <f>AVERAGE(B2:C2)</f>
        <v>1.4326814351134223</v>
      </c>
      <c r="K2" s="25">
        <f>Lighting!G63</f>
        <v>1.1617489485420724</v>
      </c>
      <c r="L2" s="25">
        <f>mobile!$B$49</f>
        <v>1.2075316152109332</v>
      </c>
    </row>
    <row r="3" spans="1:12" x14ac:dyDescent="0.35">
      <c r="A3" t="s">
        <v>3</v>
      </c>
      <c r="B3" s="25">
        <f>'solid fuel boilers'!$J$19</f>
        <v>2.6579492384232659</v>
      </c>
      <c r="C3" s="26">
        <f>B3</f>
        <v>2.6579492384232659</v>
      </c>
      <c r="D3" s="26">
        <f t="shared" ref="D3:F3" si="1">C3</f>
        <v>2.6579492384232659</v>
      </c>
      <c r="E3" s="26">
        <f t="shared" si="1"/>
        <v>2.6579492384232659</v>
      </c>
      <c r="F3" s="26">
        <f t="shared" si="1"/>
        <v>2.6579492384232659</v>
      </c>
      <c r="G3" s="26">
        <f>$G$2</f>
        <v>0.84489777592279791</v>
      </c>
      <c r="H3" s="26">
        <f>$H$2</f>
        <v>2.5525704426134292</v>
      </c>
      <c r="I3" s="26">
        <f t="shared" si="0"/>
        <v>4.8189511162903713</v>
      </c>
      <c r="J3" s="26">
        <f t="shared" ref="J3:J13" si="2">AVERAGE(B3:C3)</f>
        <v>2.6579492384232659</v>
      </c>
      <c r="K3" s="26">
        <f>$K$2</f>
        <v>1.1617489485420724</v>
      </c>
      <c r="L3" s="26">
        <f>$L$2</f>
        <v>1.2075316152109332</v>
      </c>
    </row>
    <row r="4" spans="1:12" x14ac:dyDescent="0.35">
      <c r="A4" t="s">
        <v>4</v>
      </c>
      <c r="B4" s="25">
        <f>AVERAGE(AVERAGE('comm boilers'!M4:M5,'comm boilers'!M8:M9,'indst boilers'!O26),AVERAGE(furnaces!H5,furnaces!H12,furnaces!H19))</f>
        <v>7.4277116196437323</v>
      </c>
      <c r="C4" s="26">
        <f>B4</f>
        <v>7.4277116196437323</v>
      </c>
      <c r="D4" s="26">
        <f>C4</f>
        <v>7.4277116196437323</v>
      </c>
      <c r="E4" s="26">
        <f t="shared" ref="E3:E4" si="3">D4</f>
        <v>7.4277116196437323</v>
      </c>
      <c r="F4" s="26">
        <f>D4</f>
        <v>7.4277116196437323</v>
      </c>
      <c r="G4" s="26">
        <f t="shared" ref="G4:G13" si="4">$G$2</f>
        <v>0.84489777592279791</v>
      </c>
      <c r="H4" s="26">
        <f t="shared" ref="H4:H13" si="5">$H$2</f>
        <v>2.5525704426134292</v>
      </c>
      <c r="I4" s="26">
        <f t="shared" si="0"/>
        <v>4.8189511162903713</v>
      </c>
      <c r="J4" s="26">
        <f t="shared" si="2"/>
        <v>7.4277116196437323</v>
      </c>
      <c r="K4" s="26">
        <f t="shared" ref="K4:K13" si="6">$K$2</f>
        <v>1.1617489485420724</v>
      </c>
      <c r="L4" s="26">
        <f t="shared" ref="L4:L13" si="7">$L$2</f>
        <v>1.2075316152109332</v>
      </c>
    </row>
    <row r="5" spans="1:12" x14ac:dyDescent="0.35">
      <c r="A5" t="s">
        <v>5</v>
      </c>
      <c r="B5" s="26">
        <f>$B$3</f>
        <v>2.6579492384232659</v>
      </c>
      <c r="C5" s="26">
        <f>$C$6</f>
        <v>6.4699072941282818</v>
      </c>
      <c r="D5" s="26">
        <f>C5</f>
        <v>6.4699072941282818</v>
      </c>
      <c r="E5" s="26">
        <f>D5</f>
        <v>6.4699072941282818</v>
      </c>
      <c r="F5" s="26">
        <f>D5</f>
        <v>6.4699072941282818</v>
      </c>
      <c r="G5" s="26">
        <f t="shared" si="4"/>
        <v>0.84489777592279791</v>
      </c>
      <c r="H5" s="26">
        <f t="shared" si="5"/>
        <v>2.5525704426134292</v>
      </c>
      <c r="I5" s="26">
        <f t="shared" si="0"/>
        <v>4.8189511162903713</v>
      </c>
      <c r="J5" s="26">
        <f t="shared" si="2"/>
        <v>4.5639282662757736</v>
      </c>
      <c r="K5" s="26">
        <f t="shared" si="6"/>
        <v>1.1617489485420724</v>
      </c>
      <c r="L5" s="26">
        <f t="shared" si="7"/>
        <v>1.2075316152109332</v>
      </c>
    </row>
    <row r="6" spans="1:12" x14ac:dyDescent="0.35">
      <c r="A6" t="s">
        <v>6</v>
      </c>
      <c r="B6" s="25">
        <f>AVERAGE(AVERAGE('comm boilers'!M6:M7,'comm boilers'!M10:M11,'indst boilers'!O26),furnaces!H26)</f>
        <v>6.4699072941282818</v>
      </c>
      <c r="C6" s="26">
        <f>B6</f>
        <v>6.4699072941282818</v>
      </c>
      <c r="D6" s="26">
        <f>C6</f>
        <v>6.4699072941282818</v>
      </c>
      <c r="E6" s="26">
        <f>D6</f>
        <v>6.4699072941282818</v>
      </c>
      <c r="F6" s="26">
        <f>D6</f>
        <v>6.4699072941282818</v>
      </c>
      <c r="G6" s="26">
        <f t="shared" si="4"/>
        <v>0.84489777592279791</v>
      </c>
      <c r="H6" s="26">
        <f t="shared" si="5"/>
        <v>2.5525704426134292</v>
      </c>
      <c r="I6" s="26">
        <f t="shared" si="0"/>
        <v>4.8189511162903713</v>
      </c>
      <c r="J6" s="26">
        <f>AVERAGE(B6:C6)</f>
        <v>6.4699072941282818</v>
      </c>
      <c r="K6" s="26">
        <f t="shared" si="6"/>
        <v>1.1617489485420724</v>
      </c>
      <c r="L6" s="26">
        <f t="shared" si="7"/>
        <v>1.2075316152109332</v>
      </c>
    </row>
    <row r="7" spans="1:12" x14ac:dyDescent="0.35">
      <c r="A7" t="s">
        <v>7</v>
      </c>
      <c r="B7" s="25">
        <f>AVERAGE(B2,B4,B6)</f>
        <v>5.1101001162951452</v>
      </c>
      <c r="C7" s="25">
        <f>AVERAGE(C2,C4,C6)</f>
        <v>5.1101001162951452</v>
      </c>
      <c r="D7" s="25">
        <f>AVERAGE(D2,D4,D6)</f>
        <v>6.948809456886007</v>
      </c>
      <c r="E7" s="26">
        <f>D7</f>
        <v>6.948809456886007</v>
      </c>
      <c r="F7" s="26">
        <f>E7</f>
        <v>6.948809456886007</v>
      </c>
      <c r="G7" s="26">
        <f t="shared" si="4"/>
        <v>0.84489777592279791</v>
      </c>
      <c r="H7" s="26">
        <f t="shared" si="5"/>
        <v>2.5525704426134292</v>
      </c>
      <c r="I7" s="26">
        <f t="shared" si="0"/>
        <v>4.8189511162903713</v>
      </c>
      <c r="J7" s="26">
        <f t="shared" si="2"/>
        <v>5.1101001162951452</v>
      </c>
      <c r="K7" s="26">
        <f t="shared" si="6"/>
        <v>1.1617489485420724</v>
      </c>
      <c r="L7" s="26">
        <f t="shared" si="7"/>
        <v>1.2075316152109332</v>
      </c>
    </row>
    <row r="8" spans="1:12" x14ac:dyDescent="0.35">
      <c r="A8" t="s">
        <v>8</v>
      </c>
      <c r="B8" s="26">
        <f t="shared" ref="B8:B9" si="8">$B$6</f>
        <v>6.4699072941282818</v>
      </c>
      <c r="C8" s="26">
        <f t="shared" ref="C8:C9" si="9">$C$6</f>
        <v>6.4699072941282818</v>
      </c>
      <c r="D8" s="26">
        <f>C8</f>
        <v>6.4699072941282818</v>
      </c>
      <c r="E8" s="26">
        <f>D8</f>
        <v>6.4699072941282818</v>
      </c>
      <c r="F8" s="26">
        <f>D8</f>
        <v>6.4699072941282818</v>
      </c>
      <c r="G8" s="26">
        <f t="shared" si="4"/>
        <v>0.84489777592279791</v>
      </c>
      <c r="H8" s="26">
        <f t="shared" si="5"/>
        <v>2.5525704426134292</v>
      </c>
      <c r="I8" s="26">
        <f t="shared" si="0"/>
        <v>4.8189511162903713</v>
      </c>
      <c r="J8" s="26">
        <f t="shared" si="2"/>
        <v>6.4699072941282818</v>
      </c>
      <c r="K8" s="26">
        <f t="shared" si="6"/>
        <v>1.1617489485420724</v>
      </c>
      <c r="L8" s="26">
        <f t="shared" si="7"/>
        <v>1.2075316152109332</v>
      </c>
    </row>
    <row r="9" spans="1:12" x14ac:dyDescent="0.35">
      <c r="A9" t="s">
        <v>9</v>
      </c>
      <c r="B9" s="26">
        <f t="shared" si="8"/>
        <v>6.4699072941282818</v>
      </c>
      <c r="C9" s="26">
        <f t="shared" si="9"/>
        <v>6.4699072941282818</v>
      </c>
      <c r="D9" s="26">
        <f>C9</f>
        <v>6.4699072941282818</v>
      </c>
      <c r="E9" s="26">
        <f>D9</f>
        <v>6.4699072941282818</v>
      </c>
      <c r="F9" s="26">
        <f>D9</f>
        <v>6.4699072941282818</v>
      </c>
      <c r="G9" s="26">
        <f t="shared" si="4"/>
        <v>0.84489777592279791</v>
      </c>
      <c r="H9" s="26">
        <f t="shared" si="5"/>
        <v>2.5525704426134292</v>
      </c>
      <c r="I9" s="26">
        <f t="shared" si="0"/>
        <v>4.8189511162903713</v>
      </c>
      <c r="J9" s="26">
        <f t="shared" si="2"/>
        <v>6.4699072941282818</v>
      </c>
      <c r="K9" s="26">
        <f t="shared" si="6"/>
        <v>1.1617489485420724</v>
      </c>
      <c r="L9" s="26">
        <f t="shared" si="7"/>
        <v>1.2075316152109332</v>
      </c>
    </row>
    <row r="10" spans="1:12" x14ac:dyDescent="0.35">
      <c r="A10" t="s">
        <v>10</v>
      </c>
      <c r="B10" s="26">
        <f>$B$4</f>
        <v>7.4277116196437323</v>
      </c>
      <c r="C10" s="26">
        <f>$C$6</f>
        <v>6.4699072941282818</v>
      </c>
      <c r="D10" s="26">
        <f>C10</f>
        <v>6.4699072941282818</v>
      </c>
      <c r="E10" s="26">
        <f>D10</f>
        <v>6.4699072941282818</v>
      </c>
      <c r="F10" s="26">
        <f>D10</f>
        <v>6.4699072941282818</v>
      </c>
      <c r="G10" s="26">
        <f t="shared" si="4"/>
        <v>0.84489777592279791</v>
      </c>
      <c r="H10" s="26">
        <f t="shared" si="5"/>
        <v>2.5525704426134292</v>
      </c>
      <c r="I10" s="26">
        <f t="shared" si="0"/>
        <v>4.8189511162903713</v>
      </c>
      <c r="J10" s="26">
        <f t="shared" si="2"/>
        <v>6.948809456886007</v>
      </c>
      <c r="K10" s="26">
        <f t="shared" si="6"/>
        <v>1.1617489485420724</v>
      </c>
      <c r="L10" s="26">
        <f t="shared" si="7"/>
        <v>1.2075316152109332</v>
      </c>
    </row>
    <row r="11" spans="1:12" x14ac:dyDescent="0.35">
      <c r="A11" t="s">
        <v>11</v>
      </c>
      <c r="B11" s="26">
        <f>$B$4</f>
        <v>7.4277116196437323</v>
      </c>
      <c r="C11" s="26">
        <f t="shared" ref="C11:C13" si="10">$C$6</f>
        <v>6.4699072941282818</v>
      </c>
      <c r="D11" s="26">
        <f>C11</f>
        <v>6.4699072941282818</v>
      </c>
      <c r="E11" s="26">
        <f>D11</f>
        <v>6.4699072941282818</v>
      </c>
      <c r="F11" s="26">
        <f>D11</f>
        <v>6.4699072941282818</v>
      </c>
      <c r="G11" s="26">
        <f t="shared" si="4"/>
        <v>0.84489777592279791</v>
      </c>
      <c r="H11" s="26">
        <f t="shared" si="5"/>
        <v>2.5525704426134292</v>
      </c>
      <c r="I11" s="26">
        <f t="shared" si="0"/>
        <v>4.8189511162903713</v>
      </c>
      <c r="J11" s="26">
        <f t="shared" si="2"/>
        <v>6.948809456886007</v>
      </c>
      <c r="K11" s="26">
        <f t="shared" si="6"/>
        <v>1.1617489485420724</v>
      </c>
      <c r="L11" s="26">
        <f t="shared" si="7"/>
        <v>1.2075316152109332</v>
      </c>
    </row>
    <row r="12" spans="1:12" x14ac:dyDescent="0.35">
      <c r="A12" t="s">
        <v>14</v>
      </c>
      <c r="B12" s="26">
        <f t="shared" ref="B12:B13" si="11">$B$4</f>
        <v>7.4277116196437323</v>
      </c>
      <c r="C12" s="26">
        <f t="shared" si="10"/>
        <v>6.4699072941282818</v>
      </c>
      <c r="D12" s="26">
        <f>C12</f>
        <v>6.4699072941282818</v>
      </c>
      <c r="E12" s="26">
        <f>D12</f>
        <v>6.4699072941282818</v>
      </c>
      <c r="F12" s="26">
        <f>D12</f>
        <v>6.4699072941282818</v>
      </c>
      <c r="G12" s="26">
        <f t="shared" si="4"/>
        <v>0.84489777592279791</v>
      </c>
      <c r="H12" s="26">
        <f t="shared" si="5"/>
        <v>2.5525704426134292</v>
      </c>
      <c r="I12" s="26">
        <f t="shared" si="0"/>
        <v>4.8189511162903713</v>
      </c>
      <c r="J12" s="26">
        <f t="shared" si="2"/>
        <v>6.948809456886007</v>
      </c>
      <c r="K12" s="26">
        <f t="shared" si="6"/>
        <v>1.1617489485420724</v>
      </c>
      <c r="L12" s="26">
        <f t="shared" si="7"/>
        <v>1.2075316152109332</v>
      </c>
    </row>
    <row r="13" spans="1:12" x14ac:dyDescent="0.35">
      <c r="A13" t="s">
        <v>15</v>
      </c>
      <c r="B13" s="26">
        <f t="shared" si="11"/>
        <v>7.4277116196437323</v>
      </c>
      <c r="C13" s="26">
        <f t="shared" si="10"/>
        <v>6.4699072941282818</v>
      </c>
      <c r="D13" s="26">
        <f>C13</f>
        <v>6.4699072941282818</v>
      </c>
      <c r="E13" s="26">
        <f>D13</f>
        <v>6.4699072941282818</v>
      </c>
      <c r="F13" s="26">
        <f>D13</f>
        <v>6.4699072941282818</v>
      </c>
      <c r="G13" s="26">
        <f t="shared" si="4"/>
        <v>0.84489777592279791</v>
      </c>
      <c r="H13" s="26">
        <f t="shared" si="5"/>
        <v>2.5525704426134292</v>
      </c>
      <c r="I13" s="26">
        <f t="shared" si="0"/>
        <v>4.8189511162903713</v>
      </c>
      <c r="J13" s="26">
        <f t="shared" si="2"/>
        <v>6.948809456886007</v>
      </c>
      <c r="K13" s="26">
        <f t="shared" si="6"/>
        <v>1.1617489485420724</v>
      </c>
      <c r="L13" s="26">
        <f t="shared" si="7"/>
        <v>1.2075316152109332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977EF-DFFE-4EEF-A0E1-DBBDDDFA9996}">
  <sheetPr>
    <tabColor theme="3" tint="9.9978637043366805E-2"/>
  </sheetPr>
  <dimension ref="A1:L13"/>
  <sheetViews>
    <sheetView tabSelected="1" zoomScale="76" workbookViewId="0">
      <selection activeCell="B2" sqref="B2:L13"/>
    </sheetView>
  </sheetViews>
  <sheetFormatPr defaultRowHeight="14.5" x14ac:dyDescent="0.35"/>
  <cols>
    <col min="1" max="1" width="33.54296875" customWidth="1"/>
    <col min="2" max="4" width="16" bestFit="1" customWidth="1"/>
    <col min="5" max="5" width="17.08984375" bestFit="1" customWidth="1"/>
    <col min="6" max="6" width="17.1796875" bestFit="1" customWidth="1"/>
    <col min="7" max="8" width="13.54296875" customWidth="1"/>
    <col min="9" max="12" width="13.7265625" customWidth="1"/>
  </cols>
  <sheetData>
    <row r="1" spans="1:12" ht="29" x14ac:dyDescent="0.35">
      <c r="A1" s="3" t="s">
        <v>13</v>
      </c>
      <c r="B1" s="39" t="s">
        <v>606</v>
      </c>
      <c r="C1" s="39" t="s">
        <v>607</v>
      </c>
      <c r="D1" s="39" t="s">
        <v>608</v>
      </c>
      <c r="E1" s="39" t="s">
        <v>609</v>
      </c>
      <c r="F1" s="39" t="s">
        <v>610</v>
      </c>
      <c r="G1" s="24" t="s">
        <v>339</v>
      </c>
      <c r="H1" s="24" t="s">
        <v>340</v>
      </c>
      <c r="I1" s="24" t="s">
        <v>341</v>
      </c>
      <c r="J1" s="24" t="s">
        <v>425</v>
      </c>
      <c r="K1" s="24" t="s">
        <v>426</v>
      </c>
      <c r="L1" s="24" t="s">
        <v>427</v>
      </c>
    </row>
    <row r="2" spans="1:12" x14ac:dyDescent="0.35">
      <c r="A2" t="s">
        <v>2</v>
      </c>
      <c r="B2" s="26">
        <f>calcs!B2</f>
        <v>1.4326814351134223</v>
      </c>
      <c r="C2" s="26">
        <f>calcs!C2</f>
        <v>1.4326814351134223</v>
      </c>
      <c r="D2" s="26">
        <f>calcs!D2</f>
        <v>6.948809456886007</v>
      </c>
      <c r="E2" s="26">
        <f>calcs!E2</f>
        <v>6.948809456886007</v>
      </c>
      <c r="F2" s="26">
        <f>calcs!F2</f>
        <v>6.948809456886007</v>
      </c>
      <c r="G2" s="26">
        <f>calcs!G2</f>
        <v>0.84489777592279791</v>
      </c>
      <c r="H2" s="26">
        <f>calcs!H2</f>
        <v>2.5525704426134292</v>
      </c>
      <c r="I2" s="26">
        <f>calcs!I2</f>
        <v>4.8189511162903713</v>
      </c>
      <c r="J2" s="26">
        <f>calcs!J2</f>
        <v>1.4326814351134223</v>
      </c>
      <c r="K2" s="26">
        <f>calcs!K2</f>
        <v>1.1617489485420724</v>
      </c>
      <c r="L2" s="26">
        <f>calcs!L2</f>
        <v>1.2075316152109332</v>
      </c>
    </row>
    <row r="3" spans="1:12" x14ac:dyDescent="0.35">
      <c r="A3" t="s">
        <v>3</v>
      </c>
      <c r="B3" s="26">
        <f>calcs!B3</f>
        <v>2.6579492384232659</v>
      </c>
      <c r="C3" s="26">
        <f>calcs!C3</f>
        <v>2.6579492384232659</v>
      </c>
      <c r="D3" s="26">
        <f>calcs!D3</f>
        <v>2.6579492384232659</v>
      </c>
      <c r="E3" s="26">
        <f>calcs!E3</f>
        <v>2.6579492384232659</v>
      </c>
      <c r="F3" s="26">
        <f>calcs!F3</f>
        <v>2.6579492384232659</v>
      </c>
      <c r="G3" s="26">
        <f>calcs!G3</f>
        <v>0.84489777592279791</v>
      </c>
      <c r="H3" s="26">
        <f>calcs!H3</f>
        <v>2.5525704426134292</v>
      </c>
      <c r="I3" s="26">
        <f>calcs!I3</f>
        <v>4.8189511162903713</v>
      </c>
      <c r="J3" s="26">
        <f>calcs!J3</f>
        <v>2.6579492384232659</v>
      </c>
      <c r="K3" s="26">
        <f>calcs!K3</f>
        <v>1.1617489485420724</v>
      </c>
      <c r="L3" s="26">
        <f>calcs!L3</f>
        <v>1.2075316152109332</v>
      </c>
    </row>
    <row r="4" spans="1:12" x14ac:dyDescent="0.35">
      <c r="A4" t="s">
        <v>4</v>
      </c>
      <c r="B4" s="26">
        <f>calcs!B4</f>
        <v>7.4277116196437323</v>
      </c>
      <c r="C4" s="26">
        <f>calcs!C4</f>
        <v>7.4277116196437323</v>
      </c>
      <c r="D4" s="26">
        <f>calcs!D4</f>
        <v>7.4277116196437323</v>
      </c>
      <c r="E4" s="26">
        <f>calcs!E4</f>
        <v>7.4277116196437323</v>
      </c>
      <c r="F4" s="26">
        <f>calcs!F4</f>
        <v>7.4277116196437323</v>
      </c>
      <c r="G4" s="26">
        <f>calcs!G4</f>
        <v>0.84489777592279791</v>
      </c>
      <c r="H4" s="26">
        <f>calcs!H4</f>
        <v>2.5525704426134292</v>
      </c>
      <c r="I4" s="26">
        <f>calcs!I4</f>
        <v>4.8189511162903713</v>
      </c>
      <c r="J4" s="26">
        <f>calcs!J4</f>
        <v>7.4277116196437323</v>
      </c>
      <c r="K4" s="26">
        <f>calcs!K4</f>
        <v>1.1617489485420724</v>
      </c>
      <c r="L4" s="26">
        <f>calcs!L4</f>
        <v>1.2075316152109332</v>
      </c>
    </row>
    <row r="5" spans="1:12" x14ac:dyDescent="0.35">
      <c r="A5" t="s">
        <v>5</v>
      </c>
      <c r="B5" s="26">
        <f>calcs!B5</f>
        <v>2.6579492384232659</v>
      </c>
      <c r="C5" s="26">
        <f>calcs!C5</f>
        <v>6.4699072941282818</v>
      </c>
      <c r="D5" s="26">
        <f>calcs!D5</f>
        <v>6.4699072941282818</v>
      </c>
      <c r="E5" s="26">
        <f>calcs!E5</f>
        <v>6.4699072941282818</v>
      </c>
      <c r="F5" s="26">
        <f>calcs!F5</f>
        <v>6.4699072941282818</v>
      </c>
      <c r="G5" s="26">
        <f>calcs!G5</f>
        <v>0.84489777592279791</v>
      </c>
      <c r="H5" s="26">
        <f>calcs!H5</f>
        <v>2.5525704426134292</v>
      </c>
      <c r="I5" s="26">
        <f>calcs!I5</f>
        <v>4.8189511162903713</v>
      </c>
      <c r="J5" s="26">
        <f>calcs!J5</f>
        <v>4.5639282662757736</v>
      </c>
      <c r="K5" s="26">
        <f>calcs!K5</f>
        <v>1.1617489485420724</v>
      </c>
      <c r="L5" s="26">
        <f>calcs!L5</f>
        <v>1.2075316152109332</v>
      </c>
    </row>
    <row r="6" spans="1:12" x14ac:dyDescent="0.35">
      <c r="A6" t="s">
        <v>6</v>
      </c>
      <c r="B6" s="26">
        <f>calcs!B6</f>
        <v>6.4699072941282818</v>
      </c>
      <c r="C6" s="26">
        <f>calcs!C6</f>
        <v>6.4699072941282818</v>
      </c>
      <c r="D6" s="26">
        <f>calcs!D6</f>
        <v>6.4699072941282818</v>
      </c>
      <c r="E6" s="26">
        <f>calcs!E6</f>
        <v>6.4699072941282818</v>
      </c>
      <c r="F6" s="26">
        <f>calcs!F6</f>
        <v>6.4699072941282818</v>
      </c>
      <c r="G6" s="26">
        <f>calcs!G6</f>
        <v>0.84489777592279791</v>
      </c>
      <c r="H6" s="26">
        <f>calcs!H6</f>
        <v>2.5525704426134292</v>
      </c>
      <c r="I6" s="26">
        <f>calcs!I6</f>
        <v>4.8189511162903713</v>
      </c>
      <c r="J6" s="26">
        <f>calcs!J6</f>
        <v>6.4699072941282818</v>
      </c>
      <c r="K6" s="26">
        <f>calcs!K6</f>
        <v>1.1617489485420724</v>
      </c>
      <c r="L6" s="26">
        <f>calcs!L6</f>
        <v>1.2075316152109332</v>
      </c>
    </row>
    <row r="7" spans="1:12" x14ac:dyDescent="0.35">
      <c r="A7" t="s">
        <v>7</v>
      </c>
      <c r="B7" s="26">
        <f>calcs!B7</f>
        <v>5.1101001162951452</v>
      </c>
      <c r="C7" s="26">
        <f>calcs!C7</f>
        <v>5.1101001162951452</v>
      </c>
      <c r="D7" s="26">
        <f>calcs!D7</f>
        <v>6.948809456886007</v>
      </c>
      <c r="E7" s="26">
        <f>calcs!E7</f>
        <v>6.948809456886007</v>
      </c>
      <c r="F7" s="26">
        <f>calcs!F7</f>
        <v>6.948809456886007</v>
      </c>
      <c r="G7" s="26">
        <f>calcs!G7</f>
        <v>0.84489777592279791</v>
      </c>
      <c r="H7" s="26">
        <f>calcs!H7</f>
        <v>2.5525704426134292</v>
      </c>
      <c r="I7" s="26">
        <f>calcs!I7</f>
        <v>4.8189511162903713</v>
      </c>
      <c r="J7" s="26">
        <f>calcs!J7</f>
        <v>5.1101001162951452</v>
      </c>
      <c r="K7" s="26">
        <f>calcs!K7</f>
        <v>1.1617489485420724</v>
      </c>
      <c r="L7" s="26">
        <f>calcs!L7</f>
        <v>1.2075316152109332</v>
      </c>
    </row>
    <row r="8" spans="1:12" x14ac:dyDescent="0.35">
      <c r="A8" t="s">
        <v>8</v>
      </c>
      <c r="B8" s="26">
        <f>calcs!B8</f>
        <v>6.4699072941282818</v>
      </c>
      <c r="C8" s="26">
        <f>calcs!C8</f>
        <v>6.4699072941282818</v>
      </c>
      <c r="D8" s="26">
        <f>calcs!D8</f>
        <v>6.4699072941282818</v>
      </c>
      <c r="E8" s="26">
        <f>calcs!E8</f>
        <v>6.4699072941282818</v>
      </c>
      <c r="F8" s="26">
        <f>calcs!F8</f>
        <v>6.4699072941282818</v>
      </c>
      <c r="G8" s="26">
        <f>calcs!G8</f>
        <v>0.84489777592279791</v>
      </c>
      <c r="H8" s="26">
        <f>calcs!H8</f>
        <v>2.5525704426134292</v>
      </c>
      <c r="I8" s="26">
        <f>calcs!I8</f>
        <v>4.8189511162903713</v>
      </c>
      <c r="J8" s="26">
        <f>calcs!J8</f>
        <v>6.4699072941282818</v>
      </c>
      <c r="K8" s="26">
        <f>calcs!K8</f>
        <v>1.1617489485420724</v>
      </c>
      <c r="L8" s="26">
        <f>calcs!L8</f>
        <v>1.2075316152109332</v>
      </c>
    </row>
    <row r="9" spans="1:12" x14ac:dyDescent="0.35">
      <c r="A9" t="s">
        <v>9</v>
      </c>
      <c r="B9" s="26">
        <f>calcs!B9</f>
        <v>6.4699072941282818</v>
      </c>
      <c r="C9" s="26">
        <f>calcs!C9</f>
        <v>6.4699072941282818</v>
      </c>
      <c r="D9" s="26">
        <f>calcs!D9</f>
        <v>6.4699072941282818</v>
      </c>
      <c r="E9" s="26">
        <f>calcs!E9</f>
        <v>6.4699072941282818</v>
      </c>
      <c r="F9" s="26">
        <f>calcs!F9</f>
        <v>6.4699072941282818</v>
      </c>
      <c r="G9" s="26">
        <f>calcs!G9</f>
        <v>0.84489777592279791</v>
      </c>
      <c r="H9" s="26">
        <f>calcs!H9</f>
        <v>2.5525704426134292</v>
      </c>
      <c r="I9" s="26">
        <f>calcs!I9</f>
        <v>4.8189511162903713</v>
      </c>
      <c r="J9" s="26">
        <f>calcs!J9</f>
        <v>6.4699072941282818</v>
      </c>
      <c r="K9" s="26">
        <f>calcs!K9</f>
        <v>1.1617489485420724</v>
      </c>
      <c r="L9" s="26">
        <f>calcs!L9</f>
        <v>1.2075316152109332</v>
      </c>
    </row>
    <row r="10" spans="1:12" x14ac:dyDescent="0.35">
      <c r="A10" t="s">
        <v>10</v>
      </c>
      <c r="B10" s="26">
        <f>calcs!B10</f>
        <v>7.4277116196437323</v>
      </c>
      <c r="C10" s="26">
        <f>calcs!C10</f>
        <v>6.4699072941282818</v>
      </c>
      <c r="D10" s="26">
        <f>calcs!D10</f>
        <v>6.4699072941282818</v>
      </c>
      <c r="E10" s="26">
        <f>calcs!E10</f>
        <v>6.4699072941282818</v>
      </c>
      <c r="F10" s="26">
        <f>calcs!F10</f>
        <v>6.4699072941282818</v>
      </c>
      <c r="G10" s="26">
        <f>calcs!G10</f>
        <v>0.84489777592279791</v>
      </c>
      <c r="H10" s="26">
        <f>calcs!H10</f>
        <v>2.5525704426134292</v>
      </c>
      <c r="I10" s="26">
        <f>calcs!I10</f>
        <v>4.8189511162903713</v>
      </c>
      <c r="J10" s="26">
        <f>calcs!J10</f>
        <v>6.948809456886007</v>
      </c>
      <c r="K10" s="26">
        <f>calcs!K10</f>
        <v>1.1617489485420724</v>
      </c>
      <c r="L10" s="26">
        <f>calcs!L10</f>
        <v>1.2075316152109332</v>
      </c>
    </row>
    <row r="11" spans="1:12" x14ac:dyDescent="0.35">
      <c r="A11" t="s">
        <v>11</v>
      </c>
      <c r="B11" s="26">
        <f>calcs!B11</f>
        <v>7.4277116196437323</v>
      </c>
      <c r="C11" s="26">
        <f>calcs!C11</f>
        <v>6.4699072941282818</v>
      </c>
      <c r="D11" s="26">
        <f>calcs!D11</f>
        <v>6.4699072941282818</v>
      </c>
      <c r="E11" s="26">
        <f>calcs!E11</f>
        <v>6.4699072941282818</v>
      </c>
      <c r="F11" s="26">
        <f>calcs!F11</f>
        <v>6.4699072941282818</v>
      </c>
      <c r="G11" s="26">
        <f>calcs!G11</f>
        <v>0.84489777592279791</v>
      </c>
      <c r="H11" s="26">
        <f>calcs!H11</f>
        <v>2.5525704426134292</v>
      </c>
      <c r="I11" s="26">
        <f>calcs!I11</f>
        <v>4.8189511162903713</v>
      </c>
      <c r="J11" s="26">
        <f>calcs!J11</f>
        <v>6.948809456886007</v>
      </c>
      <c r="K11" s="26">
        <f>calcs!K11</f>
        <v>1.1617489485420724</v>
      </c>
      <c r="L11" s="26">
        <f>calcs!L11</f>
        <v>1.2075316152109332</v>
      </c>
    </row>
    <row r="12" spans="1:12" x14ac:dyDescent="0.35">
      <c r="A12" t="s">
        <v>14</v>
      </c>
      <c r="B12" s="26">
        <f>calcs!B12</f>
        <v>7.4277116196437323</v>
      </c>
      <c r="C12" s="26">
        <f>calcs!C12</f>
        <v>6.4699072941282818</v>
      </c>
      <c r="D12" s="26">
        <f>calcs!D12</f>
        <v>6.4699072941282818</v>
      </c>
      <c r="E12" s="26">
        <f>calcs!E12</f>
        <v>6.4699072941282818</v>
      </c>
      <c r="F12" s="26">
        <f>calcs!F12</f>
        <v>6.4699072941282818</v>
      </c>
      <c r="G12" s="26">
        <f>calcs!G12</f>
        <v>0.84489777592279791</v>
      </c>
      <c r="H12" s="26">
        <f>calcs!H12</f>
        <v>2.5525704426134292</v>
      </c>
      <c r="I12" s="26">
        <f>calcs!I12</f>
        <v>4.8189511162903713</v>
      </c>
      <c r="J12" s="26">
        <f>calcs!J12</f>
        <v>6.948809456886007</v>
      </c>
      <c r="K12" s="26">
        <f>calcs!K12</f>
        <v>1.1617489485420724</v>
      </c>
      <c r="L12" s="26">
        <f>calcs!L12</f>
        <v>1.2075316152109332</v>
      </c>
    </row>
    <row r="13" spans="1:12" x14ac:dyDescent="0.35">
      <c r="A13" t="s">
        <v>15</v>
      </c>
      <c r="B13" s="26">
        <f>calcs!B13</f>
        <v>7.4277116196437323</v>
      </c>
      <c r="C13" s="26">
        <f>calcs!C13</f>
        <v>6.4699072941282818</v>
      </c>
      <c r="D13" s="26">
        <f>calcs!D13</f>
        <v>6.4699072941282818</v>
      </c>
      <c r="E13" s="26">
        <f>calcs!E13</f>
        <v>6.4699072941282818</v>
      </c>
      <c r="F13" s="26">
        <f>calcs!F13</f>
        <v>6.4699072941282818</v>
      </c>
      <c r="G13" s="26">
        <f>calcs!G13</f>
        <v>0.84489777592279791</v>
      </c>
      <c r="H13" s="26">
        <f>calcs!H13</f>
        <v>2.5525704426134292</v>
      </c>
      <c r="I13" s="26">
        <f>calcs!I13</f>
        <v>4.8189511162903713</v>
      </c>
      <c r="J13" s="26">
        <f>calcs!J13</f>
        <v>6.948809456886007</v>
      </c>
      <c r="K13" s="26">
        <f>calcs!K13</f>
        <v>1.1617489485420724</v>
      </c>
      <c r="L13" s="26">
        <f>calcs!L13</f>
        <v>1.2075316152109332</v>
      </c>
    </row>
  </sheetData>
  <conditionalFormatting sqref="B2:L13">
    <cfRule type="colorScale" priority="3">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About</vt:lpstr>
      <vt:lpstr>cpi</vt:lpstr>
      <vt:lpstr>indst motors</vt:lpstr>
      <vt:lpstr>furnaces</vt:lpstr>
      <vt:lpstr>comm refrigerators</vt:lpstr>
      <vt:lpstr>process chillers</vt:lpstr>
      <vt:lpstr>water heaters</vt:lpstr>
      <vt:lpstr>pumps</vt:lpstr>
      <vt:lpstr>motors</vt:lpstr>
      <vt:lpstr>comm boilers</vt:lpstr>
      <vt:lpstr>indst boilers</vt:lpstr>
      <vt:lpstr>indst heat pumps</vt:lpstr>
      <vt:lpstr>fans-blowers</vt:lpstr>
      <vt:lpstr>solid fuel boilers</vt:lpstr>
      <vt:lpstr>Lighting</vt:lpstr>
      <vt:lpstr>mobile</vt:lpstr>
      <vt:lpstr>calcs</vt:lpstr>
      <vt:lpstr>EoIEPwEEI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Dan O'Brien</cp:lastModifiedBy>
  <dcterms:created xsi:type="dcterms:W3CDTF">2024-07-31T21:00:17Z</dcterms:created>
  <dcterms:modified xsi:type="dcterms:W3CDTF">2026-07-17T15:10:23Z</dcterms:modified>
</cp:coreProperties>
</file>