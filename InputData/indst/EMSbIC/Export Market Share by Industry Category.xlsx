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5" autoFilterDateGrouping="1"/>
  </bookViews>
  <sheets>
    <sheet name="About" sheetId="1" state="visible" r:id="rId1"/>
    <sheet name="Region" sheetId="2" state="visible" r:id="rId2"/>
    <sheet name="TiVA EXGR 2022" sheetId="3" state="visible" r:id="rId3"/>
    <sheet name="calcs" sheetId="4" state="visible" r:id="rId4"/>
    <sheet name="Checks" sheetId="5" state="visible" r:id="rId5"/>
    <sheet name="EMSbIC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563C1"/>
      <sz val="11"/>
      <u val="single"/>
    </font>
    <font>
      <name val="Calibri"/>
      <b val="1"/>
      <i val="1"/>
      <sz val="11"/>
    </font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-explorer.oecd.org/vis?df%5Bds%5D=dsDisseminateFinalDMZ&amp;df%5Bid%5D=DSD_TIVA_MAINLV%40DF_MAINLV&amp;df%5Bag%5D=OECD.STI.PIE" TargetMode="External" Id="rId1" /><Relationship Type="http://schemas.openxmlformats.org/officeDocument/2006/relationships/hyperlink" Target="https://www.oecd.org/content/dam/oecd/en/topics/policy-sub-issues/trade-in-value-added/trade-in-value-added-country-notes-european-union-27-2026.pdf" TargetMode="External" Id="rId2" /><Relationship Type="http://schemas.openxmlformats.org/officeDocument/2006/relationships/hyperlink" Target="https://www.usitc.gov/publications/332/working_papers/ahmad_riker_2019_elasticity_of_substitution_and_import_sensitivity.pdf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zoomScaleNormal="100"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EMSbIC Export Market Share by Industry Category</t>
        </is>
      </c>
    </row>
    <row r="2"/>
    <row r="3">
      <c r="A3" s="1" t="inlineStr">
        <is>
          <t>Sources:</t>
        </is>
      </c>
      <c r="B3" s="2" t="inlineStr">
        <is>
          <t>Gross exports by country and industry, 2022 (numerators and world-total denominator)</t>
        </is>
      </c>
    </row>
    <row r="4">
      <c r="B4" s="3" t="inlineStr">
        <is>
          <t>OECD</t>
        </is>
      </c>
    </row>
    <row r="5" ht="30" customHeight="1">
      <c r="B5" s="3" t="inlineStr">
        <is>
          <t>Trade in Value Added (TiVA), 2025 edition - Main Indicators, Levels (dataflow DSD_TIVA_MAINLV@DF_MAINLV, measure EXGR, counterpart World, ISIC Rev. 4)</t>
        </is>
      </c>
    </row>
    <row r="6">
      <c r="B6" s="3" t="n">
        <v>2025</v>
      </c>
    </row>
    <row r="7" ht="45" customHeight="1">
      <c r="B7" s="4" t="inlineStr">
        <is>
          <t>https://data-explorer.oecd.org/vis?df%5Bds%5D=dsDisseminateFinalDMZ&amp;df%5Bid%5D=DSD_TIVA_MAINLV%40DF_MAINLV&amp;df%5Bag%5D=OECD.STI.PIE</t>
        </is>
      </c>
    </row>
    <row r="8" ht="45" customHeight="1">
      <c r="B8" s="3" t="inlineStr">
        <is>
          <t>Raw pull pasted verbatim on the 'TiVA EXGR 2022' tab; includes the reproducible API URL and the 80-economy list summed for the world denominator. Values in current USD millions. The denominator excludes a small unmodeled rest-of-world residual; shares are therefore slightly overstated (a few percent of themselves).</t>
        </is>
      </c>
    </row>
    <row r="9"/>
    <row r="10">
      <c r="B10" s="2" t="inlineStr">
        <is>
          <t>EU27 reporting basis (extra-EU exports only)</t>
        </is>
      </c>
    </row>
    <row r="11">
      <c r="B11" s="3" t="inlineStr">
        <is>
          <t>OECD</t>
        </is>
      </c>
    </row>
    <row r="12">
      <c r="B12" s="3" t="inlineStr">
        <is>
          <t>TiVA country note: European Union (27 countries)</t>
        </is>
      </c>
    </row>
    <row r="13">
      <c r="B13" s="3" t="n">
        <v>2026</v>
      </c>
    </row>
    <row r="14" ht="30" customHeight="1">
      <c r="B14" s="4" t="inlineStr">
        <is>
          <t>https://www.oecd.org/content/dam/oecd/en/topics/policy-sub-issues/trade-in-value-added/trade-in-value-added-country-notes-european-union-27-2026.pdf</t>
        </is>
      </c>
    </row>
    <row r="15" ht="30" customHeight="1">
      <c r="B15" s="3" t="inlineStr">
        <is>
          <t>The EU27_2020 reporting area counts extra-EU exports only (intra-EU trade excluded), the correct basis for an EPS EU build.</t>
        </is>
      </c>
    </row>
    <row r="16"/>
    <row r="17">
      <c r="B17" s="2" t="inlineStr">
        <is>
          <t>Why this input exists (Armington share equations)</t>
        </is>
      </c>
    </row>
    <row r="18">
      <c r="B18" s="3" t="inlineStr">
        <is>
          <t>Ahmad, Saad and David Riker / U.S. International Trade Commission</t>
        </is>
      </c>
    </row>
    <row r="19">
      <c r="B19" s="3" t="inlineStr">
        <is>
          <t>A Method for Estimating the Elasticity of Substitution and Import Sensitivity by Industry, Working Paper 2019-05-B</t>
        </is>
      </c>
    </row>
    <row r="20">
      <c r="B20" s="3" t="n">
        <v>2019</v>
      </c>
    </row>
    <row r="21" ht="30" customHeight="1">
      <c r="B21" s="4" t="inlineStr">
        <is>
          <t>https://www.usitc.gov/publications/332/working_papers/ahmad_riker_2019_elasticity_of_substitution_and_import_sensitivity.pdf</t>
        </is>
      </c>
    </row>
    <row r="22" ht="60" customHeight="1">
      <c r="B22" s="3" t="inlineStr">
        <is>
          <t>The IESE substitution elasticities describe how buyers reallocate between competing suppliers as relative costs change. Converting that into an export response requires knowing this geography's share of the world market: the larger the share, the less room foreign buyers have to substitute away. This file supplies that share. A value of 0 reproduces the small-share limit and is the safe default for any geography without data.</t>
        </is>
      </c>
    </row>
    <row r="23"/>
    <row r="24"/>
    <row r="25">
      <c r="A25" s="1" t="inlineStr">
        <is>
          <t>Notes:</t>
        </is>
      </c>
    </row>
    <row r="26" ht="45" customHeight="1">
      <c r="A26" s="1" t="inlineStr">
        <is>
          <t>Region selector</t>
        </is>
      </c>
      <c r="B26" s="3" t="inlineStr">
        <is>
          <t>The 'Region' tab holds a drop-down (cell B2). Pick the geography being built; the EMSbIC output tab and its exported CSV update automatically. Adapting this file for another EPS region requires changing only that one cell (plus re-exporting the CSV).</t>
        </is>
      </c>
    </row>
    <row r="27" ht="30" customHeight="1">
      <c r="A27" s="1" t="inlineStr">
        <is>
          <t>Definition</t>
        </is>
      </c>
      <c r="B27" s="3" t="inlineStr">
        <is>
          <t>Each value = this geography's 2022 gross exports of the industry's products / world gross exports of those products (0-1, dimensionless). Computed by formula on the 'calcs' tab from the raw TiVA source tab.</t>
        </is>
      </c>
    </row>
    <row r="28" ht="60" customHeight="1">
      <c r="A28" s="1" t="inlineStr">
        <is>
          <t>Combined categories</t>
        </is>
      </c>
      <c r="B28" s="3" t="inlineStr">
        <is>
          <t>TiVA does not publish ISIC 231 vs 239 (glass vs cement/other nonmetallic minerals) or 241 vs 242 (iron and steel vs other metals) separately. Both children carry the parent-class share (ISIC 23 and ISIC 24 respectively) - a documented approximation, appropriate because the Armington share equation needs the geography's presence in the relevant product-class market.</t>
        </is>
      </c>
    </row>
    <row r="29" ht="30" customHeight="1">
      <c r="A29" s="1" t="inlineStr">
        <is>
          <t>Energy pipelines and gas processing 352T353</t>
        </is>
      </c>
      <c r="B29" s="3" t="inlineStr">
        <is>
          <t>No TiVA activity code corresponds to this category at any aggregation level; the share is set to 0. Harmless: the IESE substitution elasticity is also 0 for this category, so the value is never used.</t>
        </is>
      </c>
    </row>
    <row r="30">
      <c r="A30" s="1" t="inlineStr">
        <is>
          <t>Rounding</t>
        </is>
      </c>
      <c r="B30" s="3" t="inlineStr">
        <is>
          <t>Output values rounded to 4 decimals.</t>
        </is>
      </c>
    </row>
    <row r="31">
      <c r="A31" s="1" t="inlineStr">
        <is>
          <t>Vintage</t>
        </is>
      </c>
      <c r="B31" s="3" t="inlineStr">
        <is>
          <t>2022 nominal USD, single-year snapshot; consider refreshing when OECD releases new TiVA editions.</t>
        </is>
      </c>
    </row>
  </sheetData>
  <hyperlinks>
    <hyperlink xmlns:r="http://schemas.openxmlformats.org/officeDocument/2006/relationships" ref="B7" r:id="rId1"/>
    <hyperlink xmlns:r="http://schemas.openxmlformats.org/officeDocument/2006/relationships" ref="B14" r:id="rId2"/>
    <hyperlink xmlns:r="http://schemas.openxmlformats.org/officeDocument/2006/relationships" ref="B21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Selected region (drop-down):</t>
        </is>
      </c>
    </row>
    <row r="2" ht="45" customHeight="1">
      <c r="A2" s="3" t="inlineStr">
        <is>
          <t>Change this one cell to adapt the file to another EPS geography.</t>
        </is>
      </c>
      <c r="B2" s="5" t="inlineStr">
        <is>
          <t>USA</t>
        </is>
      </c>
    </row>
    <row r="4">
      <c r="A4" s="1" t="inlineStr">
        <is>
          <t>Available regions:</t>
        </is>
      </c>
    </row>
    <row r="5">
      <c r="A5" t="inlineStr">
        <is>
          <t>USA</t>
        </is>
      </c>
      <c r="B5" t="inlineStr">
        <is>
          <t>United States</t>
        </is>
      </c>
    </row>
    <row r="6">
      <c r="A6" t="inlineStr">
        <is>
          <t>CHN</t>
        </is>
      </c>
      <c r="B6" t="inlineStr">
        <is>
          <t>China</t>
        </is>
      </c>
    </row>
    <row r="7">
      <c r="A7" t="inlineStr">
        <is>
          <t>IND</t>
        </is>
      </c>
      <c r="B7" t="inlineStr">
        <is>
          <t>India</t>
        </is>
      </c>
    </row>
    <row r="8">
      <c r="A8" t="inlineStr">
        <is>
          <t>EU27_2020</t>
        </is>
      </c>
      <c r="B8" t="inlineStr">
        <is>
          <t>European Union (extra-EU exports)</t>
        </is>
      </c>
    </row>
    <row r="9">
      <c r="A9" t="inlineStr">
        <is>
          <t>JPN</t>
        </is>
      </c>
      <c r="B9" t="inlineStr">
        <is>
          <t>Japan</t>
        </is>
      </c>
    </row>
    <row r="10">
      <c r="A10" t="inlineStr">
        <is>
          <t>CAN</t>
        </is>
      </c>
      <c r="B10" t="inlineStr">
        <is>
          <t>Canada</t>
        </is>
      </c>
    </row>
    <row r="11">
      <c r="A11" t="inlineStr">
        <is>
          <t>MEX</t>
        </is>
      </c>
      <c r="B11" t="inlineStr">
        <is>
          <t>Mexico</t>
        </is>
      </c>
    </row>
    <row r="12">
      <c r="A12" t="inlineStr">
        <is>
          <t>BRA</t>
        </is>
      </c>
      <c r="B12" t="inlineStr">
        <is>
          <t>Brazil</t>
        </is>
      </c>
    </row>
    <row r="13">
      <c r="A13" t="inlineStr">
        <is>
          <t>IDN</t>
        </is>
      </c>
      <c r="B13" t="inlineStr">
        <is>
          <t>Indonesia</t>
        </is>
      </c>
    </row>
    <row r="14">
      <c r="A14" t="inlineStr">
        <is>
          <t>SAU</t>
        </is>
      </c>
      <c r="B14" t="inlineStr">
        <is>
          <t>Saudi Arabia</t>
        </is>
      </c>
    </row>
  </sheetData>
  <dataValidations count="1">
    <dataValidation sqref="B2" showDropDown="0" showInputMessage="0" showErrorMessage="0" allowBlank="0" errorTitle="Invalid region" error="Pick one of the regions available on the TiVA EXGR 2022 source tab." type="list">
      <formula1>"USA,CHN,IND,EU27_2020,JPN,CAN,MEX,BRA,IDN,SAU"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t="inlineStr">
        <is>
          <t>activity_code</t>
        </is>
      </c>
      <c r="B1" t="inlineStr">
        <is>
          <t>activity_label</t>
        </is>
      </c>
      <c r="C1" t="inlineStr">
        <is>
          <t>USA</t>
        </is>
      </c>
      <c r="D1" t="inlineStr">
        <is>
          <t>CHN</t>
        </is>
      </c>
      <c r="E1" t="inlineStr">
        <is>
          <t>IND</t>
        </is>
      </c>
      <c r="F1" t="inlineStr">
        <is>
          <t>EU27_2020</t>
        </is>
      </c>
      <c r="G1" t="inlineStr">
        <is>
          <t>JPN</t>
        </is>
      </c>
      <c r="H1" t="inlineStr">
        <is>
          <t>CAN</t>
        </is>
      </c>
      <c r="I1" t="inlineStr">
        <is>
          <t>MEX</t>
        </is>
      </c>
      <c r="J1" t="inlineStr">
        <is>
          <t>BRA</t>
        </is>
      </c>
      <c r="K1" t="inlineStr">
        <is>
          <t>IDN</t>
        </is>
      </c>
      <c r="L1" t="inlineStr">
        <is>
          <t>SAU</t>
        </is>
      </c>
      <c r="M1" t="inlineStr">
        <is>
          <t>WORLD_TOTAL</t>
        </is>
      </c>
    </row>
    <row r="2">
      <c r="A2" t="inlineStr">
        <is>
          <t>A</t>
        </is>
      </c>
      <c r="B2" t="inlineStr">
        <is>
          <t>01T03 Agriculture, forestry and fishing</t>
        </is>
      </c>
      <c r="C2" t="n">
        <v>70105.496</v>
      </c>
      <c r="D2" t="n">
        <v>19085.722</v>
      </c>
      <c r="E2" t="n">
        <v>14065.235</v>
      </c>
      <c r="F2" t="n">
        <v>40560.694</v>
      </c>
      <c r="G2" t="n">
        <v>1137.011</v>
      </c>
      <c r="H2" t="n">
        <v>25757.366</v>
      </c>
      <c r="I2" t="n">
        <v>15173.064</v>
      </c>
      <c r="J2" t="n">
        <v>63060.183</v>
      </c>
      <c r="K2" t="n">
        <v>7424.753</v>
      </c>
      <c r="L2" t="n">
        <v>693.02</v>
      </c>
      <c r="M2" t="n">
        <v>542278.1189999999</v>
      </c>
    </row>
    <row r="3">
      <c r="A3" t="inlineStr">
        <is>
          <t>B05</t>
        </is>
      </c>
      <c r="B3" t="inlineStr">
        <is>
          <t>05 Coal mining</t>
        </is>
      </c>
      <c r="C3" t="n">
        <v>13417.79</v>
      </c>
      <c r="D3" t="n">
        <v>1084.184</v>
      </c>
      <c r="E3" t="n">
        <v>301.381</v>
      </c>
      <c r="F3" t="n">
        <v>880.984</v>
      </c>
      <c r="G3" t="n">
        <v>1.716</v>
      </c>
      <c r="H3" t="n">
        <v>5118.66</v>
      </c>
      <c r="I3" t="n">
        <v>1.271</v>
      </c>
      <c r="J3" t="n">
        <v>365.142</v>
      </c>
      <c r="K3" t="n">
        <v>52038.653</v>
      </c>
      <c r="L3" t="n">
        <v>0</v>
      </c>
      <c r="M3" t="n">
        <v>184402.483</v>
      </c>
    </row>
    <row r="4">
      <c r="A4" t="inlineStr">
        <is>
          <t>B06</t>
        </is>
      </c>
      <c r="B4" t="inlineStr">
        <is>
          <t>06 Oil and gas extraction</t>
        </is>
      </c>
      <c r="C4" t="n">
        <v>177740.859</v>
      </c>
      <c r="D4" t="n">
        <v>4288.144</v>
      </c>
      <c r="E4" t="n">
        <v>283.92</v>
      </c>
      <c r="F4" t="n">
        <v>6684.688</v>
      </c>
      <c r="G4" t="n">
        <v>50.732</v>
      </c>
      <c r="H4" t="n">
        <v>102282.111</v>
      </c>
      <c r="I4" t="n">
        <v>30437.175</v>
      </c>
      <c r="J4" t="n">
        <v>41909.531</v>
      </c>
      <c r="K4" t="n">
        <v>20924.372</v>
      </c>
      <c r="L4" t="n">
        <v>223045.399</v>
      </c>
      <c r="M4" t="n">
        <v>1401054.321</v>
      </c>
    </row>
    <row r="5">
      <c r="A5" t="inlineStr">
        <is>
          <t>B07_08</t>
        </is>
      </c>
      <c r="B5" t="inlineStr">
        <is>
          <t>07T08 Other mining and quarrying</t>
        </is>
      </c>
      <c r="C5" t="n">
        <v>12194.544</v>
      </c>
      <c r="D5" t="n">
        <v>11512.952</v>
      </c>
      <c r="E5" t="n">
        <v>2440.439</v>
      </c>
      <c r="F5" t="n">
        <v>9576.214</v>
      </c>
      <c r="G5" t="n">
        <v>547.842</v>
      </c>
      <c r="H5" t="n">
        <v>15890.886</v>
      </c>
      <c r="I5" t="n">
        <v>9616.715</v>
      </c>
      <c r="J5" t="n">
        <v>35087.03</v>
      </c>
      <c r="K5" t="n">
        <v>15832.875</v>
      </c>
      <c r="L5" t="n">
        <v>1490.52</v>
      </c>
      <c r="M5" t="n">
        <v>422564.972</v>
      </c>
    </row>
    <row r="6">
      <c r="A6" t="inlineStr">
        <is>
          <t>C10T12</t>
        </is>
      </c>
      <c r="B6" t="inlineStr">
        <is>
          <t>10T12 Food, beverage and tobacco</t>
        </is>
      </c>
      <c r="C6" t="n">
        <v>66170.959</v>
      </c>
      <c r="D6" t="n">
        <v>67688.689</v>
      </c>
      <c r="E6" t="n">
        <v>38528.78</v>
      </c>
      <c r="F6" t="n">
        <v>174588.352</v>
      </c>
      <c r="G6" t="n">
        <v>6078.644</v>
      </c>
      <c r="H6" t="n">
        <v>30837.924</v>
      </c>
      <c r="I6" t="n">
        <v>22857.893</v>
      </c>
      <c r="J6" t="n">
        <v>46407.18</v>
      </c>
      <c r="K6" t="n">
        <v>44878.811</v>
      </c>
      <c r="L6" t="n">
        <v>3387.696</v>
      </c>
      <c r="M6" t="n">
        <v>1075703.749</v>
      </c>
    </row>
    <row r="7">
      <c r="A7" t="inlineStr">
        <is>
          <t>C13T15</t>
        </is>
      </c>
      <c r="B7" t="inlineStr">
        <is>
          <t>13T15 Textiles, apparel and leather</t>
        </is>
      </c>
      <c r="C7" t="n">
        <v>14783.394</v>
      </c>
      <c r="D7" t="n">
        <v>311397.009</v>
      </c>
      <c r="E7" t="n">
        <v>36955.795</v>
      </c>
      <c r="F7" t="n">
        <v>56917.335</v>
      </c>
      <c r="G7" t="n">
        <v>5085.993</v>
      </c>
      <c r="H7" t="n">
        <v>2490.557</v>
      </c>
      <c r="I7" t="n">
        <v>7146.794</v>
      </c>
      <c r="J7" t="n">
        <v>3072.157</v>
      </c>
      <c r="K7" t="n">
        <v>16798.59</v>
      </c>
      <c r="L7" t="n">
        <v>592.322</v>
      </c>
      <c r="M7" t="n">
        <v>729761.794</v>
      </c>
    </row>
    <row r="8">
      <c r="A8" t="inlineStr">
        <is>
          <t>C16</t>
        </is>
      </c>
      <c r="B8" t="inlineStr">
        <is>
          <t>16 Wood products</t>
        </is>
      </c>
      <c r="C8" t="n">
        <v>6276.34</v>
      </c>
      <c r="D8" t="n">
        <v>16952.181</v>
      </c>
      <c r="E8" t="n">
        <v>716.196</v>
      </c>
      <c r="F8" t="n">
        <v>24250.879</v>
      </c>
      <c r="G8" t="n">
        <v>255.202</v>
      </c>
      <c r="H8" t="n">
        <v>14615.867</v>
      </c>
      <c r="I8" t="n">
        <v>761.539</v>
      </c>
      <c r="J8" t="n">
        <v>3939.237</v>
      </c>
      <c r="K8" t="n">
        <v>4165.344</v>
      </c>
      <c r="L8" t="n">
        <v>49.778</v>
      </c>
      <c r="M8" t="n">
        <v>138852.973</v>
      </c>
    </row>
    <row r="9">
      <c r="A9" t="inlineStr">
        <is>
          <t>C17_18</t>
        </is>
      </c>
      <c r="B9" t="inlineStr">
        <is>
          <t>17T18 Pulp, paper and printing</t>
        </is>
      </c>
      <c r="C9" t="n">
        <v>26338.118</v>
      </c>
      <c r="D9" t="n">
        <v>30865.838</v>
      </c>
      <c r="E9" t="n">
        <v>2019.066</v>
      </c>
      <c r="F9" t="n">
        <v>43991.252</v>
      </c>
      <c r="G9" t="n">
        <v>3393.191</v>
      </c>
      <c r="H9" t="n">
        <v>14629.683</v>
      </c>
      <c r="I9" t="n">
        <v>2706.341</v>
      </c>
      <c r="J9" t="n">
        <v>8543.022000000001</v>
      </c>
      <c r="K9" t="n">
        <v>8117.731</v>
      </c>
      <c r="L9" t="n">
        <v>1622.103</v>
      </c>
      <c r="M9" t="n">
        <v>251865.149</v>
      </c>
    </row>
    <row r="10">
      <c r="A10" t="inlineStr">
        <is>
          <t>C19</t>
        </is>
      </c>
      <c r="B10" t="inlineStr">
        <is>
          <t>19 Refined petroleum and coke</t>
        </is>
      </c>
      <c r="C10" t="n">
        <v>130038.525</v>
      </c>
      <c r="D10" t="n">
        <v>46203.925</v>
      </c>
      <c r="E10" t="n">
        <v>87662.594</v>
      </c>
      <c r="F10" t="n">
        <v>76445.327</v>
      </c>
      <c r="G10" t="n">
        <v>13026.579</v>
      </c>
      <c r="H10" t="n">
        <v>19745.412</v>
      </c>
      <c r="I10" t="n">
        <v>4651.075</v>
      </c>
      <c r="J10" t="n">
        <v>10815.301</v>
      </c>
      <c r="K10" t="n">
        <v>4305.623</v>
      </c>
      <c r="L10" t="n">
        <v>69462.38</v>
      </c>
      <c r="M10" t="n">
        <v>886138.069</v>
      </c>
    </row>
    <row r="11">
      <c r="A11" t="inlineStr">
        <is>
          <t>C20</t>
        </is>
      </c>
      <c r="B11" t="inlineStr">
        <is>
          <t>20 Chemicals</t>
        </is>
      </c>
      <c r="C11" t="n">
        <v>124887.391</v>
      </c>
      <c r="D11" t="n">
        <v>196992.819</v>
      </c>
      <c r="E11" t="n">
        <v>32330.325</v>
      </c>
      <c r="F11" t="n">
        <v>217248.593</v>
      </c>
      <c r="G11" t="n">
        <v>51633.892</v>
      </c>
      <c r="H11" t="n">
        <v>26406.326</v>
      </c>
      <c r="I11" t="n">
        <v>12303.474</v>
      </c>
      <c r="J11" t="n">
        <v>13395.004</v>
      </c>
      <c r="K11" t="n">
        <v>21644.938</v>
      </c>
      <c r="L11" t="n">
        <v>50368.412</v>
      </c>
      <c r="M11" t="n">
        <v>1376572.766</v>
      </c>
    </row>
    <row r="12">
      <c r="A12" t="inlineStr">
        <is>
          <t>C22</t>
        </is>
      </c>
      <c r="B12" t="inlineStr">
        <is>
          <t>22 Rubber and plastic products</t>
        </is>
      </c>
      <c r="C12" t="n">
        <v>27454.418</v>
      </c>
      <c r="D12" t="n">
        <v>119598.293</v>
      </c>
      <c r="E12" t="n">
        <v>8940.002</v>
      </c>
      <c r="F12" t="n">
        <v>65686.378</v>
      </c>
      <c r="G12" t="n">
        <v>20403.929</v>
      </c>
      <c r="H12" t="n">
        <v>12044.12</v>
      </c>
      <c r="I12" t="n">
        <v>13130.784</v>
      </c>
      <c r="J12" t="n">
        <v>2813.446</v>
      </c>
      <c r="K12" t="n">
        <v>4204.981</v>
      </c>
      <c r="L12" t="n">
        <v>2773.098</v>
      </c>
      <c r="M12" t="n">
        <v>482696.855</v>
      </c>
    </row>
    <row r="13">
      <c r="A13" t="inlineStr">
        <is>
          <t>C23</t>
        </is>
      </c>
      <c r="B13" t="inlineStr">
        <is>
          <t>231+239 COMBINED (Glass; Cement and other nonmetallic minerals) - EPS 231/239 not separable in TiVA</t>
        </is>
      </c>
      <c r="C13" t="n">
        <v>9808.924999999999</v>
      </c>
      <c r="D13" t="n">
        <v>66071.73699999999</v>
      </c>
      <c r="E13" t="n">
        <v>8273.539000000001</v>
      </c>
      <c r="F13" t="n">
        <v>32129.07</v>
      </c>
      <c r="G13" t="n">
        <v>6875.311</v>
      </c>
      <c r="H13" t="n">
        <v>3851.418</v>
      </c>
      <c r="I13" t="n">
        <v>4437.84</v>
      </c>
      <c r="J13" t="n">
        <v>1884.192</v>
      </c>
      <c r="K13" t="n">
        <v>1111.885</v>
      </c>
      <c r="L13" t="n">
        <v>936.053</v>
      </c>
      <c r="M13" t="n">
        <v>216485.896</v>
      </c>
    </row>
    <row r="14">
      <c r="A14" t="inlineStr">
        <is>
          <t>C24</t>
        </is>
      </c>
      <c r="B14" t="inlineStr">
        <is>
          <t>241+242 COMBINED (Iron and steel; Other metals) - EPS 241/242 not separable in TiVA</t>
        </is>
      </c>
      <c r="C14" t="n">
        <v>54297.355</v>
      </c>
      <c r="D14" t="n">
        <v>130247.992</v>
      </c>
      <c r="E14" t="n">
        <v>37487.165</v>
      </c>
      <c r="F14" t="n">
        <v>74370.38499999999</v>
      </c>
      <c r="G14" t="n">
        <v>70959.743</v>
      </c>
      <c r="H14" t="n">
        <v>45257.288</v>
      </c>
      <c r="I14" t="n">
        <v>16928.948</v>
      </c>
      <c r="J14" t="n">
        <v>19271.888</v>
      </c>
      <c r="K14" t="n">
        <v>17129.21</v>
      </c>
      <c r="L14" t="n">
        <v>5977.912</v>
      </c>
      <c r="M14" t="n">
        <v>952351.023</v>
      </c>
    </row>
    <row r="15">
      <c r="A15" t="inlineStr">
        <is>
          <t>C25</t>
        </is>
      </c>
      <c r="B15" t="inlineStr">
        <is>
          <t>25 Metal products except machinery and vehicles</t>
        </is>
      </c>
      <c r="C15" t="n">
        <v>30307.613</v>
      </c>
      <c r="D15" t="n">
        <v>144457.212</v>
      </c>
      <c r="E15" t="n">
        <v>8664.547</v>
      </c>
      <c r="F15" t="n">
        <v>74749.97900000001</v>
      </c>
      <c r="G15" t="n">
        <v>7365.876</v>
      </c>
      <c r="H15" t="n">
        <v>11481.075</v>
      </c>
      <c r="I15" t="n">
        <v>12168.868</v>
      </c>
      <c r="J15" t="n">
        <v>2556.66</v>
      </c>
      <c r="K15" t="n">
        <v>1408.999</v>
      </c>
      <c r="L15" t="n">
        <v>1075.534</v>
      </c>
      <c r="M15" t="n">
        <v>504270.822</v>
      </c>
    </row>
    <row r="16">
      <c r="A16" t="inlineStr">
        <is>
          <t>C26</t>
        </is>
      </c>
      <c r="B16" t="inlineStr">
        <is>
          <t>26 Computers and electronics</t>
        </is>
      </c>
      <c r="C16" t="n">
        <v>105169.159</v>
      </c>
      <c r="D16" t="n">
        <v>656018.868</v>
      </c>
      <c r="E16" t="n">
        <v>28614.532</v>
      </c>
      <c r="F16" t="n">
        <v>132830.377</v>
      </c>
      <c r="G16" t="n">
        <v>74727.037</v>
      </c>
      <c r="H16" t="n">
        <v>9944.031000000001</v>
      </c>
      <c r="I16" t="n">
        <v>73553.287</v>
      </c>
      <c r="J16" t="n">
        <v>1381.269</v>
      </c>
      <c r="K16" t="n">
        <v>8274.031999999999</v>
      </c>
      <c r="L16" t="n">
        <v>21.7</v>
      </c>
      <c r="M16" t="n">
        <v>2049603.332</v>
      </c>
    </row>
    <row r="17">
      <c r="A17" t="inlineStr">
        <is>
          <t>C27</t>
        </is>
      </c>
      <c r="B17" t="inlineStr">
        <is>
          <t>27 Appliances and electrical equipment</t>
        </is>
      </c>
      <c r="C17" t="n">
        <v>26932.017</v>
      </c>
      <c r="D17" t="n">
        <v>322957.67</v>
      </c>
      <c r="E17" t="n">
        <v>8647.735000000001</v>
      </c>
      <c r="F17" t="n">
        <v>111229.567</v>
      </c>
      <c r="G17" t="n">
        <v>54486.588</v>
      </c>
      <c r="H17" t="n">
        <v>5721.343</v>
      </c>
      <c r="I17" t="n">
        <v>35371.427</v>
      </c>
      <c r="J17" t="n">
        <v>2901.102</v>
      </c>
      <c r="K17" t="n">
        <v>7106.365</v>
      </c>
      <c r="L17" t="n">
        <v>717.168</v>
      </c>
      <c r="M17" t="n">
        <v>854211.211</v>
      </c>
    </row>
    <row r="18">
      <c r="A18" t="inlineStr">
        <is>
          <t>C28</t>
        </is>
      </c>
      <c r="B18" t="inlineStr">
        <is>
          <t>28 Other machinery</t>
        </is>
      </c>
      <c r="C18" t="n">
        <v>101591.34</v>
      </c>
      <c r="D18" t="n">
        <v>223114.395</v>
      </c>
      <c r="E18" t="n">
        <v>23526.345</v>
      </c>
      <c r="F18" t="n">
        <v>248511.898</v>
      </c>
      <c r="G18" t="n">
        <v>112598.483</v>
      </c>
      <c r="H18" t="n">
        <v>22316.04</v>
      </c>
      <c r="I18" t="n">
        <v>33930.842</v>
      </c>
      <c r="J18" t="n">
        <v>7486.818</v>
      </c>
      <c r="K18" t="n">
        <v>3406.449</v>
      </c>
      <c r="L18" t="n">
        <v>1014.079</v>
      </c>
      <c r="M18" t="n">
        <v>1196145.812</v>
      </c>
    </row>
    <row r="19">
      <c r="A19" t="inlineStr">
        <is>
          <t>C29</t>
        </is>
      </c>
      <c r="B19" t="inlineStr">
        <is>
          <t>29 Road vehicles</t>
        </is>
      </c>
      <c r="C19" t="n">
        <v>91868.11599999999</v>
      </c>
      <c r="D19" t="n">
        <v>122890.017</v>
      </c>
      <c r="E19" t="n">
        <v>14994.77</v>
      </c>
      <c r="F19" t="n">
        <v>252411.899</v>
      </c>
      <c r="G19" t="n">
        <v>149528.905</v>
      </c>
      <c r="H19" t="n">
        <v>35894.028</v>
      </c>
      <c r="I19" t="n">
        <v>137506.205</v>
      </c>
      <c r="J19" t="n">
        <v>11318.404</v>
      </c>
      <c r="K19" t="n">
        <v>7366.496</v>
      </c>
      <c r="L19" t="n">
        <v>24.899</v>
      </c>
      <c r="M19" t="n">
        <v>1364876.345</v>
      </c>
    </row>
    <row r="20">
      <c r="A20" t="inlineStr">
        <is>
          <t>C30</t>
        </is>
      </c>
      <c r="B20" t="inlineStr">
        <is>
          <t>30 Nonroad vehicles</t>
        </is>
      </c>
      <c r="C20" t="n">
        <v>93200.84299999999</v>
      </c>
      <c r="D20" t="n">
        <v>63304.873</v>
      </c>
      <c r="E20" t="n">
        <v>8731.337</v>
      </c>
      <c r="F20" t="n">
        <v>105949.271</v>
      </c>
      <c r="G20" t="n">
        <v>21268.217</v>
      </c>
      <c r="H20" t="n">
        <v>14785.869</v>
      </c>
      <c r="I20" t="n">
        <v>12768.955</v>
      </c>
      <c r="J20" t="n">
        <v>3439.371</v>
      </c>
      <c r="K20" t="n">
        <v>3884.012</v>
      </c>
      <c r="L20" t="n">
        <v>51.488</v>
      </c>
      <c r="M20" t="n">
        <v>487848.684</v>
      </c>
    </row>
    <row r="21">
      <c r="A21" t="inlineStr">
        <is>
          <t>C31T33</t>
        </is>
      </c>
      <c r="B21" t="inlineStr">
        <is>
          <t>31T33 Other manufacturing</t>
        </is>
      </c>
      <c r="C21" t="n">
        <v>52723.505</v>
      </c>
      <c r="D21" t="n">
        <v>206027.572</v>
      </c>
      <c r="E21" t="n">
        <v>43064.887</v>
      </c>
      <c r="F21" t="n">
        <v>101643.995</v>
      </c>
      <c r="G21" t="n">
        <v>6445.81</v>
      </c>
      <c r="H21" t="n">
        <v>10822.009</v>
      </c>
      <c r="I21" t="n">
        <v>17236.536</v>
      </c>
      <c r="J21" t="n">
        <v>2309.444</v>
      </c>
      <c r="K21" t="n">
        <v>8518.498</v>
      </c>
      <c r="L21" t="n">
        <v>787.529</v>
      </c>
      <c r="M21" t="n">
        <v>662198.676</v>
      </c>
    </row>
    <row r="22">
      <c r="A22" t="inlineStr">
        <is>
          <t>E</t>
        </is>
      </c>
      <c r="B22" t="inlineStr">
        <is>
          <t>36T39 Water and waste</t>
        </is>
      </c>
      <c r="C22" t="n">
        <v>100.671</v>
      </c>
      <c r="D22" t="n">
        <v>0.079</v>
      </c>
      <c r="E22" t="n">
        <v>0.765</v>
      </c>
      <c r="F22" t="n">
        <v>2025.426</v>
      </c>
      <c r="G22" t="n">
        <v>84.95</v>
      </c>
      <c r="H22" t="n">
        <v>483.809</v>
      </c>
      <c r="I22" t="n">
        <v>0.668</v>
      </c>
      <c r="J22" t="n">
        <v>0.266</v>
      </c>
      <c r="K22" t="n">
        <v>3.237</v>
      </c>
      <c r="L22" t="n">
        <v>6.124</v>
      </c>
      <c r="M22" t="n">
        <v>7722.441</v>
      </c>
    </row>
    <row r="23">
      <c r="A23" t="inlineStr">
        <is>
          <t>F</t>
        </is>
      </c>
      <c r="B23" t="inlineStr">
        <is>
          <t>41T43 Construction</t>
        </is>
      </c>
      <c r="C23" t="n">
        <v>4.697</v>
      </c>
      <c r="D23" t="n">
        <v>0.147</v>
      </c>
      <c r="E23" t="n">
        <v>1208.859</v>
      </c>
      <c r="F23" t="n">
        <v>7380.874</v>
      </c>
      <c r="G23" t="n">
        <v>100.737</v>
      </c>
      <c r="H23" t="n">
        <v>0.002</v>
      </c>
      <c r="I23" t="n">
        <v>169.527</v>
      </c>
      <c r="J23" t="n">
        <v>16.156</v>
      </c>
      <c r="K23" t="n">
        <v>37.743</v>
      </c>
      <c r="L23" t="n">
        <v>191.272</v>
      </c>
      <c r="M23" t="n">
        <v>25648.397</v>
      </c>
    </row>
    <row r="24">
      <c r="A24" t="inlineStr">
        <is>
          <t>#</t>
        </is>
      </c>
    </row>
    <row r="25">
      <c r="A25" t="inlineStr">
        <is>
          <t># METADATA</t>
        </is>
      </c>
    </row>
    <row r="26">
      <c r="A26" t="inlineStr">
        <is>
          <t># source_dataflow_id: OECD.STI.PIE</t>
        </is>
      </c>
      <c r="B26" t="inlineStr">
        <is>
          <t>DSD_TIVA_EXGRVA@DF_EXGRVA -&gt; switched to OECD.STI.PIE</t>
        </is>
      </c>
      <c r="C26" t="inlineStr">
        <is>
          <t>DSD_TIVA_MAINLV@DF_MAINLV</t>
        </is>
      </c>
      <c r="D26" t="inlineStr">
        <is>
          <t>1.1 ("TiVA 2025 edition - Main Indicators</t>
        </is>
      </c>
      <c r="E26" t="inlineStr">
        <is>
          <t xml:space="preserve"> Levels") after confirming EXGRVA's value-added source-area/activity decomposition cannot be summed cleanly (overlapping aggregate codes double-count); MAINLV reports a single clean pre-aggregated gross-export figure per (country</t>
        </is>
      </c>
      <c r="F26" t="inlineStr">
        <is>
          <t xml:space="preserve"> industry).</t>
        </is>
      </c>
    </row>
    <row r="27">
      <c r="A27" t="inlineStr">
        <is>
          <t># measure: EXGR (Gross exports</t>
        </is>
      </c>
      <c r="B27" t="inlineStr">
        <is>
          <t xml:space="preserve"> current USD)</t>
        </is>
      </c>
    </row>
    <row r="28">
      <c r="A28" t="inlineStr">
        <is>
          <t># counterpart_area: W (World - i.e. exports to all destinations</t>
        </is>
      </c>
      <c r="B28" t="inlineStr">
        <is>
          <t xml:space="preserve"> not bilateral)</t>
        </is>
      </c>
    </row>
    <row r="29">
      <c r="A29" t="inlineStr">
        <is>
          <t># activity_classification: CL_ACTIVITY_ISIC4 (ISIC Revision 4)</t>
        </is>
      </c>
      <c r="B29" t="inlineStr">
        <is>
          <t xml:space="preserve"> restricted to the code set actually populated in this dataflow (verified by extracting the full distinct ACTIVITY code list from the pulled data; TiVA does not publish deeper splits than shown here</t>
        </is>
      </c>
      <c r="C29" t="inlineStr">
        <is>
          <t xml:space="preserve"> e.g. no ISIC 231/239 or 241/242 breakout</t>
        </is>
      </c>
      <c r="D29" t="inlineStr">
        <is>
          <t xml:space="preserve"> no 352/353 breakout)</t>
        </is>
      </c>
    </row>
    <row r="30">
      <c r="A30" t="inlineStr">
        <is>
          <t># year: 2022 (TIME_PERIOD)</t>
        </is>
      </c>
      <c r="B30" t="inlineStr">
        <is>
          <t xml:space="preserve"> annual (FREQ=A)</t>
        </is>
      </c>
      <c r="C30" t="inlineStr">
        <is>
          <t xml:space="preserve"> unit: USD</t>
        </is>
      </c>
      <c r="D30" t="inlineStr">
        <is>
          <t xml:space="preserve"> UNIT_MULT=6 (i.e. raw OBS_VALUE x 10^6 = current USD; the values in this file are already expressed in USD millions</t>
        </is>
      </c>
      <c r="E30" t="inlineStr">
        <is>
          <t xml:space="preserve"> matching raw OBS_VALUE directly)</t>
        </is>
      </c>
    </row>
    <row r="31">
      <c r="A31" t="inlineStr">
        <is>
          <t># api_url: https://sdmx.oecd.org/sti-public/rest/data/OECD.STI.PIE</t>
        </is>
      </c>
      <c r="B31" t="inlineStr">
        <is>
          <t>DSD_TIVA_MAINLV@DF_MAINLV</t>
        </is>
      </c>
      <c r="C31" t="inlineStr">
        <is>
          <t>1.1/EXGR...W.USD.A?startPeriod=2022&amp;endPeriod=2022&amp;format=csv</t>
        </is>
      </c>
    </row>
    <row r="32">
      <c r="A32" t="inlineStr">
        <is>
          <t># ui_reference: https://data-explorer.oecd.org/vis?df%5Bds%5D=dsDisseminateFinalDMZ&amp;df%5Bid%5D=DSD_TIVA_MAINLV%40DF_MAINLV&amp;df%5Bag%5D=OECD.STI.PIE</t>
        </is>
      </c>
    </row>
    <row r="33">
      <c r="A33" t="inlineStr">
        <is>
          <t># eu_column_note: EU27_2020 reporting area is extra-EU27 exports only (intra-EU flows excluded) per OECD TiVA EU27 country note (Feb 2026): https://www.oecd.org/content/dam/oecd/en/topics/policy-sub-issues/trade-in-value-added/trade-in-value-added-country-notes-european-union-27-2026.pdf ; verified empirically (sum of 27 national exports &gt;&gt; EU27_2020 aggregate for a test activity).</t>
        </is>
      </c>
    </row>
    <row r="34">
      <c r="A34" t="inlineStr">
        <is>
          <t># world_total_denominator_note: WORLD_TOTAL = sum of gross exports of the 80 individually-modeled economies below (all to all destinations). Excludes a small unmodeled "rest of world" residual not covered individually by the OECD Inter-Country Input-Output table</t>
        </is>
      </c>
      <c r="B34" t="inlineStr">
        <is>
          <t xml:space="preserve"> so shares computed from this denominator are a slight overstatement (denominator too small by a few percent).</t>
        </is>
      </c>
    </row>
    <row r="35">
      <c r="A35" t="inlineStr">
        <is>
          <t># world_total_denominator_countries_iso3: AGO</t>
        </is>
      </c>
      <c r="B35" t="inlineStr">
        <is>
          <t>ARE</t>
        </is>
      </c>
      <c r="C35" t="inlineStr">
        <is>
          <t>ARG</t>
        </is>
      </c>
      <c r="D35" t="inlineStr">
        <is>
          <t>AUS</t>
        </is>
      </c>
      <c r="E35" t="inlineStr">
        <is>
          <t>AUT</t>
        </is>
      </c>
      <c r="F35" t="inlineStr">
        <is>
          <t>BEL</t>
        </is>
      </c>
      <c r="G35" t="inlineStr">
        <is>
          <t>BGD</t>
        </is>
      </c>
      <c r="H35" t="inlineStr">
        <is>
          <t>BGR</t>
        </is>
      </c>
      <c r="I35" t="inlineStr">
        <is>
          <t>BLR</t>
        </is>
      </c>
      <c r="J35" t="inlineStr">
        <is>
          <t>BRA</t>
        </is>
      </c>
      <c r="K35" t="inlineStr">
        <is>
          <t>BRN</t>
        </is>
      </c>
      <c r="L35" t="inlineStr">
        <is>
          <t>CAN</t>
        </is>
      </c>
      <c r="M35" t="inlineStr">
        <is>
          <t>CHE</t>
        </is>
      </c>
      <c r="N35" t="inlineStr">
        <is>
          <t>CHL</t>
        </is>
      </c>
      <c r="O35" t="inlineStr">
        <is>
          <t>CHN</t>
        </is>
      </c>
      <c r="P35" t="inlineStr">
        <is>
          <t>CIV</t>
        </is>
      </c>
      <c r="Q35" t="inlineStr">
        <is>
          <t>CMR</t>
        </is>
      </c>
      <c r="R35" t="inlineStr">
        <is>
          <t>COD</t>
        </is>
      </c>
      <c r="S35" t="inlineStr">
        <is>
          <t>COL</t>
        </is>
      </c>
      <c r="T35" t="inlineStr">
        <is>
          <t>CRI</t>
        </is>
      </c>
      <c r="U35" t="inlineStr">
        <is>
          <t>CYP</t>
        </is>
      </c>
      <c r="V35" t="inlineStr">
        <is>
          <t>CZE</t>
        </is>
      </c>
      <c r="W35" t="inlineStr">
        <is>
          <t>DEU</t>
        </is>
      </c>
      <c r="X35" t="inlineStr">
        <is>
          <t>DNK</t>
        </is>
      </c>
      <c r="Y35" t="inlineStr">
        <is>
          <t>EGY</t>
        </is>
      </c>
      <c r="Z35" t="inlineStr">
        <is>
          <t>ESP</t>
        </is>
      </c>
      <c r="AA35" t="inlineStr">
        <is>
          <t>EST</t>
        </is>
      </c>
      <c r="AB35" t="inlineStr">
        <is>
          <t>FIN</t>
        </is>
      </c>
      <c r="AC35" t="inlineStr">
        <is>
          <t>FRA</t>
        </is>
      </c>
      <c r="AD35" t="inlineStr">
        <is>
          <t>GBR</t>
        </is>
      </c>
      <c r="AE35" t="inlineStr">
        <is>
          <t>GRC</t>
        </is>
      </c>
      <c r="AF35" t="inlineStr">
        <is>
          <t>HKG</t>
        </is>
      </c>
      <c r="AG35" t="inlineStr">
        <is>
          <t>HRV</t>
        </is>
      </c>
      <c r="AH35" t="inlineStr">
        <is>
          <t>HUN</t>
        </is>
      </c>
      <c r="AI35" t="inlineStr">
        <is>
          <t>IDN</t>
        </is>
      </c>
      <c r="AJ35" t="inlineStr">
        <is>
          <t>IND</t>
        </is>
      </c>
      <c r="AK35" t="inlineStr">
        <is>
          <t>IRL</t>
        </is>
      </c>
      <c r="AL35" t="inlineStr">
        <is>
          <t>ISL</t>
        </is>
      </c>
      <c r="AM35" t="inlineStr">
        <is>
          <t>ISR</t>
        </is>
      </c>
      <c r="AN35" t="inlineStr">
        <is>
          <t>ITA</t>
        </is>
      </c>
      <c r="AO35" t="inlineStr">
        <is>
          <t>JOR</t>
        </is>
      </c>
      <c r="AP35" t="inlineStr">
        <is>
          <t>JPN</t>
        </is>
      </c>
      <c r="AQ35" t="inlineStr">
        <is>
          <t>KAZ</t>
        </is>
      </c>
      <c r="AR35" t="inlineStr">
        <is>
          <t>KHM</t>
        </is>
      </c>
      <c r="AS35" t="inlineStr">
        <is>
          <t>KOR</t>
        </is>
      </c>
      <c r="AT35" t="inlineStr">
        <is>
          <t>LAO</t>
        </is>
      </c>
      <c r="AU35" t="inlineStr">
        <is>
          <t>LTU</t>
        </is>
      </c>
      <c r="AV35" t="inlineStr">
        <is>
          <t>LUX</t>
        </is>
      </c>
      <c r="AW35" t="inlineStr">
        <is>
          <t>LVA</t>
        </is>
      </c>
      <c r="AX35" t="inlineStr">
        <is>
          <t>MAR</t>
        </is>
      </c>
      <c r="AY35" t="inlineStr">
        <is>
          <t>MEX</t>
        </is>
      </c>
      <c r="AZ35" t="inlineStr">
        <is>
          <t>MLT</t>
        </is>
      </c>
      <c r="BA35" t="inlineStr">
        <is>
          <t>MMR</t>
        </is>
      </c>
      <c r="BB35" t="inlineStr">
        <is>
          <t>MYS</t>
        </is>
      </c>
      <c r="BC35" t="inlineStr">
        <is>
          <t>NGA</t>
        </is>
      </c>
      <c r="BD35" t="inlineStr">
        <is>
          <t>NLD</t>
        </is>
      </c>
      <c r="BE35" t="inlineStr">
        <is>
          <t>NOR</t>
        </is>
      </c>
      <c r="BF35" t="inlineStr">
        <is>
          <t>NZL</t>
        </is>
      </c>
      <c r="BG35" t="inlineStr">
        <is>
          <t>PAK</t>
        </is>
      </c>
      <c r="BH35" t="inlineStr">
        <is>
          <t>PER</t>
        </is>
      </c>
      <c r="BI35" t="inlineStr">
        <is>
          <t>PHL</t>
        </is>
      </c>
      <c r="BJ35" t="inlineStr">
        <is>
          <t>POL</t>
        </is>
      </c>
      <c r="BK35" t="inlineStr">
        <is>
          <t>PRT</t>
        </is>
      </c>
      <c r="BL35" t="inlineStr">
        <is>
          <t>ROU</t>
        </is>
      </c>
      <c r="BM35" t="inlineStr">
        <is>
          <t>RUS</t>
        </is>
      </c>
      <c r="BN35" t="inlineStr">
        <is>
          <t>SAU</t>
        </is>
      </c>
      <c r="BO35" t="inlineStr">
        <is>
          <t>SEN</t>
        </is>
      </c>
      <c r="BP35" t="inlineStr">
        <is>
          <t>SGP</t>
        </is>
      </c>
      <c r="BQ35" t="inlineStr">
        <is>
          <t>STP</t>
        </is>
      </c>
      <c r="BR35" t="inlineStr">
        <is>
          <t>SVK</t>
        </is>
      </c>
      <c r="BS35" t="inlineStr">
        <is>
          <t>SVN</t>
        </is>
      </c>
      <c r="BT35" t="inlineStr">
        <is>
          <t>SWE</t>
        </is>
      </c>
      <c r="BU35" t="inlineStr">
        <is>
          <t>THA</t>
        </is>
      </c>
      <c r="BV35" t="inlineStr">
        <is>
          <t>TUN</t>
        </is>
      </c>
      <c r="BW35" t="inlineStr">
        <is>
          <t>TUR</t>
        </is>
      </c>
      <c r="BX35" t="inlineStr">
        <is>
          <t>TWN</t>
        </is>
      </c>
      <c r="BY35" t="inlineStr">
        <is>
          <t>UKR</t>
        </is>
      </c>
      <c r="BZ35" t="inlineStr">
        <is>
          <t>USA</t>
        </is>
      </c>
      <c r="CA35" t="inlineStr">
        <is>
          <t>VNM</t>
        </is>
      </c>
      <c r="CB35" t="inlineStr">
        <is>
          <t>ZAF</t>
        </is>
      </c>
    </row>
    <row r="36">
      <c r="A36" t="inlineStr">
        <is>
          <t># excluded_industry: EPS 352T353 (energy pipelines and gas processing) has no row here - no TiVA activity code corresponds to it at any aggregation level (closest available</t>
        </is>
      </c>
      <c r="B36" t="inlineStr">
        <is>
          <t xml:space="preserve"> ISIC section D = electricity+gas+steam combined</t>
        </is>
      </c>
      <c r="C36" t="inlineStr">
        <is>
          <t xml:space="preserve"> is dominated by electricity generation and is not a usable proxy)</t>
        </is>
      </c>
    </row>
    <row r="37">
      <c r="A37" t="inlineStr">
        <is>
          <t># pull_date: 2026-08-14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EPS Industry Category</t>
        </is>
      </c>
      <c r="B1" s="1" t="inlineStr">
        <is>
          <t>TiVA activity code</t>
        </is>
      </c>
      <c r="C1" s="1" t="inlineStr">
        <is>
          <t>USA</t>
        </is>
      </c>
      <c r="D1" s="1" t="inlineStr">
        <is>
          <t>CHN</t>
        </is>
      </c>
      <c r="E1" s="1" t="inlineStr">
        <is>
          <t>IND</t>
        </is>
      </c>
      <c r="F1" s="1" t="inlineStr">
        <is>
          <t>EU27_2020</t>
        </is>
      </c>
      <c r="G1" s="1" t="inlineStr">
        <is>
          <t>JPN</t>
        </is>
      </c>
      <c r="H1" s="1" t="inlineStr">
        <is>
          <t>CAN</t>
        </is>
      </c>
      <c r="I1" s="1" t="inlineStr">
        <is>
          <t>MEX</t>
        </is>
      </c>
      <c r="J1" s="1" t="inlineStr">
        <is>
          <t>BRA</t>
        </is>
      </c>
      <c r="K1" s="1" t="inlineStr">
        <is>
          <t>IDN</t>
        </is>
      </c>
      <c r="L1" s="1" t="inlineStr">
        <is>
          <t>SAU</t>
        </is>
      </c>
    </row>
    <row r="2">
      <c r="A2" t="inlineStr">
        <is>
          <t>agriculture and forestry 01T03</t>
        </is>
      </c>
      <c r="B2" t="inlineStr">
        <is>
          <t>A</t>
        </is>
      </c>
      <c r="C2">
        <f>IFERROR(VLOOKUP($B2&amp;"", 'TiVA EXGR 2022'!$A:$M, 3, FALSE)/VLOOKUP($B2&amp;"", 'TiVA EXGR 2022'!$A:$M, 13, FALSE), 0)</f>
        <v/>
      </c>
      <c r="D2">
        <f>IFERROR(VLOOKUP($B2&amp;"", 'TiVA EXGR 2022'!$A:$M, 4, FALSE)/VLOOKUP($B2&amp;"", 'TiVA EXGR 2022'!$A:$M, 13, FALSE), 0)</f>
        <v/>
      </c>
      <c r="E2">
        <f>IFERROR(VLOOKUP($B2&amp;"", 'TiVA EXGR 2022'!$A:$M, 5, FALSE)/VLOOKUP($B2&amp;"", 'TiVA EXGR 2022'!$A:$M, 13, FALSE), 0)</f>
        <v/>
      </c>
      <c r="F2">
        <f>IFERROR(VLOOKUP($B2&amp;"", 'TiVA EXGR 2022'!$A:$M, 6, FALSE)/VLOOKUP($B2&amp;"", 'TiVA EXGR 2022'!$A:$M, 13, FALSE), 0)</f>
        <v/>
      </c>
      <c r="G2">
        <f>IFERROR(VLOOKUP($B2&amp;"", 'TiVA EXGR 2022'!$A:$M, 7, FALSE)/VLOOKUP($B2&amp;"", 'TiVA EXGR 2022'!$A:$M, 13, FALSE), 0)</f>
        <v/>
      </c>
      <c r="H2">
        <f>IFERROR(VLOOKUP($B2&amp;"", 'TiVA EXGR 2022'!$A:$M, 8, FALSE)/VLOOKUP($B2&amp;"", 'TiVA EXGR 2022'!$A:$M, 13, FALSE), 0)</f>
        <v/>
      </c>
      <c r="I2">
        <f>IFERROR(VLOOKUP($B2&amp;"", 'TiVA EXGR 2022'!$A:$M, 9, FALSE)/VLOOKUP($B2&amp;"", 'TiVA EXGR 2022'!$A:$M, 13, FALSE), 0)</f>
        <v/>
      </c>
      <c r="J2">
        <f>IFERROR(VLOOKUP($B2&amp;"", 'TiVA EXGR 2022'!$A:$M, 10, FALSE)/VLOOKUP($B2&amp;"", 'TiVA EXGR 2022'!$A:$M, 13, FALSE), 0)</f>
        <v/>
      </c>
      <c r="K2">
        <f>IFERROR(VLOOKUP($B2&amp;"", 'TiVA EXGR 2022'!$A:$M, 11, FALSE)/VLOOKUP($B2&amp;"", 'TiVA EXGR 2022'!$A:$M, 13, FALSE), 0)</f>
        <v/>
      </c>
      <c r="L2">
        <f>IFERROR(VLOOKUP($B2&amp;"", 'TiVA EXGR 2022'!$A:$M, 12, FALSE)/VLOOKUP($B2&amp;"", 'TiVA EXGR 2022'!$A:$M, 13, FALSE), 0)</f>
        <v/>
      </c>
    </row>
    <row r="3">
      <c r="A3" t="inlineStr">
        <is>
          <t>coal mining 05</t>
        </is>
      </c>
      <c r="B3" t="inlineStr">
        <is>
          <t>B05</t>
        </is>
      </c>
      <c r="C3">
        <f>IFERROR(VLOOKUP($B3&amp;"", 'TiVA EXGR 2022'!$A:$M, 3, FALSE)/VLOOKUP($B3&amp;"", 'TiVA EXGR 2022'!$A:$M, 13, FALSE), 0)</f>
        <v/>
      </c>
      <c r="D3">
        <f>IFERROR(VLOOKUP($B3&amp;"", 'TiVA EXGR 2022'!$A:$M, 4, FALSE)/VLOOKUP($B3&amp;"", 'TiVA EXGR 2022'!$A:$M, 13, FALSE), 0)</f>
        <v/>
      </c>
      <c r="E3">
        <f>IFERROR(VLOOKUP($B3&amp;"", 'TiVA EXGR 2022'!$A:$M, 5, FALSE)/VLOOKUP($B3&amp;"", 'TiVA EXGR 2022'!$A:$M, 13, FALSE), 0)</f>
        <v/>
      </c>
      <c r="F3">
        <f>IFERROR(VLOOKUP($B3&amp;"", 'TiVA EXGR 2022'!$A:$M, 6, FALSE)/VLOOKUP($B3&amp;"", 'TiVA EXGR 2022'!$A:$M, 13, FALSE), 0)</f>
        <v/>
      </c>
      <c r="G3">
        <f>IFERROR(VLOOKUP($B3&amp;"", 'TiVA EXGR 2022'!$A:$M, 7, FALSE)/VLOOKUP($B3&amp;"", 'TiVA EXGR 2022'!$A:$M, 13, FALSE), 0)</f>
        <v/>
      </c>
      <c r="H3">
        <f>IFERROR(VLOOKUP($B3&amp;"", 'TiVA EXGR 2022'!$A:$M, 8, FALSE)/VLOOKUP($B3&amp;"", 'TiVA EXGR 2022'!$A:$M, 13, FALSE), 0)</f>
        <v/>
      </c>
      <c r="I3">
        <f>IFERROR(VLOOKUP($B3&amp;"", 'TiVA EXGR 2022'!$A:$M, 9, FALSE)/VLOOKUP($B3&amp;"", 'TiVA EXGR 2022'!$A:$M, 13, FALSE), 0)</f>
        <v/>
      </c>
      <c r="J3">
        <f>IFERROR(VLOOKUP($B3&amp;"", 'TiVA EXGR 2022'!$A:$M, 10, FALSE)/VLOOKUP($B3&amp;"", 'TiVA EXGR 2022'!$A:$M, 13, FALSE), 0)</f>
        <v/>
      </c>
      <c r="K3">
        <f>IFERROR(VLOOKUP($B3&amp;"", 'TiVA EXGR 2022'!$A:$M, 11, FALSE)/VLOOKUP($B3&amp;"", 'TiVA EXGR 2022'!$A:$M, 13, FALSE), 0)</f>
        <v/>
      </c>
      <c r="L3">
        <f>IFERROR(VLOOKUP($B3&amp;"", 'TiVA EXGR 2022'!$A:$M, 12, FALSE)/VLOOKUP($B3&amp;"", 'TiVA EXGR 2022'!$A:$M, 13, FALSE), 0)</f>
        <v/>
      </c>
    </row>
    <row r="4">
      <c r="A4" t="inlineStr">
        <is>
          <t>oil and gas extraction 06</t>
        </is>
      </c>
      <c r="B4" t="inlineStr">
        <is>
          <t>B06</t>
        </is>
      </c>
      <c r="C4">
        <f>IFERROR(VLOOKUP($B4&amp;"", 'TiVA EXGR 2022'!$A:$M, 3, FALSE)/VLOOKUP($B4&amp;"", 'TiVA EXGR 2022'!$A:$M, 13, FALSE), 0)</f>
        <v/>
      </c>
      <c r="D4">
        <f>IFERROR(VLOOKUP($B4&amp;"", 'TiVA EXGR 2022'!$A:$M, 4, FALSE)/VLOOKUP($B4&amp;"", 'TiVA EXGR 2022'!$A:$M, 13, FALSE), 0)</f>
        <v/>
      </c>
      <c r="E4">
        <f>IFERROR(VLOOKUP($B4&amp;"", 'TiVA EXGR 2022'!$A:$M, 5, FALSE)/VLOOKUP($B4&amp;"", 'TiVA EXGR 2022'!$A:$M, 13, FALSE), 0)</f>
        <v/>
      </c>
      <c r="F4">
        <f>IFERROR(VLOOKUP($B4&amp;"", 'TiVA EXGR 2022'!$A:$M, 6, FALSE)/VLOOKUP($B4&amp;"", 'TiVA EXGR 2022'!$A:$M, 13, FALSE), 0)</f>
        <v/>
      </c>
      <c r="G4">
        <f>IFERROR(VLOOKUP($B4&amp;"", 'TiVA EXGR 2022'!$A:$M, 7, FALSE)/VLOOKUP($B4&amp;"", 'TiVA EXGR 2022'!$A:$M, 13, FALSE), 0)</f>
        <v/>
      </c>
      <c r="H4">
        <f>IFERROR(VLOOKUP($B4&amp;"", 'TiVA EXGR 2022'!$A:$M, 8, FALSE)/VLOOKUP($B4&amp;"", 'TiVA EXGR 2022'!$A:$M, 13, FALSE), 0)</f>
        <v/>
      </c>
      <c r="I4">
        <f>IFERROR(VLOOKUP($B4&amp;"", 'TiVA EXGR 2022'!$A:$M, 9, FALSE)/VLOOKUP($B4&amp;"", 'TiVA EXGR 2022'!$A:$M, 13, FALSE), 0)</f>
        <v/>
      </c>
      <c r="J4">
        <f>IFERROR(VLOOKUP($B4&amp;"", 'TiVA EXGR 2022'!$A:$M, 10, FALSE)/VLOOKUP($B4&amp;"", 'TiVA EXGR 2022'!$A:$M, 13, FALSE), 0)</f>
        <v/>
      </c>
      <c r="K4">
        <f>IFERROR(VLOOKUP($B4&amp;"", 'TiVA EXGR 2022'!$A:$M, 11, FALSE)/VLOOKUP($B4&amp;"", 'TiVA EXGR 2022'!$A:$M, 13, FALSE), 0)</f>
        <v/>
      </c>
      <c r="L4">
        <f>IFERROR(VLOOKUP($B4&amp;"", 'TiVA EXGR 2022'!$A:$M, 12, FALSE)/VLOOKUP($B4&amp;"", 'TiVA EXGR 2022'!$A:$M, 13, FALSE), 0)</f>
        <v/>
      </c>
    </row>
    <row r="5">
      <c r="A5" t="inlineStr">
        <is>
          <t>other mining and quarrying 07T08</t>
        </is>
      </c>
      <c r="B5" t="inlineStr">
        <is>
          <t>B07_08</t>
        </is>
      </c>
      <c r="C5">
        <f>IFERROR(VLOOKUP($B5&amp;"", 'TiVA EXGR 2022'!$A:$M, 3, FALSE)/VLOOKUP($B5&amp;"", 'TiVA EXGR 2022'!$A:$M, 13, FALSE), 0)</f>
        <v/>
      </c>
      <c r="D5">
        <f>IFERROR(VLOOKUP($B5&amp;"", 'TiVA EXGR 2022'!$A:$M, 4, FALSE)/VLOOKUP($B5&amp;"", 'TiVA EXGR 2022'!$A:$M, 13, FALSE), 0)</f>
        <v/>
      </c>
      <c r="E5">
        <f>IFERROR(VLOOKUP($B5&amp;"", 'TiVA EXGR 2022'!$A:$M, 5, FALSE)/VLOOKUP($B5&amp;"", 'TiVA EXGR 2022'!$A:$M, 13, FALSE), 0)</f>
        <v/>
      </c>
      <c r="F5">
        <f>IFERROR(VLOOKUP($B5&amp;"", 'TiVA EXGR 2022'!$A:$M, 6, FALSE)/VLOOKUP($B5&amp;"", 'TiVA EXGR 2022'!$A:$M, 13, FALSE), 0)</f>
        <v/>
      </c>
      <c r="G5">
        <f>IFERROR(VLOOKUP($B5&amp;"", 'TiVA EXGR 2022'!$A:$M, 7, FALSE)/VLOOKUP($B5&amp;"", 'TiVA EXGR 2022'!$A:$M, 13, FALSE), 0)</f>
        <v/>
      </c>
      <c r="H5">
        <f>IFERROR(VLOOKUP($B5&amp;"", 'TiVA EXGR 2022'!$A:$M, 8, FALSE)/VLOOKUP($B5&amp;"", 'TiVA EXGR 2022'!$A:$M, 13, FALSE), 0)</f>
        <v/>
      </c>
      <c r="I5">
        <f>IFERROR(VLOOKUP($B5&amp;"", 'TiVA EXGR 2022'!$A:$M, 9, FALSE)/VLOOKUP($B5&amp;"", 'TiVA EXGR 2022'!$A:$M, 13, FALSE), 0)</f>
        <v/>
      </c>
      <c r="J5">
        <f>IFERROR(VLOOKUP($B5&amp;"", 'TiVA EXGR 2022'!$A:$M, 10, FALSE)/VLOOKUP($B5&amp;"", 'TiVA EXGR 2022'!$A:$M, 13, FALSE), 0)</f>
        <v/>
      </c>
      <c r="K5">
        <f>IFERROR(VLOOKUP($B5&amp;"", 'TiVA EXGR 2022'!$A:$M, 11, FALSE)/VLOOKUP($B5&amp;"", 'TiVA EXGR 2022'!$A:$M, 13, FALSE), 0)</f>
        <v/>
      </c>
      <c r="L5">
        <f>IFERROR(VLOOKUP($B5&amp;"", 'TiVA EXGR 2022'!$A:$M, 12, FALSE)/VLOOKUP($B5&amp;"", 'TiVA EXGR 2022'!$A:$M, 13, FALSE), 0)</f>
        <v/>
      </c>
    </row>
    <row r="6">
      <c r="A6" t="inlineStr">
        <is>
          <t>food beverage and tobacco 10T12</t>
        </is>
      </c>
      <c r="B6" t="inlineStr">
        <is>
          <t>C10T12</t>
        </is>
      </c>
      <c r="C6">
        <f>IFERROR(VLOOKUP($B6&amp;"", 'TiVA EXGR 2022'!$A:$M, 3, FALSE)/VLOOKUP($B6&amp;"", 'TiVA EXGR 2022'!$A:$M, 13, FALSE), 0)</f>
        <v/>
      </c>
      <c r="D6">
        <f>IFERROR(VLOOKUP($B6&amp;"", 'TiVA EXGR 2022'!$A:$M, 4, FALSE)/VLOOKUP($B6&amp;"", 'TiVA EXGR 2022'!$A:$M, 13, FALSE), 0)</f>
        <v/>
      </c>
      <c r="E6">
        <f>IFERROR(VLOOKUP($B6&amp;"", 'TiVA EXGR 2022'!$A:$M, 5, FALSE)/VLOOKUP($B6&amp;"", 'TiVA EXGR 2022'!$A:$M, 13, FALSE), 0)</f>
        <v/>
      </c>
      <c r="F6">
        <f>IFERROR(VLOOKUP($B6&amp;"", 'TiVA EXGR 2022'!$A:$M, 6, FALSE)/VLOOKUP($B6&amp;"", 'TiVA EXGR 2022'!$A:$M, 13, FALSE), 0)</f>
        <v/>
      </c>
      <c r="G6">
        <f>IFERROR(VLOOKUP($B6&amp;"", 'TiVA EXGR 2022'!$A:$M, 7, FALSE)/VLOOKUP($B6&amp;"", 'TiVA EXGR 2022'!$A:$M, 13, FALSE), 0)</f>
        <v/>
      </c>
      <c r="H6">
        <f>IFERROR(VLOOKUP($B6&amp;"", 'TiVA EXGR 2022'!$A:$M, 8, FALSE)/VLOOKUP($B6&amp;"", 'TiVA EXGR 2022'!$A:$M, 13, FALSE), 0)</f>
        <v/>
      </c>
      <c r="I6">
        <f>IFERROR(VLOOKUP($B6&amp;"", 'TiVA EXGR 2022'!$A:$M, 9, FALSE)/VLOOKUP($B6&amp;"", 'TiVA EXGR 2022'!$A:$M, 13, FALSE), 0)</f>
        <v/>
      </c>
      <c r="J6">
        <f>IFERROR(VLOOKUP($B6&amp;"", 'TiVA EXGR 2022'!$A:$M, 10, FALSE)/VLOOKUP($B6&amp;"", 'TiVA EXGR 2022'!$A:$M, 13, FALSE), 0)</f>
        <v/>
      </c>
      <c r="K6">
        <f>IFERROR(VLOOKUP($B6&amp;"", 'TiVA EXGR 2022'!$A:$M, 11, FALSE)/VLOOKUP($B6&amp;"", 'TiVA EXGR 2022'!$A:$M, 13, FALSE), 0)</f>
        <v/>
      </c>
      <c r="L6">
        <f>IFERROR(VLOOKUP($B6&amp;"", 'TiVA EXGR 2022'!$A:$M, 12, FALSE)/VLOOKUP($B6&amp;"", 'TiVA EXGR 2022'!$A:$M, 13, FALSE), 0)</f>
        <v/>
      </c>
    </row>
    <row r="7">
      <c r="A7" t="inlineStr">
        <is>
          <t>textiles apparel and leather 13T15</t>
        </is>
      </c>
      <c r="B7" t="inlineStr">
        <is>
          <t>C13T15</t>
        </is>
      </c>
      <c r="C7">
        <f>IFERROR(VLOOKUP($B7&amp;"", 'TiVA EXGR 2022'!$A:$M, 3, FALSE)/VLOOKUP($B7&amp;"", 'TiVA EXGR 2022'!$A:$M, 13, FALSE), 0)</f>
        <v/>
      </c>
      <c r="D7">
        <f>IFERROR(VLOOKUP($B7&amp;"", 'TiVA EXGR 2022'!$A:$M, 4, FALSE)/VLOOKUP($B7&amp;"", 'TiVA EXGR 2022'!$A:$M, 13, FALSE), 0)</f>
        <v/>
      </c>
      <c r="E7">
        <f>IFERROR(VLOOKUP($B7&amp;"", 'TiVA EXGR 2022'!$A:$M, 5, FALSE)/VLOOKUP($B7&amp;"", 'TiVA EXGR 2022'!$A:$M, 13, FALSE), 0)</f>
        <v/>
      </c>
      <c r="F7">
        <f>IFERROR(VLOOKUP($B7&amp;"", 'TiVA EXGR 2022'!$A:$M, 6, FALSE)/VLOOKUP($B7&amp;"", 'TiVA EXGR 2022'!$A:$M, 13, FALSE), 0)</f>
        <v/>
      </c>
      <c r="G7">
        <f>IFERROR(VLOOKUP($B7&amp;"", 'TiVA EXGR 2022'!$A:$M, 7, FALSE)/VLOOKUP($B7&amp;"", 'TiVA EXGR 2022'!$A:$M, 13, FALSE), 0)</f>
        <v/>
      </c>
      <c r="H7">
        <f>IFERROR(VLOOKUP($B7&amp;"", 'TiVA EXGR 2022'!$A:$M, 8, FALSE)/VLOOKUP($B7&amp;"", 'TiVA EXGR 2022'!$A:$M, 13, FALSE), 0)</f>
        <v/>
      </c>
      <c r="I7">
        <f>IFERROR(VLOOKUP($B7&amp;"", 'TiVA EXGR 2022'!$A:$M, 9, FALSE)/VLOOKUP($B7&amp;"", 'TiVA EXGR 2022'!$A:$M, 13, FALSE), 0)</f>
        <v/>
      </c>
      <c r="J7">
        <f>IFERROR(VLOOKUP($B7&amp;"", 'TiVA EXGR 2022'!$A:$M, 10, FALSE)/VLOOKUP($B7&amp;"", 'TiVA EXGR 2022'!$A:$M, 13, FALSE), 0)</f>
        <v/>
      </c>
      <c r="K7">
        <f>IFERROR(VLOOKUP($B7&amp;"", 'TiVA EXGR 2022'!$A:$M, 11, FALSE)/VLOOKUP($B7&amp;"", 'TiVA EXGR 2022'!$A:$M, 13, FALSE), 0)</f>
        <v/>
      </c>
      <c r="L7">
        <f>IFERROR(VLOOKUP($B7&amp;"", 'TiVA EXGR 2022'!$A:$M, 12, FALSE)/VLOOKUP($B7&amp;"", 'TiVA EXGR 2022'!$A:$M, 13, FALSE), 0)</f>
        <v/>
      </c>
    </row>
    <row r="8">
      <c r="A8" t="inlineStr">
        <is>
          <t>wood products 16</t>
        </is>
      </c>
      <c r="B8" t="inlineStr">
        <is>
          <t>C16</t>
        </is>
      </c>
      <c r="C8">
        <f>IFERROR(VLOOKUP($B8&amp;"", 'TiVA EXGR 2022'!$A:$M, 3, FALSE)/VLOOKUP($B8&amp;"", 'TiVA EXGR 2022'!$A:$M, 13, FALSE), 0)</f>
        <v/>
      </c>
      <c r="D8">
        <f>IFERROR(VLOOKUP($B8&amp;"", 'TiVA EXGR 2022'!$A:$M, 4, FALSE)/VLOOKUP($B8&amp;"", 'TiVA EXGR 2022'!$A:$M, 13, FALSE), 0)</f>
        <v/>
      </c>
      <c r="E8">
        <f>IFERROR(VLOOKUP($B8&amp;"", 'TiVA EXGR 2022'!$A:$M, 5, FALSE)/VLOOKUP($B8&amp;"", 'TiVA EXGR 2022'!$A:$M, 13, FALSE), 0)</f>
        <v/>
      </c>
      <c r="F8">
        <f>IFERROR(VLOOKUP($B8&amp;"", 'TiVA EXGR 2022'!$A:$M, 6, FALSE)/VLOOKUP($B8&amp;"", 'TiVA EXGR 2022'!$A:$M, 13, FALSE), 0)</f>
        <v/>
      </c>
      <c r="G8">
        <f>IFERROR(VLOOKUP($B8&amp;"", 'TiVA EXGR 2022'!$A:$M, 7, FALSE)/VLOOKUP($B8&amp;"", 'TiVA EXGR 2022'!$A:$M, 13, FALSE), 0)</f>
        <v/>
      </c>
      <c r="H8">
        <f>IFERROR(VLOOKUP($B8&amp;"", 'TiVA EXGR 2022'!$A:$M, 8, FALSE)/VLOOKUP($B8&amp;"", 'TiVA EXGR 2022'!$A:$M, 13, FALSE), 0)</f>
        <v/>
      </c>
      <c r="I8">
        <f>IFERROR(VLOOKUP($B8&amp;"", 'TiVA EXGR 2022'!$A:$M, 9, FALSE)/VLOOKUP($B8&amp;"", 'TiVA EXGR 2022'!$A:$M, 13, FALSE), 0)</f>
        <v/>
      </c>
      <c r="J8">
        <f>IFERROR(VLOOKUP($B8&amp;"", 'TiVA EXGR 2022'!$A:$M, 10, FALSE)/VLOOKUP($B8&amp;"", 'TiVA EXGR 2022'!$A:$M, 13, FALSE), 0)</f>
        <v/>
      </c>
      <c r="K8">
        <f>IFERROR(VLOOKUP($B8&amp;"", 'TiVA EXGR 2022'!$A:$M, 11, FALSE)/VLOOKUP($B8&amp;"", 'TiVA EXGR 2022'!$A:$M, 13, FALSE), 0)</f>
        <v/>
      </c>
      <c r="L8">
        <f>IFERROR(VLOOKUP($B8&amp;"", 'TiVA EXGR 2022'!$A:$M, 12, FALSE)/VLOOKUP($B8&amp;"", 'TiVA EXGR 2022'!$A:$M, 13, FALSE), 0)</f>
        <v/>
      </c>
    </row>
    <row r="9">
      <c r="A9" t="inlineStr">
        <is>
          <t>pulp paper and printing 17T18</t>
        </is>
      </c>
      <c r="B9" t="inlineStr">
        <is>
          <t>C17_18</t>
        </is>
      </c>
      <c r="C9">
        <f>IFERROR(VLOOKUP($B9&amp;"", 'TiVA EXGR 2022'!$A:$M, 3, FALSE)/VLOOKUP($B9&amp;"", 'TiVA EXGR 2022'!$A:$M, 13, FALSE), 0)</f>
        <v/>
      </c>
      <c r="D9">
        <f>IFERROR(VLOOKUP($B9&amp;"", 'TiVA EXGR 2022'!$A:$M, 4, FALSE)/VLOOKUP($B9&amp;"", 'TiVA EXGR 2022'!$A:$M, 13, FALSE), 0)</f>
        <v/>
      </c>
      <c r="E9">
        <f>IFERROR(VLOOKUP($B9&amp;"", 'TiVA EXGR 2022'!$A:$M, 5, FALSE)/VLOOKUP($B9&amp;"", 'TiVA EXGR 2022'!$A:$M, 13, FALSE), 0)</f>
        <v/>
      </c>
      <c r="F9">
        <f>IFERROR(VLOOKUP($B9&amp;"", 'TiVA EXGR 2022'!$A:$M, 6, FALSE)/VLOOKUP($B9&amp;"", 'TiVA EXGR 2022'!$A:$M, 13, FALSE), 0)</f>
        <v/>
      </c>
      <c r="G9">
        <f>IFERROR(VLOOKUP($B9&amp;"", 'TiVA EXGR 2022'!$A:$M, 7, FALSE)/VLOOKUP($B9&amp;"", 'TiVA EXGR 2022'!$A:$M, 13, FALSE), 0)</f>
        <v/>
      </c>
      <c r="H9">
        <f>IFERROR(VLOOKUP($B9&amp;"", 'TiVA EXGR 2022'!$A:$M, 8, FALSE)/VLOOKUP($B9&amp;"", 'TiVA EXGR 2022'!$A:$M, 13, FALSE), 0)</f>
        <v/>
      </c>
      <c r="I9">
        <f>IFERROR(VLOOKUP($B9&amp;"", 'TiVA EXGR 2022'!$A:$M, 9, FALSE)/VLOOKUP($B9&amp;"", 'TiVA EXGR 2022'!$A:$M, 13, FALSE), 0)</f>
        <v/>
      </c>
      <c r="J9">
        <f>IFERROR(VLOOKUP($B9&amp;"", 'TiVA EXGR 2022'!$A:$M, 10, FALSE)/VLOOKUP($B9&amp;"", 'TiVA EXGR 2022'!$A:$M, 13, FALSE), 0)</f>
        <v/>
      </c>
      <c r="K9">
        <f>IFERROR(VLOOKUP($B9&amp;"", 'TiVA EXGR 2022'!$A:$M, 11, FALSE)/VLOOKUP($B9&amp;"", 'TiVA EXGR 2022'!$A:$M, 13, FALSE), 0)</f>
        <v/>
      </c>
      <c r="L9">
        <f>IFERROR(VLOOKUP($B9&amp;"", 'TiVA EXGR 2022'!$A:$M, 12, FALSE)/VLOOKUP($B9&amp;"", 'TiVA EXGR 2022'!$A:$M, 13, FALSE), 0)</f>
        <v/>
      </c>
    </row>
    <row r="10">
      <c r="A10" t="inlineStr">
        <is>
          <t>refined petroleum and coke 19</t>
        </is>
      </c>
      <c r="B10" t="inlineStr">
        <is>
          <t>C19</t>
        </is>
      </c>
      <c r="C10">
        <f>IFERROR(VLOOKUP($B10&amp;"", 'TiVA EXGR 2022'!$A:$M, 3, FALSE)/VLOOKUP($B10&amp;"", 'TiVA EXGR 2022'!$A:$M, 13, FALSE), 0)</f>
        <v/>
      </c>
      <c r="D10">
        <f>IFERROR(VLOOKUP($B10&amp;"", 'TiVA EXGR 2022'!$A:$M, 4, FALSE)/VLOOKUP($B10&amp;"", 'TiVA EXGR 2022'!$A:$M, 13, FALSE), 0)</f>
        <v/>
      </c>
      <c r="E10">
        <f>IFERROR(VLOOKUP($B10&amp;"", 'TiVA EXGR 2022'!$A:$M, 5, FALSE)/VLOOKUP($B10&amp;"", 'TiVA EXGR 2022'!$A:$M, 13, FALSE), 0)</f>
        <v/>
      </c>
      <c r="F10">
        <f>IFERROR(VLOOKUP($B10&amp;"", 'TiVA EXGR 2022'!$A:$M, 6, FALSE)/VLOOKUP($B10&amp;"", 'TiVA EXGR 2022'!$A:$M, 13, FALSE), 0)</f>
        <v/>
      </c>
      <c r="G10">
        <f>IFERROR(VLOOKUP($B10&amp;"", 'TiVA EXGR 2022'!$A:$M, 7, FALSE)/VLOOKUP($B10&amp;"", 'TiVA EXGR 2022'!$A:$M, 13, FALSE), 0)</f>
        <v/>
      </c>
      <c r="H10">
        <f>IFERROR(VLOOKUP($B10&amp;"", 'TiVA EXGR 2022'!$A:$M, 8, FALSE)/VLOOKUP($B10&amp;"", 'TiVA EXGR 2022'!$A:$M, 13, FALSE), 0)</f>
        <v/>
      </c>
      <c r="I10">
        <f>IFERROR(VLOOKUP($B10&amp;"", 'TiVA EXGR 2022'!$A:$M, 9, FALSE)/VLOOKUP($B10&amp;"", 'TiVA EXGR 2022'!$A:$M, 13, FALSE), 0)</f>
        <v/>
      </c>
      <c r="J10">
        <f>IFERROR(VLOOKUP($B10&amp;"", 'TiVA EXGR 2022'!$A:$M, 10, FALSE)/VLOOKUP($B10&amp;"", 'TiVA EXGR 2022'!$A:$M, 13, FALSE), 0)</f>
        <v/>
      </c>
      <c r="K10">
        <f>IFERROR(VLOOKUP($B10&amp;"", 'TiVA EXGR 2022'!$A:$M, 11, FALSE)/VLOOKUP($B10&amp;"", 'TiVA EXGR 2022'!$A:$M, 13, FALSE), 0)</f>
        <v/>
      </c>
      <c r="L10">
        <f>IFERROR(VLOOKUP($B10&amp;"", 'TiVA EXGR 2022'!$A:$M, 12, FALSE)/VLOOKUP($B10&amp;"", 'TiVA EXGR 2022'!$A:$M, 13, FALSE), 0)</f>
        <v/>
      </c>
    </row>
    <row r="11">
      <c r="A11" t="inlineStr">
        <is>
          <t>chemicals 20</t>
        </is>
      </c>
      <c r="B11" t="inlineStr">
        <is>
          <t>C20</t>
        </is>
      </c>
      <c r="C11">
        <f>IFERROR(VLOOKUP($B11&amp;"", 'TiVA EXGR 2022'!$A:$M, 3, FALSE)/VLOOKUP($B11&amp;"", 'TiVA EXGR 2022'!$A:$M, 13, FALSE), 0)</f>
        <v/>
      </c>
      <c r="D11">
        <f>IFERROR(VLOOKUP($B11&amp;"", 'TiVA EXGR 2022'!$A:$M, 4, FALSE)/VLOOKUP($B11&amp;"", 'TiVA EXGR 2022'!$A:$M, 13, FALSE), 0)</f>
        <v/>
      </c>
      <c r="E11">
        <f>IFERROR(VLOOKUP($B11&amp;"", 'TiVA EXGR 2022'!$A:$M, 5, FALSE)/VLOOKUP($B11&amp;"", 'TiVA EXGR 2022'!$A:$M, 13, FALSE), 0)</f>
        <v/>
      </c>
      <c r="F11">
        <f>IFERROR(VLOOKUP($B11&amp;"", 'TiVA EXGR 2022'!$A:$M, 6, FALSE)/VLOOKUP($B11&amp;"", 'TiVA EXGR 2022'!$A:$M, 13, FALSE), 0)</f>
        <v/>
      </c>
      <c r="G11">
        <f>IFERROR(VLOOKUP($B11&amp;"", 'TiVA EXGR 2022'!$A:$M, 7, FALSE)/VLOOKUP($B11&amp;"", 'TiVA EXGR 2022'!$A:$M, 13, FALSE), 0)</f>
        <v/>
      </c>
      <c r="H11">
        <f>IFERROR(VLOOKUP($B11&amp;"", 'TiVA EXGR 2022'!$A:$M, 8, FALSE)/VLOOKUP($B11&amp;"", 'TiVA EXGR 2022'!$A:$M, 13, FALSE), 0)</f>
        <v/>
      </c>
      <c r="I11">
        <f>IFERROR(VLOOKUP($B11&amp;"", 'TiVA EXGR 2022'!$A:$M, 9, FALSE)/VLOOKUP($B11&amp;"", 'TiVA EXGR 2022'!$A:$M, 13, FALSE), 0)</f>
        <v/>
      </c>
      <c r="J11">
        <f>IFERROR(VLOOKUP($B11&amp;"", 'TiVA EXGR 2022'!$A:$M, 10, FALSE)/VLOOKUP($B11&amp;"", 'TiVA EXGR 2022'!$A:$M, 13, FALSE), 0)</f>
        <v/>
      </c>
      <c r="K11">
        <f>IFERROR(VLOOKUP($B11&amp;"", 'TiVA EXGR 2022'!$A:$M, 11, FALSE)/VLOOKUP($B11&amp;"", 'TiVA EXGR 2022'!$A:$M, 13, FALSE), 0)</f>
        <v/>
      </c>
      <c r="L11">
        <f>IFERROR(VLOOKUP($B11&amp;"", 'TiVA EXGR 2022'!$A:$M, 12, FALSE)/VLOOKUP($B11&amp;"", 'TiVA EXGR 2022'!$A:$M, 13, FALSE), 0)</f>
        <v/>
      </c>
    </row>
    <row r="12">
      <c r="A12" t="inlineStr">
        <is>
          <t>rubber and plastic products 22</t>
        </is>
      </c>
      <c r="B12" t="inlineStr">
        <is>
          <t>C22</t>
        </is>
      </c>
      <c r="C12">
        <f>IFERROR(VLOOKUP($B12&amp;"", 'TiVA EXGR 2022'!$A:$M, 3, FALSE)/VLOOKUP($B12&amp;"", 'TiVA EXGR 2022'!$A:$M, 13, FALSE), 0)</f>
        <v/>
      </c>
      <c r="D12">
        <f>IFERROR(VLOOKUP($B12&amp;"", 'TiVA EXGR 2022'!$A:$M, 4, FALSE)/VLOOKUP($B12&amp;"", 'TiVA EXGR 2022'!$A:$M, 13, FALSE), 0)</f>
        <v/>
      </c>
      <c r="E12">
        <f>IFERROR(VLOOKUP($B12&amp;"", 'TiVA EXGR 2022'!$A:$M, 5, FALSE)/VLOOKUP($B12&amp;"", 'TiVA EXGR 2022'!$A:$M, 13, FALSE), 0)</f>
        <v/>
      </c>
      <c r="F12">
        <f>IFERROR(VLOOKUP($B12&amp;"", 'TiVA EXGR 2022'!$A:$M, 6, FALSE)/VLOOKUP($B12&amp;"", 'TiVA EXGR 2022'!$A:$M, 13, FALSE), 0)</f>
        <v/>
      </c>
      <c r="G12">
        <f>IFERROR(VLOOKUP($B12&amp;"", 'TiVA EXGR 2022'!$A:$M, 7, FALSE)/VLOOKUP($B12&amp;"", 'TiVA EXGR 2022'!$A:$M, 13, FALSE), 0)</f>
        <v/>
      </c>
      <c r="H12">
        <f>IFERROR(VLOOKUP($B12&amp;"", 'TiVA EXGR 2022'!$A:$M, 8, FALSE)/VLOOKUP($B12&amp;"", 'TiVA EXGR 2022'!$A:$M, 13, FALSE), 0)</f>
        <v/>
      </c>
      <c r="I12">
        <f>IFERROR(VLOOKUP($B12&amp;"", 'TiVA EXGR 2022'!$A:$M, 9, FALSE)/VLOOKUP($B12&amp;"", 'TiVA EXGR 2022'!$A:$M, 13, FALSE), 0)</f>
        <v/>
      </c>
      <c r="J12">
        <f>IFERROR(VLOOKUP($B12&amp;"", 'TiVA EXGR 2022'!$A:$M, 10, FALSE)/VLOOKUP($B12&amp;"", 'TiVA EXGR 2022'!$A:$M, 13, FALSE), 0)</f>
        <v/>
      </c>
      <c r="K12">
        <f>IFERROR(VLOOKUP($B12&amp;"", 'TiVA EXGR 2022'!$A:$M, 11, FALSE)/VLOOKUP($B12&amp;"", 'TiVA EXGR 2022'!$A:$M, 13, FALSE), 0)</f>
        <v/>
      </c>
      <c r="L12">
        <f>IFERROR(VLOOKUP($B12&amp;"", 'TiVA EXGR 2022'!$A:$M, 12, FALSE)/VLOOKUP($B12&amp;"", 'TiVA EXGR 2022'!$A:$M, 13, FALSE), 0)</f>
        <v/>
      </c>
    </row>
    <row r="13">
      <c r="A13" t="inlineStr">
        <is>
          <t>glass and glass products 231</t>
        </is>
      </c>
      <c r="B13" t="inlineStr">
        <is>
          <t>C23</t>
        </is>
      </c>
      <c r="C13">
        <f>IFERROR(VLOOKUP($B13&amp;"", 'TiVA EXGR 2022'!$A:$M, 3, FALSE)/VLOOKUP($B13&amp;"", 'TiVA EXGR 2022'!$A:$M, 13, FALSE), 0)</f>
        <v/>
      </c>
      <c r="D13">
        <f>IFERROR(VLOOKUP($B13&amp;"", 'TiVA EXGR 2022'!$A:$M, 4, FALSE)/VLOOKUP($B13&amp;"", 'TiVA EXGR 2022'!$A:$M, 13, FALSE), 0)</f>
        <v/>
      </c>
      <c r="E13">
        <f>IFERROR(VLOOKUP($B13&amp;"", 'TiVA EXGR 2022'!$A:$M, 5, FALSE)/VLOOKUP($B13&amp;"", 'TiVA EXGR 2022'!$A:$M, 13, FALSE), 0)</f>
        <v/>
      </c>
      <c r="F13">
        <f>IFERROR(VLOOKUP($B13&amp;"", 'TiVA EXGR 2022'!$A:$M, 6, FALSE)/VLOOKUP($B13&amp;"", 'TiVA EXGR 2022'!$A:$M, 13, FALSE), 0)</f>
        <v/>
      </c>
      <c r="G13">
        <f>IFERROR(VLOOKUP($B13&amp;"", 'TiVA EXGR 2022'!$A:$M, 7, FALSE)/VLOOKUP($B13&amp;"", 'TiVA EXGR 2022'!$A:$M, 13, FALSE), 0)</f>
        <v/>
      </c>
      <c r="H13">
        <f>IFERROR(VLOOKUP($B13&amp;"", 'TiVA EXGR 2022'!$A:$M, 8, FALSE)/VLOOKUP($B13&amp;"", 'TiVA EXGR 2022'!$A:$M, 13, FALSE), 0)</f>
        <v/>
      </c>
      <c r="I13">
        <f>IFERROR(VLOOKUP($B13&amp;"", 'TiVA EXGR 2022'!$A:$M, 9, FALSE)/VLOOKUP($B13&amp;"", 'TiVA EXGR 2022'!$A:$M, 13, FALSE), 0)</f>
        <v/>
      </c>
      <c r="J13">
        <f>IFERROR(VLOOKUP($B13&amp;"", 'TiVA EXGR 2022'!$A:$M, 10, FALSE)/VLOOKUP($B13&amp;"", 'TiVA EXGR 2022'!$A:$M, 13, FALSE), 0)</f>
        <v/>
      </c>
      <c r="K13">
        <f>IFERROR(VLOOKUP($B13&amp;"", 'TiVA EXGR 2022'!$A:$M, 11, FALSE)/VLOOKUP($B13&amp;"", 'TiVA EXGR 2022'!$A:$M, 13, FALSE), 0)</f>
        <v/>
      </c>
      <c r="L13">
        <f>IFERROR(VLOOKUP($B13&amp;"", 'TiVA EXGR 2022'!$A:$M, 12, FALSE)/VLOOKUP($B13&amp;"", 'TiVA EXGR 2022'!$A:$M, 13, FALSE), 0)</f>
        <v/>
      </c>
    </row>
    <row r="14">
      <c r="A14" t="inlineStr">
        <is>
          <t>cement and other nonmetallic minerals 239</t>
        </is>
      </c>
      <c r="B14" t="inlineStr">
        <is>
          <t>C23</t>
        </is>
      </c>
      <c r="C14">
        <f>IFERROR(VLOOKUP($B14&amp;"", 'TiVA EXGR 2022'!$A:$M, 3, FALSE)/VLOOKUP($B14&amp;"", 'TiVA EXGR 2022'!$A:$M, 13, FALSE), 0)</f>
        <v/>
      </c>
      <c r="D14">
        <f>IFERROR(VLOOKUP($B14&amp;"", 'TiVA EXGR 2022'!$A:$M, 4, FALSE)/VLOOKUP($B14&amp;"", 'TiVA EXGR 2022'!$A:$M, 13, FALSE), 0)</f>
        <v/>
      </c>
      <c r="E14">
        <f>IFERROR(VLOOKUP($B14&amp;"", 'TiVA EXGR 2022'!$A:$M, 5, FALSE)/VLOOKUP($B14&amp;"", 'TiVA EXGR 2022'!$A:$M, 13, FALSE), 0)</f>
        <v/>
      </c>
      <c r="F14">
        <f>IFERROR(VLOOKUP($B14&amp;"", 'TiVA EXGR 2022'!$A:$M, 6, FALSE)/VLOOKUP($B14&amp;"", 'TiVA EXGR 2022'!$A:$M, 13, FALSE), 0)</f>
        <v/>
      </c>
      <c r="G14">
        <f>IFERROR(VLOOKUP($B14&amp;"", 'TiVA EXGR 2022'!$A:$M, 7, FALSE)/VLOOKUP($B14&amp;"", 'TiVA EXGR 2022'!$A:$M, 13, FALSE), 0)</f>
        <v/>
      </c>
      <c r="H14">
        <f>IFERROR(VLOOKUP($B14&amp;"", 'TiVA EXGR 2022'!$A:$M, 8, FALSE)/VLOOKUP($B14&amp;"", 'TiVA EXGR 2022'!$A:$M, 13, FALSE), 0)</f>
        <v/>
      </c>
      <c r="I14">
        <f>IFERROR(VLOOKUP($B14&amp;"", 'TiVA EXGR 2022'!$A:$M, 9, FALSE)/VLOOKUP($B14&amp;"", 'TiVA EXGR 2022'!$A:$M, 13, FALSE), 0)</f>
        <v/>
      </c>
      <c r="J14">
        <f>IFERROR(VLOOKUP($B14&amp;"", 'TiVA EXGR 2022'!$A:$M, 10, FALSE)/VLOOKUP($B14&amp;"", 'TiVA EXGR 2022'!$A:$M, 13, FALSE), 0)</f>
        <v/>
      </c>
      <c r="K14">
        <f>IFERROR(VLOOKUP($B14&amp;"", 'TiVA EXGR 2022'!$A:$M, 11, FALSE)/VLOOKUP($B14&amp;"", 'TiVA EXGR 2022'!$A:$M, 13, FALSE), 0)</f>
        <v/>
      </c>
      <c r="L14">
        <f>IFERROR(VLOOKUP($B14&amp;"", 'TiVA EXGR 2022'!$A:$M, 12, FALSE)/VLOOKUP($B14&amp;"", 'TiVA EXGR 2022'!$A:$M, 13, FALSE), 0)</f>
        <v/>
      </c>
    </row>
    <row r="15">
      <c r="A15" t="inlineStr">
        <is>
          <t>iron and steel 241</t>
        </is>
      </c>
      <c r="B15" t="inlineStr">
        <is>
          <t>C24</t>
        </is>
      </c>
      <c r="C15">
        <f>IFERROR(VLOOKUP($B15&amp;"", 'TiVA EXGR 2022'!$A:$M, 3, FALSE)/VLOOKUP($B15&amp;"", 'TiVA EXGR 2022'!$A:$M, 13, FALSE), 0)</f>
        <v/>
      </c>
      <c r="D15">
        <f>IFERROR(VLOOKUP($B15&amp;"", 'TiVA EXGR 2022'!$A:$M, 4, FALSE)/VLOOKUP($B15&amp;"", 'TiVA EXGR 2022'!$A:$M, 13, FALSE), 0)</f>
        <v/>
      </c>
      <c r="E15">
        <f>IFERROR(VLOOKUP($B15&amp;"", 'TiVA EXGR 2022'!$A:$M, 5, FALSE)/VLOOKUP($B15&amp;"", 'TiVA EXGR 2022'!$A:$M, 13, FALSE), 0)</f>
        <v/>
      </c>
      <c r="F15">
        <f>IFERROR(VLOOKUP($B15&amp;"", 'TiVA EXGR 2022'!$A:$M, 6, FALSE)/VLOOKUP($B15&amp;"", 'TiVA EXGR 2022'!$A:$M, 13, FALSE), 0)</f>
        <v/>
      </c>
      <c r="G15">
        <f>IFERROR(VLOOKUP($B15&amp;"", 'TiVA EXGR 2022'!$A:$M, 7, FALSE)/VLOOKUP($B15&amp;"", 'TiVA EXGR 2022'!$A:$M, 13, FALSE), 0)</f>
        <v/>
      </c>
      <c r="H15">
        <f>IFERROR(VLOOKUP($B15&amp;"", 'TiVA EXGR 2022'!$A:$M, 8, FALSE)/VLOOKUP($B15&amp;"", 'TiVA EXGR 2022'!$A:$M, 13, FALSE), 0)</f>
        <v/>
      </c>
      <c r="I15">
        <f>IFERROR(VLOOKUP($B15&amp;"", 'TiVA EXGR 2022'!$A:$M, 9, FALSE)/VLOOKUP($B15&amp;"", 'TiVA EXGR 2022'!$A:$M, 13, FALSE), 0)</f>
        <v/>
      </c>
      <c r="J15">
        <f>IFERROR(VLOOKUP($B15&amp;"", 'TiVA EXGR 2022'!$A:$M, 10, FALSE)/VLOOKUP($B15&amp;"", 'TiVA EXGR 2022'!$A:$M, 13, FALSE), 0)</f>
        <v/>
      </c>
      <c r="K15">
        <f>IFERROR(VLOOKUP($B15&amp;"", 'TiVA EXGR 2022'!$A:$M, 11, FALSE)/VLOOKUP($B15&amp;"", 'TiVA EXGR 2022'!$A:$M, 13, FALSE), 0)</f>
        <v/>
      </c>
      <c r="L15">
        <f>IFERROR(VLOOKUP($B15&amp;"", 'TiVA EXGR 2022'!$A:$M, 12, FALSE)/VLOOKUP($B15&amp;"", 'TiVA EXGR 2022'!$A:$M, 13, FALSE), 0)</f>
        <v/>
      </c>
    </row>
    <row r="16">
      <c r="A16" t="inlineStr">
        <is>
          <t>other metals 242</t>
        </is>
      </c>
      <c r="B16" t="inlineStr">
        <is>
          <t>C24</t>
        </is>
      </c>
      <c r="C16">
        <f>IFERROR(VLOOKUP($B16&amp;"", 'TiVA EXGR 2022'!$A:$M, 3, FALSE)/VLOOKUP($B16&amp;"", 'TiVA EXGR 2022'!$A:$M, 13, FALSE), 0)</f>
        <v/>
      </c>
      <c r="D16">
        <f>IFERROR(VLOOKUP($B16&amp;"", 'TiVA EXGR 2022'!$A:$M, 4, FALSE)/VLOOKUP($B16&amp;"", 'TiVA EXGR 2022'!$A:$M, 13, FALSE), 0)</f>
        <v/>
      </c>
      <c r="E16">
        <f>IFERROR(VLOOKUP($B16&amp;"", 'TiVA EXGR 2022'!$A:$M, 5, FALSE)/VLOOKUP($B16&amp;"", 'TiVA EXGR 2022'!$A:$M, 13, FALSE), 0)</f>
        <v/>
      </c>
      <c r="F16">
        <f>IFERROR(VLOOKUP($B16&amp;"", 'TiVA EXGR 2022'!$A:$M, 6, FALSE)/VLOOKUP($B16&amp;"", 'TiVA EXGR 2022'!$A:$M, 13, FALSE), 0)</f>
        <v/>
      </c>
      <c r="G16">
        <f>IFERROR(VLOOKUP($B16&amp;"", 'TiVA EXGR 2022'!$A:$M, 7, FALSE)/VLOOKUP($B16&amp;"", 'TiVA EXGR 2022'!$A:$M, 13, FALSE), 0)</f>
        <v/>
      </c>
      <c r="H16">
        <f>IFERROR(VLOOKUP($B16&amp;"", 'TiVA EXGR 2022'!$A:$M, 8, FALSE)/VLOOKUP($B16&amp;"", 'TiVA EXGR 2022'!$A:$M, 13, FALSE), 0)</f>
        <v/>
      </c>
      <c r="I16">
        <f>IFERROR(VLOOKUP($B16&amp;"", 'TiVA EXGR 2022'!$A:$M, 9, FALSE)/VLOOKUP($B16&amp;"", 'TiVA EXGR 2022'!$A:$M, 13, FALSE), 0)</f>
        <v/>
      </c>
      <c r="J16">
        <f>IFERROR(VLOOKUP($B16&amp;"", 'TiVA EXGR 2022'!$A:$M, 10, FALSE)/VLOOKUP($B16&amp;"", 'TiVA EXGR 2022'!$A:$M, 13, FALSE), 0)</f>
        <v/>
      </c>
      <c r="K16">
        <f>IFERROR(VLOOKUP($B16&amp;"", 'TiVA EXGR 2022'!$A:$M, 11, FALSE)/VLOOKUP($B16&amp;"", 'TiVA EXGR 2022'!$A:$M, 13, FALSE), 0)</f>
        <v/>
      </c>
      <c r="L16">
        <f>IFERROR(VLOOKUP($B16&amp;"", 'TiVA EXGR 2022'!$A:$M, 12, FALSE)/VLOOKUP($B16&amp;"", 'TiVA EXGR 2022'!$A:$M, 13, FALSE), 0)</f>
        <v/>
      </c>
    </row>
    <row r="17">
      <c r="A17" t="inlineStr">
        <is>
          <t>metal products except machinery and vehicles 25</t>
        </is>
      </c>
      <c r="B17" t="inlineStr">
        <is>
          <t>C25</t>
        </is>
      </c>
      <c r="C17">
        <f>IFERROR(VLOOKUP($B17&amp;"", 'TiVA EXGR 2022'!$A:$M, 3, FALSE)/VLOOKUP($B17&amp;"", 'TiVA EXGR 2022'!$A:$M, 13, FALSE), 0)</f>
        <v/>
      </c>
      <c r="D17">
        <f>IFERROR(VLOOKUP($B17&amp;"", 'TiVA EXGR 2022'!$A:$M, 4, FALSE)/VLOOKUP($B17&amp;"", 'TiVA EXGR 2022'!$A:$M, 13, FALSE), 0)</f>
        <v/>
      </c>
      <c r="E17">
        <f>IFERROR(VLOOKUP($B17&amp;"", 'TiVA EXGR 2022'!$A:$M, 5, FALSE)/VLOOKUP($B17&amp;"", 'TiVA EXGR 2022'!$A:$M, 13, FALSE), 0)</f>
        <v/>
      </c>
      <c r="F17">
        <f>IFERROR(VLOOKUP($B17&amp;"", 'TiVA EXGR 2022'!$A:$M, 6, FALSE)/VLOOKUP($B17&amp;"", 'TiVA EXGR 2022'!$A:$M, 13, FALSE), 0)</f>
        <v/>
      </c>
      <c r="G17">
        <f>IFERROR(VLOOKUP($B17&amp;"", 'TiVA EXGR 2022'!$A:$M, 7, FALSE)/VLOOKUP($B17&amp;"", 'TiVA EXGR 2022'!$A:$M, 13, FALSE), 0)</f>
        <v/>
      </c>
      <c r="H17">
        <f>IFERROR(VLOOKUP($B17&amp;"", 'TiVA EXGR 2022'!$A:$M, 8, FALSE)/VLOOKUP($B17&amp;"", 'TiVA EXGR 2022'!$A:$M, 13, FALSE), 0)</f>
        <v/>
      </c>
      <c r="I17">
        <f>IFERROR(VLOOKUP($B17&amp;"", 'TiVA EXGR 2022'!$A:$M, 9, FALSE)/VLOOKUP($B17&amp;"", 'TiVA EXGR 2022'!$A:$M, 13, FALSE), 0)</f>
        <v/>
      </c>
      <c r="J17">
        <f>IFERROR(VLOOKUP($B17&amp;"", 'TiVA EXGR 2022'!$A:$M, 10, FALSE)/VLOOKUP($B17&amp;"", 'TiVA EXGR 2022'!$A:$M, 13, FALSE), 0)</f>
        <v/>
      </c>
      <c r="K17">
        <f>IFERROR(VLOOKUP($B17&amp;"", 'TiVA EXGR 2022'!$A:$M, 11, FALSE)/VLOOKUP($B17&amp;"", 'TiVA EXGR 2022'!$A:$M, 13, FALSE), 0)</f>
        <v/>
      </c>
      <c r="L17">
        <f>IFERROR(VLOOKUP($B17&amp;"", 'TiVA EXGR 2022'!$A:$M, 12, FALSE)/VLOOKUP($B17&amp;"", 'TiVA EXGR 2022'!$A:$M, 13, FALSE), 0)</f>
        <v/>
      </c>
    </row>
    <row r="18">
      <c r="A18" t="inlineStr">
        <is>
          <t>computers and electronics 26</t>
        </is>
      </c>
      <c r="B18" t="inlineStr">
        <is>
          <t>C26</t>
        </is>
      </c>
      <c r="C18">
        <f>IFERROR(VLOOKUP($B18&amp;"", 'TiVA EXGR 2022'!$A:$M, 3, FALSE)/VLOOKUP($B18&amp;"", 'TiVA EXGR 2022'!$A:$M, 13, FALSE), 0)</f>
        <v/>
      </c>
      <c r="D18">
        <f>IFERROR(VLOOKUP($B18&amp;"", 'TiVA EXGR 2022'!$A:$M, 4, FALSE)/VLOOKUP($B18&amp;"", 'TiVA EXGR 2022'!$A:$M, 13, FALSE), 0)</f>
        <v/>
      </c>
      <c r="E18">
        <f>IFERROR(VLOOKUP($B18&amp;"", 'TiVA EXGR 2022'!$A:$M, 5, FALSE)/VLOOKUP($B18&amp;"", 'TiVA EXGR 2022'!$A:$M, 13, FALSE), 0)</f>
        <v/>
      </c>
      <c r="F18">
        <f>IFERROR(VLOOKUP($B18&amp;"", 'TiVA EXGR 2022'!$A:$M, 6, FALSE)/VLOOKUP($B18&amp;"", 'TiVA EXGR 2022'!$A:$M, 13, FALSE), 0)</f>
        <v/>
      </c>
      <c r="G18">
        <f>IFERROR(VLOOKUP($B18&amp;"", 'TiVA EXGR 2022'!$A:$M, 7, FALSE)/VLOOKUP($B18&amp;"", 'TiVA EXGR 2022'!$A:$M, 13, FALSE), 0)</f>
        <v/>
      </c>
      <c r="H18">
        <f>IFERROR(VLOOKUP($B18&amp;"", 'TiVA EXGR 2022'!$A:$M, 8, FALSE)/VLOOKUP($B18&amp;"", 'TiVA EXGR 2022'!$A:$M, 13, FALSE), 0)</f>
        <v/>
      </c>
      <c r="I18">
        <f>IFERROR(VLOOKUP($B18&amp;"", 'TiVA EXGR 2022'!$A:$M, 9, FALSE)/VLOOKUP($B18&amp;"", 'TiVA EXGR 2022'!$A:$M, 13, FALSE), 0)</f>
        <v/>
      </c>
      <c r="J18">
        <f>IFERROR(VLOOKUP($B18&amp;"", 'TiVA EXGR 2022'!$A:$M, 10, FALSE)/VLOOKUP($B18&amp;"", 'TiVA EXGR 2022'!$A:$M, 13, FALSE), 0)</f>
        <v/>
      </c>
      <c r="K18">
        <f>IFERROR(VLOOKUP($B18&amp;"", 'TiVA EXGR 2022'!$A:$M, 11, FALSE)/VLOOKUP($B18&amp;"", 'TiVA EXGR 2022'!$A:$M, 13, FALSE), 0)</f>
        <v/>
      </c>
      <c r="L18">
        <f>IFERROR(VLOOKUP($B18&amp;"", 'TiVA EXGR 2022'!$A:$M, 12, FALSE)/VLOOKUP($B18&amp;"", 'TiVA EXGR 2022'!$A:$M, 13, FALSE), 0)</f>
        <v/>
      </c>
    </row>
    <row r="19">
      <c r="A19" t="inlineStr">
        <is>
          <t>appliances and electrical equipment 27</t>
        </is>
      </c>
      <c r="B19" t="inlineStr">
        <is>
          <t>C27</t>
        </is>
      </c>
      <c r="C19">
        <f>IFERROR(VLOOKUP($B19&amp;"", 'TiVA EXGR 2022'!$A:$M, 3, FALSE)/VLOOKUP($B19&amp;"", 'TiVA EXGR 2022'!$A:$M, 13, FALSE), 0)</f>
        <v/>
      </c>
      <c r="D19">
        <f>IFERROR(VLOOKUP($B19&amp;"", 'TiVA EXGR 2022'!$A:$M, 4, FALSE)/VLOOKUP($B19&amp;"", 'TiVA EXGR 2022'!$A:$M, 13, FALSE), 0)</f>
        <v/>
      </c>
      <c r="E19">
        <f>IFERROR(VLOOKUP($B19&amp;"", 'TiVA EXGR 2022'!$A:$M, 5, FALSE)/VLOOKUP($B19&amp;"", 'TiVA EXGR 2022'!$A:$M, 13, FALSE), 0)</f>
        <v/>
      </c>
      <c r="F19">
        <f>IFERROR(VLOOKUP($B19&amp;"", 'TiVA EXGR 2022'!$A:$M, 6, FALSE)/VLOOKUP($B19&amp;"", 'TiVA EXGR 2022'!$A:$M, 13, FALSE), 0)</f>
        <v/>
      </c>
      <c r="G19">
        <f>IFERROR(VLOOKUP($B19&amp;"", 'TiVA EXGR 2022'!$A:$M, 7, FALSE)/VLOOKUP($B19&amp;"", 'TiVA EXGR 2022'!$A:$M, 13, FALSE), 0)</f>
        <v/>
      </c>
      <c r="H19">
        <f>IFERROR(VLOOKUP($B19&amp;"", 'TiVA EXGR 2022'!$A:$M, 8, FALSE)/VLOOKUP($B19&amp;"", 'TiVA EXGR 2022'!$A:$M, 13, FALSE), 0)</f>
        <v/>
      </c>
      <c r="I19">
        <f>IFERROR(VLOOKUP($B19&amp;"", 'TiVA EXGR 2022'!$A:$M, 9, FALSE)/VLOOKUP($B19&amp;"", 'TiVA EXGR 2022'!$A:$M, 13, FALSE), 0)</f>
        <v/>
      </c>
      <c r="J19">
        <f>IFERROR(VLOOKUP($B19&amp;"", 'TiVA EXGR 2022'!$A:$M, 10, FALSE)/VLOOKUP($B19&amp;"", 'TiVA EXGR 2022'!$A:$M, 13, FALSE), 0)</f>
        <v/>
      </c>
      <c r="K19">
        <f>IFERROR(VLOOKUP($B19&amp;"", 'TiVA EXGR 2022'!$A:$M, 11, FALSE)/VLOOKUP($B19&amp;"", 'TiVA EXGR 2022'!$A:$M, 13, FALSE), 0)</f>
        <v/>
      </c>
      <c r="L19">
        <f>IFERROR(VLOOKUP($B19&amp;"", 'TiVA EXGR 2022'!$A:$M, 12, FALSE)/VLOOKUP($B19&amp;"", 'TiVA EXGR 2022'!$A:$M, 13, FALSE), 0)</f>
        <v/>
      </c>
    </row>
    <row r="20">
      <c r="A20" t="inlineStr">
        <is>
          <t>other machinery 28</t>
        </is>
      </c>
      <c r="B20" t="inlineStr">
        <is>
          <t>C28</t>
        </is>
      </c>
      <c r="C20">
        <f>IFERROR(VLOOKUP($B20&amp;"", 'TiVA EXGR 2022'!$A:$M, 3, FALSE)/VLOOKUP($B20&amp;"", 'TiVA EXGR 2022'!$A:$M, 13, FALSE), 0)</f>
        <v/>
      </c>
      <c r="D20">
        <f>IFERROR(VLOOKUP($B20&amp;"", 'TiVA EXGR 2022'!$A:$M, 4, FALSE)/VLOOKUP($B20&amp;"", 'TiVA EXGR 2022'!$A:$M, 13, FALSE), 0)</f>
        <v/>
      </c>
      <c r="E20">
        <f>IFERROR(VLOOKUP($B20&amp;"", 'TiVA EXGR 2022'!$A:$M, 5, FALSE)/VLOOKUP($B20&amp;"", 'TiVA EXGR 2022'!$A:$M, 13, FALSE), 0)</f>
        <v/>
      </c>
      <c r="F20">
        <f>IFERROR(VLOOKUP($B20&amp;"", 'TiVA EXGR 2022'!$A:$M, 6, FALSE)/VLOOKUP($B20&amp;"", 'TiVA EXGR 2022'!$A:$M, 13, FALSE), 0)</f>
        <v/>
      </c>
      <c r="G20">
        <f>IFERROR(VLOOKUP($B20&amp;"", 'TiVA EXGR 2022'!$A:$M, 7, FALSE)/VLOOKUP($B20&amp;"", 'TiVA EXGR 2022'!$A:$M, 13, FALSE), 0)</f>
        <v/>
      </c>
      <c r="H20">
        <f>IFERROR(VLOOKUP($B20&amp;"", 'TiVA EXGR 2022'!$A:$M, 8, FALSE)/VLOOKUP($B20&amp;"", 'TiVA EXGR 2022'!$A:$M, 13, FALSE), 0)</f>
        <v/>
      </c>
      <c r="I20">
        <f>IFERROR(VLOOKUP($B20&amp;"", 'TiVA EXGR 2022'!$A:$M, 9, FALSE)/VLOOKUP($B20&amp;"", 'TiVA EXGR 2022'!$A:$M, 13, FALSE), 0)</f>
        <v/>
      </c>
      <c r="J20">
        <f>IFERROR(VLOOKUP($B20&amp;"", 'TiVA EXGR 2022'!$A:$M, 10, FALSE)/VLOOKUP($B20&amp;"", 'TiVA EXGR 2022'!$A:$M, 13, FALSE), 0)</f>
        <v/>
      </c>
      <c r="K20">
        <f>IFERROR(VLOOKUP($B20&amp;"", 'TiVA EXGR 2022'!$A:$M, 11, FALSE)/VLOOKUP($B20&amp;"", 'TiVA EXGR 2022'!$A:$M, 13, FALSE), 0)</f>
        <v/>
      </c>
      <c r="L20">
        <f>IFERROR(VLOOKUP($B20&amp;"", 'TiVA EXGR 2022'!$A:$M, 12, FALSE)/VLOOKUP($B20&amp;"", 'TiVA EXGR 2022'!$A:$M, 13, FALSE), 0)</f>
        <v/>
      </c>
    </row>
    <row r="21">
      <c r="A21" t="inlineStr">
        <is>
          <t>road vehicles 29</t>
        </is>
      </c>
      <c r="B21" t="inlineStr">
        <is>
          <t>C29</t>
        </is>
      </c>
      <c r="C21">
        <f>IFERROR(VLOOKUP($B21&amp;"", 'TiVA EXGR 2022'!$A:$M, 3, FALSE)/VLOOKUP($B21&amp;"", 'TiVA EXGR 2022'!$A:$M, 13, FALSE), 0)</f>
        <v/>
      </c>
      <c r="D21">
        <f>IFERROR(VLOOKUP($B21&amp;"", 'TiVA EXGR 2022'!$A:$M, 4, FALSE)/VLOOKUP($B21&amp;"", 'TiVA EXGR 2022'!$A:$M, 13, FALSE), 0)</f>
        <v/>
      </c>
      <c r="E21">
        <f>IFERROR(VLOOKUP($B21&amp;"", 'TiVA EXGR 2022'!$A:$M, 5, FALSE)/VLOOKUP($B21&amp;"", 'TiVA EXGR 2022'!$A:$M, 13, FALSE), 0)</f>
        <v/>
      </c>
      <c r="F21">
        <f>IFERROR(VLOOKUP($B21&amp;"", 'TiVA EXGR 2022'!$A:$M, 6, FALSE)/VLOOKUP($B21&amp;"", 'TiVA EXGR 2022'!$A:$M, 13, FALSE), 0)</f>
        <v/>
      </c>
      <c r="G21">
        <f>IFERROR(VLOOKUP($B21&amp;"", 'TiVA EXGR 2022'!$A:$M, 7, FALSE)/VLOOKUP($B21&amp;"", 'TiVA EXGR 2022'!$A:$M, 13, FALSE), 0)</f>
        <v/>
      </c>
      <c r="H21">
        <f>IFERROR(VLOOKUP($B21&amp;"", 'TiVA EXGR 2022'!$A:$M, 8, FALSE)/VLOOKUP($B21&amp;"", 'TiVA EXGR 2022'!$A:$M, 13, FALSE), 0)</f>
        <v/>
      </c>
      <c r="I21">
        <f>IFERROR(VLOOKUP($B21&amp;"", 'TiVA EXGR 2022'!$A:$M, 9, FALSE)/VLOOKUP($B21&amp;"", 'TiVA EXGR 2022'!$A:$M, 13, FALSE), 0)</f>
        <v/>
      </c>
      <c r="J21">
        <f>IFERROR(VLOOKUP($B21&amp;"", 'TiVA EXGR 2022'!$A:$M, 10, FALSE)/VLOOKUP($B21&amp;"", 'TiVA EXGR 2022'!$A:$M, 13, FALSE), 0)</f>
        <v/>
      </c>
      <c r="K21">
        <f>IFERROR(VLOOKUP($B21&amp;"", 'TiVA EXGR 2022'!$A:$M, 11, FALSE)/VLOOKUP($B21&amp;"", 'TiVA EXGR 2022'!$A:$M, 13, FALSE), 0)</f>
        <v/>
      </c>
      <c r="L21">
        <f>IFERROR(VLOOKUP($B21&amp;"", 'TiVA EXGR 2022'!$A:$M, 12, FALSE)/VLOOKUP($B21&amp;"", 'TiVA EXGR 2022'!$A:$M, 13, FALSE), 0)</f>
        <v/>
      </c>
    </row>
    <row r="22">
      <c r="A22" t="inlineStr">
        <is>
          <t>nonroad vehicles 30</t>
        </is>
      </c>
      <c r="B22" t="inlineStr">
        <is>
          <t>C30</t>
        </is>
      </c>
      <c r="C22">
        <f>IFERROR(VLOOKUP($B22&amp;"", 'TiVA EXGR 2022'!$A:$M, 3, FALSE)/VLOOKUP($B22&amp;"", 'TiVA EXGR 2022'!$A:$M, 13, FALSE), 0)</f>
        <v/>
      </c>
      <c r="D22">
        <f>IFERROR(VLOOKUP($B22&amp;"", 'TiVA EXGR 2022'!$A:$M, 4, FALSE)/VLOOKUP($B22&amp;"", 'TiVA EXGR 2022'!$A:$M, 13, FALSE), 0)</f>
        <v/>
      </c>
      <c r="E22">
        <f>IFERROR(VLOOKUP($B22&amp;"", 'TiVA EXGR 2022'!$A:$M, 5, FALSE)/VLOOKUP($B22&amp;"", 'TiVA EXGR 2022'!$A:$M, 13, FALSE), 0)</f>
        <v/>
      </c>
      <c r="F22">
        <f>IFERROR(VLOOKUP($B22&amp;"", 'TiVA EXGR 2022'!$A:$M, 6, FALSE)/VLOOKUP($B22&amp;"", 'TiVA EXGR 2022'!$A:$M, 13, FALSE), 0)</f>
        <v/>
      </c>
      <c r="G22">
        <f>IFERROR(VLOOKUP($B22&amp;"", 'TiVA EXGR 2022'!$A:$M, 7, FALSE)/VLOOKUP($B22&amp;"", 'TiVA EXGR 2022'!$A:$M, 13, FALSE), 0)</f>
        <v/>
      </c>
      <c r="H22">
        <f>IFERROR(VLOOKUP($B22&amp;"", 'TiVA EXGR 2022'!$A:$M, 8, FALSE)/VLOOKUP($B22&amp;"", 'TiVA EXGR 2022'!$A:$M, 13, FALSE), 0)</f>
        <v/>
      </c>
      <c r="I22">
        <f>IFERROR(VLOOKUP($B22&amp;"", 'TiVA EXGR 2022'!$A:$M, 9, FALSE)/VLOOKUP($B22&amp;"", 'TiVA EXGR 2022'!$A:$M, 13, FALSE), 0)</f>
        <v/>
      </c>
      <c r="J22">
        <f>IFERROR(VLOOKUP($B22&amp;"", 'TiVA EXGR 2022'!$A:$M, 10, FALSE)/VLOOKUP($B22&amp;"", 'TiVA EXGR 2022'!$A:$M, 13, FALSE), 0)</f>
        <v/>
      </c>
      <c r="K22">
        <f>IFERROR(VLOOKUP($B22&amp;"", 'TiVA EXGR 2022'!$A:$M, 11, FALSE)/VLOOKUP($B22&amp;"", 'TiVA EXGR 2022'!$A:$M, 13, FALSE), 0)</f>
        <v/>
      </c>
      <c r="L22">
        <f>IFERROR(VLOOKUP($B22&amp;"", 'TiVA EXGR 2022'!$A:$M, 12, FALSE)/VLOOKUP($B22&amp;"", 'TiVA EXGR 2022'!$A:$M, 13, FALSE), 0)</f>
        <v/>
      </c>
    </row>
    <row r="23">
      <c r="A23" t="inlineStr">
        <is>
          <t>other manufacturing 31T33</t>
        </is>
      </c>
      <c r="B23" t="inlineStr">
        <is>
          <t>C31T33</t>
        </is>
      </c>
      <c r="C23">
        <f>IFERROR(VLOOKUP($B23&amp;"", 'TiVA EXGR 2022'!$A:$M, 3, FALSE)/VLOOKUP($B23&amp;"", 'TiVA EXGR 2022'!$A:$M, 13, FALSE), 0)</f>
        <v/>
      </c>
      <c r="D23">
        <f>IFERROR(VLOOKUP($B23&amp;"", 'TiVA EXGR 2022'!$A:$M, 4, FALSE)/VLOOKUP($B23&amp;"", 'TiVA EXGR 2022'!$A:$M, 13, FALSE), 0)</f>
        <v/>
      </c>
      <c r="E23">
        <f>IFERROR(VLOOKUP($B23&amp;"", 'TiVA EXGR 2022'!$A:$M, 5, FALSE)/VLOOKUP($B23&amp;"", 'TiVA EXGR 2022'!$A:$M, 13, FALSE), 0)</f>
        <v/>
      </c>
      <c r="F23">
        <f>IFERROR(VLOOKUP($B23&amp;"", 'TiVA EXGR 2022'!$A:$M, 6, FALSE)/VLOOKUP($B23&amp;"", 'TiVA EXGR 2022'!$A:$M, 13, FALSE), 0)</f>
        <v/>
      </c>
      <c r="G23">
        <f>IFERROR(VLOOKUP($B23&amp;"", 'TiVA EXGR 2022'!$A:$M, 7, FALSE)/VLOOKUP($B23&amp;"", 'TiVA EXGR 2022'!$A:$M, 13, FALSE), 0)</f>
        <v/>
      </c>
      <c r="H23">
        <f>IFERROR(VLOOKUP($B23&amp;"", 'TiVA EXGR 2022'!$A:$M, 8, FALSE)/VLOOKUP($B23&amp;"", 'TiVA EXGR 2022'!$A:$M, 13, FALSE), 0)</f>
        <v/>
      </c>
      <c r="I23">
        <f>IFERROR(VLOOKUP($B23&amp;"", 'TiVA EXGR 2022'!$A:$M, 9, FALSE)/VLOOKUP($B23&amp;"", 'TiVA EXGR 2022'!$A:$M, 13, FALSE), 0)</f>
        <v/>
      </c>
      <c r="J23">
        <f>IFERROR(VLOOKUP($B23&amp;"", 'TiVA EXGR 2022'!$A:$M, 10, FALSE)/VLOOKUP($B23&amp;"", 'TiVA EXGR 2022'!$A:$M, 13, FALSE), 0)</f>
        <v/>
      </c>
      <c r="K23">
        <f>IFERROR(VLOOKUP($B23&amp;"", 'TiVA EXGR 2022'!$A:$M, 11, FALSE)/VLOOKUP($B23&amp;"", 'TiVA EXGR 2022'!$A:$M, 13, FALSE), 0)</f>
        <v/>
      </c>
      <c r="L23">
        <f>IFERROR(VLOOKUP($B23&amp;"", 'TiVA EXGR 2022'!$A:$M, 12, FALSE)/VLOOKUP($B23&amp;"", 'TiVA EXGR 2022'!$A:$M, 13, FALSE), 0)</f>
        <v/>
      </c>
    </row>
    <row r="24">
      <c r="A24" t="inlineStr">
        <is>
          <t>energy pipelines and gas processing 352T353</t>
        </is>
      </c>
      <c r="C24">
        <f>IFERROR(VLOOKUP($B24&amp;"", 'TiVA EXGR 2022'!$A:$M, 3, FALSE)/VLOOKUP($B24&amp;"", 'TiVA EXGR 2022'!$A:$M, 13, FALSE), 0)</f>
        <v/>
      </c>
      <c r="D24">
        <f>IFERROR(VLOOKUP($B24&amp;"", 'TiVA EXGR 2022'!$A:$M, 4, FALSE)/VLOOKUP($B24&amp;"", 'TiVA EXGR 2022'!$A:$M, 13, FALSE), 0)</f>
        <v/>
      </c>
      <c r="E24">
        <f>IFERROR(VLOOKUP($B24&amp;"", 'TiVA EXGR 2022'!$A:$M, 5, FALSE)/VLOOKUP($B24&amp;"", 'TiVA EXGR 2022'!$A:$M, 13, FALSE), 0)</f>
        <v/>
      </c>
      <c r="F24">
        <f>IFERROR(VLOOKUP($B24&amp;"", 'TiVA EXGR 2022'!$A:$M, 6, FALSE)/VLOOKUP($B24&amp;"", 'TiVA EXGR 2022'!$A:$M, 13, FALSE), 0)</f>
        <v/>
      </c>
      <c r="G24">
        <f>IFERROR(VLOOKUP($B24&amp;"", 'TiVA EXGR 2022'!$A:$M, 7, FALSE)/VLOOKUP($B24&amp;"", 'TiVA EXGR 2022'!$A:$M, 13, FALSE), 0)</f>
        <v/>
      </c>
      <c r="H24">
        <f>IFERROR(VLOOKUP($B24&amp;"", 'TiVA EXGR 2022'!$A:$M, 8, FALSE)/VLOOKUP($B24&amp;"", 'TiVA EXGR 2022'!$A:$M, 13, FALSE), 0)</f>
        <v/>
      </c>
      <c r="I24">
        <f>IFERROR(VLOOKUP($B24&amp;"", 'TiVA EXGR 2022'!$A:$M, 9, FALSE)/VLOOKUP($B24&amp;"", 'TiVA EXGR 2022'!$A:$M, 13, FALSE), 0)</f>
        <v/>
      </c>
      <c r="J24">
        <f>IFERROR(VLOOKUP($B24&amp;"", 'TiVA EXGR 2022'!$A:$M, 10, FALSE)/VLOOKUP($B24&amp;"", 'TiVA EXGR 2022'!$A:$M, 13, FALSE), 0)</f>
        <v/>
      </c>
      <c r="K24">
        <f>IFERROR(VLOOKUP($B24&amp;"", 'TiVA EXGR 2022'!$A:$M, 11, FALSE)/VLOOKUP($B24&amp;"", 'TiVA EXGR 2022'!$A:$M, 13, FALSE), 0)</f>
        <v/>
      </c>
      <c r="L24">
        <f>IFERROR(VLOOKUP($B24&amp;"", 'TiVA EXGR 2022'!$A:$M, 12, FALSE)/VLOOKUP($B24&amp;"", 'TiVA EXGR 2022'!$A:$M, 13, FALSE), 0)</f>
        <v/>
      </c>
    </row>
    <row r="25">
      <c r="A25" t="inlineStr">
        <is>
          <t>water and waste 36T39</t>
        </is>
      </c>
      <c r="B25" t="inlineStr">
        <is>
          <t>E</t>
        </is>
      </c>
      <c r="C25">
        <f>IFERROR(VLOOKUP($B25&amp;"", 'TiVA EXGR 2022'!$A:$M, 3, FALSE)/VLOOKUP($B25&amp;"", 'TiVA EXGR 2022'!$A:$M, 13, FALSE), 0)</f>
        <v/>
      </c>
      <c r="D25">
        <f>IFERROR(VLOOKUP($B25&amp;"", 'TiVA EXGR 2022'!$A:$M, 4, FALSE)/VLOOKUP($B25&amp;"", 'TiVA EXGR 2022'!$A:$M, 13, FALSE), 0)</f>
        <v/>
      </c>
      <c r="E25">
        <f>IFERROR(VLOOKUP($B25&amp;"", 'TiVA EXGR 2022'!$A:$M, 5, FALSE)/VLOOKUP($B25&amp;"", 'TiVA EXGR 2022'!$A:$M, 13, FALSE), 0)</f>
        <v/>
      </c>
      <c r="F25">
        <f>IFERROR(VLOOKUP($B25&amp;"", 'TiVA EXGR 2022'!$A:$M, 6, FALSE)/VLOOKUP($B25&amp;"", 'TiVA EXGR 2022'!$A:$M, 13, FALSE), 0)</f>
        <v/>
      </c>
      <c r="G25">
        <f>IFERROR(VLOOKUP($B25&amp;"", 'TiVA EXGR 2022'!$A:$M, 7, FALSE)/VLOOKUP($B25&amp;"", 'TiVA EXGR 2022'!$A:$M, 13, FALSE), 0)</f>
        <v/>
      </c>
      <c r="H25">
        <f>IFERROR(VLOOKUP($B25&amp;"", 'TiVA EXGR 2022'!$A:$M, 8, FALSE)/VLOOKUP($B25&amp;"", 'TiVA EXGR 2022'!$A:$M, 13, FALSE), 0)</f>
        <v/>
      </c>
      <c r="I25">
        <f>IFERROR(VLOOKUP($B25&amp;"", 'TiVA EXGR 2022'!$A:$M, 9, FALSE)/VLOOKUP($B25&amp;"", 'TiVA EXGR 2022'!$A:$M, 13, FALSE), 0)</f>
        <v/>
      </c>
      <c r="J25">
        <f>IFERROR(VLOOKUP($B25&amp;"", 'TiVA EXGR 2022'!$A:$M, 10, FALSE)/VLOOKUP($B25&amp;"", 'TiVA EXGR 2022'!$A:$M, 13, FALSE), 0)</f>
        <v/>
      </c>
      <c r="K25">
        <f>IFERROR(VLOOKUP($B25&amp;"", 'TiVA EXGR 2022'!$A:$M, 11, FALSE)/VLOOKUP($B25&amp;"", 'TiVA EXGR 2022'!$A:$M, 13, FALSE), 0)</f>
        <v/>
      </c>
      <c r="L25">
        <f>IFERROR(VLOOKUP($B25&amp;"", 'TiVA EXGR 2022'!$A:$M, 12, FALSE)/VLOOKUP($B25&amp;"", 'TiVA EXGR 2022'!$A:$M, 13, FALSE), 0)</f>
        <v/>
      </c>
    </row>
    <row r="26">
      <c r="A26" t="inlineStr">
        <is>
          <t>construction 41T43</t>
        </is>
      </c>
      <c r="B26" t="inlineStr">
        <is>
          <t>F</t>
        </is>
      </c>
      <c r="C26">
        <f>IFERROR(VLOOKUP($B26&amp;"", 'TiVA EXGR 2022'!$A:$M, 3, FALSE)/VLOOKUP($B26&amp;"", 'TiVA EXGR 2022'!$A:$M, 13, FALSE), 0)</f>
        <v/>
      </c>
      <c r="D26">
        <f>IFERROR(VLOOKUP($B26&amp;"", 'TiVA EXGR 2022'!$A:$M, 4, FALSE)/VLOOKUP($B26&amp;"", 'TiVA EXGR 2022'!$A:$M, 13, FALSE), 0)</f>
        <v/>
      </c>
      <c r="E26">
        <f>IFERROR(VLOOKUP($B26&amp;"", 'TiVA EXGR 2022'!$A:$M, 5, FALSE)/VLOOKUP($B26&amp;"", 'TiVA EXGR 2022'!$A:$M, 13, FALSE), 0)</f>
        <v/>
      </c>
      <c r="F26">
        <f>IFERROR(VLOOKUP($B26&amp;"", 'TiVA EXGR 2022'!$A:$M, 6, FALSE)/VLOOKUP($B26&amp;"", 'TiVA EXGR 2022'!$A:$M, 13, FALSE), 0)</f>
        <v/>
      </c>
      <c r="G26">
        <f>IFERROR(VLOOKUP($B26&amp;"", 'TiVA EXGR 2022'!$A:$M, 7, FALSE)/VLOOKUP($B26&amp;"", 'TiVA EXGR 2022'!$A:$M, 13, FALSE), 0)</f>
        <v/>
      </c>
      <c r="H26">
        <f>IFERROR(VLOOKUP($B26&amp;"", 'TiVA EXGR 2022'!$A:$M, 8, FALSE)/VLOOKUP($B26&amp;"", 'TiVA EXGR 2022'!$A:$M, 13, FALSE), 0)</f>
        <v/>
      </c>
      <c r="I26">
        <f>IFERROR(VLOOKUP($B26&amp;"", 'TiVA EXGR 2022'!$A:$M, 9, FALSE)/VLOOKUP($B26&amp;"", 'TiVA EXGR 2022'!$A:$M, 13, FALSE), 0)</f>
        <v/>
      </c>
      <c r="J26">
        <f>IFERROR(VLOOKUP($B26&amp;"", 'TiVA EXGR 2022'!$A:$M, 10, FALSE)/VLOOKUP($B26&amp;"", 'TiVA EXGR 2022'!$A:$M, 13, FALSE), 0)</f>
        <v/>
      </c>
      <c r="K26">
        <f>IFERROR(VLOOKUP($B26&amp;"", 'TiVA EXGR 2022'!$A:$M, 11, FALSE)/VLOOKUP($B26&amp;"", 'TiVA EXGR 2022'!$A:$M, 13, FALSE), 0)</f>
        <v/>
      </c>
      <c r="L26">
        <f>IFERROR(VLOOKUP($B26&amp;"", 'TiVA EXGR 2022'!$A:$M, 12, FALSE)/VLOOKUP($B26&amp;"", 'TiVA EXGR 2022'!$A:$M, 13, FALSE), 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Check</t>
        </is>
      </c>
      <c r="B1" s="1" t="inlineStr">
        <is>
          <t>Result</t>
        </is>
      </c>
      <c r="D1" s="6" t="inlineStr">
        <is>
          <t>helper: out-of-range flags (1=bad)</t>
        </is>
      </c>
    </row>
    <row r="2">
      <c r="A2" t="inlineStr">
        <is>
          <t>All calc shares within [0,1]</t>
        </is>
      </c>
      <c r="B2">
        <f>IF(SUM(D2:M26)=0,"PASS","FAIL")</f>
        <v/>
      </c>
      <c r="D2">
        <f>IF(AND(calcs!C2&gt;=0,calcs!C2&lt;=1),0,1)</f>
        <v/>
      </c>
      <c r="E2">
        <f>IF(AND(calcs!D2&gt;=0,calcs!D2&lt;=1),0,1)</f>
        <v/>
      </c>
      <c r="F2">
        <f>IF(AND(calcs!E2&gt;=0,calcs!E2&lt;=1),0,1)</f>
        <v/>
      </c>
      <c r="G2">
        <f>IF(AND(calcs!F2&gt;=0,calcs!F2&lt;=1),0,1)</f>
        <v/>
      </c>
      <c r="H2">
        <f>IF(AND(calcs!G2&gt;=0,calcs!G2&lt;=1),0,1)</f>
        <v/>
      </c>
      <c r="I2">
        <f>IF(AND(calcs!H2&gt;=0,calcs!H2&lt;=1),0,1)</f>
        <v/>
      </c>
      <c r="J2">
        <f>IF(AND(calcs!I2&gt;=0,calcs!I2&lt;=1),0,1)</f>
        <v/>
      </c>
      <c r="K2">
        <f>IF(AND(calcs!J2&gt;=0,calcs!J2&lt;=1),0,1)</f>
        <v/>
      </c>
      <c r="L2">
        <f>IF(AND(calcs!K2&gt;=0,calcs!K2&lt;=1),0,1)</f>
        <v/>
      </c>
      <c r="M2">
        <f>IF(AND(calcs!L2&gt;=0,calcs!L2&lt;=1),0,1)</f>
        <v/>
      </c>
    </row>
    <row r="3">
      <c r="A3" t="inlineStr">
        <is>
          <t>Selected region exists on source tab header</t>
        </is>
      </c>
      <c r="B3">
        <f>IF(ISNUMBER(MATCH(Region!$B$2, calcs!$C$1:$L$1, 0)),"PASS","FAIL")</f>
        <v/>
      </c>
      <c r="D3">
        <f>IF(AND(calcs!C3&gt;=0,calcs!C3&lt;=1),0,1)</f>
        <v/>
      </c>
      <c r="E3">
        <f>IF(AND(calcs!D3&gt;=0,calcs!D3&lt;=1),0,1)</f>
        <v/>
      </c>
      <c r="F3">
        <f>IF(AND(calcs!E3&gt;=0,calcs!E3&lt;=1),0,1)</f>
        <v/>
      </c>
      <c r="G3">
        <f>IF(AND(calcs!F3&gt;=0,calcs!F3&lt;=1),0,1)</f>
        <v/>
      </c>
      <c r="H3">
        <f>IF(AND(calcs!G3&gt;=0,calcs!G3&lt;=1),0,1)</f>
        <v/>
      </c>
      <c r="I3">
        <f>IF(AND(calcs!H3&gt;=0,calcs!H3&lt;=1),0,1)</f>
        <v/>
      </c>
      <c r="J3">
        <f>IF(AND(calcs!I3&gt;=0,calcs!I3&lt;=1),0,1)</f>
        <v/>
      </c>
      <c r="K3">
        <f>IF(AND(calcs!J3&gt;=0,calcs!J3&lt;=1),0,1)</f>
        <v/>
      </c>
      <c r="L3">
        <f>IF(AND(calcs!K3&gt;=0,calcs!K3&lt;=1),0,1)</f>
        <v/>
      </c>
      <c r="M3">
        <f>IF(AND(calcs!L3&gt;=0,calcs!L3&lt;=1),0,1)</f>
        <v/>
      </c>
    </row>
    <row r="4">
      <c r="A4" t="inlineStr">
        <is>
          <t>Output tab row count equals 25 industries</t>
        </is>
      </c>
      <c r="B4">
        <f>IF(COUNTA(EMSbIC!$A$2:$A$26)=25,"PASS","FAIL")</f>
        <v/>
      </c>
      <c r="D4">
        <f>IF(AND(calcs!C4&gt;=0,calcs!C4&lt;=1),0,1)</f>
        <v/>
      </c>
      <c r="E4">
        <f>IF(AND(calcs!D4&gt;=0,calcs!D4&lt;=1),0,1)</f>
        <v/>
      </c>
      <c r="F4">
        <f>IF(AND(calcs!E4&gt;=0,calcs!E4&lt;=1),0,1)</f>
        <v/>
      </c>
      <c r="G4">
        <f>IF(AND(calcs!F4&gt;=0,calcs!F4&lt;=1),0,1)</f>
        <v/>
      </c>
      <c r="H4">
        <f>IF(AND(calcs!G4&gt;=0,calcs!G4&lt;=1),0,1)</f>
        <v/>
      </c>
      <c r="I4">
        <f>IF(AND(calcs!H4&gt;=0,calcs!H4&lt;=1),0,1)</f>
        <v/>
      </c>
      <c r="J4">
        <f>IF(AND(calcs!I4&gt;=0,calcs!I4&lt;=1),0,1)</f>
        <v/>
      </c>
      <c r="K4">
        <f>IF(AND(calcs!J4&gt;=0,calcs!J4&lt;=1),0,1)</f>
        <v/>
      </c>
      <c r="L4">
        <f>IF(AND(calcs!K4&gt;=0,calcs!K4&lt;=1),0,1)</f>
        <v/>
      </c>
      <c r="M4">
        <f>IF(AND(calcs!L4&gt;=0,calcs!L4&lt;=1),0,1)</f>
        <v/>
      </c>
    </row>
    <row r="5">
      <c r="D5">
        <f>IF(AND(calcs!C5&gt;=0,calcs!C5&lt;=1),0,1)</f>
        <v/>
      </c>
      <c r="E5">
        <f>IF(AND(calcs!D5&gt;=0,calcs!D5&lt;=1),0,1)</f>
        <v/>
      </c>
      <c r="F5">
        <f>IF(AND(calcs!E5&gt;=0,calcs!E5&lt;=1),0,1)</f>
        <v/>
      </c>
      <c r="G5">
        <f>IF(AND(calcs!F5&gt;=0,calcs!F5&lt;=1),0,1)</f>
        <v/>
      </c>
      <c r="H5">
        <f>IF(AND(calcs!G5&gt;=0,calcs!G5&lt;=1),0,1)</f>
        <v/>
      </c>
      <c r="I5">
        <f>IF(AND(calcs!H5&gt;=0,calcs!H5&lt;=1),0,1)</f>
        <v/>
      </c>
      <c r="J5">
        <f>IF(AND(calcs!I5&gt;=0,calcs!I5&lt;=1),0,1)</f>
        <v/>
      </c>
      <c r="K5">
        <f>IF(AND(calcs!J5&gt;=0,calcs!J5&lt;=1),0,1)</f>
        <v/>
      </c>
      <c r="L5">
        <f>IF(AND(calcs!K5&gt;=0,calcs!K5&lt;=1),0,1)</f>
        <v/>
      </c>
      <c r="M5">
        <f>IF(AND(calcs!L5&gt;=0,calcs!L5&lt;=1),0,1)</f>
        <v/>
      </c>
    </row>
    <row r="6">
      <c r="D6">
        <f>IF(AND(calcs!C6&gt;=0,calcs!C6&lt;=1),0,1)</f>
        <v/>
      </c>
      <c r="E6">
        <f>IF(AND(calcs!D6&gt;=0,calcs!D6&lt;=1),0,1)</f>
        <v/>
      </c>
      <c r="F6">
        <f>IF(AND(calcs!E6&gt;=0,calcs!E6&lt;=1),0,1)</f>
        <v/>
      </c>
      <c r="G6">
        <f>IF(AND(calcs!F6&gt;=0,calcs!F6&lt;=1),0,1)</f>
        <v/>
      </c>
      <c r="H6">
        <f>IF(AND(calcs!G6&gt;=0,calcs!G6&lt;=1),0,1)</f>
        <v/>
      </c>
      <c r="I6">
        <f>IF(AND(calcs!H6&gt;=0,calcs!H6&lt;=1),0,1)</f>
        <v/>
      </c>
      <c r="J6">
        <f>IF(AND(calcs!I6&gt;=0,calcs!I6&lt;=1),0,1)</f>
        <v/>
      </c>
      <c r="K6">
        <f>IF(AND(calcs!J6&gt;=0,calcs!J6&lt;=1),0,1)</f>
        <v/>
      </c>
      <c r="L6">
        <f>IF(AND(calcs!K6&gt;=0,calcs!K6&lt;=1),0,1)</f>
        <v/>
      </c>
      <c r="M6">
        <f>IF(AND(calcs!L6&gt;=0,calcs!L6&lt;=1),0,1)</f>
        <v/>
      </c>
    </row>
    <row r="7">
      <c r="D7">
        <f>IF(AND(calcs!C7&gt;=0,calcs!C7&lt;=1),0,1)</f>
        <v/>
      </c>
      <c r="E7">
        <f>IF(AND(calcs!D7&gt;=0,calcs!D7&lt;=1),0,1)</f>
        <v/>
      </c>
      <c r="F7">
        <f>IF(AND(calcs!E7&gt;=0,calcs!E7&lt;=1),0,1)</f>
        <v/>
      </c>
      <c r="G7">
        <f>IF(AND(calcs!F7&gt;=0,calcs!F7&lt;=1),0,1)</f>
        <v/>
      </c>
      <c r="H7">
        <f>IF(AND(calcs!G7&gt;=0,calcs!G7&lt;=1),0,1)</f>
        <v/>
      </c>
      <c r="I7">
        <f>IF(AND(calcs!H7&gt;=0,calcs!H7&lt;=1),0,1)</f>
        <v/>
      </c>
      <c r="J7">
        <f>IF(AND(calcs!I7&gt;=0,calcs!I7&lt;=1),0,1)</f>
        <v/>
      </c>
      <c r="K7">
        <f>IF(AND(calcs!J7&gt;=0,calcs!J7&lt;=1),0,1)</f>
        <v/>
      </c>
      <c r="L7">
        <f>IF(AND(calcs!K7&gt;=0,calcs!K7&lt;=1),0,1)</f>
        <v/>
      </c>
      <c r="M7">
        <f>IF(AND(calcs!L7&gt;=0,calcs!L7&lt;=1),0,1)</f>
        <v/>
      </c>
    </row>
    <row r="8">
      <c r="D8">
        <f>IF(AND(calcs!C8&gt;=0,calcs!C8&lt;=1),0,1)</f>
        <v/>
      </c>
      <c r="E8">
        <f>IF(AND(calcs!D8&gt;=0,calcs!D8&lt;=1),0,1)</f>
        <v/>
      </c>
      <c r="F8">
        <f>IF(AND(calcs!E8&gt;=0,calcs!E8&lt;=1),0,1)</f>
        <v/>
      </c>
      <c r="G8">
        <f>IF(AND(calcs!F8&gt;=0,calcs!F8&lt;=1),0,1)</f>
        <v/>
      </c>
      <c r="H8">
        <f>IF(AND(calcs!G8&gt;=0,calcs!G8&lt;=1),0,1)</f>
        <v/>
      </c>
      <c r="I8">
        <f>IF(AND(calcs!H8&gt;=0,calcs!H8&lt;=1),0,1)</f>
        <v/>
      </c>
      <c r="J8">
        <f>IF(AND(calcs!I8&gt;=0,calcs!I8&lt;=1),0,1)</f>
        <v/>
      </c>
      <c r="K8">
        <f>IF(AND(calcs!J8&gt;=0,calcs!J8&lt;=1),0,1)</f>
        <v/>
      </c>
      <c r="L8">
        <f>IF(AND(calcs!K8&gt;=0,calcs!K8&lt;=1),0,1)</f>
        <v/>
      </c>
      <c r="M8">
        <f>IF(AND(calcs!L8&gt;=0,calcs!L8&lt;=1),0,1)</f>
        <v/>
      </c>
    </row>
    <row r="9">
      <c r="D9">
        <f>IF(AND(calcs!C9&gt;=0,calcs!C9&lt;=1),0,1)</f>
        <v/>
      </c>
      <c r="E9">
        <f>IF(AND(calcs!D9&gt;=0,calcs!D9&lt;=1),0,1)</f>
        <v/>
      </c>
      <c r="F9">
        <f>IF(AND(calcs!E9&gt;=0,calcs!E9&lt;=1),0,1)</f>
        <v/>
      </c>
      <c r="G9">
        <f>IF(AND(calcs!F9&gt;=0,calcs!F9&lt;=1),0,1)</f>
        <v/>
      </c>
      <c r="H9">
        <f>IF(AND(calcs!G9&gt;=0,calcs!G9&lt;=1),0,1)</f>
        <v/>
      </c>
      <c r="I9">
        <f>IF(AND(calcs!H9&gt;=0,calcs!H9&lt;=1),0,1)</f>
        <v/>
      </c>
      <c r="J9">
        <f>IF(AND(calcs!I9&gt;=0,calcs!I9&lt;=1),0,1)</f>
        <v/>
      </c>
      <c r="K9">
        <f>IF(AND(calcs!J9&gt;=0,calcs!J9&lt;=1),0,1)</f>
        <v/>
      </c>
      <c r="L9">
        <f>IF(AND(calcs!K9&gt;=0,calcs!K9&lt;=1),0,1)</f>
        <v/>
      </c>
      <c r="M9">
        <f>IF(AND(calcs!L9&gt;=0,calcs!L9&lt;=1),0,1)</f>
        <v/>
      </c>
    </row>
    <row r="10">
      <c r="D10">
        <f>IF(AND(calcs!C10&gt;=0,calcs!C10&lt;=1),0,1)</f>
        <v/>
      </c>
      <c r="E10">
        <f>IF(AND(calcs!D10&gt;=0,calcs!D10&lt;=1),0,1)</f>
        <v/>
      </c>
      <c r="F10">
        <f>IF(AND(calcs!E10&gt;=0,calcs!E10&lt;=1),0,1)</f>
        <v/>
      </c>
      <c r="G10">
        <f>IF(AND(calcs!F10&gt;=0,calcs!F10&lt;=1),0,1)</f>
        <v/>
      </c>
      <c r="H10">
        <f>IF(AND(calcs!G10&gt;=0,calcs!G10&lt;=1),0,1)</f>
        <v/>
      </c>
      <c r="I10">
        <f>IF(AND(calcs!H10&gt;=0,calcs!H10&lt;=1),0,1)</f>
        <v/>
      </c>
      <c r="J10">
        <f>IF(AND(calcs!I10&gt;=0,calcs!I10&lt;=1),0,1)</f>
        <v/>
      </c>
      <c r="K10">
        <f>IF(AND(calcs!J10&gt;=0,calcs!J10&lt;=1),0,1)</f>
        <v/>
      </c>
      <c r="L10">
        <f>IF(AND(calcs!K10&gt;=0,calcs!K10&lt;=1),0,1)</f>
        <v/>
      </c>
      <c r="M10">
        <f>IF(AND(calcs!L10&gt;=0,calcs!L10&lt;=1),0,1)</f>
        <v/>
      </c>
    </row>
    <row r="11">
      <c r="D11">
        <f>IF(AND(calcs!C11&gt;=0,calcs!C11&lt;=1),0,1)</f>
        <v/>
      </c>
      <c r="E11">
        <f>IF(AND(calcs!D11&gt;=0,calcs!D11&lt;=1),0,1)</f>
        <v/>
      </c>
      <c r="F11">
        <f>IF(AND(calcs!E11&gt;=0,calcs!E11&lt;=1),0,1)</f>
        <v/>
      </c>
      <c r="G11">
        <f>IF(AND(calcs!F11&gt;=0,calcs!F11&lt;=1),0,1)</f>
        <v/>
      </c>
      <c r="H11">
        <f>IF(AND(calcs!G11&gt;=0,calcs!G11&lt;=1),0,1)</f>
        <v/>
      </c>
      <c r="I11">
        <f>IF(AND(calcs!H11&gt;=0,calcs!H11&lt;=1),0,1)</f>
        <v/>
      </c>
      <c r="J11">
        <f>IF(AND(calcs!I11&gt;=0,calcs!I11&lt;=1),0,1)</f>
        <v/>
      </c>
      <c r="K11">
        <f>IF(AND(calcs!J11&gt;=0,calcs!J11&lt;=1),0,1)</f>
        <v/>
      </c>
      <c r="L11">
        <f>IF(AND(calcs!K11&gt;=0,calcs!K11&lt;=1),0,1)</f>
        <v/>
      </c>
      <c r="M11">
        <f>IF(AND(calcs!L11&gt;=0,calcs!L11&lt;=1),0,1)</f>
        <v/>
      </c>
    </row>
    <row r="12">
      <c r="D12">
        <f>IF(AND(calcs!C12&gt;=0,calcs!C12&lt;=1),0,1)</f>
        <v/>
      </c>
      <c r="E12">
        <f>IF(AND(calcs!D12&gt;=0,calcs!D12&lt;=1),0,1)</f>
        <v/>
      </c>
      <c r="F12">
        <f>IF(AND(calcs!E12&gt;=0,calcs!E12&lt;=1),0,1)</f>
        <v/>
      </c>
      <c r="G12">
        <f>IF(AND(calcs!F12&gt;=0,calcs!F12&lt;=1),0,1)</f>
        <v/>
      </c>
      <c r="H12">
        <f>IF(AND(calcs!G12&gt;=0,calcs!G12&lt;=1),0,1)</f>
        <v/>
      </c>
      <c r="I12">
        <f>IF(AND(calcs!H12&gt;=0,calcs!H12&lt;=1),0,1)</f>
        <v/>
      </c>
      <c r="J12">
        <f>IF(AND(calcs!I12&gt;=0,calcs!I12&lt;=1),0,1)</f>
        <v/>
      </c>
      <c r="K12">
        <f>IF(AND(calcs!J12&gt;=0,calcs!J12&lt;=1),0,1)</f>
        <v/>
      </c>
      <c r="L12">
        <f>IF(AND(calcs!K12&gt;=0,calcs!K12&lt;=1),0,1)</f>
        <v/>
      </c>
      <c r="M12">
        <f>IF(AND(calcs!L12&gt;=0,calcs!L12&lt;=1),0,1)</f>
        <v/>
      </c>
    </row>
    <row r="13">
      <c r="D13">
        <f>IF(AND(calcs!C13&gt;=0,calcs!C13&lt;=1),0,1)</f>
        <v/>
      </c>
      <c r="E13">
        <f>IF(AND(calcs!D13&gt;=0,calcs!D13&lt;=1),0,1)</f>
        <v/>
      </c>
      <c r="F13">
        <f>IF(AND(calcs!E13&gt;=0,calcs!E13&lt;=1),0,1)</f>
        <v/>
      </c>
      <c r="G13">
        <f>IF(AND(calcs!F13&gt;=0,calcs!F13&lt;=1),0,1)</f>
        <v/>
      </c>
      <c r="H13">
        <f>IF(AND(calcs!G13&gt;=0,calcs!G13&lt;=1),0,1)</f>
        <v/>
      </c>
      <c r="I13">
        <f>IF(AND(calcs!H13&gt;=0,calcs!H13&lt;=1),0,1)</f>
        <v/>
      </c>
      <c r="J13">
        <f>IF(AND(calcs!I13&gt;=0,calcs!I13&lt;=1),0,1)</f>
        <v/>
      </c>
      <c r="K13">
        <f>IF(AND(calcs!J13&gt;=0,calcs!J13&lt;=1),0,1)</f>
        <v/>
      </c>
      <c r="L13">
        <f>IF(AND(calcs!K13&gt;=0,calcs!K13&lt;=1),0,1)</f>
        <v/>
      </c>
      <c r="M13">
        <f>IF(AND(calcs!L13&gt;=0,calcs!L13&lt;=1),0,1)</f>
        <v/>
      </c>
    </row>
    <row r="14">
      <c r="D14">
        <f>IF(AND(calcs!C14&gt;=0,calcs!C14&lt;=1),0,1)</f>
        <v/>
      </c>
      <c r="E14">
        <f>IF(AND(calcs!D14&gt;=0,calcs!D14&lt;=1),0,1)</f>
        <v/>
      </c>
      <c r="F14">
        <f>IF(AND(calcs!E14&gt;=0,calcs!E14&lt;=1),0,1)</f>
        <v/>
      </c>
      <c r="G14">
        <f>IF(AND(calcs!F14&gt;=0,calcs!F14&lt;=1),0,1)</f>
        <v/>
      </c>
      <c r="H14">
        <f>IF(AND(calcs!G14&gt;=0,calcs!G14&lt;=1),0,1)</f>
        <v/>
      </c>
      <c r="I14">
        <f>IF(AND(calcs!H14&gt;=0,calcs!H14&lt;=1),0,1)</f>
        <v/>
      </c>
      <c r="J14">
        <f>IF(AND(calcs!I14&gt;=0,calcs!I14&lt;=1),0,1)</f>
        <v/>
      </c>
      <c r="K14">
        <f>IF(AND(calcs!J14&gt;=0,calcs!J14&lt;=1),0,1)</f>
        <v/>
      </c>
      <c r="L14">
        <f>IF(AND(calcs!K14&gt;=0,calcs!K14&lt;=1),0,1)</f>
        <v/>
      </c>
      <c r="M14">
        <f>IF(AND(calcs!L14&gt;=0,calcs!L14&lt;=1),0,1)</f>
        <v/>
      </c>
    </row>
    <row r="15">
      <c r="D15">
        <f>IF(AND(calcs!C15&gt;=0,calcs!C15&lt;=1),0,1)</f>
        <v/>
      </c>
      <c r="E15">
        <f>IF(AND(calcs!D15&gt;=0,calcs!D15&lt;=1),0,1)</f>
        <v/>
      </c>
      <c r="F15">
        <f>IF(AND(calcs!E15&gt;=0,calcs!E15&lt;=1),0,1)</f>
        <v/>
      </c>
      <c r="G15">
        <f>IF(AND(calcs!F15&gt;=0,calcs!F15&lt;=1),0,1)</f>
        <v/>
      </c>
      <c r="H15">
        <f>IF(AND(calcs!G15&gt;=0,calcs!G15&lt;=1),0,1)</f>
        <v/>
      </c>
      <c r="I15">
        <f>IF(AND(calcs!H15&gt;=0,calcs!H15&lt;=1),0,1)</f>
        <v/>
      </c>
      <c r="J15">
        <f>IF(AND(calcs!I15&gt;=0,calcs!I15&lt;=1),0,1)</f>
        <v/>
      </c>
      <c r="K15">
        <f>IF(AND(calcs!J15&gt;=0,calcs!J15&lt;=1),0,1)</f>
        <v/>
      </c>
      <c r="L15">
        <f>IF(AND(calcs!K15&gt;=0,calcs!K15&lt;=1),0,1)</f>
        <v/>
      </c>
      <c r="M15">
        <f>IF(AND(calcs!L15&gt;=0,calcs!L15&lt;=1),0,1)</f>
        <v/>
      </c>
    </row>
    <row r="16">
      <c r="D16">
        <f>IF(AND(calcs!C16&gt;=0,calcs!C16&lt;=1),0,1)</f>
        <v/>
      </c>
      <c r="E16">
        <f>IF(AND(calcs!D16&gt;=0,calcs!D16&lt;=1),0,1)</f>
        <v/>
      </c>
      <c r="F16">
        <f>IF(AND(calcs!E16&gt;=0,calcs!E16&lt;=1),0,1)</f>
        <v/>
      </c>
      <c r="G16">
        <f>IF(AND(calcs!F16&gt;=0,calcs!F16&lt;=1),0,1)</f>
        <v/>
      </c>
      <c r="H16">
        <f>IF(AND(calcs!G16&gt;=0,calcs!G16&lt;=1),0,1)</f>
        <v/>
      </c>
      <c r="I16">
        <f>IF(AND(calcs!H16&gt;=0,calcs!H16&lt;=1),0,1)</f>
        <v/>
      </c>
      <c r="J16">
        <f>IF(AND(calcs!I16&gt;=0,calcs!I16&lt;=1),0,1)</f>
        <v/>
      </c>
      <c r="K16">
        <f>IF(AND(calcs!J16&gt;=0,calcs!J16&lt;=1),0,1)</f>
        <v/>
      </c>
      <c r="L16">
        <f>IF(AND(calcs!K16&gt;=0,calcs!K16&lt;=1),0,1)</f>
        <v/>
      </c>
      <c r="M16">
        <f>IF(AND(calcs!L16&gt;=0,calcs!L16&lt;=1),0,1)</f>
        <v/>
      </c>
    </row>
    <row r="17">
      <c r="D17">
        <f>IF(AND(calcs!C17&gt;=0,calcs!C17&lt;=1),0,1)</f>
        <v/>
      </c>
      <c r="E17">
        <f>IF(AND(calcs!D17&gt;=0,calcs!D17&lt;=1),0,1)</f>
        <v/>
      </c>
      <c r="F17">
        <f>IF(AND(calcs!E17&gt;=0,calcs!E17&lt;=1),0,1)</f>
        <v/>
      </c>
      <c r="G17">
        <f>IF(AND(calcs!F17&gt;=0,calcs!F17&lt;=1),0,1)</f>
        <v/>
      </c>
      <c r="H17">
        <f>IF(AND(calcs!G17&gt;=0,calcs!G17&lt;=1),0,1)</f>
        <v/>
      </c>
      <c r="I17">
        <f>IF(AND(calcs!H17&gt;=0,calcs!H17&lt;=1),0,1)</f>
        <v/>
      </c>
      <c r="J17">
        <f>IF(AND(calcs!I17&gt;=0,calcs!I17&lt;=1),0,1)</f>
        <v/>
      </c>
      <c r="K17">
        <f>IF(AND(calcs!J17&gt;=0,calcs!J17&lt;=1),0,1)</f>
        <v/>
      </c>
      <c r="L17">
        <f>IF(AND(calcs!K17&gt;=0,calcs!K17&lt;=1),0,1)</f>
        <v/>
      </c>
      <c r="M17">
        <f>IF(AND(calcs!L17&gt;=0,calcs!L17&lt;=1),0,1)</f>
        <v/>
      </c>
    </row>
    <row r="18">
      <c r="D18">
        <f>IF(AND(calcs!C18&gt;=0,calcs!C18&lt;=1),0,1)</f>
        <v/>
      </c>
      <c r="E18">
        <f>IF(AND(calcs!D18&gt;=0,calcs!D18&lt;=1),0,1)</f>
        <v/>
      </c>
      <c r="F18">
        <f>IF(AND(calcs!E18&gt;=0,calcs!E18&lt;=1),0,1)</f>
        <v/>
      </c>
      <c r="G18">
        <f>IF(AND(calcs!F18&gt;=0,calcs!F18&lt;=1),0,1)</f>
        <v/>
      </c>
      <c r="H18">
        <f>IF(AND(calcs!G18&gt;=0,calcs!G18&lt;=1),0,1)</f>
        <v/>
      </c>
      <c r="I18">
        <f>IF(AND(calcs!H18&gt;=0,calcs!H18&lt;=1),0,1)</f>
        <v/>
      </c>
      <c r="J18">
        <f>IF(AND(calcs!I18&gt;=0,calcs!I18&lt;=1),0,1)</f>
        <v/>
      </c>
      <c r="K18">
        <f>IF(AND(calcs!J18&gt;=0,calcs!J18&lt;=1),0,1)</f>
        <v/>
      </c>
      <c r="L18">
        <f>IF(AND(calcs!K18&gt;=0,calcs!K18&lt;=1),0,1)</f>
        <v/>
      </c>
      <c r="M18">
        <f>IF(AND(calcs!L18&gt;=0,calcs!L18&lt;=1),0,1)</f>
        <v/>
      </c>
    </row>
    <row r="19">
      <c r="D19">
        <f>IF(AND(calcs!C19&gt;=0,calcs!C19&lt;=1),0,1)</f>
        <v/>
      </c>
      <c r="E19">
        <f>IF(AND(calcs!D19&gt;=0,calcs!D19&lt;=1),0,1)</f>
        <v/>
      </c>
      <c r="F19">
        <f>IF(AND(calcs!E19&gt;=0,calcs!E19&lt;=1),0,1)</f>
        <v/>
      </c>
      <c r="G19">
        <f>IF(AND(calcs!F19&gt;=0,calcs!F19&lt;=1),0,1)</f>
        <v/>
      </c>
      <c r="H19">
        <f>IF(AND(calcs!G19&gt;=0,calcs!G19&lt;=1),0,1)</f>
        <v/>
      </c>
      <c r="I19">
        <f>IF(AND(calcs!H19&gt;=0,calcs!H19&lt;=1),0,1)</f>
        <v/>
      </c>
      <c r="J19">
        <f>IF(AND(calcs!I19&gt;=0,calcs!I19&lt;=1),0,1)</f>
        <v/>
      </c>
      <c r="K19">
        <f>IF(AND(calcs!J19&gt;=0,calcs!J19&lt;=1),0,1)</f>
        <v/>
      </c>
      <c r="L19">
        <f>IF(AND(calcs!K19&gt;=0,calcs!K19&lt;=1),0,1)</f>
        <v/>
      </c>
      <c r="M19">
        <f>IF(AND(calcs!L19&gt;=0,calcs!L19&lt;=1),0,1)</f>
        <v/>
      </c>
    </row>
    <row r="20">
      <c r="D20">
        <f>IF(AND(calcs!C20&gt;=0,calcs!C20&lt;=1),0,1)</f>
        <v/>
      </c>
      <c r="E20">
        <f>IF(AND(calcs!D20&gt;=0,calcs!D20&lt;=1),0,1)</f>
        <v/>
      </c>
      <c r="F20">
        <f>IF(AND(calcs!E20&gt;=0,calcs!E20&lt;=1),0,1)</f>
        <v/>
      </c>
      <c r="G20">
        <f>IF(AND(calcs!F20&gt;=0,calcs!F20&lt;=1),0,1)</f>
        <v/>
      </c>
      <c r="H20">
        <f>IF(AND(calcs!G20&gt;=0,calcs!G20&lt;=1),0,1)</f>
        <v/>
      </c>
      <c r="I20">
        <f>IF(AND(calcs!H20&gt;=0,calcs!H20&lt;=1),0,1)</f>
        <v/>
      </c>
      <c r="J20">
        <f>IF(AND(calcs!I20&gt;=0,calcs!I20&lt;=1),0,1)</f>
        <v/>
      </c>
      <c r="K20">
        <f>IF(AND(calcs!J20&gt;=0,calcs!J20&lt;=1),0,1)</f>
        <v/>
      </c>
      <c r="L20">
        <f>IF(AND(calcs!K20&gt;=0,calcs!K20&lt;=1),0,1)</f>
        <v/>
      </c>
      <c r="M20">
        <f>IF(AND(calcs!L20&gt;=0,calcs!L20&lt;=1),0,1)</f>
        <v/>
      </c>
    </row>
    <row r="21">
      <c r="D21">
        <f>IF(AND(calcs!C21&gt;=0,calcs!C21&lt;=1),0,1)</f>
        <v/>
      </c>
      <c r="E21">
        <f>IF(AND(calcs!D21&gt;=0,calcs!D21&lt;=1),0,1)</f>
        <v/>
      </c>
      <c r="F21">
        <f>IF(AND(calcs!E21&gt;=0,calcs!E21&lt;=1),0,1)</f>
        <v/>
      </c>
      <c r="G21">
        <f>IF(AND(calcs!F21&gt;=0,calcs!F21&lt;=1),0,1)</f>
        <v/>
      </c>
      <c r="H21">
        <f>IF(AND(calcs!G21&gt;=0,calcs!G21&lt;=1),0,1)</f>
        <v/>
      </c>
      <c r="I21">
        <f>IF(AND(calcs!H21&gt;=0,calcs!H21&lt;=1),0,1)</f>
        <v/>
      </c>
      <c r="J21">
        <f>IF(AND(calcs!I21&gt;=0,calcs!I21&lt;=1),0,1)</f>
        <v/>
      </c>
      <c r="K21">
        <f>IF(AND(calcs!J21&gt;=0,calcs!J21&lt;=1),0,1)</f>
        <v/>
      </c>
      <c r="L21">
        <f>IF(AND(calcs!K21&gt;=0,calcs!K21&lt;=1),0,1)</f>
        <v/>
      </c>
      <c r="M21">
        <f>IF(AND(calcs!L21&gt;=0,calcs!L21&lt;=1),0,1)</f>
        <v/>
      </c>
    </row>
    <row r="22">
      <c r="D22">
        <f>IF(AND(calcs!C22&gt;=0,calcs!C22&lt;=1),0,1)</f>
        <v/>
      </c>
      <c r="E22">
        <f>IF(AND(calcs!D22&gt;=0,calcs!D22&lt;=1),0,1)</f>
        <v/>
      </c>
      <c r="F22">
        <f>IF(AND(calcs!E22&gt;=0,calcs!E22&lt;=1),0,1)</f>
        <v/>
      </c>
      <c r="G22">
        <f>IF(AND(calcs!F22&gt;=0,calcs!F22&lt;=1),0,1)</f>
        <v/>
      </c>
      <c r="H22">
        <f>IF(AND(calcs!G22&gt;=0,calcs!G22&lt;=1),0,1)</f>
        <v/>
      </c>
      <c r="I22">
        <f>IF(AND(calcs!H22&gt;=0,calcs!H22&lt;=1),0,1)</f>
        <v/>
      </c>
      <c r="J22">
        <f>IF(AND(calcs!I22&gt;=0,calcs!I22&lt;=1),0,1)</f>
        <v/>
      </c>
      <c r="K22">
        <f>IF(AND(calcs!J22&gt;=0,calcs!J22&lt;=1),0,1)</f>
        <v/>
      </c>
      <c r="L22">
        <f>IF(AND(calcs!K22&gt;=0,calcs!K22&lt;=1),0,1)</f>
        <v/>
      </c>
      <c r="M22">
        <f>IF(AND(calcs!L22&gt;=0,calcs!L22&lt;=1),0,1)</f>
        <v/>
      </c>
    </row>
    <row r="23">
      <c r="D23">
        <f>IF(AND(calcs!C23&gt;=0,calcs!C23&lt;=1),0,1)</f>
        <v/>
      </c>
      <c r="E23">
        <f>IF(AND(calcs!D23&gt;=0,calcs!D23&lt;=1),0,1)</f>
        <v/>
      </c>
      <c r="F23">
        <f>IF(AND(calcs!E23&gt;=0,calcs!E23&lt;=1),0,1)</f>
        <v/>
      </c>
      <c r="G23">
        <f>IF(AND(calcs!F23&gt;=0,calcs!F23&lt;=1),0,1)</f>
        <v/>
      </c>
      <c r="H23">
        <f>IF(AND(calcs!G23&gt;=0,calcs!G23&lt;=1),0,1)</f>
        <v/>
      </c>
      <c r="I23">
        <f>IF(AND(calcs!H23&gt;=0,calcs!H23&lt;=1),0,1)</f>
        <v/>
      </c>
      <c r="J23">
        <f>IF(AND(calcs!I23&gt;=0,calcs!I23&lt;=1),0,1)</f>
        <v/>
      </c>
      <c r="K23">
        <f>IF(AND(calcs!J23&gt;=0,calcs!J23&lt;=1),0,1)</f>
        <v/>
      </c>
      <c r="L23">
        <f>IF(AND(calcs!K23&gt;=0,calcs!K23&lt;=1),0,1)</f>
        <v/>
      </c>
      <c r="M23">
        <f>IF(AND(calcs!L23&gt;=0,calcs!L23&lt;=1),0,1)</f>
        <v/>
      </c>
    </row>
    <row r="24">
      <c r="D24">
        <f>IF(AND(calcs!C24&gt;=0,calcs!C24&lt;=1),0,1)</f>
        <v/>
      </c>
      <c r="E24">
        <f>IF(AND(calcs!D24&gt;=0,calcs!D24&lt;=1),0,1)</f>
        <v/>
      </c>
      <c r="F24">
        <f>IF(AND(calcs!E24&gt;=0,calcs!E24&lt;=1),0,1)</f>
        <v/>
      </c>
      <c r="G24">
        <f>IF(AND(calcs!F24&gt;=0,calcs!F24&lt;=1),0,1)</f>
        <v/>
      </c>
      <c r="H24">
        <f>IF(AND(calcs!G24&gt;=0,calcs!G24&lt;=1),0,1)</f>
        <v/>
      </c>
      <c r="I24">
        <f>IF(AND(calcs!H24&gt;=0,calcs!H24&lt;=1),0,1)</f>
        <v/>
      </c>
      <c r="J24">
        <f>IF(AND(calcs!I24&gt;=0,calcs!I24&lt;=1),0,1)</f>
        <v/>
      </c>
      <c r="K24">
        <f>IF(AND(calcs!J24&gt;=0,calcs!J24&lt;=1),0,1)</f>
        <v/>
      </c>
      <c r="L24">
        <f>IF(AND(calcs!K24&gt;=0,calcs!K24&lt;=1),0,1)</f>
        <v/>
      </c>
      <c r="M24">
        <f>IF(AND(calcs!L24&gt;=0,calcs!L24&lt;=1),0,1)</f>
        <v/>
      </c>
    </row>
    <row r="25">
      <c r="D25">
        <f>IF(AND(calcs!C25&gt;=0,calcs!C25&lt;=1),0,1)</f>
        <v/>
      </c>
      <c r="E25">
        <f>IF(AND(calcs!D25&gt;=0,calcs!D25&lt;=1),0,1)</f>
        <v/>
      </c>
      <c r="F25">
        <f>IF(AND(calcs!E25&gt;=0,calcs!E25&lt;=1),0,1)</f>
        <v/>
      </c>
      <c r="G25">
        <f>IF(AND(calcs!F25&gt;=0,calcs!F25&lt;=1),0,1)</f>
        <v/>
      </c>
      <c r="H25">
        <f>IF(AND(calcs!G25&gt;=0,calcs!G25&lt;=1),0,1)</f>
        <v/>
      </c>
      <c r="I25">
        <f>IF(AND(calcs!H25&gt;=0,calcs!H25&lt;=1),0,1)</f>
        <v/>
      </c>
      <c r="J25">
        <f>IF(AND(calcs!I25&gt;=0,calcs!I25&lt;=1),0,1)</f>
        <v/>
      </c>
      <c r="K25">
        <f>IF(AND(calcs!J25&gt;=0,calcs!J25&lt;=1),0,1)</f>
        <v/>
      </c>
      <c r="L25">
        <f>IF(AND(calcs!K25&gt;=0,calcs!K25&lt;=1),0,1)</f>
        <v/>
      </c>
      <c r="M25">
        <f>IF(AND(calcs!L25&gt;=0,calcs!L25&lt;=1),0,1)</f>
        <v/>
      </c>
    </row>
    <row r="26">
      <c r="D26">
        <f>IF(AND(calcs!C26&gt;=0,calcs!C26&lt;=1),0,1)</f>
        <v/>
      </c>
      <c r="E26">
        <f>IF(AND(calcs!D26&gt;=0,calcs!D26&lt;=1),0,1)</f>
        <v/>
      </c>
      <c r="F26">
        <f>IF(AND(calcs!E26&gt;=0,calcs!E26&lt;=1),0,1)</f>
        <v/>
      </c>
      <c r="G26">
        <f>IF(AND(calcs!F26&gt;=0,calcs!F26&lt;=1),0,1)</f>
        <v/>
      </c>
      <c r="H26">
        <f>IF(AND(calcs!G26&gt;=0,calcs!G26&lt;=1),0,1)</f>
        <v/>
      </c>
      <c r="I26">
        <f>IF(AND(calcs!H26&gt;=0,calcs!H26&lt;=1),0,1)</f>
        <v/>
      </c>
      <c r="J26">
        <f>IF(AND(calcs!I26&gt;=0,calcs!I26&lt;=1),0,1)</f>
        <v/>
      </c>
      <c r="K26">
        <f>IF(AND(calcs!J26&gt;=0,calcs!J26&lt;=1),0,1)</f>
        <v/>
      </c>
      <c r="L26">
        <f>IF(AND(calcs!K26&gt;=0,calcs!K26&lt;=1),0,1)</f>
        <v/>
      </c>
      <c r="M26">
        <f>IF(AND(calcs!L26&gt;=0,calcs!L26&lt;=1),0,1)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1F3864"/>
    <outlinePr summaryBelow="1" summaryRight="1"/>
    <pageSetUpPr/>
  </sheetPr>
  <dimension ref="A1:B26"/>
  <sheetViews>
    <sheetView tabSelected="1" workbookViewId="0">
      <selection activeCell="B2" sqref="B2:B26"/>
    </sheetView>
  </sheetViews>
  <sheetFormatPr baseColWidth="8" defaultRowHeight="15"/>
  <cols>
    <col width="45" customWidth="1" min="1" max="1"/>
  </cols>
  <sheetData>
    <row r="1">
      <c r="A1" t="inlineStr">
        <is>
          <t>Unit: dimensionless (share of world exports)</t>
        </is>
      </c>
      <c r="B1" t="inlineStr">
        <is>
          <t>Share</t>
        </is>
      </c>
    </row>
    <row r="2">
      <c r="A2" t="inlineStr">
        <is>
          <t>agriculture and forestry 01T03</t>
        </is>
      </c>
      <c r="B2">
        <f>ROUND(INDEX(calcs!$C2:$L2, MATCH(Region!$B$2, calcs!$C$1:$L$1, 0)), 4)</f>
        <v/>
      </c>
    </row>
    <row r="3">
      <c r="A3" t="inlineStr">
        <is>
          <t>coal mining 05</t>
        </is>
      </c>
      <c r="B3">
        <f>ROUND(INDEX(calcs!$C3:$L3, MATCH(Region!$B$2, calcs!$C$1:$L$1, 0)), 4)</f>
        <v/>
      </c>
    </row>
    <row r="4">
      <c r="A4" t="inlineStr">
        <is>
          <t>oil and gas extraction 06</t>
        </is>
      </c>
      <c r="B4">
        <f>ROUND(INDEX(calcs!$C4:$L4, MATCH(Region!$B$2, calcs!$C$1:$L$1, 0)), 4)</f>
        <v/>
      </c>
    </row>
    <row r="5">
      <c r="A5" t="inlineStr">
        <is>
          <t>other mining and quarrying 07T08</t>
        </is>
      </c>
      <c r="B5">
        <f>ROUND(INDEX(calcs!$C5:$L5, MATCH(Region!$B$2, calcs!$C$1:$L$1, 0)), 4)</f>
        <v/>
      </c>
    </row>
    <row r="6">
      <c r="A6" t="inlineStr">
        <is>
          <t>food beverage and tobacco 10T12</t>
        </is>
      </c>
      <c r="B6">
        <f>ROUND(INDEX(calcs!$C6:$L6, MATCH(Region!$B$2, calcs!$C$1:$L$1, 0)), 4)</f>
        <v/>
      </c>
    </row>
    <row r="7">
      <c r="A7" t="inlineStr">
        <is>
          <t>textiles apparel and leather 13T15</t>
        </is>
      </c>
      <c r="B7">
        <f>ROUND(INDEX(calcs!$C7:$L7, MATCH(Region!$B$2, calcs!$C$1:$L$1, 0)), 4)</f>
        <v/>
      </c>
    </row>
    <row r="8">
      <c r="A8" t="inlineStr">
        <is>
          <t>wood products 16</t>
        </is>
      </c>
      <c r="B8">
        <f>ROUND(INDEX(calcs!$C8:$L8, MATCH(Region!$B$2, calcs!$C$1:$L$1, 0)), 4)</f>
        <v/>
      </c>
    </row>
    <row r="9">
      <c r="A9" t="inlineStr">
        <is>
          <t>pulp paper and printing 17T18</t>
        </is>
      </c>
      <c r="B9">
        <f>ROUND(INDEX(calcs!$C9:$L9, MATCH(Region!$B$2, calcs!$C$1:$L$1, 0)), 4)</f>
        <v/>
      </c>
    </row>
    <row r="10">
      <c r="A10" t="inlineStr">
        <is>
          <t>refined petroleum and coke 19</t>
        </is>
      </c>
      <c r="B10">
        <f>ROUND(INDEX(calcs!$C10:$L10, MATCH(Region!$B$2, calcs!$C$1:$L$1, 0)), 4)</f>
        <v/>
      </c>
    </row>
    <row r="11">
      <c r="A11" t="inlineStr">
        <is>
          <t>chemicals 20</t>
        </is>
      </c>
      <c r="B11">
        <f>ROUND(INDEX(calcs!$C11:$L11, MATCH(Region!$B$2, calcs!$C$1:$L$1, 0)), 4)</f>
        <v/>
      </c>
    </row>
    <row r="12">
      <c r="A12" t="inlineStr">
        <is>
          <t>rubber and plastic products 22</t>
        </is>
      </c>
      <c r="B12">
        <f>ROUND(INDEX(calcs!$C12:$L12, MATCH(Region!$B$2, calcs!$C$1:$L$1, 0)), 4)</f>
        <v/>
      </c>
    </row>
    <row r="13">
      <c r="A13" t="inlineStr">
        <is>
          <t>glass and glass products 231</t>
        </is>
      </c>
      <c r="B13">
        <f>ROUND(INDEX(calcs!$C13:$L13, MATCH(Region!$B$2, calcs!$C$1:$L$1, 0)), 4)</f>
        <v/>
      </c>
    </row>
    <row r="14">
      <c r="A14" t="inlineStr">
        <is>
          <t>cement and other nonmetallic minerals 239</t>
        </is>
      </c>
      <c r="B14">
        <f>ROUND(INDEX(calcs!$C14:$L14, MATCH(Region!$B$2, calcs!$C$1:$L$1, 0)), 4)</f>
        <v/>
      </c>
    </row>
    <row r="15">
      <c r="A15" t="inlineStr">
        <is>
          <t>iron and steel 241</t>
        </is>
      </c>
      <c r="B15">
        <f>ROUND(INDEX(calcs!$C15:$L15, MATCH(Region!$B$2, calcs!$C$1:$L$1, 0)), 4)</f>
        <v/>
      </c>
    </row>
    <row r="16">
      <c r="A16" t="inlineStr">
        <is>
          <t>other metals 242</t>
        </is>
      </c>
      <c r="B16">
        <f>ROUND(INDEX(calcs!$C16:$L16, MATCH(Region!$B$2, calcs!$C$1:$L$1, 0)), 4)</f>
        <v/>
      </c>
    </row>
    <row r="17">
      <c r="A17" t="inlineStr">
        <is>
          <t>metal products except machinery and vehicles 25</t>
        </is>
      </c>
      <c r="B17">
        <f>ROUND(INDEX(calcs!$C17:$L17, MATCH(Region!$B$2, calcs!$C$1:$L$1, 0)), 4)</f>
        <v/>
      </c>
    </row>
    <row r="18">
      <c r="A18" t="inlineStr">
        <is>
          <t>computers and electronics 26</t>
        </is>
      </c>
      <c r="B18">
        <f>ROUND(INDEX(calcs!$C18:$L18, MATCH(Region!$B$2, calcs!$C$1:$L$1, 0)), 4)</f>
        <v/>
      </c>
    </row>
    <row r="19">
      <c r="A19" t="inlineStr">
        <is>
          <t>appliances and electrical equipment 27</t>
        </is>
      </c>
      <c r="B19">
        <f>ROUND(INDEX(calcs!$C19:$L19, MATCH(Region!$B$2, calcs!$C$1:$L$1, 0)), 4)</f>
        <v/>
      </c>
    </row>
    <row r="20">
      <c r="A20" t="inlineStr">
        <is>
          <t>other machinery 28</t>
        </is>
      </c>
      <c r="B20">
        <f>ROUND(INDEX(calcs!$C20:$L20, MATCH(Region!$B$2, calcs!$C$1:$L$1, 0)), 4)</f>
        <v/>
      </c>
    </row>
    <row r="21">
      <c r="A21" t="inlineStr">
        <is>
          <t>road vehicles 29</t>
        </is>
      </c>
      <c r="B21">
        <f>ROUND(INDEX(calcs!$C21:$L21, MATCH(Region!$B$2, calcs!$C$1:$L$1, 0)), 4)</f>
        <v/>
      </c>
    </row>
    <row r="22">
      <c r="A22" t="inlineStr">
        <is>
          <t>nonroad vehicles 30</t>
        </is>
      </c>
      <c r="B22">
        <f>ROUND(INDEX(calcs!$C22:$L22, MATCH(Region!$B$2, calcs!$C$1:$L$1, 0)), 4)</f>
        <v/>
      </c>
    </row>
    <row r="23">
      <c r="A23" t="inlineStr">
        <is>
          <t>other manufacturing 31T33</t>
        </is>
      </c>
      <c r="B23">
        <f>ROUND(INDEX(calcs!$C23:$L23, MATCH(Region!$B$2, calcs!$C$1:$L$1, 0)), 4)</f>
        <v/>
      </c>
    </row>
    <row r="24">
      <c r="A24" t="inlineStr">
        <is>
          <t>energy pipelines and gas processing 352T353</t>
        </is>
      </c>
      <c r="B24">
        <f>ROUND(INDEX(calcs!$C24:$L24, MATCH(Region!$B$2, calcs!$C$1:$L$1, 0)), 4)</f>
        <v/>
      </c>
    </row>
    <row r="25">
      <c r="A25" t="inlineStr">
        <is>
          <t>water and waste 36T39</t>
        </is>
      </c>
      <c r="B25">
        <f>ROUND(INDEX(calcs!$C25:$L25, MATCH(Region!$B$2, calcs!$C$1:$L$1, 0)), 4)</f>
        <v/>
      </c>
    </row>
    <row r="26">
      <c r="A26" t="inlineStr">
        <is>
          <t>construction 41T43</t>
        </is>
      </c>
      <c r="B26">
        <f>ROUND(INDEX(calcs!$C26:$L26, MATCH(Region!$B$2, calcs!$C$1:$L$1, 0)), 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2026-08-14T17:51:28Z</dcterms:created>
  <dcterms:modified xsi:type="dcterms:W3CDTF">2026-08-14T19:26:07Z</dcterms:modified>
  <cp:lastModifiedBy>Dan O'Brien</cp:lastModifiedBy>
</cp:coreProperties>
</file>