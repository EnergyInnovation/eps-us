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USGS Production and Capacity" sheetId="2" state="visible" r:id="rId2"/>
    <sheet name="Derivation" sheetId="3" state="visible" r:id="rId3"/>
    <sheet name="Checks" sheetId="4" state="visible" r:id="rId4"/>
    <sheet name="SYCC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s.usgs.gov/periodicals/mcs2026/mcs2026-cement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SYCCU Start Year Cement Capacity Utilization</t>
        </is>
      </c>
    </row>
    <row r="3">
      <c r="A3" s="1" t="inlineStr">
        <is>
          <t>Sources:</t>
        </is>
      </c>
      <c r="B3" s="2" t="inlineStr">
        <is>
          <t>2025 US clinker production and nameplate clinker capacity</t>
        </is>
      </c>
    </row>
    <row r="4">
      <c r="B4" s="3" t="inlineStr">
        <is>
          <t>USGS National Minerals Information Center</t>
        </is>
      </c>
    </row>
    <row r="5">
      <c r="B5" s="3" t="inlineStr">
        <is>
          <t>Mineral Commodity Summaries 2026 - Cement</t>
        </is>
      </c>
    </row>
    <row r="6">
      <c r="B6" s="3" t="n">
        <v>2026</v>
      </c>
    </row>
    <row r="7">
      <c r="B7" s="4" t="inlineStr">
        <is>
          <t>https://pubs.usgs.gov/periodicals/mcs2026/mcs2026-cement.pdf</t>
        </is>
      </c>
    </row>
    <row r="8">
      <c r="B8" s="3" t="inlineStr">
        <is>
          <t>2025 US clinker production 69 Mt over reported US clinker nameplate capacity ~100 Mt. Retrieved via reader proxy 2026-08-25 (direct PDF fetch 403s) - verify against the primary PDF and against PCA capacity survey data before release. [PROXY]</t>
        </is>
      </c>
    </row>
    <row r="11">
      <c r="A11" s="1" t="inlineStr">
        <is>
          <t>Notes:</t>
        </is>
      </c>
    </row>
    <row r="12">
      <c r="A12" s="1" t="inlineStr">
        <is>
          <t>Chosen value</t>
        </is>
      </c>
      <c r="B12" s="3" t="inlineStr">
        <is>
          <t>0.69 = 69 Mt clinker production / 100 Mt clinker nameplate capacity (both USGS MCS2026, 2025). Applied as a single time-invariant constant (dimensionless), the start-year production/capacity basis for the cement production-pathway module (mirrors SYSCU in steel).</t>
        </is>
      </c>
    </row>
    <row r="13">
      <c r="A13" s="1" t="inlineStr">
        <is>
          <t>DRAFT status</t>
        </is>
      </c>
      <c r="B13" s="3" t="inlineStr">
        <is>
          <t>DRAFT - verify against primary sources before release. This workbook is an input for staff review, not a finished or approved EI position.</t>
        </is>
      </c>
    </row>
    <row r="14">
      <c r="A14" s="1" t="inlineStr">
        <is>
          <t>Provenance</t>
        </is>
      </c>
      <c r="B14" s="3" t="inlineStr">
        <is>
          <t>Written by Claude Code (Fable/Sonnet agent session), cement industry breakout, worktree cement-industry-breakout-f901fc, 2026-08-26. This is a DRAFT input for staff review, not a finished or approved EI position; verify all figures against primary sources before use in any work product. Reviewed by: (pending).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 (Mt, 2025)</t>
        </is>
      </c>
      <c r="C1" s="1" t="inlineStr">
        <is>
          <t>Source</t>
        </is>
      </c>
    </row>
    <row r="2">
      <c r="A2" t="inlineStr">
        <is>
          <t>US clinker production</t>
        </is>
      </c>
      <c r="B2" t="n">
        <v>69</v>
      </c>
      <c r="C2" t="inlineStr">
        <is>
          <t>USGS MCS2026</t>
        </is>
      </c>
    </row>
    <row r="3">
      <c r="A3" t="inlineStr">
        <is>
          <t>US clinker nameplate capacity</t>
        </is>
      </c>
      <c r="B3" t="n">
        <v>100</v>
      </c>
      <c r="C3" t="inlineStr">
        <is>
          <t>USGS MCS2026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Derivation of shipped SYCCU value</t>
        </is>
      </c>
    </row>
    <row r="3">
      <c r="A3" t="inlineStr">
        <is>
          <t>2025 clinker production (Mt)</t>
        </is>
      </c>
      <c r="B3">
        <f>'USGS Production and Capacity'!B2</f>
        <v/>
      </c>
    </row>
    <row r="4">
      <c r="A4" t="inlineStr">
        <is>
          <t>2025 clinker nameplate capacity (Mt)</t>
        </is>
      </c>
      <c r="B4">
        <f>'USGS Production and Capacity'!B3</f>
        <v/>
      </c>
    </row>
    <row r="5">
      <c r="A5" t="inlineStr">
        <is>
          <t>Utilization = production / capacity</t>
        </is>
      </c>
      <c r="B5">
        <f>B3/B4</f>
        <v/>
      </c>
    </row>
    <row r="6">
      <c r="A6" t="inlineStr">
        <is>
          <t>Utilization (literal, cached for inspection)</t>
        </is>
      </c>
      <c r="B6" t="n">
        <v>0.6899999999999999</v>
      </c>
    </row>
    <row r="8">
      <c r="A8" s="3" t="inlineStr">
        <is>
          <t>Note: the formula cell above (B5) recalculates correctly in Excel; the adjacent literal (B6) is a Python-computed cached value for inspection without opening in Excel, since openpyxl cannot preserve cached formula results across a save.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export tab value vs. Derivation tab shipped value</t>
        </is>
      </c>
    </row>
    <row r="3">
      <c r="A3" t="inlineStr">
        <is>
          <t>Export tab value</t>
        </is>
      </c>
      <c r="B3">
        <f>SYCCU!B2</f>
        <v/>
      </c>
    </row>
    <row r="4">
      <c r="A4" t="inlineStr">
        <is>
          <t>Derivation tab shipped value</t>
        </is>
      </c>
      <c r="B4">
        <f>Derivation!B6</f>
        <v/>
      </c>
    </row>
    <row r="5">
      <c r="A5" t="inlineStr">
        <is>
          <t>Match?</t>
        </is>
      </c>
      <c r="B5">
        <f>IF(ABS(B3-B4)&lt;0.001,"PASS","FAIL")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(DRAFT 69/100 Mt; USGS 2025 production over reported nameplate capacity - verify against USGS/PCA before release)</t>
        </is>
      </c>
      <c r="B1" t="inlineStr">
        <is>
          <t>Utilization</t>
        </is>
      </c>
    </row>
    <row r="2">
      <c r="A2" t="inlineStr">
        <is>
          <t>Start Year Cement Capacity Utilization</t>
        </is>
      </c>
      <c r="B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2026-08-26T11:48:08Z</dcterms:created>
  <dcterms:modified xsi:type="dcterms:W3CDTF">2026-08-26T11:48:08Z</dcterms:modified>
</cp:coreProperties>
</file>