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USGS MCS26 Clinker &amp; Cement" sheetId="2" state="visible" r:id="rId2"/>
    <sheet name="Derivation" sheetId="3" state="visible" r:id="rId3"/>
    <sheet name="Checks" sheetId="4" state="visible" r:id="rId4"/>
    <sheet name="BCtC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s.usgs.gov/periodicals/mcs2026/mcs2026-cement.pdf" TargetMode="External" Id="rId1" /><Relationship Type="http://schemas.openxmlformats.org/officeDocument/2006/relationships/hyperlink" Target="https://www.wri.org/insights/lower-carbon-blended-cement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BCtCR BAU Clinker to Cement Ratio</t>
        </is>
      </c>
    </row>
    <row r="3">
      <c r="A3" s="1" t="inlineStr">
        <is>
          <t>Sources:</t>
        </is>
      </c>
      <c r="B3" s="2" t="inlineStr">
        <is>
          <t>US clinker and cement production, 2021-2025 (for the domestic clinker/cement ratio)</t>
        </is>
      </c>
    </row>
    <row r="4">
      <c r="B4" s="3" t="inlineStr">
        <is>
          <t>USGS</t>
        </is>
      </c>
    </row>
    <row r="5">
      <c r="B5" s="3" t="inlineStr">
        <is>
          <t>Mineral Commodity Summaries 2026 - Cement</t>
        </is>
      </c>
    </row>
    <row r="6">
      <c r="B6" s="3" t="n">
        <v>2026</v>
      </c>
    </row>
    <row r="7">
      <c r="B7" s="4" t="inlineStr">
        <is>
          <t>https://pubs.usgs.gov/periodicals/mcs2026/mcs2026-cement.pdf</t>
        </is>
      </c>
    </row>
    <row r="8">
      <c r="B8" s="3" t="inlineStr">
        <is>
          <t>Read via reader proxy (direct PDF 403s from this environment). Domestic clinker production 79.616 / 79.489 / 76.789 / 72.0 / 69.0 million metric tons, 2021-2025 (2024 and 2025 figures are USGS estimates); total cement production (portland + blended + masonry) 91.0 / 91.2 / 89.7 / 85.0 / 84.0 Mt, same years. Imported clinker (approximately 0.66 Mt in 2025) is deliberately excluded from this ratio - see Notes. [PROXY]</t>
        </is>
      </c>
    </row>
    <row r="10">
      <c r="B10" s="2" t="inlineStr">
        <is>
          <t>Corroborating (older-vintage) clinker-to-cement ratio figure</t>
        </is>
      </c>
    </row>
    <row r="11">
      <c r="B11" s="3" t="inlineStr">
        <is>
          <t>WRI (World Resources Institute)</t>
        </is>
      </c>
    </row>
    <row r="12">
      <c r="B12" s="3" t="inlineStr">
        <is>
          <t>"How Blended Cements Can Reduce Emissions and Improve Resilience"</t>
        </is>
      </c>
    </row>
    <row r="13">
      <c r="B13" s="3" t="n">
        <v>2023</v>
      </c>
    </row>
    <row r="14">
      <c r="B14" s="4" t="inlineStr">
        <is>
          <t>https://www.wri.org/insights/lower-carbon-blended-cement</t>
        </is>
      </c>
    </row>
    <row r="15">
      <c r="B15" s="3" t="inlineStr">
        <is>
          <t>Cites a clinker-to-cement ratio of approximately 0.88 for the US, from an older vintage of the same underlying USGS series (predates the 2021-2025 blended-cement / Type IL adoption wave). Reconciled in Notes as consistent with, not contradicting, the 0.8214 2025 figure. [DIRECT]</t>
        </is>
      </c>
    </row>
    <row r="18">
      <c r="A18" s="1" t="inlineStr">
        <is>
          <t>Notes:</t>
        </is>
      </c>
    </row>
    <row r="19">
      <c r="A19" s="1" t="inlineStr">
        <is>
          <t>DRAFT status</t>
        </is>
      </c>
      <c r="B19" s="3" t="inlineStr">
        <is>
          <t>This is an input for staff review, not a finished or approved EI position; treat as a starting point pending team sign-off. Verify all cited figures against the primary USGS source before use in any work product.</t>
        </is>
      </c>
    </row>
    <row r="20">
      <c r="A20" s="1" t="inlineStr">
        <is>
          <t>2025 anchor</t>
        </is>
      </c>
      <c r="B20" s="3" t="inlineStr">
        <is>
          <t>0.8214 = USGS 2025 domestic clinker production (69 Mt) / USGS 2025 total cement production (84 Mt), rounded to 4 decimal places. See the Derivation tab for the historical 2021-2025 ratio series (0.8749 -&gt; 0.8214), which shows a clear declining trend driven by Portland-Limestone Cement (PLC) / Type IL adoption: USGS reports blended cement at 63% of 2025 shipments, 95% of that Type IL.</t>
        </is>
      </c>
    </row>
    <row r="21">
      <c r="A21" s="1" t="inlineStr">
        <is>
          <t>Domestic basis / WRI reconciliation</t>
        </is>
      </c>
      <c r="B21" s="3" t="inlineStr">
        <is>
          <t>Imported clinker is deliberately EXCLUDED from this ratio - the module's clinker-demand basis is domestically produced clinker only; including imports would make the module build capacity to "replace" imports, which is not the intended structure. The WRI-cited 0.88 figure is an older vintage of the same USGS series (pre-PLC-wave); it is RECONCILED with, not in conflict with, the 0.8214 2025 figure once the declining trend is accounted for.</t>
        </is>
      </c>
    </row>
    <row r="22">
      <c r="A22" s="1" t="inlineStr">
        <is>
          <t>BAU trajectory</t>
        </is>
      </c>
      <c r="B22" s="3" t="inlineStr">
        <is>
          <t>The shipped 2021-2025 values are flat at 0.8214 (the 2025 anchor), not the historical declining series shown on the Derivation tab - this keeps the model's start year (2025) exactly balanced against the anchor. 2026-2034 decline linearly to a judgment target of 0.78 by 2035 (continuing the observed PLC-adoption trend, EI judgment on how far and how fast it continues); 2035-2050 held flat at 0.78. PCA's roadmap figure of 0.75 by 2050 is a decarbonization TARGET, not a BAU projection, and is not used here.</t>
        </is>
      </c>
    </row>
    <row r="23">
      <c r="A23" s="1" t="inlineStr">
        <is>
          <t>MASCM interaction</t>
        </is>
      </c>
      <c r="B23" s="3" t="inlineStr">
        <is>
          <t>This BAU trajectory is NOT capped by, or reconciled against, the Maximum Annual SCM Supply for Cement (MASCM) workbook - limestone / Type IL substitution is not SCM-supply-limited (limestone is not scarce), so BCtCR evolves independently of the MASCM ceiling, which instead constrains the policy-lever SCM-blending pathway.</t>
        </is>
      </c>
    </row>
    <row r="24">
      <c r="A24" s="1" t="inlineStr">
        <is>
          <t>Provenance</t>
        </is>
      </c>
      <c r="B24" s="3" t="inlineStr">
        <is>
          <t>Written by Claude Code (Fable/Sonnet agent session), cement industry breakout, worktree cement-industry-breakout-f901fc, 2026-08-26. Reviewed by: (pending).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1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US clinker and cement production (million metric tons), domestic basis</t>
        </is>
      </c>
    </row>
    <row r="2">
      <c r="A2" s="1" t="inlineStr">
        <is>
          <t>Year</t>
        </is>
      </c>
      <c r="B2" s="1" t="inlineStr">
        <is>
          <t>Clinker Production (Mt)</t>
        </is>
      </c>
      <c r="C2" s="1" t="inlineStr">
        <is>
          <t>Cement Production (Mt)</t>
        </is>
      </c>
      <c r="D2" s="1" t="inlineStr">
        <is>
          <t>Note</t>
        </is>
      </c>
    </row>
    <row r="3">
      <c r="A3" t="n">
        <v>2021</v>
      </c>
      <c r="B3" t="n">
        <v>79.616</v>
      </c>
      <c r="C3" t="n">
        <v>91</v>
      </c>
    </row>
    <row r="4">
      <c r="A4" t="n">
        <v>2022</v>
      </c>
      <c r="B4" t="n">
        <v>79.489</v>
      </c>
      <c r="C4" t="n">
        <v>91.2</v>
      </c>
    </row>
    <row r="5">
      <c r="A5" t="n">
        <v>2023</v>
      </c>
      <c r="B5" t="n">
        <v>76.789</v>
      </c>
      <c r="C5" t="n">
        <v>89.7</v>
      </c>
    </row>
    <row r="6">
      <c r="A6" t="n">
        <v>2024</v>
      </c>
      <c r="B6" t="n">
        <v>72</v>
      </c>
      <c r="C6" t="n">
        <v>85</v>
      </c>
      <c r="D6" t="inlineStr">
        <is>
          <t>USGS estimate</t>
        </is>
      </c>
    </row>
    <row r="7">
      <c r="A7" t="n">
        <v>2025</v>
      </c>
      <c r="B7" t="n">
        <v>69</v>
      </c>
      <c r="C7" t="n">
        <v>84</v>
      </c>
      <c r="D7" t="inlineStr">
        <is>
          <t>USGS estimate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Historical domestic clinker/cement ratio by year (context; NOT the shipped series)</t>
        </is>
      </c>
    </row>
    <row r="2">
      <c r="A2" s="1" t="inlineStr">
        <is>
          <t>Year</t>
        </is>
      </c>
      <c r="B2" s="1" t="inlineStr">
        <is>
          <t>Clinker/Cement Ratio</t>
        </is>
      </c>
    </row>
    <row r="3">
      <c r="A3" t="n">
        <v>2021</v>
      </c>
      <c r="B3">
        <f>'USGS MCS26 Clinker &amp; Cement'!B3/'USGS MCS26 Clinker &amp; Cement'!C3</f>
        <v/>
      </c>
    </row>
    <row r="4">
      <c r="A4" t="n">
        <v>2022</v>
      </c>
      <c r="B4">
        <f>'USGS MCS26 Clinker &amp; Cement'!B4/'USGS MCS26 Clinker &amp; Cement'!C4</f>
        <v/>
      </c>
    </row>
    <row r="5">
      <c r="A5" t="n">
        <v>2023</v>
      </c>
      <c r="B5">
        <f>'USGS MCS26 Clinker &amp; Cement'!B5/'USGS MCS26 Clinker &amp; Cement'!C5</f>
        <v/>
      </c>
    </row>
    <row r="6">
      <c r="A6" t="n">
        <v>2024</v>
      </c>
      <c r="B6">
        <f>'USGS MCS26 Clinker &amp; Cement'!B6/'USGS MCS26 Clinker &amp; Cement'!C6</f>
        <v/>
      </c>
    </row>
    <row r="7">
      <c r="A7" t="n">
        <v>2025</v>
      </c>
      <c r="B7">
        <f>'USGS MCS26 Clinker &amp; Cement'!B7/'USGS MCS26 Clinker &amp; Cement'!C7</f>
        <v/>
      </c>
    </row>
    <row r="9">
      <c r="A9" s="1" t="inlineStr">
        <is>
          <t>2025 anchor ratio, rounded to 4 decimals</t>
        </is>
      </c>
      <c r="B9">
        <f>ROUND(B7,4)</f>
        <v/>
      </c>
    </row>
    <row r="10">
      <c r="A10" s="1" t="inlineStr">
        <is>
          <t>2035+ judgment target</t>
        </is>
      </c>
      <c r="B10" t="n">
        <v>0.78</v>
      </c>
    </row>
    <row r="11">
      <c r="A11" s="1" t="inlineStr">
        <is>
          <t>Anchor year</t>
        </is>
      </c>
      <c r="B11" t="n">
        <v>2025</v>
      </c>
    </row>
    <row r="12">
      <c r="A12" s="1" t="inlineStr">
        <is>
          <t>Target year</t>
        </is>
      </c>
      <c r="B12" t="n">
        <v>2035</v>
      </c>
    </row>
    <row r="14">
      <c r="A14" s="1" t="inlineStr">
        <is>
          <t>BAU trajectory by year (flat at anchor through 2025, linear decline to target by 2035, flat after)</t>
        </is>
      </c>
    </row>
    <row r="15">
      <c r="B15" s="1" t="n">
        <v>2021</v>
      </c>
      <c r="C15" s="1" t="n">
        <v>2022</v>
      </c>
      <c r="D15" s="1" t="n">
        <v>2023</v>
      </c>
      <c r="E15" s="1" t="n">
        <v>2024</v>
      </c>
      <c r="F15" s="1" t="n">
        <v>2025</v>
      </c>
      <c r="G15" s="1" t="n">
        <v>2026</v>
      </c>
      <c r="H15" s="1" t="n">
        <v>2027</v>
      </c>
      <c r="I15" s="1" t="n">
        <v>2028</v>
      </c>
      <c r="J15" s="1" t="n">
        <v>2029</v>
      </c>
      <c r="K15" s="1" t="n">
        <v>2030</v>
      </c>
      <c r="L15" s="1" t="n">
        <v>2031</v>
      </c>
      <c r="M15" s="1" t="n">
        <v>2032</v>
      </c>
      <c r="N15" s="1" t="n">
        <v>2033</v>
      </c>
      <c r="O15" s="1" t="n">
        <v>2034</v>
      </c>
      <c r="P15" s="1" t="n">
        <v>2035</v>
      </c>
      <c r="Q15" s="1" t="n">
        <v>2036</v>
      </c>
      <c r="R15" s="1" t="n">
        <v>2037</v>
      </c>
      <c r="S15" s="1" t="n">
        <v>2038</v>
      </c>
      <c r="T15" s="1" t="n">
        <v>2039</v>
      </c>
      <c r="U15" s="1" t="n">
        <v>2040</v>
      </c>
      <c r="V15" s="1" t="n">
        <v>2041</v>
      </c>
      <c r="W15" s="1" t="n">
        <v>2042</v>
      </c>
      <c r="X15" s="1" t="n">
        <v>2043</v>
      </c>
      <c r="Y15" s="1" t="n">
        <v>2044</v>
      </c>
      <c r="Z15" s="1" t="n">
        <v>2045</v>
      </c>
      <c r="AA15" s="1" t="n">
        <v>2046</v>
      </c>
      <c r="AB15" s="1" t="n">
        <v>2047</v>
      </c>
      <c r="AC15" s="1" t="n">
        <v>2048</v>
      </c>
      <c r="AD15" s="1" t="n">
        <v>2049</v>
      </c>
      <c r="AE15" s="1" t="n">
        <v>2050</v>
      </c>
    </row>
    <row r="16">
      <c r="A16" t="inlineStr">
        <is>
          <t>BAU Clinker to Cement Ratio</t>
        </is>
      </c>
      <c r="B16">
        <f>$B$9</f>
        <v/>
      </c>
      <c r="C16">
        <f>$B$9</f>
        <v/>
      </c>
      <c r="D16">
        <f>$B$9</f>
        <v/>
      </c>
      <c r="E16">
        <f>$B$9</f>
        <v/>
      </c>
      <c r="F16">
        <f>$B$9</f>
        <v/>
      </c>
      <c r="G16">
        <f>ROUND($B$9+($B$10-$B$9)*(2026-$B$11)/($B$12-$B$11),5)</f>
        <v/>
      </c>
      <c r="H16">
        <f>ROUND($B$9+($B$10-$B$9)*(2027-$B$11)/($B$12-$B$11),5)</f>
        <v/>
      </c>
      <c r="I16">
        <f>ROUND($B$9+($B$10-$B$9)*(2028-$B$11)/($B$12-$B$11),5)</f>
        <v/>
      </c>
      <c r="J16">
        <f>ROUND($B$9+($B$10-$B$9)*(2029-$B$11)/($B$12-$B$11),5)</f>
        <v/>
      </c>
      <c r="K16">
        <f>ROUND($B$9+($B$10-$B$9)*(2030-$B$11)/($B$12-$B$11),5)</f>
        <v/>
      </c>
      <c r="L16">
        <f>ROUND($B$9+($B$10-$B$9)*(2031-$B$11)/($B$12-$B$11),5)</f>
        <v/>
      </c>
      <c r="M16">
        <f>ROUND($B$9+($B$10-$B$9)*(2032-$B$11)/($B$12-$B$11),5)</f>
        <v/>
      </c>
      <c r="N16">
        <f>ROUND($B$9+($B$10-$B$9)*(2033-$B$11)/($B$12-$B$11),5)</f>
        <v/>
      </c>
      <c r="O16">
        <f>ROUND($B$9+($B$10-$B$9)*(2034-$B$11)/($B$12-$B$11),5)</f>
        <v/>
      </c>
      <c r="P16">
        <f>$B$10</f>
        <v/>
      </c>
      <c r="Q16">
        <f>$B$10</f>
        <v/>
      </c>
      <c r="R16">
        <f>$B$10</f>
        <v/>
      </c>
      <c r="S16">
        <f>$B$10</f>
        <v/>
      </c>
      <c r="T16">
        <f>$B$10</f>
        <v/>
      </c>
      <c r="U16">
        <f>$B$10</f>
        <v/>
      </c>
      <c r="V16">
        <f>$B$10</f>
        <v/>
      </c>
      <c r="W16">
        <f>$B$10</f>
        <v/>
      </c>
      <c r="X16">
        <f>$B$10</f>
        <v/>
      </c>
      <c r="Y16">
        <f>$B$10</f>
        <v/>
      </c>
      <c r="Z16">
        <f>$B$10</f>
        <v/>
      </c>
      <c r="AA16">
        <f>$B$10</f>
        <v/>
      </c>
      <c r="AB16">
        <f>$B$10</f>
        <v/>
      </c>
      <c r="AC16">
        <f>$B$10</f>
        <v/>
      </c>
      <c r="AD16">
        <f>$B$10</f>
        <v/>
      </c>
      <c r="AE16">
        <f>$B$10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Cross-check: 'BCtCR' export-tab literal values vs. Derivation formula results</t>
        </is>
      </c>
    </row>
    <row r="3">
      <c r="B3" s="1" t="n">
        <v>2021</v>
      </c>
      <c r="C3" s="1" t="n">
        <v>2022</v>
      </c>
      <c r="D3" s="1" t="n">
        <v>2023</v>
      </c>
      <c r="E3" s="1" t="n">
        <v>2024</v>
      </c>
      <c r="F3" s="1" t="n">
        <v>2025</v>
      </c>
      <c r="G3" s="1" t="n">
        <v>2026</v>
      </c>
      <c r="H3" s="1" t="n">
        <v>2027</v>
      </c>
      <c r="I3" s="1" t="n">
        <v>2028</v>
      </c>
      <c r="J3" s="1" t="n">
        <v>2029</v>
      </c>
      <c r="K3" s="1" t="n">
        <v>2030</v>
      </c>
      <c r="L3" s="1" t="n">
        <v>2031</v>
      </c>
      <c r="M3" s="1" t="n">
        <v>2032</v>
      </c>
      <c r="N3" s="1" t="n">
        <v>2033</v>
      </c>
      <c r="O3" s="1" t="n">
        <v>2034</v>
      </c>
      <c r="P3" s="1" t="n">
        <v>2035</v>
      </c>
      <c r="Q3" s="1" t="n">
        <v>2036</v>
      </c>
      <c r="R3" s="1" t="n">
        <v>2037</v>
      </c>
      <c r="S3" s="1" t="n">
        <v>2038</v>
      </c>
      <c r="T3" s="1" t="n">
        <v>2039</v>
      </c>
      <c r="U3" s="1" t="n">
        <v>2040</v>
      </c>
      <c r="V3" s="1" t="n">
        <v>2041</v>
      </c>
      <c r="W3" s="1" t="n">
        <v>2042</v>
      </c>
      <c r="X3" s="1" t="n">
        <v>2043</v>
      </c>
      <c r="Y3" s="1" t="n">
        <v>2044</v>
      </c>
      <c r="Z3" s="1" t="n">
        <v>2045</v>
      </c>
      <c r="AA3" s="1" t="n">
        <v>2046</v>
      </c>
      <c r="AB3" s="1" t="n">
        <v>2047</v>
      </c>
      <c r="AC3" s="1" t="n">
        <v>2048</v>
      </c>
      <c r="AD3" s="1" t="n">
        <v>2049</v>
      </c>
      <c r="AE3" s="1" t="n">
        <v>2050</v>
      </c>
    </row>
    <row r="4">
      <c r="A4" t="inlineStr">
        <is>
          <t>Export literal</t>
        </is>
      </c>
      <c r="B4" t="n">
        <v>0.8214</v>
      </c>
      <c r="C4" t="n">
        <v>0.8214</v>
      </c>
      <c r="D4" t="n">
        <v>0.8214</v>
      </c>
      <c r="E4" t="n">
        <v>0.8214</v>
      </c>
      <c r="F4" t="n">
        <v>0.8214</v>
      </c>
      <c r="G4" t="n">
        <v>0.81726</v>
      </c>
      <c r="H4" t="n">
        <v>0.81312</v>
      </c>
      <c r="I4" t="n">
        <v>0.80898</v>
      </c>
      <c r="J4" t="n">
        <v>0.80484</v>
      </c>
      <c r="K4" t="n">
        <v>0.8007</v>
      </c>
      <c r="L4" t="n">
        <v>0.79656</v>
      </c>
      <c r="M4" t="n">
        <v>0.79242</v>
      </c>
      <c r="N4" t="n">
        <v>0.78828</v>
      </c>
      <c r="O4" t="n">
        <v>0.7841399999999999</v>
      </c>
      <c r="P4" t="n">
        <v>0.78</v>
      </c>
      <c r="Q4" t="n">
        <v>0.78</v>
      </c>
      <c r="R4" t="n">
        <v>0.78</v>
      </c>
      <c r="S4" t="n">
        <v>0.78</v>
      </c>
      <c r="T4" t="n">
        <v>0.78</v>
      </c>
      <c r="U4" t="n">
        <v>0.78</v>
      </c>
      <c r="V4" t="n">
        <v>0.78</v>
      </c>
      <c r="W4" t="n">
        <v>0.78</v>
      </c>
      <c r="X4" t="n">
        <v>0.78</v>
      </c>
      <c r="Y4" t="n">
        <v>0.78</v>
      </c>
      <c r="Z4" t="n">
        <v>0.78</v>
      </c>
      <c r="AA4" t="n">
        <v>0.78</v>
      </c>
      <c r="AB4" t="n">
        <v>0.78</v>
      </c>
      <c r="AC4" t="n">
        <v>0.78</v>
      </c>
      <c r="AD4" t="n">
        <v>0.78</v>
      </c>
      <c r="AE4" t="n">
        <v>0.78</v>
      </c>
    </row>
    <row r="5">
      <c r="A5" t="inlineStr">
        <is>
          <t>Derivation formula</t>
        </is>
      </c>
      <c r="B5">
        <f>Derivation!B16</f>
        <v/>
      </c>
      <c r="C5">
        <f>Derivation!C16</f>
        <v/>
      </c>
      <c r="D5">
        <f>Derivation!D16</f>
        <v/>
      </c>
      <c r="E5">
        <f>Derivation!E16</f>
        <v/>
      </c>
      <c r="F5">
        <f>Derivation!F16</f>
        <v/>
      </c>
      <c r="G5">
        <f>Derivation!G16</f>
        <v/>
      </c>
      <c r="H5">
        <f>Derivation!H16</f>
        <v/>
      </c>
      <c r="I5">
        <f>Derivation!I16</f>
        <v/>
      </c>
      <c r="J5">
        <f>Derivation!J16</f>
        <v/>
      </c>
      <c r="K5">
        <f>Derivation!K16</f>
        <v/>
      </c>
      <c r="L5">
        <f>Derivation!L16</f>
        <v/>
      </c>
      <c r="M5">
        <f>Derivation!M16</f>
        <v/>
      </c>
      <c r="N5">
        <f>Derivation!N16</f>
        <v/>
      </c>
      <c r="O5">
        <f>Derivation!O16</f>
        <v/>
      </c>
      <c r="P5">
        <f>Derivation!P16</f>
        <v/>
      </c>
      <c r="Q5">
        <f>Derivation!Q16</f>
        <v/>
      </c>
      <c r="R5">
        <f>Derivation!R16</f>
        <v/>
      </c>
      <c r="S5">
        <f>Derivation!S16</f>
        <v/>
      </c>
      <c r="T5">
        <f>Derivation!T16</f>
        <v/>
      </c>
      <c r="U5">
        <f>Derivation!U16</f>
        <v/>
      </c>
      <c r="V5">
        <f>Derivation!V16</f>
        <v/>
      </c>
      <c r="W5">
        <f>Derivation!W16</f>
        <v/>
      </c>
      <c r="X5">
        <f>Derivation!X16</f>
        <v/>
      </c>
      <c r="Y5">
        <f>Derivation!Y16</f>
        <v/>
      </c>
      <c r="Z5">
        <f>Derivation!Z16</f>
        <v/>
      </c>
      <c r="AA5">
        <f>Derivation!AA16</f>
        <v/>
      </c>
      <c r="AB5">
        <f>Derivation!AB16</f>
        <v/>
      </c>
      <c r="AC5">
        <f>Derivation!AC16</f>
        <v/>
      </c>
      <c r="AD5">
        <f>Derivation!AD16</f>
        <v/>
      </c>
      <c r="AE5">
        <f>Derivation!AE16</f>
        <v/>
      </c>
    </row>
    <row r="6">
      <c r="A6" t="inlineStr">
        <is>
          <t>ABS(Export - Derivation)</t>
        </is>
      </c>
      <c r="B6">
        <f>ABS(B4-B5)</f>
        <v/>
      </c>
      <c r="C6">
        <f>ABS(C4-C5)</f>
        <v/>
      </c>
      <c r="D6">
        <f>ABS(D4-D5)</f>
        <v/>
      </c>
      <c r="E6">
        <f>ABS(E4-E5)</f>
        <v/>
      </c>
      <c r="F6">
        <f>ABS(F4-F5)</f>
        <v/>
      </c>
      <c r="G6">
        <f>ABS(G4-G5)</f>
        <v/>
      </c>
      <c r="H6">
        <f>ABS(H4-H5)</f>
        <v/>
      </c>
      <c r="I6">
        <f>ABS(I4-I5)</f>
        <v/>
      </c>
      <c r="J6">
        <f>ABS(J4-J5)</f>
        <v/>
      </c>
      <c r="K6">
        <f>ABS(K4-K5)</f>
        <v/>
      </c>
      <c r="L6">
        <f>ABS(L4-L5)</f>
        <v/>
      </c>
      <c r="M6">
        <f>ABS(M4-M5)</f>
        <v/>
      </c>
      <c r="N6">
        <f>ABS(N4-N5)</f>
        <v/>
      </c>
      <c r="O6">
        <f>ABS(O4-O5)</f>
        <v/>
      </c>
      <c r="P6">
        <f>ABS(P4-P5)</f>
        <v/>
      </c>
      <c r="Q6">
        <f>ABS(Q4-Q5)</f>
        <v/>
      </c>
      <c r="R6">
        <f>ABS(R4-R5)</f>
        <v/>
      </c>
      <c r="S6">
        <f>ABS(S4-S5)</f>
        <v/>
      </c>
      <c r="T6">
        <f>ABS(T4-T5)</f>
        <v/>
      </c>
      <c r="U6">
        <f>ABS(U4-U5)</f>
        <v/>
      </c>
      <c r="V6">
        <f>ABS(V4-V5)</f>
        <v/>
      </c>
      <c r="W6">
        <f>ABS(W4-W5)</f>
        <v/>
      </c>
      <c r="X6">
        <f>ABS(X4-X5)</f>
        <v/>
      </c>
      <c r="Y6">
        <f>ABS(Y4-Y5)</f>
        <v/>
      </c>
      <c r="Z6">
        <f>ABS(Z4-Z5)</f>
        <v/>
      </c>
      <c r="AA6">
        <f>ABS(AA4-AA5)</f>
        <v/>
      </c>
      <c r="AB6">
        <f>ABS(AB4-AB5)</f>
        <v/>
      </c>
      <c r="AC6">
        <f>ABS(AC4-AC5)</f>
        <v/>
      </c>
      <c r="AD6">
        <f>ABS(AD4-AD5)</f>
        <v/>
      </c>
      <c r="AE6">
        <f>ABS(AE4-AE5)</f>
        <v/>
      </c>
    </row>
    <row r="8">
      <c r="A8" s="1" t="inlineStr">
        <is>
          <t>Max abs diff</t>
        </is>
      </c>
      <c r="B8">
        <f>MAX(B6:AE6)</f>
        <v/>
      </c>
    </row>
    <row r="9">
      <c r="A9" s="1" t="inlineStr">
        <is>
          <t>Result</t>
        </is>
      </c>
      <c r="B9">
        <f>IF(B8&lt;1e-06,"PASS","FAIL")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dimensionless (VERIFIED 2025 = USGS 69/84 domestic basis; declining to 0.78 by 2035 per 2021-25 PLC trend, judgment - see generator comments)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BAU Clinker to Cement Ratio</t>
        </is>
      </c>
      <c r="B2" t="n">
        <v>0.8214</v>
      </c>
      <c r="C2" t="n">
        <v>0.8214</v>
      </c>
      <c r="D2" t="n">
        <v>0.8214</v>
      </c>
      <c r="E2" t="n">
        <v>0.8214</v>
      </c>
      <c r="F2" t="n">
        <v>0.8214</v>
      </c>
      <c r="G2" t="n">
        <v>0.81726</v>
      </c>
      <c r="H2" t="n">
        <v>0.81312</v>
      </c>
      <c r="I2" t="n">
        <v>0.80898</v>
      </c>
      <c r="J2" t="n">
        <v>0.80484</v>
      </c>
      <c r="K2" t="n">
        <v>0.8007</v>
      </c>
      <c r="L2" t="n">
        <v>0.79656</v>
      </c>
      <c r="M2" t="n">
        <v>0.79242</v>
      </c>
      <c r="N2" t="n">
        <v>0.78828</v>
      </c>
      <c r="O2" t="n">
        <v>0.7841399999999999</v>
      </c>
      <c r="P2" t="n">
        <v>0.78</v>
      </c>
      <c r="Q2" t="n">
        <v>0.78</v>
      </c>
      <c r="R2" t="n">
        <v>0.78</v>
      </c>
      <c r="S2" t="n">
        <v>0.78</v>
      </c>
      <c r="T2" t="n">
        <v>0.78</v>
      </c>
      <c r="U2" t="n">
        <v>0.78</v>
      </c>
      <c r="V2" t="n">
        <v>0.78</v>
      </c>
      <c r="W2" t="n">
        <v>0.78</v>
      </c>
      <c r="X2" t="n">
        <v>0.78</v>
      </c>
      <c r="Y2" t="n">
        <v>0.78</v>
      </c>
      <c r="Z2" t="n">
        <v>0.78</v>
      </c>
      <c r="AA2" t="n">
        <v>0.78</v>
      </c>
      <c r="AB2" t="n">
        <v>0.78</v>
      </c>
      <c r="AC2" t="n">
        <v>0.78</v>
      </c>
      <c r="AD2" t="n">
        <v>0.78</v>
      </c>
      <c r="AE2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2026-08-26T11:49:57Z</dcterms:created>
  <dcterms:modified xsi:type="dcterms:W3CDTF">2026-08-26T11:49:57Z</dcterms:modified>
</cp:coreProperties>
</file>