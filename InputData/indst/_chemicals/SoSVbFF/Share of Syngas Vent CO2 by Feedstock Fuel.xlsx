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DanOBrien\Models\EPS\US\eps-us\.claude\worktrees\chemicals-module\InputData\indst\SoSVbFF\"/>
    </mc:Choice>
  </mc:AlternateContent>
  <xr:revisionPtr revIDLastSave="0" documentId="13_ncr:1_{186925FB-9019-4514-875F-C50BF9EB975C}" xr6:coauthVersionLast="47" xr6:coauthVersionMax="47" xr10:uidLastSave="{00000000-0000-0000-0000-000000000000}"/>
  <bookViews>
    <workbookView xWindow="390" yWindow="390" windowWidth="21600" windowHeight="12585" xr2:uid="{00000000-000D-0000-FFFF-FFFF00000000}"/>
  </bookViews>
  <sheets>
    <sheet name="About" sheetId="1" r:id="rId1"/>
    <sheet name="Source Data" sheetId="2" r:id="rId2"/>
    <sheet name="Calcs" sheetId="3" r:id="rId3"/>
    <sheet name="Checks" sheetId="4" r:id="rId4"/>
    <sheet name="SoSVbFF"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4" l="1"/>
  <c r="C5" i="4" s="1"/>
  <c r="B21" i="3"/>
  <c r="B20" i="3"/>
  <c r="B19" i="3"/>
  <c r="B18" i="3"/>
  <c r="B17" i="3"/>
  <c r="B16" i="3"/>
  <c r="B15" i="3"/>
  <c r="B14" i="3"/>
  <c r="B13" i="3"/>
  <c r="B12" i="3"/>
  <c r="C7" i="3"/>
  <c r="C6" i="3"/>
  <c r="B22" i="3" l="1"/>
  <c r="B6" i="4"/>
  <c r="C6" i="4" s="1"/>
  <c r="C15" i="3"/>
  <c r="B5" i="5" s="1"/>
  <c r="C21" i="3"/>
  <c r="B11" i="5" s="1"/>
  <c r="C13" i="3" l="1"/>
  <c r="B3" i="5" s="1"/>
  <c r="C16" i="3"/>
  <c r="B6" i="5" s="1"/>
  <c r="C17" i="3"/>
  <c r="B7" i="5" s="1"/>
  <c r="C18" i="3"/>
  <c r="C19" i="3"/>
  <c r="B9" i="5" s="1"/>
  <c r="C20" i="3"/>
  <c r="B10" i="5" s="1"/>
  <c r="C12" i="3"/>
  <c r="B4" i="4" s="1"/>
  <c r="C4" i="4" s="1"/>
  <c r="C14" i="3"/>
  <c r="B4" i="5" s="1"/>
  <c r="B2" i="5"/>
  <c r="B8" i="5" l="1"/>
  <c r="C22" i="3"/>
  <c r="B3" i="4" s="1"/>
  <c r="C3" i="4" s="1"/>
</calcChain>
</file>

<file path=xl/sharedStrings.xml><?xml version="1.0" encoding="utf-8"?>
<sst xmlns="http://schemas.openxmlformats.org/spreadsheetml/2006/main" count="109" uniqueCount="83">
  <si>
    <t>SoSVbFF Share of Syngas Vent CO2 by Feedstock Fuel</t>
  </si>
  <si>
    <t>Sources:</t>
  </si>
  <si>
    <t>US petrochemical and ammonia process CO2 (2023)</t>
  </si>
  <si>
    <t>U.S. Environmental Protection Agency</t>
  </si>
  <si>
    <t>Inventory of U.S. Greenhouse Gas Emissions and Sinks: 1990-2023 (EPA 430-R-25-003), Chapter 4 Industrial Processes and Product Use: Petrochemical Production (Tables 4-55 to 4-57) and Ammonia Production (Tables 4-23 and 4-24)</t>
  </si>
  <si>
    <t>https://www.epa.gov/ghgemissions/inventory-us-greenhouse-gas-emissions-and-sinks</t>
  </si>
  <si>
    <t>Tables 4-55/4-56 give 2023 petrochemical CO2 by product in MMT CO2 Eq. and kt (total 30,540 kt: carbon black 2,550; ethylene 22,600; ethylene dichloride 460; ethylene oxide 1,730; methanol 2,130; acrylonitrile 1,070). Table 4-57 gives production (ethylene 2023: 39,400 kt). The ethylene figure is the CO2 from burning ethylene process off-gas (the GHGRP optional combustion method), so it excludes CO2 from any natural gas make-up fuel. Ammonia (Table 4-24): 12,211 kt CO2 in 2023, net of CO2 recovered for urea. Held verbatim on the Source Data tab. Do not use these as a facility-level or non-US figure.</t>
  </si>
  <si>
    <t>Ammonia process routes and the shift step</t>
  </si>
  <si>
    <t>International Energy Agency</t>
  </si>
  <si>
    <t>Ammonia Technology Roadmap: Towards more sustainable nitrogen fertiliser production</t>
  </si>
  <si>
    <t>https://www.iea.org/reports/ammonia-technology-roadmap</t>
  </si>
  <si>
    <t>Chapter 1: describes natural gas and coal ammonia routes, including the water-gas shift step and the CO2 removal vent, used to say which feedstock fuel each process draws on. Qualitative use only; no number from this source is on the Source Data tab.</t>
  </si>
  <si>
    <t>Coal-based chemicals case (China)</t>
  </si>
  <si>
    <t>Oxford Institute for Energy Studies (Kevin Jianjun Tu)</t>
  </si>
  <si>
    <t>Prospects of the Chinese coal chemical industry in an increasingly carbon-constrained world (OIES Paper CE13)</t>
  </si>
  <si>
    <t>https://www.oxfordenergy.org/</t>
  </si>
  <si>
    <t>Describes coal-based ammonia (air separation, gasifier, sour gas shift, acid gas removal) and reports about 4.6 tCO2 per tonne of ammonia. Used qualitatively for the regional note. URL is the publisher home page; locate the paper by title.</t>
  </si>
  <si>
    <t>Notes:</t>
  </si>
  <si>
    <t>Purpose and layout</t>
  </si>
  <si>
    <t>In the chemicals module, part of the industry's process CO2 is vented from syngas (the hydrogen and carbon monoxide mixture made from a fossil feedstock). Hydrogen injection avoids that vent CO2, and the carbon it contained no longer has to be bought as fossil feedstock. This file says which fossil fuel that carbon came from, as a share of the syngas-vent CO2 for each industrial fuel, so the model knows which fuel purchase to reduce. The shares sum to 1. The Source Data tab holds the inventory figures, the Calcs tab lists each process source and adds up the pool by fuel (the 1/0 flags in column D are the editable part), the Checks tab tests the result, and the last tab, SoSVbFF, is exactly what is written to SoSVbFF.csv.</t>
  </si>
  <si>
    <t>What we did for the U.S.</t>
  </si>
  <si>
    <t>In the U.S. build the syngas-vent pool is the natural gas methanol vent, so natural gas carries a share of 1 and every other fuel is 0. We use the inventory's 2023 methanol CO2 (2,130 kt) for the pool, and ammonia process CO2 (12,211 kt, net of urea) is kept out of the pool because it is already accounted for elsewhere in the module. The amount in the pool does not change the answer while only one fuel is in it; the amounts matter for regions with several.</t>
  </si>
  <si>
    <t>If your region is not the U.S.</t>
  </si>
  <si>
    <t>The shares are the thing a regional adapter changes. For a region with coal-based chemicals (China is the main example: its coal-based ammonia is about 4.6 t CO2 per tonne of ammonia and runs through a coal gasifier with a sour-gas shift step, per the Oxford Institute for Energy Studies paper), enter each syngas source plant type on the Calcs tab with its own CO2, set its feedstock fuel (hard coal if, natural gas if, or another EPS fuel name from the list below it) and put 1 in the pool column. A coal-dominant region will then show most of the weight on hard coal. Also review the companion hydrogen injection ratio file, which has a separate value for coal.</t>
  </si>
  <si>
    <t>Limits</t>
  </si>
  <si>
    <t>The inventory does not report CO2 by feedstock fuel within each process, so we assume each process uses one feedstock fuel. The methanol line is a single national figure, not plant data.</t>
  </si>
  <si>
    <t>Export format</t>
  </si>
  <si>
    <t>One row for each industrial fuel in the model's order, with a Values heading, in the same layout as IFSR-chemicals.csv. CSV values computed in Python from the same formulas; recalc in Excel to verify.</t>
  </si>
  <si>
    <t>SOURCE DATA: US EPA Greenhouse Gas Inventory 1990-2023, Chapter 4 (values pasted as published)</t>
  </si>
  <si>
    <t>Table 4-56 CO2 from petrochemical production, 2023</t>
  </si>
  <si>
    <t>kt CO2</t>
  </si>
  <si>
    <t>Unit</t>
  </si>
  <si>
    <t>Location</t>
  </si>
  <si>
    <t>Carbon black</t>
  </si>
  <si>
    <t>GHGI 2025 (EPA 430-R-25-003) Table 4-56, 2023 column</t>
  </si>
  <si>
    <t>Ethylene</t>
  </si>
  <si>
    <t>Ethylene dichloride</t>
  </si>
  <si>
    <t>Ethylene oxide</t>
  </si>
  <si>
    <t>Methanol</t>
  </si>
  <si>
    <t>Acrylonitrile</t>
  </si>
  <si>
    <t>Total petrochemical production (as published)</t>
  </si>
  <si>
    <t>Table 4-56 total; text: 30.5 MMT CO2 Eq. in 2023</t>
  </si>
  <si>
    <t>Table 4-24 CO2 from ammonia production, 2023 (net of CO2 recovered for urea)</t>
  </si>
  <si>
    <t>Ammonia production net CO2</t>
  </si>
  <si>
    <t>GHGI 2025 Table 4-24 (text: 12.2 MMT CO2 Eq.)</t>
  </si>
  <si>
    <t>CALCULATIONS: which fossil fuel did the syngas-vent CO2 come from?</t>
  </si>
  <si>
    <t>Question this tab answers: of the CO2 vented from the syngas of chemical plants, what fraction came from each feedstock fuel? Section 1 lists the process sources and says which belong in the syngas-vent pool (change the 1/0 in column D to edit the pool). Section 2 adds up the pool by fuel and divides by the pool total. The answer is the column marked SHARE.</t>
  </si>
  <si>
    <t>Section 1: US process CO2 sources and whether they sit in the syngas-vent pool</t>
  </si>
  <si>
    <t>Process source</t>
  </si>
  <si>
    <t>Feedstock fuel (EPS fuel name)</t>
  </si>
  <si>
    <t>CO2 2023
kt</t>
  </si>
  <si>
    <t>In syngas-vent pool?
1 = yes  0 = no</t>
  </si>
  <si>
    <t>Why</t>
  </si>
  <si>
    <t>Methanol (natural gas steam reforming)</t>
  </si>
  <si>
    <t>natural gas if</t>
  </si>
  <si>
    <t>Natural gas methanol syngas is hydrogen-rich, so the CO2 comes from the reforming and CO2-removal vent, not a shift step. It is the whole U.S. syngas-vent pool.</t>
  </si>
  <si>
    <t>Ammonia (natural gas reforming)</t>
  </si>
  <si>
    <t>U.S. ammonia process CO2 is excluded from this pool so it is not counted twice (the chemicals process CO2 is split into pools elsewhere in the module).</t>
  </si>
  <si>
    <t>Ammonia or methanol from coal</t>
  </si>
  <si>
    <t>hard coal if</t>
  </si>
  <si>
    <t>No U.S. coal-based chemical syngas source is identified in the inventory; a coal-dominant region enters its own coal-fed plants here and sets the flag to 1 (see About).</t>
  </si>
  <si>
    <t>Section 2: pool CO2 and share by feedstock fuel</t>
  </si>
  <si>
    <t>Industrial fuel</t>
  </si>
  <si>
    <t>Pool CO2 from this fuel
kt</t>
  </si>
  <si>
    <t>SHARE OF SYNGAS-VENT CO2
USED IN THE OUTPUT FILE</t>
  </si>
  <si>
    <t>electricity if</t>
  </si>
  <si>
    <t>biomass if</t>
  </si>
  <si>
    <t>petroleum diesel if</t>
  </si>
  <si>
    <t>heat if</t>
  </si>
  <si>
    <t>crude oil if</t>
  </si>
  <si>
    <t>heavy or residual fuel oil if</t>
  </si>
  <si>
    <t>LPG propane or butane if</t>
  </si>
  <si>
    <t>hydrogen if</t>
  </si>
  <si>
    <t>Total pool CO2 (kt)</t>
  </si>
  <si>
    <t>CHECKS: live tests on the calculation</t>
  </si>
  <si>
    <t>What is tested</t>
  </si>
  <si>
    <t>Value</t>
  </si>
  <si>
    <t>Result</t>
  </si>
  <si>
    <t>Shares sum to 1</t>
  </si>
  <si>
    <t>Every share is between 0 and 1</t>
  </si>
  <si>
    <t>The six 2023 petrochemical lines add up to the published total (confirms the table was read correctly)</t>
  </si>
  <si>
    <t>Total pool CO2 is greater than zero</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</si>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</sst>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u/>
      <sz val="11"/>
      <color rgb="FF0563C1"/>
      <name val="Calibri"/>
    </font>
  </fonts>
  <fills count="6">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E2EFDA"/>
        <bgColor rgb="FFE2EFDA"/>
      </patternFill>
    </fill>
    <fill>
      <patternFill patternType="solid">
        <fgColor rgb="FFFFF2CC"/>
        <bgColor rgb="FFFFF2CC"/>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0" fillId="2" borderId="0" xfId="0" applyFill="1"/>
    <xf numFmtId="0" fontId="0" fillId="4" borderId="0" xfId="0" applyFill="1"/>
    <xf numFmtId="0" fontId="2" fillId="5" borderId="0" xfId="0" applyFont="1" applyFill="1"/>
    <xf numFmtId="0" fontId="0" fillId="0" borderId="0" xfId="0" applyAlignment="1">
      <alignment horizontal="lef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xfordenergy.org/" TargetMode="External"/><Relationship Id="rId2" Type="http://schemas.openxmlformats.org/officeDocument/2006/relationships/hyperlink" Target="https://www.iea.org/reports/ammonia-technology-roadmap" TargetMode="External"/><Relationship Id="rId1" Type="http://schemas.openxmlformats.org/officeDocument/2006/relationships/hyperlink" Target="https://www.epa.gov/ghgemissions/inventory-us-greenhouse-gas-emissions-and-sin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
  <sheetViews>
    <sheetView tabSelected="1" workbookViewId="0"/>
  </sheetViews>
  <sheetFormatPr defaultRowHeight="15" x14ac:dyDescent="0.25"/>
  <cols>
    <col min="1" max="1" width="16" customWidth="1"/>
    <col min="2" max="2" width="110" customWidth="1"/>
  </cols>
  <sheetData>
    <row r="1" spans="1:2" x14ac:dyDescent="0.25">
      <c r="A1" s="1" t="s">
        <v>0</v>
      </c>
    </row>
    <row r="3" spans="1:2" x14ac:dyDescent="0.25">
      <c r="A3" s="1" t="s">
        <v>1</v>
      </c>
      <c r="B3" s="2" t="s">
        <v>2</v>
      </c>
    </row>
    <row r="4" spans="1:2" x14ac:dyDescent="0.25">
      <c r="B4" s="3" t="s">
        <v>3</v>
      </c>
    </row>
    <row r="5" spans="1:2" ht="30" x14ac:dyDescent="0.25">
      <c r="B5" s="3" t="s">
        <v>4</v>
      </c>
    </row>
    <row r="6" spans="1:2" x14ac:dyDescent="0.25">
      <c r="B6" s="3">
        <v>2025</v>
      </c>
    </row>
    <row r="7" spans="1:2" x14ac:dyDescent="0.25">
      <c r="B7" s="4" t="s">
        <v>5</v>
      </c>
    </row>
    <row r="8" spans="1:2" ht="90" customHeight="1" x14ac:dyDescent="0.25">
      <c r="B8" s="3" t="s">
        <v>6</v>
      </c>
    </row>
    <row r="10" spans="1:2" x14ac:dyDescent="0.25">
      <c r="B10" s="2" t="s">
        <v>7</v>
      </c>
    </row>
    <row r="11" spans="1:2" x14ac:dyDescent="0.25">
      <c r="B11" s="3" t="s">
        <v>8</v>
      </c>
    </row>
    <row r="12" spans="1:2" x14ac:dyDescent="0.25">
      <c r="B12" s="3" t="s">
        <v>9</v>
      </c>
    </row>
    <row r="13" spans="1:2" x14ac:dyDescent="0.25">
      <c r="B13" s="3">
        <v>2021</v>
      </c>
    </row>
    <row r="14" spans="1:2" x14ac:dyDescent="0.25">
      <c r="B14" s="4" t="s">
        <v>10</v>
      </c>
    </row>
    <row r="15" spans="1:2" ht="45" customHeight="1" x14ac:dyDescent="0.25">
      <c r="B15" s="3" t="s">
        <v>11</v>
      </c>
    </row>
    <row r="17" spans="1:2" x14ac:dyDescent="0.25">
      <c r="B17" s="2" t="s">
        <v>12</v>
      </c>
    </row>
    <row r="18" spans="1:2" x14ac:dyDescent="0.25">
      <c r="B18" s="3" t="s">
        <v>13</v>
      </c>
    </row>
    <row r="19" spans="1:2" x14ac:dyDescent="0.25">
      <c r="B19" s="3" t="s">
        <v>14</v>
      </c>
    </row>
    <row r="20" spans="1:2" x14ac:dyDescent="0.25">
      <c r="B20" s="3">
        <v>2024</v>
      </c>
    </row>
    <row r="21" spans="1:2" x14ac:dyDescent="0.25">
      <c r="B21" s="4" t="s">
        <v>15</v>
      </c>
    </row>
    <row r="22" spans="1:2" ht="45" customHeight="1" x14ac:dyDescent="0.25">
      <c r="B22" s="3" t="s">
        <v>16</v>
      </c>
    </row>
    <row r="25" spans="1:2" x14ac:dyDescent="0.25">
      <c r="A25" s="1" t="s">
        <v>17</v>
      </c>
    </row>
    <row r="26" spans="1:2" ht="105" customHeight="1" x14ac:dyDescent="0.25">
      <c r="A26" s="5" t="s">
        <v>18</v>
      </c>
      <c r="B26" s="3" t="s">
        <v>19</v>
      </c>
    </row>
    <row r="27" spans="1:2" ht="75" customHeight="1" x14ac:dyDescent="0.25">
      <c r="A27" s="5" t="s">
        <v>20</v>
      </c>
      <c r="B27" s="3" t="s">
        <v>21</v>
      </c>
    </row>
    <row r="28" spans="1:2" ht="105" customHeight="1" x14ac:dyDescent="0.25">
      <c r="A28" s="5" t="s">
        <v>22</v>
      </c>
      <c r="B28" s="3" t="s">
        <v>23</v>
      </c>
    </row>
    <row r="29" spans="1:2" ht="30" customHeight="1" x14ac:dyDescent="0.25">
      <c r="A29" s="5" t="s">
        <v>24</v>
      </c>
      <c r="B29" s="3" t="s">
        <v>25</v>
      </c>
    </row>
    <row r="30" spans="1:2" ht="30" customHeight="1" x14ac:dyDescent="0.25">
      <c r="A30" s="5" t="s">
        <v>26</v>
      </c>
      <c r="B30" s="3" t="s">
        <v>27</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heetViews>
  <sheetFormatPr defaultRowHeight="15" x14ac:dyDescent="0.25"/>
  <cols>
    <col min="1" max="1" width="54" customWidth="1"/>
    <col min="2" max="2" width="16" customWidth="1"/>
    <col min="3" max="3" width="14" customWidth="1"/>
    <col min="4" max="4" width="80" customWidth="1"/>
  </cols>
  <sheetData>
    <row r="1" spans="1:4" x14ac:dyDescent="0.25">
      <c r="A1" s="6" t="s">
        <v>28</v>
      </c>
      <c r="B1" s="7"/>
      <c r="C1" s="7"/>
      <c r="D1" s="7"/>
    </row>
    <row r="3" spans="1:4" ht="30" customHeight="1" x14ac:dyDescent="0.25">
      <c r="A3" s="2" t="s">
        <v>29</v>
      </c>
      <c r="B3" s="2" t="s">
        <v>30</v>
      </c>
      <c r="C3" s="2" t="s">
        <v>31</v>
      </c>
      <c r="D3" s="2" t="s">
        <v>32</v>
      </c>
    </row>
    <row r="4" spans="1:4" x14ac:dyDescent="0.25">
      <c r="A4" t="s">
        <v>33</v>
      </c>
      <c r="B4" s="8">
        <v>2550</v>
      </c>
      <c r="C4" t="s">
        <v>30</v>
      </c>
      <c r="D4" t="s">
        <v>34</v>
      </c>
    </row>
    <row r="5" spans="1:4" x14ac:dyDescent="0.25">
      <c r="A5" t="s">
        <v>35</v>
      </c>
      <c r="B5" s="8">
        <v>22600</v>
      </c>
      <c r="C5" t="s">
        <v>30</v>
      </c>
      <c r="D5" t="s">
        <v>34</v>
      </c>
    </row>
    <row r="6" spans="1:4" x14ac:dyDescent="0.25">
      <c r="A6" t="s">
        <v>36</v>
      </c>
      <c r="B6" s="8">
        <v>460</v>
      </c>
      <c r="C6" t="s">
        <v>30</v>
      </c>
      <c r="D6" t="s">
        <v>34</v>
      </c>
    </row>
    <row r="7" spans="1:4" x14ac:dyDescent="0.25">
      <c r="A7" t="s">
        <v>37</v>
      </c>
      <c r="B7" s="8">
        <v>1730</v>
      </c>
      <c r="C7" t="s">
        <v>30</v>
      </c>
      <c r="D7" t="s">
        <v>34</v>
      </c>
    </row>
    <row r="8" spans="1:4" x14ac:dyDescent="0.25">
      <c r="A8" t="s">
        <v>38</v>
      </c>
      <c r="B8" s="8">
        <v>2130</v>
      </c>
      <c r="C8" t="s">
        <v>30</v>
      </c>
      <c r="D8" t="s">
        <v>34</v>
      </c>
    </row>
    <row r="9" spans="1:4" x14ac:dyDescent="0.25">
      <c r="A9" t="s">
        <v>39</v>
      </c>
      <c r="B9" s="8">
        <v>1070</v>
      </c>
      <c r="C9" t="s">
        <v>30</v>
      </c>
      <c r="D9" t="s">
        <v>34</v>
      </c>
    </row>
    <row r="10" spans="1:4" x14ac:dyDescent="0.25">
      <c r="A10" t="s">
        <v>40</v>
      </c>
      <c r="B10" s="8">
        <v>30540</v>
      </c>
      <c r="C10" t="s">
        <v>30</v>
      </c>
      <c r="D10" t="s">
        <v>41</v>
      </c>
    </row>
    <row r="12" spans="1:4" x14ac:dyDescent="0.25">
      <c r="A12" s="1" t="s">
        <v>42</v>
      </c>
    </row>
    <row r="13" spans="1:4" x14ac:dyDescent="0.25">
      <c r="A13" t="s">
        <v>43</v>
      </c>
      <c r="B13" s="8">
        <v>12211</v>
      </c>
      <c r="C13" t="s">
        <v>30</v>
      </c>
      <c r="D13" t="s">
        <v>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2"/>
  <sheetViews>
    <sheetView workbookViewId="0"/>
  </sheetViews>
  <sheetFormatPr defaultRowHeight="15" x14ac:dyDescent="0.25"/>
  <cols>
    <col min="1" max="1" width="46" customWidth="1"/>
    <col min="2" max="2" width="28" customWidth="1"/>
    <col min="3" max="3" width="20" customWidth="1"/>
    <col min="4" max="4" width="22" customWidth="1"/>
    <col min="5" max="5" width="70" customWidth="1"/>
  </cols>
  <sheetData>
    <row r="1" spans="1:5" x14ac:dyDescent="0.25">
      <c r="A1" s="6" t="s">
        <v>45</v>
      </c>
      <c r="B1" s="7"/>
      <c r="C1" s="7"/>
      <c r="D1" s="7"/>
      <c r="E1" s="7"/>
    </row>
    <row r="2" spans="1:5" ht="45" customHeight="1" x14ac:dyDescent="0.25">
      <c r="A2" s="10" t="s">
        <v>46</v>
      </c>
      <c r="B2" s="11"/>
      <c r="C2" s="11"/>
      <c r="D2" s="11"/>
      <c r="E2" s="11"/>
    </row>
    <row r="4" spans="1:5" x14ac:dyDescent="0.25">
      <c r="A4" s="6" t="s">
        <v>47</v>
      </c>
      <c r="B4" s="7"/>
      <c r="C4" s="7"/>
      <c r="D4" s="7"/>
      <c r="E4" s="7"/>
    </row>
    <row r="5" spans="1:5" ht="45" customHeight="1" x14ac:dyDescent="0.25">
      <c r="A5" s="2" t="s">
        <v>48</v>
      </c>
      <c r="B5" s="2" t="s">
        <v>49</v>
      </c>
      <c r="C5" s="2" t="s">
        <v>50</v>
      </c>
      <c r="D5" s="2" t="s">
        <v>51</v>
      </c>
      <c r="E5" s="2" t="s">
        <v>52</v>
      </c>
    </row>
    <row r="6" spans="1:5" ht="45" customHeight="1" x14ac:dyDescent="0.25">
      <c r="A6" t="s">
        <v>53</v>
      </c>
      <c r="B6" t="s">
        <v>54</v>
      </c>
      <c r="C6">
        <f>'Source Data'!B8</f>
        <v>2130</v>
      </c>
      <c r="D6" s="8">
        <v>1</v>
      </c>
      <c r="E6" s="3" t="s">
        <v>55</v>
      </c>
    </row>
    <row r="7" spans="1:5" ht="45" customHeight="1" x14ac:dyDescent="0.25">
      <c r="A7" t="s">
        <v>56</v>
      </c>
      <c r="B7" t="s">
        <v>54</v>
      </c>
      <c r="C7">
        <f>'Source Data'!B13</f>
        <v>12211</v>
      </c>
      <c r="D7" s="8">
        <v>0</v>
      </c>
      <c r="E7" s="3" t="s">
        <v>57</v>
      </c>
    </row>
    <row r="8" spans="1:5" ht="45" customHeight="1" x14ac:dyDescent="0.25">
      <c r="A8" t="s">
        <v>58</v>
      </c>
      <c r="B8" t="s">
        <v>59</v>
      </c>
      <c r="C8">
        <v>0</v>
      </c>
      <c r="D8" s="8">
        <v>0</v>
      </c>
      <c r="E8" s="3" t="s">
        <v>60</v>
      </c>
    </row>
    <row r="10" spans="1:5" x14ac:dyDescent="0.25">
      <c r="A10" s="6" t="s">
        <v>61</v>
      </c>
      <c r="B10" s="7"/>
      <c r="C10" s="7"/>
      <c r="D10" s="7"/>
      <c r="E10" s="7"/>
    </row>
    <row r="11" spans="1:5" ht="45" customHeight="1" x14ac:dyDescent="0.25">
      <c r="A11" s="2" t="s">
        <v>62</v>
      </c>
      <c r="B11" s="2" t="s">
        <v>63</v>
      </c>
      <c r="C11" s="2" t="s">
        <v>64</v>
      </c>
      <c r="D11" s="2"/>
      <c r="E11" s="2"/>
    </row>
    <row r="12" spans="1:5" x14ac:dyDescent="0.25">
      <c r="A12" t="s">
        <v>65</v>
      </c>
      <c r="B12">
        <f t="shared" ref="B12:B21" si="0">SUMIFS($C$6:$C$8,$B$6:$B$8,A12,$D$6:$D$8,1)</f>
        <v>0</v>
      </c>
      <c r="C12" s="9">
        <f t="shared" ref="C12:C21" si="1">IF($B$22&gt;0,B12/$B$22,0)</f>
        <v>0</v>
      </c>
    </row>
    <row r="13" spans="1:5" x14ac:dyDescent="0.25">
      <c r="A13" t="s">
        <v>59</v>
      </c>
      <c r="B13">
        <f t="shared" si="0"/>
        <v>0</v>
      </c>
      <c r="C13" s="9">
        <f t="shared" si="1"/>
        <v>0</v>
      </c>
    </row>
    <row r="14" spans="1:5" x14ac:dyDescent="0.25">
      <c r="A14" t="s">
        <v>54</v>
      </c>
      <c r="B14">
        <f t="shared" si="0"/>
        <v>2130</v>
      </c>
      <c r="C14" s="9">
        <f t="shared" si="1"/>
        <v>1</v>
      </c>
    </row>
    <row r="15" spans="1:5" x14ac:dyDescent="0.25">
      <c r="A15" t="s">
        <v>66</v>
      </c>
      <c r="B15">
        <f t="shared" si="0"/>
        <v>0</v>
      </c>
      <c r="C15" s="9">
        <f t="shared" si="1"/>
        <v>0</v>
      </c>
    </row>
    <row r="16" spans="1:5" x14ac:dyDescent="0.25">
      <c r="A16" t="s">
        <v>67</v>
      </c>
      <c r="B16">
        <f t="shared" si="0"/>
        <v>0</v>
      </c>
      <c r="C16" s="9">
        <f t="shared" si="1"/>
        <v>0</v>
      </c>
    </row>
    <row r="17" spans="1:3" x14ac:dyDescent="0.25">
      <c r="A17" t="s">
        <v>68</v>
      </c>
      <c r="B17">
        <f t="shared" si="0"/>
        <v>0</v>
      </c>
      <c r="C17" s="9">
        <f t="shared" si="1"/>
        <v>0</v>
      </c>
    </row>
    <row r="18" spans="1:3" x14ac:dyDescent="0.25">
      <c r="A18" t="s">
        <v>69</v>
      </c>
      <c r="B18">
        <f t="shared" si="0"/>
        <v>0</v>
      </c>
      <c r="C18" s="9">
        <f t="shared" si="1"/>
        <v>0</v>
      </c>
    </row>
    <row r="19" spans="1:3" x14ac:dyDescent="0.25">
      <c r="A19" t="s">
        <v>70</v>
      </c>
      <c r="B19">
        <f t="shared" si="0"/>
        <v>0</v>
      </c>
      <c r="C19" s="9">
        <f t="shared" si="1"/>
        <v>0</v>
      </c>
    </row>
    <row r="20" spans="1:3" x14ac:dyDescent="0.25">
      <c r="A20" t="s">
        <v>71</v>
      </c>
      <c r="B20">
        <f t="shared" si="0"/>
        <v>0</v>
      </c>
      <c r="C20" s="9">
        <f t="shared" si="1"/>
        <v>0</v>
      </c>
    </row>
    <row r="21" spans="1:3" x14ac:dyDescent="0.25">
      <c r="A21" t="s">
        <v>72</v>
      </c>
      <c r="B21">
        <f t="shared" si="0"/>
        <v>0</v>
      </c>
      <c r="C21" s="9">
        <f t="shared" si="1"/>
        <v>0</v>
      </c>
    </row>
    <row r="22" spans="1:3" x14ac:dyDescent="0.25">
      <c r="A22" s="1" t="s">
        <v>73</v>
      </c>
      <c r="B22">
        <f>SUM(B12:B21)</f>
        <v>2130</v>
      </c>
      <c r="C22">
        <f>SUM(C12:C21)</f>
        <v>1</v>
      </c>
    </row>
  </sheetData>
  <mergeCells count="1">
    <mergeCell ref="A2:E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workbookViewId="0"/>
  </sheetViews>
  <sheetFormatPr defaultRowHeight="15" x14ac:dyDescent="0.25"/>
  <cols>
    <col min="1" max="1" width="78" customWidth="1"/>
    <col min="2" max="2" width="18" customWidth="1"/>
    <col min="3" max="3" width="12" customWidth="1"/>
  </cols>
  <sheetData>
    <row r="1" spans="1:3" x14ac:dyDescent="0.25">
      <c r="A1" s="6" t="s">
        <v>74</v>
      </c>
      <c r="B1" s="7"/>
      <c r="C1" s="7"/>
    </row>
    <row r="2" spans="1:3" ht="30" customHeight="1" x14ac:dyDescent="0.25">
      <c r="A2" s="2" t="s">
        <v>75</v>
      </c>
      <c r="B2" s="2" t="s">
        <v>76</v>
      </c>
      <c r="C2" s="2" t="s">
        <v>77</v>
      </c>
    </row>
    <row r="3" spans="1:3" x14ac:dyDescent="0.25">
      <c r="A3" t="s">
        <v>78</v>
      </c>
      <c r="B3">
        <f>Calcs!C22</f>
        <v>1</v>
      </c>
      <c r="C3" t="str">
        <f>IF(ABS(B3-1)&lt;0.000001,"PASS","FAIL")</f>
        <v>PASS</v>
      </c>
    </row>
    <row r="4" spans="1:3" x14ac:dyDescent="0.25">
      <c r="A4" t="s">
        <v>79</v>
      </c>
      <c r="B4">
        <f>MAX(Calcs!C12:C21)</f>
        <v>1</v>
      </c>
      <c r="C4" t="str">
        <f>IF(AND(MIN(Calcs!C12:C21)&gt;=0,B4&lt;=1),"PASS","FAIL")</f>
        <v>PASS</v>
      </c>
    </row>
    <row r="5" spans="1:3" x14ac:dyDescent="0.25">
      <c r="A5" t="s">
        <v>80</v>
      </c>
      <c r="B5">
        <f>SUM('Source Data'!B4:B9)-'Source Data'!B10</f>
        <v>0</v>
      </c>
      <c r="C5" t="str">
        <f>IF(ABS(B5)&lt;0.5,"PASS","FAIL")</f>
        <v>PASS</v>
      </c>
    </row>
    <row r="6" spans="1:3" x14ac:dyDescent="0.25">
      <c r="A6" t="s">
        <v>81</v>
      </c>
      <c r="B6">
        <f>Calcs!B22</f>
        <v>2130</v>
      </c>
      <c r="C6" t="str">
        <f>IF(B6&gt;0,"PASS","FAIL")</f>
        <v>PASS</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B11"/>
  <sheetViews>
    <sheetView workbookViewId="0"/>
  </sheetViews>
  <sheetFormatPr defaultRowHeight="15" x14ac:dyDescent="0.25"/>
  <cols>
    <col min="1" max="1" width="34" customWidth="1"/>
    <col min="2" max="2" width="16" customWidth="1"/>
  </cols>
  <sheetData>
    <row r="1" spans="1:2" x14ac:dyDescent="0.25">
      <c r="B1" t="s">
        <v>82</v>
      </c>
    </row>
    <row r="2" spans="1:2" x14ac:dyDescent="0.25">
      <c r="A2" t="s">
        <v>65</v>
      </c>
      <c r="B2">
        <f>Calcs!C12</f>
        <v>0</v>
      </c>
    </row>
    <row r="3" spans="1:2" x14ac:dyDescent="0.25">
      <c r="A3" t="s">
        <v>59</v>
      </c>
      <c r="B3">
        <f>Calcs!C13</f>
        <v>0</v>
      </c>
    </row>
    <row r="4" spans="1:2" x14ac:dyDescent="0.25">
      <c r="A4" t="s">
        <v>54</v>
      </c>
      <c r="B4">
        <f>Calcs!C14</f>
        <v>1</v>
      </c>
    </row>
    <row r="5" spans="1:2" x14ac:dyDescent="0.25">
      <c r="A5" t="s">
        <v>66</v>
      </c>
      <c r="B5">
        <f>Calcs!C15</f>
        <v>0</v>
      </c>
    </row>
    <row r="6" spans="1:2" x14ac:dyDescent="0.25">
      <c r="A6" t="s">
        <v>67</v>
      </c>
      <c r="B6">
        <f>Calcs!C16</f>
        <v>0</v>
      </c>
    </row>
    <row r="7" spans="1:2" x14ac:dyDescent="0.25">
      <c r="A7" t="s">
        <v>68</v>
      </c>
      <c r="B7">
        <f>Calcs!C17</f>
        <v>0</v>
      </c>
    </row>
    <row r="8" spans="1:2" x14ac:dyDescent="0.25">
      <c r="A8" t="s">
        <v>69</v>
      </c>
      <c r="B8">
        <f>Calcs!C18</f>
        <v>0</v>
      </c>
    </row>
    <row r="9" spans="1:2" x14ac:dyDescent="0.25">
      <c r="A9" t="s">
        <v>70</v>
      </c>
      <c r="B9">
        <f>Calcs!C19</f>
        <v>0</v>
      </c>
    </row>
    <row r="10" spans="1:2" x14ac:dyDescent="0.25">
      <c r="A10" t="s">
        <v>71</v>
      </c>
      <c r="B10">
        <f>Calcs!C20</f>
        <v>0</v>
      </c>
    </row>
    <row r="11" spans="1:2" x14ac:dyDescent="0.25">
      <c r="A11" t="s">
        <v>72</v>
      </c>
      <c r="B11">
        <f>Calcs!C21</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Source Data</vt:lpstr>
      <vt:lpstr>Calcs</vt:lpstr>
      <vt:lpstr>Checks</vt:lpstr>
      <vt:lpstr>SoSVbFF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2026-10-29T13:42:02Z</dcterms:created>
  <dcterms:modified xsi:type="dcterms:W3CDTF">2026-10-29T13:42:24Z</dcterms:modified>
</cp:coreProperties>
</file>