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DanOBrien\Models\EPS\US\eps-us\.claude\worktrees\chemicals-module\InputData\indst\_chemicals\ECCpTSCA\"/>
    </mc:Choice>
  </mc:AlternateContent>
  <xr:revisionPtr revIDLastSave="0" documentId="13_ncr:1_{70C64B63-87E6-4BFF-B435-85A57C3107DD}" xr6:coauthVersionLast="47" xr6:coauthVersionMax="47" xr10:uidLastSave="{00000000-0000-0000-0000-000000000000}"/>
  <bookViews>
    <workbookView xWindow="28680" yWindow="-120" windowWidth="29040" windowHeight="17520" xr2:uid="{00000000-000D-0000-FFFF-FFFF00000000}"/>
  </bookViews>
  <sheets>
    <sheet name="About" sheetId="1" r:id="rId1"/>
    <sheet name="Source Data" sheetId="2" r:id="rId2"/>
    <sheet name="Calcs" sheetId="3" r:id="rId3"/>
    <sheet name="Checks" sheetId="4" r:id="rId4"/>
    <sheet name="ECCpTSC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4" l="1"/>
  <c r="C6" i="4" s="1"/>
  <c r="B4" i="4"/>
  <c r="C4" i="4" s="1"/>
  <c r="C35" i="3"/>
  <c r="B34" i="3"/>
  <c r="B33" i="3"/>
  <c r="B19" i="3"/>
  <c r="B18" i="3"/>
  <c r="B15" i="3"/>
  <c r="B16" i="3" s="1"/>
  <c r="B17" i="3" s="1"/>
  <c r="B8" i="3"/>
  <c r="B7" i="3"/>
  <c r="B9" i="3" s="1"/>
  <c r="B10" i="3" s="1"/>
  <c r="B11" i="3" s="1"/>
  <c r="B12" i="3" s="1"/>
  <c r="B4" i="3"/>
  <c r="D29" i="3" l="1"/>
  <c r="C29" i="3"/>
  <c r="B29" i="3"/>
  <c r="B35" i="3"/>
  <c r="B9" i="4"/>
  <c r="C9" i="4" s="1"/>
  <c r="B22" i="3"/>
  <c r="B23" i="3"/>
  <c r="B24" i="3"/>
  <c r="B25" i="3" s="1"/>
  <c r="B7" i="4"/>
  <c r="C7" i="4" s="1"/>
  <c r="B8" i="4"/>
  <c r="C8" i="4" s="1"/>
  <c r="D32" i="3"/>
  <c r="B32" i="3"/>
  <c r="D30" i="3" l="1"/>
  <c r="D31" i="3"/>
  <c r="C31" i="3"/>
  <c r="C30" i="3"/>
  <c r="B5" i="4" s="1"/>
  <c r="C5" i="4" s="1"/>
  <c r="B30" i="3"/>
  <c r="B31" i="3"/>
  <c r="B3" i="4"/>
  <c r="C3" i="4" s="1"/>
  <c r="B2" i="5"/>
</calcChain>
</file>

<file path=xl/sharedStrings.xml><?xml version="1.0" encoding="utf-8"?>
<sst xmlns="http://schemas.openxmlformats.org/spreadsheetml/2006/main" count="234" uniqueCount="197">
  <si>
    <t>ECCpTSCA Electrified Heat Capital Cost per Ton of Stack CO2 Abated</t>
  </si>
  <si>
    <t>Sources:</t>
  </si>
  <si>
    <t>US ethane-cracker techno-economics with an electrically heated cracker case</t>
  </si>
  <si>
    <t>Premium of an electrified cracker over a gas-fired cracker (cross-check only)</t>
  </si>
  <si>
    <t>Shin, Lin, Lai, Ibrahim and Zang (MIT Energy Initiative)</t>
  </si>
  <si>
    <t>Dataintelo (market research)</t>
  </si>
  <si>
    <t>Decarbonization approaches for ethylene production: comparative techno-economic and life-cycle analysis, Green Chemistry 27:3655-3675 (open access, CC-BY-NC) and its Electronic Supplementary Information</t>
  </si>
  <si>
    <t>Electrified Ethylene Cracking Furnace Market Size, Share and Forecast Report 2025 to 2034</t>
  </si>
  <si>
    <t>https://doi.org/10.1039/d4gc04538f</t>
  </si>
  <si>
    <t>https://www.dataintelo.com/report/electrified-ethylene-cracking-furnace-market</t>
  </si>
  <si>
    <t>Paper and ESI read 2026-10-30 (PDFs supplied by Dan; the site refuses automated download). ESI Table S8 (Electrical heating case) and Table S6 (Baseline) list the cracker unit at the same $370,332,924 installed (2019 USD, installation factor 2.47, scaling exponent 0.67), so the study assumes no capital premium for electric heating; the Electrical heating plant totals $533,973,722 against $626,044,269 for the Baseline because the boiler and steam turbine disappear. ESI Table S10: reference year 2019, operating capacity factor 90%, design capacity 1.00 million t/yr, 40-year life, 8% after-tax real IRR. Section 3.3.1 (p.3667): the cracker is the largest cost item at $135 per kg-ethylene per day in every case. Capital costs are scaled from NREL, NETL and PNNL studies (Section 2.4). Held on the Source Data tab (rows 4-9).</t>
  </si>
  <si>
    <t>Page text read 2026-10-29: the capital cost premium for a fully electrified world-scale cracker is "estimated in the range of 15 to 30%", about $150 to $400 million of extra capital for a typical 1 Mt/yr ethylene unit, attributed only to "engineering studies completed through 2025" with no named study, baseline cost or dollar year. A commercial market-report estimate, not an engineering source. Used only on the Calcs cross-check rows 29-32; not in the exported value.</t>
  </si>
  <si>
    <t>Cost of resistive heating equipment</t>
  </si>
  <si>
    <t>Published study assuming no electric-furnace capital premium (context)</t>
  </si>
  <si>
    <t>Energy Innovation (Rissman and Gimon)</t>
  </si>
  <si>
    <t>Layritz, Dolganova, Finkbeiner, Luderer, Penteado, Ueckerdt and Repke (PIK / TU Berlin)</t>
  </si>
  <si>
    <t>Thermal Batteries: Decarbonizing U.S. Industry While Supporting a High-Renewables Grid, p.15</t>
  </si>
  <si>
    <t>The potential of direct steam cracker electrification and carbon capture &amp; utilization via oxidative coupling of methane as decarbonization strategies for ethylene production, Applied Energy 296:117049 (preprint)</t>
  </si>
  <si>
    <t>https://energyinnovation.org/report/thermal-batteries-decarbonizing-u-s-industry-while-supporting-a-high-renewables-grid/</t>
  </si>
  <si>
    <t>https://publications.pik-potsdam.de/pubman/item/item_25669_4/component/file_25682/25669_preprint.pdf</t>
  </si>
  <si>
    <t>Charging equipment $100 per kW of electrical input, 2023 USD. A thermal battery heater, not a cracker furnace: it is used as a lower-bound equipment price. Unclear whether equipment-only or installed. Held on the Source Data tab (row 11).</t>
  </si>
  <si>
    <t>Preprint read 2026-10-29. Table 2: steam cracking capital cost 1,488 EUR per tonne of ethylene per year (average of five reported values, currency year not stated), operating cost 76.42 EUR/t/yr, 30-year life. Appendix A.3 footnote 3 and Section 2: the electrified cracker uses the same capital cost and furnace efficiency as the conventional one, because no specific data exist. Held on the Source Data tab (row 28) and Calcs row 34 as context; not in the exported value.</t>
  </si>
  <si>
    <t>Lang factor, whole-plant cost comparison and on-stream hours (context)</t>
  </si>
  <si>
    <t>Electricity required per tonne of CO2 abated</t>
  </si>
  <si>
    <t>Idaho National Laboratory (Hu, Ding, Knighton, Wendt and Boardman)</t>
  </si>
  <si>
    <t>Energy Policy Simulator input files (this repository)</t>
  </si>
  <si>
    <t>Technoeconomic Analysis on an Electrochemical Nonoxidative Deprotonation Process for Ethylene Production from Ethane (INL/EXT-19-56936)</t>
  </si>
  <si>
    <t>InputData/indst/_chemicals/EEpTSCA/EEpTSCA.csv</t>
  </si>
  <si>
    <t>https://inldigitallibrary.inl.gov/sites/sti/sti/Sort_21795.pdf</t>
  </si>
  <si>
    <t>https://github.com/EnergyInnovation/eps-us</t>
  </si>
  <si>
    <t>Table 15 (p.29): Lang factor 3.282 (Wain 2014), used in Method 1. Table 14 (p.28): steam cracker total capital investment $1,110 million for 830,132 t/yr ethylene (PetroChemical Update 2018 data, U.S. Gulf Coast), shown on Calcs row 33 as context only: it is about twice the Shin et al. total plant cost per tonne because TCI includes owner's costs, contingency and interest. Table 27 (p.62): on-stream factor 91% (8,000 operating hours per year), stated for the LDPE unit of the same complex; corroborates the 90% capacity factor used.</t>
  </si>
  <si>
    <t>The exported EEpTSCA value, pasted on the Source Data tab (row 17), sizes the electric furnace in Method 1. If EEpTSCA changes, paste the new value.</t>
  </si>
  <si>
    <t>Dollar-year conversion</t>
  </si>
  <si>
    <t>Demonstration furnace scale and funding (context)</t>
  </si>
  <si>
    <t>U.S. Bureau of Labor Statistics</t>
  </si>
  <si>
    <t>BASF, SABIC and Linde</t>
  </si>
  <si>
    <t>Consumer Price Index for All Urban Consumers (CPI-U), annual averages</t>
  </si>
  <si>
    <t>Press release P-24-177: BASF, SABIC and Linde inaugurate the world's first large-scale electrically heated steam cracking furnace</t>
  </si>
  <si>
    <t>https://www.bls.gov/cpi/</t>
  </si>
  <si>
    <t>https://www.basf.com/global/en/media/news-releases/2024/04/p-24-177</t>
  </si>
  <si>
    <t>Annual averages 2012 = 229.594, 2018 = 251.107, 2019 = 255.657, 2023 = 304.702 (2012 and 2023 as used in the TBCC workbook). Converts all costs to 2012 USD.</t>
  </si>
  <si>
    <t>Two demonstration furnaces at Ludwigshafen, about 6 MW electric and about 4 tonnes of feed per hour combined, inaugurated April 2024; the German Federal Ministry for Economic Affairs and Climate Action funded EUR 14.8 million under its Decarbonisation in Industry programme (trade-press summaries of the release). No total project cost is published, so nothing is taken from it numerically.</t>
  </si>
  <si>
    <t>US petrochemical and ammonia process CO2 (2023)</t>
  </si>
  <si>
    <t>Electric cracking furnace status (context)</t>
  </si>
  <si>
    <t>U.S. Environmental Protection Agency</t>
  </si>
  <si>
    <t>ISPT (Shell, Dow, TNO)</t>
  </si>
  <si>
    <t>Inventory of U.S. Greenhouse Gas Emissions and Sinks: 1990-2023 (EPA 430-R-25-003), Chapter 4 Industrial Processes and Product Use: Petrochemical Production (Tables 4-55 to 4-57) and Ammonia Production (Tables 4-23 and 4-24)</t>
  </si>
  <si>
    <t>Public report: e-Missi0n electric steam cracker furnace development</t>
  </si>
  <si>
    <t>https://www.epa.gov/ghgemissions/inventory-us-greenhouse-gas-emissions-and-sinks</t>
  </si>
  <si>
    <t>https://ispt.eu/publications/public-report-e-missi0n/</t>
  </si>
  <si>
    <t>Tables 4-55/4-56 give 2023 petrochemical CO2 by product in MMT CO2 Eq. and kt (total 30,540 kt: carbon black 2,550; ethylene 22,600; ethylene dichloride 460; ethylene oxide 1,730; methanol 2,130; acrylonitrile 1,070). Table 4-57 gives production (ethylene 2023: 39,400 kt). The ethylene figure is the CO2 from burning ethylene process off-gas (the GHGRP optional combustion method), so it excludes CO2 from any natural gas make-up fuel. Ammonia (Table 4-24): 12,211 kt CO2 in 2023, net of CO2 recovered for urea. Held verbatim on the Source Data tab. Do not use these as a facility-level or non-US figure.</t>
  </si>
  <si>
    <t>Reports that direct electric heating of cracker tubes gave performance comparable to gas-fired furnaces, that electric cracking competes at electricity below about 67 EUR/MWh or a CO2 price above about 235 EUR/t, and that silicon carbide heating elements are unlikely to meet the targeted four-year lifetime; gives no electricity per tonne, efficiency or capital cost, so nothing is taken from it numerically.</t>
  </si>
  <si>
    <t>Notes:</t>
  </si>
  <si>
    <t>DRAFT, narrowed (research pass 2026-10-30)</t>
  </si>
  <si>
    <t>The exported value is still a judgment, but it now sits between two published anchors instead of resting on a market report. Shin et al. (2025), an open-access MIT techno-economic model of a 1 Mt/yr U.S. ethane cracker, give the electrically heated cracker the same installed cost as the fired one ($370 million, ESI Tables S6 and S8); Layritz et al. (2021) make the same parity assumption for Europe. So electrifying costs at least the electric heating equipment (Method 1, from thermal-battery heater prices) and at most a new cracker unit at parity cost (Method 2). The export is their simple average (the weight is the one JUDGMENT row on Source Data); the two differ by about a factor of three. The market report's 15-30% premium, applied to the Shin plant cost, lands between the two methods, which is reassuring but not independent evidence. No source gives the cost of electrifying an existing cracker directly; a technology-vendor or engineering-study retrofit cost would replace this. Verify against primary sources before relying on this in a work product.</t>
  </si>
  <si>
    <t>Purpose and layout</t>
  </si>
  <si>
    <t>ECCpTSCA is the up-front capital the chemicals module charges for electrified furnace heat in the "other stack" CO2 pool, per metric ton of CO2 per year abated, in 2012 U.S. dollars (the dollar year EPS uses for capital costs, as in the thermal battery capital cost input). The Source Data tab holds the published and assumed inputs, Calcs builds the two estimates, the exported value and the cross-checks, Checks tests it, and the last tab, ECCpTSCA, is exactly what is written to ECCpTSCA.csv (same layout as CGSCR.csv).</t>
  </si>
  <si>
    <t>Method in plain words</t>
  </si>
  <si>
    <t>Method 1 starts from the electricity the furnaces need (from the EEpTSCA input), turns it into kilowatts of heating equipment using the plant's operating hours (90% of the year, Shin et al.), prices that equipment at $100/kW (the figure used for thermal battery charging equipment in EPS) and multiplies by the Lang factor of 3.28 for installation and indirect costs. Method 2 takes the installed cost of the cracker unit in Shin et al. ($370 per tonne per year of ethylene capacity, 2019 dollars, the same for fired and electric heating) as the cost of replacing the furnaces outright. Both are divided by the stack CO2 per tonne of ethylene (0.574 t, U.S. inventory) to express them per tonne of CO2 per year, and converted to 2012 dollars with the consumer price index. The export averages the two.</t>
  </si>
  <si>
    <t>Why two methods</t>
  </si>
  <si>
    <t>Method 1 probably understates cost, because cracker tubes need much higher heat flux and special alloys than a thermal battery heater, and the pilot furnaces report short element lifetimes. Method 2 probably overstates it for a retrofit, because a plant that replaces furnaces at the end of their life would have paid for new fired furnaces anyway, and EPS does not credit that avoided spend. The truth is likely between them, so the file uses the average and reports the range.</t>
  </si>
  <si>
    <t>What this does not include</t>
  </si>
  <si>
    <t>Operating and maintenance cost is not part of this capital figure. The cost of any new power supply, grid connection or generation is not included. The cost of the furnaces that are replaced is not credited. Shin et al. show the electric plant's total cost is lower than the fired plant's because the boiler and steam turbine disappear; that saving is not credited either.</t>
  </si>
  <si>
    <t>Regional adaptation</t>
  </si>
  <si>
    <t>Method 1 depends only on EEpTSCA and equipment prices, so it carries over once EEpTSCA is rebuilt for the region. Method 2 needs a regional cracker capital cost in place of the U.S. Gulf Coast figure (Layritz et al. give 1,488 EUR per tonne per year for a whole European plant; the cracker unit is about 59% of plant cost in Shin et al.).</t>
  </si>
  <si>
    <t>Export format</t>
  </si>
  <si>
    <t>Unit line and label in the first row, one data row below, as in CGSCR.csv. CSV values computed in Python from the same formulas; recalc in Excel to verify.</t>
  </si>
  <si>
    <t>SOURCE DATA: values pasted as published (confidence flag in column E: DIRECT = read in the source text; MARKET REPORT = read on a commercial market-report page that names no underlying study; JUDGMENT = assumption with no source in hand)</t>
  </si>
  <si>
    <t>Item</t>
  </si>
  <si>
    <t>Value</t>
  </si>
  <si>
    <t>Unit</t>
  </si>
  <si>
    <t>Source and location</t>
  </si>
  <si>
    <t>Confidence</t>
  </si>
  <si>
    <t>Shin et al.: installed cost of the cracker unit (furnaces, coils, quench-side heat recovery)</t>
  </si>
  <si>
    <t>$ (2019 USD)</t>
  </si>
  <si>
    <t>Shin et al. (2025) Green Chemistry 27:3655, ESI Table S8 (Electrical heating case) and Table S6 (Baseline): the same $370,332,924 in both, i.e. no capital premium for electric heating; installation factor 2.47, scaling exponent 0.67</t>
  </si>
  <si>
    <t>DIRECT</t>
  </si>
  <si>
    <t>Shin et al.: plant design capacity</t>
  </si>
  <si>
    <t>t ethylene per yr</t>
  </si>
  <si>
    <t>Same, ESI Table S10 (Plant Design Capacity 1.00 million t/yr; output 0.90 at the capacity factor below)</t>
  </si>
  <si>
    <t>Shin et al.: operating capacity factor</t>
  </si>
  <si>
    <t>fraction</t>
  </si>
  <si>
    <t>Same, ESI Table S10 (Operating Capacity Factor 90.0%)</t>
  </si>
  <si>
    <t>Hours per year</t>
  </si>
  <si>
    <t>hours/yr</t>
  </si>
  <si>
    <t>Calendar</t>
  </si>
  <si>
    <t>Shin et al.: total plant cost, Baseline case (context)</t>
  </si>
  <si>
    <t>Same, ESI Table S6 total</t>
  </si>
  <si>
    <t>Shin et al.: total plant cost, Electrical heating case (context)</t>
  </si>
  <si>
    <t>Same, ESI Table S8 total (no boiler or steam turbine; smaller cooling tower; adds PSA for hydrogen export)</t>
  </si>
  <si>
    <t>Lang factor (total installed cost per unit of major equipment cost)</t>
  </si>
  <si>
    <t>dimensionless</t>
  </si>
  <si>
    <t>INL/EXT-19-56936 Table 15 (p.29): updated Lang factor 3.28 (Wain 2014)</t>
  </si>
  <si>
    <t>Resistive charging (heating) equipment cost</t>
  </si>
  <si>
    <t>$ per kW-in (2023 USD)</t>
  </si>
  <si>
    <t>Rissman and Gimon (2023), Thermal Batteries, p.15 (the same value used in the EPS thermal battery capital cost input TBCC)</t>
  </si>
  <si>
    <t>CPI-U annual average, 2012</t>
  </si>
  <si>
    <t>index</t>
  </si>
  <si>
    <t>U.S. Bureau of Labor Statistics (as used in the TBCC workbook)</t>
  </si>
  <si>
    <t>CPI-U annual average, 2019</t>
  </si>
  <si>
    <t>U.S. Bureau of Labor Statistics, CPI-U all items, annual average 2019</t>
  </si>
  <si>
    <t>CPI-U annual average, 2023</t>
  </si>
  <si>
    <t>CO2 from burning ethylene process off-gas, 2023</t>
  </si>
  <si>
    <t>kt CO2</t>
  </si>
  <si>
    <t>US GHGI 2025 (EPA 430-R-25-003) Table 4-56 (p.4-74)</t>
  </si>
  <si>
    <t>Ethylene production, 2023</t>
  </si>
  <si>
    <t>kt ethylene</t>
  </si>
  <si>
    <t>US GHGI 2025 Table 4-57 (p.4-78)</t>
  </si>
  <si>
    <t>Electricity per ton of stack CO2 abated (EPS input EEpTSCA, exported value)</t>
  </si>
  <si>
    <t>BTU per t CO2</t>
  </si>
  <si>
    <t>Output of the EEpTSCA workbook in this repository (pasted from its CSV)</t>
  </si>
  <si>
    <t>BTU per kWh</t>
  </si>
  <si>
    <t>BTU/kWh</t>
  </si>
  <si>
    <t>Unit conversion (as in the TBCC workbook)</t>
  </si>
  <si>
    <t>Weight on Method 1 (heater-only) in the exported value</t>
  </si>
  <si>
    <t>Assumption: the export is the simple average of the heater-only estimate (low) and full replacement of the cracker unit (high). Edit to move toward either.</t>
  </si>
  <si>
    <t>JUDGMENT</t>
  </si>
  <si>
    <t>Capital premium of a fully electrified world-scale cracker over gas-fired, low (cross-check)</t>
  </si>
  <si>
    <t>Dataintelo, Electrified Ethylene Cracking Furnace Market report (2025-2034), page text: premium "estimated in the range of 15 to 30%", attributed only to "engineering studies completed through 2025"</t>
  </si>
  <si>
    <t>MARKET REPORT</t>
  </si>
  <si>
    <t>Same, high</t>
  </si>
  <si>
    <t>Same</t>
  </si>
  <si>
    <t>Same report in dollars: low, per 1 Mt/yr of ethylene capacity (cross-check)</t>
  </si>
  <si>
    <t>$ million per Mt/yr</t>
  </si>
  <si>
    <t>Same page: approximately $150 to $400 million of extra capital for a typical 1 Mt/yr ethylene unit; dollar year not stated</t>
  </si>
  <si>
    <t>INL: steam cracker total capital investment (context)</t>
  </si>
  <si>
    <t>$ million (PetroChemical Update 2018 data)</t>
  </si>
  <si>
    <t>INL/EXT-19-56936 Table 14 (p.28), steam cracker column (U.S. Gulf Coast; no cost year stated for this table)</t>
  </si>
  <si>
    <t>INL: annual ethylene production at that TCI (context)</t>
  </si>
  <si>
    <t>INL/EXT-19-56936 Table 14 (p.28) and Table 9</t>
  </si>
  <si>
    <t>CPI-U annual average, 2018 (context)</t>
  </si>
  <si>
    <t>U.S. Bureau of Labor Statistics, CPI-U all items, annual average 2018</t>
  </si>
  <si>
    <t>INL: on-stream hours (corroboration)</t>
  </si>
  <si>
    <t>INL/EXT-19-56936 Table 27 (p.62): on-stream factor 91% (8,000 operating hours per year), stated for the LDPE unit of the same complex</t>
  </si>
  <si>
    <t>Layritz et al.: steam cracker capital cost (context)</t>
  </si>
  <si>
    <t>EUR per (t ethylene/yr), year not stated</t>
  </si>
  <si>
    <t>Layritz et al. (2021) preprint Table 2, average of five reported values; the electrified cracker is given the same capital cost (no furnace premium), Appendix A.3 footnote 3</t>
  </si>
  <si>
    <t>CALCULATIONS: capital cost of electrifying cracker furnace heat, per tonne per year of stack CO2 abated, in 2012 dollars</t>
  </si>
  <si>
    <t>Question this tab answers: what does it cost, as up-front capital, to electrify the furnace heat that now burns off-gas, for each tonne per year of CO2 that this stops? Published plant models (Shin et al. 2025; Layritz et al. 2021) give an electrically heated cracker the same capital cost as a fired one, so the cost of electrifying is bounded below by the electric heating equipment alone (Method 1) and above by replacing the whole cracker unit at that parity cost (Method 2). The export is a weighted average of the two; a market report's premium is shown as a cross-check. All figures are converted to 2012 dollars with the consumer price index, the way the EPS thermal battery capital cost is.</t>
  </si>
  <si>
    <t>Stack CO2 per tonne of ethylene, t CO2 per t ethylene</t>
  </si>
  <si>
    <t>GHGI 2023: off-gas combustion CO2 / production</t>
  </si>
  <si>
    <t>Method 1 (low): electric heating equipment sized to the electricity needed</t>
  </si>
  <si>
    <t>Electricity per tonne of CO2 abated, kWh</t>
  </si>
  <si>
    <t>EEpTSCA BTU / BTU per kWh</t>
  </si>
  <si>
    <t>Operating hours per year</t>
  </si>
  <si>
    <t>Capacity factor x 8,760 (Shin et al. Table S10); INL quotes 8,000</t>
  </si>
  <si>
    <t>Furnace electric power per (t CO2 per yr), kW</t>
  </si>
  <si>
    <t>kWh per t / operating hours</t>
  </si>
  <si>
    <t>Heating equipment cost, 2023 USD per (t CO2/yr)</t>
  </si>
  <si>
    <t>kW x $100 per kW</t>
  </si>
  <si>
    <t>Installed cost (equipment x Lang factor), 2023 USD per (t CO2/yr)</t>
  </si>
  <si>
    <t>Adds installation, bulk materials and indirect costs</t>
  </si>
  <si>
    <t>Method 1 in 2012 USD per (t CO2/yr)</t>
  </si>
  <si>
    <t>x CPI 2012 / CPI 2023</t>
  </si>
  <si>
    <t>Method 2 (high): replace the whole cracker unit with an electric one at parity cost (Shin et al. 2025)</t>
  </si>
  <si>
    <t>Cracker unit installed cost per tonne per year of design capacity, 2019 USD</t>
  </si>
  <si>
    <t>ESI Table S8 cracker / 1.00 Mt/yr (equals the paper's $135 per kg-ethylene per day)</t>
  </si>
  <si>
    <t>Same per (t CO2 per yr), 2019 USD</t>
  </si>
  <si>
    <t>/ stack CO2 per tonne of ethylene</t>
  </si>
  <si>
    <t>Method 2 in 2012 USD per (t CO2/yr)</t>
  </si>
  <si>
    <t>x CPI 2012 / CPI 2019</t>
  </si>
  <si>
    <t>Context: Shin et al. total plant cost per (t ethylene/yr), Baseline, 2019 USD</t>
  </si>
  <si>
    <t>Whole plant; the cracker unit is 59% of it</t>
  </si>
  <si>
    <t>Context: Shin et al. total plant cost per (t ethylene/yr), Electrical heating, 2019 USD</t>
  </si>
  <si>
    <t>Lower than Baseline: no boiler or turbine, smaller cooling tower</t>
  </si>
  <si>
    <t>Result: exported value and range (2012 USD per (t CO2 per yr))</t>
  </si>
  <si>
    <t>ECCpTSCA: ELECTRIFIED HEAT CAPITAL COST PER TON OF STACK CO2 ABATED (weighted average of Methods 1 and 2)</t>
  </si>
  <si>
    <t>Low end of the range (Method 1)</t>
  </si>
  <si>
    <t>High end of the range (Method 2)</t>
  </si>
  <si>
    <t>Ratio of the high end to the low end</t>
  </si>
  <si>
    <t>Cross-checks (not used in the export)</t>
  </si>
  <si>
    <t>Low premium</t>
  </si>
  <si>
    <t>Mid premium</t>
  </si>
  <si>
    <t>High premium</t>
  </si>
  <si>
    <t>Market-report premium (15-30%) applied to Shin et al. Baseline total plant cost, USD per (t ethylene/yr), 2019 USD</t>
  </si>
  <si>
    <t>Same per (t CO2/yr) in 2012 USD</t>
  </si>
  <si>
    <t>Lies between Method 1 and Method 2 (Checks tab)</t>
  </si>
  <si>
    <t>Market-report premium as a share of the Shin et al. cracker unit cost</t>
  </si>
  <si>
    <t>A 15-30% whole-plant premium is 25-51% of the cracker unit, i.e. between heater-only and full replacement</t>
  </si>
  <si>
    <t>Market report's own dollar range, USD per (t CO2/yr), dollar year not stated</t>
  </si>
  <si>
    <t>INL total capital investment per (t ethylene/yr), 2018 data (whole plant, different cost scope)</t>
  </si>
  <si>
    <t>About twice the Shin et al. total plant cost: TCI includes owner's costs, contingency and interest that TPC does not</t>
  </si>
  <si>
    <t>Layritz et al. whole-plant capital per (t ethylene/yr), EUR, no premium for the electric furnace</t>
  </si>
  <si>
    <t>Operating hours: Shin et al. capacity factor basis vs INL on-stream figure</t>
  </si>
  <si>
    <t>CHECKS: live tests on the calculation</t>
  </si>
  <si>
    <t>What is tested</t>
  </si>
  <si>
    <t>Result</t>
  </si>
  <si>
    <t>Exported value lies inside the range from the two methods</t>
  </si>
  <si>
    <t>Weight on Method 1 is between 0 and 1</t>
  </si>
  <si>
    <t>Market-report mid premium (cross-check) lies between Method 1 and Method 2</t>
  </si>
  <si>
    <t>Shin et al. electrical-heating plant costs less than the Baseline plant (parity cracker, no boiler)</t>
  </si>
  <si>
    <t>2012 values are below the nominal-year values (deflation direction is right)</t>
  </si>
  <si>
    <t>Stack CO2 per tonne ethylene is positive and below 1</t>
  </si>
  <si>
    <t>Operating hours are below 8,760 and within 5% of the INL figure</t>
  </si>
  <si>
    <t>Unit: 2012 USD per (metric ton CO2 per year) of stack CO2 abated</t>
  </si>
  <si>
    <t>Electrified Heat Capital Cost</t>
  </si>
  <si>
    <t>electrified heat capital cost per ton of stack CO2 abated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</si>
</sst>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u/>
      <sz val="11"/>
      <color rgb="FF0563C1"/>
      <name val="Calibri"/>
    </font>
  </fonts>
  <fills count="6">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E2EFDA"/>
        <bgColor rgb="FFE2EFDA"/>
      </patternFill>
    </fill>
    <fill>
      <patternFill patternType="solid">
        <fgColor rgb="FFFFF2CC"/>
        <bgColor rgb="FFFFF2CC"/>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0" fillId="2" borderId="0" xfId="0" applyFill="1"/>
    <xf numFmtId="0" fontId="0" fillId="4" borderId="0" xfId="0" applyFill="1"/>
    <xf numFmtId="0" fontId="2" fillId="5" borderId="0" xfId="0" applyFont="1" applyFill="1"/>
    <xf numFmtId="0" fontId="0" fillId="0" borderId="0" xfId="0" applyAlignment="1">
      <alignment horizontal="lef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asf.com/global/en/media/news-releases/2024/04/p-24-177" TargetMode="External"/><Relationship Id="rId3" Type="http://schemas.openxmlformats.org/officeDocument/2006/relationships/hyperlink" Target="https://energyinnovation.org/report/thermal-batteries-decarbonizing-u-s-industry-while-supporting-a-high-renewables-grid/" TargetMode="External"/><Relationship Id="rId7" Type="http://schemas.openxmlformats.org/officeDocument/2006/relationships/hyperlink" Target="https://www.bls.gov/cpi/" TargetMode="External"/><Relationship Id="rId2" Type="http://schemas.openxmlformats.org/officeDocument/2006/relationships/hyperlink" Target="https://www.dataintelo.com/report/electrified-ethylene-cracking-furnace-market" TargetMode="External"/><Relationship Id="rId1" Type="http://schemas.openxmlformats.org/officeDocument/2006/relationships/hyperlink" Target="https://doi.org/10.1039/d4gc04538f" TargetMode="External"/><Relationship Id="rId6" Type="http://schemas.openxmlformats.org/officeDocument/2006/relationships/hyperlink" Target="https://github.com/EnergyInnovation/eps-us" TargetMode="External"/><Relationship Id="rId5" Type="http://schemas.openxmlformats.org/officeDocument/2006/relationships/hyperlink" Target="https://inldigitallibrary.inl.gov/sites/sti/sti/Sort_21795.pdf" TargetMode="External"/><Relationship Id="rId10" Type="http://schemas.openxmlformats.org/officeDocument/2006/relationships/hyperlink" Target="https://ispt.eu/publications/public-report-e-missi0n/" TargetMode="External"/><Relationship Id="rId4" Type="http://schemas.openxmlformats.org/officeDocument/2006/relationships/hyperlink" Target="https://publications.pik-potsdam.de/pubman/item/item_25669_4/component/file_25682/25669_preprint.pdf" TargetMode="External"/><Relationship Id="rId9" Type="http://schemas.openxmlformats.org/officeDocument/2006/relationships/hyperlink" Target="https://www.epa.gov/ghgemissions/inventory-us-greenhouse-gas-emissions-and-sink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6"/>
  <sheetViews>
    <sheetView tabSelected="1" workbookViewId="0"/>
  </sheetViews>
  <sheetFormatPr defaultRowHeight="15" x14ac:dyDescent="0.25"/>
  <cols>
    <col min="1" max="1" width="16" customWidth="1"/>
    <col min="2" max="2" width="110" customWidth="1"/>
    <col min="3" max="3" width="3" customWidth="1"/>
    <col min="4" max="4" width="110" customWidth="1"/>
  </cols>
  <sheetData>
    <row r="1" spans="1:4" x14ac:dyDescent="0.25">
      <c r="A1" s="1" t="s">
        <v>0</v>
      </c>
    </row>
    <row r="3" spans="1:4" x14ac:dyDescent="0.25">
      <c r="A3" s="1" t="s">
        <v>1</v>
      </c>
      <c r="B3" s="2" t="s">
        <v>2</v>
      </c>
      <c r="D3" s="2" t="s">
        <v>3</v>
      </c>
    </row>
    <row r="4" spans="1:4" x14ac:dyDescent="0.25">
      <c r="B4" s="3" t="s">
        <v>4</v>
      </c>
      <c r="D4" s="3" t="s">
        <v>5</v>
      </c>
    </row>
    <row r="5" spans="1:4" ht="30" x14ac:dyDescent="0.25">
      <c r="B5" s="3" t="s">
        <v>6</v>
      </c>
      <c r="D5" s="3" t="s">
        <v>7</v>
      </c>
    </row>
    <row r="6" spans="1:4" x14ac:dyDescent="0.25">
      <c r="B6" s="3">
        <v>2025</v>
      </c>
      <c r="D6" s="3">
        <v>2025</v>
      </c>
    </row>
    <row r="7" spans="1:4" x14ac:dyDescent="0.25">
      <c r="B7" s="4" t="s">
        <v>8</v>
      </c>
      <c r="D7" s="4" t="s">
        <v>9</v>
      </c>
    </row>
    <row r="8" spans="1:4" ht="75" customHeight="1" x14ac:dyDescent="0.25">
      <c r="B8" s="3" t="s">
        <v>10</v>
      </c>
      <c r="D8" s="3" t="s">
        <v>11</v>
      </c>
    </row>
    <row r="10" spans="1:4" x14ac:dyDescent="0.25">
      <c r="B10" s="2" t="s">
        <v>12</v>
      </c>
      <c r="D10" s="2" t="s">
        <v>13</v>
      </c>
    </row>
    <row r="11" spans="1:4" x14ac:dyDescent="0.25">
      <c r="B11" s="3" t="s">
        <v>14</v>
      </c>
      <c r="D11" s="3" t="s">
        <v>15</v>
      </c>
    </row>
    <row r="12" spans="1:4" ht="30" x14ac:dyDescent="0.25">
      <c r="B12" s="3" t="s">
        <v>16</v>
      </c>
      <c r="D12" s="3" t="s">
        <v>17</v>
      </c>
    </row>
    <row r="13" spans="1:4" x14ac:dyDescent="0.25">
      <c r="B13" s="3">
        <v>2023</v>
      </c>
      <c r="D13" s="3">
        <v>2021</v>
      </c>
    </row>
    <row r="14" spans="1:4" ht="30" x14ac:dyDescent="0.25">
      <c r="B14" s="4" t="s">
        <v>18</v>
      </c>
      <c r="D14" s="4" t="s">
        <v>19</v>
      </c>
    </row>
    <row r="15" spans="1:4" ht="75" customHeight="1" x14ac:dyDescent="0.25">
      <c r="B15" s="3" t="s">
        <v>20</v>
      </c>
      <c r="D15" s="3" t="s">
        <v>21</v>
      </c>
    </row>
    <row r="17" spans="2:4" x14ac:dyDescent="0.25">
      <c r="B17" s="2" t="s">
        <v>22</v>
      </c>
      <c r="D17" s="2" t="s">
        <v>23</v>
      </c>
    </row>
    <row r="18" spans="2:4" x14ac:dyDescent="0.25">
      <c r="B18" s="3" t="s">
        <v>24</v>
      </c>
      <c r="D18" s="3" t="s">
        <v>25</v>
      </c>
    </row>
    <row r="19" spans="2:4" ht="30" x14ac:dyDescent="0.25">
      <c r="B19" s="3" t="s">
        <v>26</v>
      </c>
      <c r="D19" s="3" t="s">
        <v>27</v>
      </c>
    </row>
    <row r="20" spans="2:4" x14ac:dyDescent="0.25">
      <c r="B20" s="3">
        <v>2020</v>
      </c>
      <c r="D20" s="3">
        <v>2026</v>
      </c>
    </row>
    <row r="21" spans="2:4" x14ac:dyDescent="0.25">
      <c r="B21" s="4" t="s">
        <v>28</v>
      </c>
      <c r="D21" s="4" t="s">
        <v>29</v>
      </c>
    </row>
    <row r="22" spans="2:4" ht="30" customHeight="1" x14ac:dyDescent="0.25">
      <c r="B22" s="3" t="s">
        <v>30</v>
      </c>
      <c r="D22" s="3" t="s">
        <v>31</v>
      </c>
    </row>
    <row r="24" spans="2:4" x14ac:dyDescent="0.25">
      <c r="B24" s="2" t="s">
        <v>32</v>
      </c>
      <c r="D24" s="2" t="s">
        <v>33</v>
      </c>
    </row>
    <row r="25" spans="2:4" x14ac:dyDescent="0.25">
      <c r="B25" s="3" t="s">
        <v>34</v>
      </c>
      <c r="D25" s="3" t="s">
        <v>35</v>
      </c>
    </row>
    <row r="26" spans="2:4" ht="30" x14ac:dyDescent="0.25">
      <c r="B26" s="3" t="s">
        <v>36</v>
      </c>
      <c r="D26" s="3" t="s">
        <v>37</v>
      </c>
    </row>
    <row r="27" spans="2:4" x14ac:dyDescent="0.25">
      <c r="B27" s="3">
        <v>2024</v>
      </c>
      <c r="D27" s="3">
        <v>2024</v>
      </c>
    </row>
    <row r="28" spans="2:4" x14ac:dyDescent="0.25">
      <c r="B28" s="4" t="s">
        <v>38</v>
      </c>
      <c r="D28" s="4" t="s">
        <v>39</v>
      </c>
    </row>
    <row r="29" spans="2:4" ht="60" customHeight="1" x14ac:dyDescent="0.25">
      <c r="B29" s="3" t="s">
        <v>40</v>
      </c>
      <c r="D29" s="3" t="s">
        <v>41</v>
      </c>
    </row>
    <row r="31" spans="2:4" x14ac:dyDescent="0.25">
      <c r="B31" s="2" t="s">
        <v>42</v>
      </c>
      <c r="D31" s="2" t="s">
        <v>43</v>
      </c>
    </row>
    <row r="32" spans="2:4" x14ac:dyDescent="0.25">
      <c r="B32" s="3" t="s">
        <v>44</v>
      </c>
      <c r="D32" s="3" t="s">
        <v>45</v>
      </c>
    </row>
    <row r="33" spans="1:4" ht="30" x14ac:dyDescent="0.25">
      <c r="B33" s="3" t="s">
        <v>46</v>
      </c>
      <c r="D33" s="3" t="s">
        <v>47</v>
      </c>
    </row>
    <row r="34" spans="1:4" x14ac:dyDescent="0.25">
      <c r="B34" s="3">
        <v>2025</v>
      </c>
      <c r="D34" s="3">
        <v>2026</v>
      </c>
    </row>
    <row r="35" spans="1:4" x14ac:dyDescent="0.25">
      <c r="B35" s="4" t="s">
        <v>48</v>
      </c>
      <c r="D35" s="4" t="s">
        <v>49</v>
      </c>
    </row>
    <row r="36" spans="1:4" ht="60" customHeight="1" x14ac:dyDescent="0.25">
      <c r="B36" s="3" t="s">
        <v>50</v>
      </c>
      <c r="D36" s="3" t="s">
        <v>51</v>
      </c>
    </row>
    <row r="39" spans="1:4" x14ac:dyDescent="0.25">
      <c r="A39" s="1" t="s">
        <v>52</v>
      </c>
    </row>
    <row r="40" spans="1:4" ht="165" customHeight="1" x14ac:dyDescent="0.25">
      <c r="A40" s="5" t="s">
        <v>53</v>
      </c>
      <c r="B40" s="3" t="s">
        <v>54</v>
      </c>
    </row>
    <row r="41" spans="1:4" ht="75" customHeight="1" x14ac:dyDescent="0.25">
      <c r="A41" s="5" t="s">
        <v>55</v>
      </c>
      <c r="B41" s="3" t="s">
        <v>56</v>
      </c>
    </row>
    <row r="42" spans="1:4" ht="120" customHeight="1" x14ac:dyDescent="0.25">
      <c r="A42" s="5" t="s">
        <v>57</v>
      </c>
      <c r="B42" s="3" t="s">
        <v>58</v>
      </c>
    </row>
    <row r="43" spans="1:4" ht="75" customHeight="1" x14ac:dyDescent="0.25">
      <c r="A43" s="5" t="s">
        <v>59</v>
      </c>
      <c r="B43" s="3" t="s">
        <v>60</v>
      </c>
    </row>
    <row r="44" spans="1:4" ht="60" customHeight="1" x14ac:dyDescent="0.25">
      <c r="A44" s="5" t="s">
        <v>61</v>
      </c>
      <c r="B44" s="3" t="s">
        <v>62</v>
      </c>
    </row>
    <row r="45" spans="1:4" ht="60" customHeight="1" x14ac:dyDescent="0.25">
      <c r="A45" s="5" t="s">
        <v>63</v>
      </c>
      <c r="B45" s="3" t="s">
        <v>64</v>
      </c>
    </row>
    <row r="46" spans="1:4" ht="30" customHeight="1" x14ac:dyDescent="0.25">
      <c r="A46" s="5" t="s">
        <v>65</v>
      </c>
      <c r="B46" s="3" t="s">
        <v>66</v>
      </c>
    </row>
  </sheetData>
  <hyperlinks>
    <hyperlink ref="B7" r:id="rId1" xr:uid="{00000000-0004-0000-0000-000000000000}"/>
    <hyperlink ref="D7" r:id="rId2" xr:uid="{00000000-0004-0000-0000-000001000000}"/>
    <hyperlink ref="B14" r:id="rId3" xr:uid="{00000000-0004-0000-0000-000002000000}"/>
    <hyperlink ref="D14" r:id="rId4" xr:uid="{00000000-0004-0000-0000-000003000000}"/>
    <hyperlink ref="B21" r:id="rId5" xr:uid="{00000000-0004-0000-0000-000004000000}"/>
    <hyperlink ref="D21" r:id="rId6" xr:uid="{00000000-0004-0000-0000-000005000000}"/>
    <hyperlink ref="B28" r:id="rId7" xr:uid="{00000000-0004-0000-0000-000006000000}"/>
    <hyperlink ref="D28" r:id="rId8" xr:uid="{00000000-0004-0000-0000-000007000000}"/>
    <hyperlink ref="B35" r:id="rId9" xr:uid="{00000000-0004-0000-0000-000008000000}"/>
    <hyperlink ref="D35" r:id="rId10" xr:uid="{00000000-0004-0000-0000-000009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8"/>
  <sheetViews>
    <sheetView workbookViewId="0"/>
  </sheetViews>
  <sheetFormatPr defaultRowHeight="15" x14ac:dyDescent="0.25"/>
  <cols>
    <col min="1" max="1" width="66" customWidth="1"/>
    <col min="2" max="2" width="16" customWidth="1"/>
    <col min="3" max="3" width="26" customWidth="1"/>
    <col min="4" max="4" width="74" customWidth="1"/>
    <col min="5" max="5" width="18" customWidth="1"/>
  </cols>
  <sheetData>
    <row r="1" spans="1:5" x14ac:dyDescent="0.25">
      <c r="A1" s="6" t="s">
        <v>67</v>
      </c>
      <c r="B1" s="7"/>
      <c r="C1" s="7"/>
      <c r="D1" s="7"/>
      <c r="E1" s="7"/>
    </row>
    <row r="3" spans="1:5" ht="30" customHeight="1" x14ac:dyDescent="0.25">
      <c r="A3" s="2" t="s">
        <v>68</v>
      </c>
      <c r="B3" s="2" t="s">
        <v>69</v>
      </c>
      <c r="C3" s="2" t="s">
        <v>70</v>
      </c>
      <c r="D3" s="2" t="s">
        <v>71</v>
      </c>
      <c r="E3" s="2" t="s">
        <v>72</v>
      </c>
    </row>
    <row r="4" spans="1:5" ht="60" customHeight="1" x14ac:dyDescent="0.25">
      <c r="A4" s="3" t="s">
        <v>73</v>
      </c>
      <c r="B4" s="8">
        <v>370332924</v>
      </c>
      <c r="C4" s="3" t="s">
        <v>74</v>
      </c>
      <c r="D4" s="3" t="s">
        <v>75</v>
      </c>
      <c r="E4" s="3" t="s">
        <v>76</v>
      </c>
    </row>
    <row r="5" spans="1:5" ht="30" customHeight="1" x14ac:dyDescent="0.25">
      <c r="A5" s="3" t="s">
        <v>77</v>
      </c>
      <c r="B5" s="8">
        <v>1000000</v>
      </c>
      <c r="C5" s="3" t="s">
        <v>78</v>
      </c>
      <c r="D5" s="3" t="s">
        <v>79</v>
      </c>
      <c r="E5" s="3" t="s">
        <v>76</v>
      </c>
    </row>
    <row r="6" spans="1:5" ht="15" customHeight="1" x14ac:dyDescent="0.25">
      <c r="A6" s="3" t="s">
        <v>80</v>
      </c>
      <c r="B6" s="8">
        <v>0.9</v>
      </c>
      <c r="C6" s="3" t="s">
        <v>81</v>
      </c>
      <c r="D6" s="3" t="s">
        <v>82</v>
      </c>
      <c r="E6" s="3" t="s">
        <v>76</v>
      </c>
    </row>
    <row r="7" spans="1:5" ht="15" customHeight="1" x14ac:dyDescent="0.25">
      <c r="A7" s="3" t="s">
        <v>83</v>
      </c>
      <c r="B7" s="8">
        <v>8760</v>
      </c>
      <c r="C7" s="3" t="s">
        <v>84</v>
      </c>
      <c r="D7" s="3" t="s">
        <v>85</v>
      </c>
      <c r="E7" s="3" t="s">
        <v>76</v>
      </c>
    </row>
    <row r="8" spans="1:5" ht="15" customHeight="1" x14ac:dyDescent="0.25">
      <c r="A8" s="3" t="s">
        <v>86</v>
      </c>
      <c r="B8" s="8">
        <v>626044269</v>
      </c>
      <c r="C8" s="3" t="s">
        <v>74</v>
      </c>
      <c r="D8" s="3" t="s">
        <v>87</v>
      </c>
      <c r="E8" s="3" t="s">
        <v>76</v>
      </c>
    </row>
    <row r="9" spans="1:5" ht="30" customHeight="1" x14ac:dyDescent="0.25">
      <c r="A9" s="3" t="s">
        <v>88</v>
      </c>
      <c r="B9" s="8">
        <v>533973722</v>
      </c>
      <c r="C9" s="3" t="s">
        <v>74</v>
      </c>
      <c r="D9" s="3" t="s">
        <v>89</v>
      </c>
      <c r="E9" s="3" t="s">
        <v>76</v>
      </c>
    </row>
    <row r="10" spans="1:5" ht="30" customHeight="1" x14ac:dyDescent="0.25">
      <c r="A10" s="3" t="s">
        <v>90</v>
      </c>
      <c r="B10" s="8">
        <v>3.282</v>
      </c>
      <c r="C10" s="3" t="s">
        <v>91</v>
      </c>
      <c r="D10" s="3" t="s">
        <v>92</v>
      </c>
      <c r="E10" s="3" t="s">
        <v>76</v>
      </c>
    </row>
    <row r="11" spans="1:5" ht="30" customHeight="1" x14ac:dyDescent="0.25">
      <c r="A11" s="3" t="s">
        <v>93</v>
      </c>
      <c r="B11" s="8">
        <v>100</v>
      </c>
      <c r="C11" s="3" t="s">
        <v>94</v>
      </c>
      <c r="D11" s="3" t="s">
        <v>95</v>
      </c>
      <c r="E11" s="3" t="s">
        <v>76</v>
      </c>
    </row>
    <row r="12" spans="1:5" ht="15" customHeight="1" x14ac:dyDescent="0.25">
      <c r="A12" s="3" t="s">
        <v>96</v>
      </c>
      <c r="B12" s="8">
        <v>229.59399999999999</v>
      </c>
      <c r="C12" s="3" t="s">
        <v>97</v>
      </c>
      <c r="D12" s="3" t="s">
        <v>98</v>
      </c>
      <c r="E12" s="3" t="s">
        <v>76</v>
      </c>
    </row>
    <row r="13" spans="1:5" ht="15" customHeight="1" x14ac:dyDescent="0.25">
      <c r="A13" s="3" t="s">
        <v>99</v>
      </c>
      <c r="B13" s="8">
        <v>255.65700000000001</v>
      </c>
      <c r="C13" s="3" t="s">
        <v>97</v>
      </c>
      <c r="D13" s="3" t="s">
        <v>100</v>
      </c>
      <c r="E13" s="3" t="s">
        <v>76</v>
      </c>
    </row>
    <row r="14" spans="1:5" ht="15" customHeight="1" x14ac:dyDescent="0.25">
      <c r="A14" s="3" t="s">
        <v>101</v>
      </c>
      <c r="B14" s="8">
        <v>304.702</v>
      </c>
      <c r="C14" s="3" t="s">
        <v>97</v>
      </c>
      <c r="D14" s="3" t="s">
        <v>98</v>
      </c>
      <c r="E14" s="3" t="s">
        <v>76</v>
      </c>
    </row>
    <row r="15" spans="1:5" ht="15" customHeight="1" x14ac:dyDescent="0.25">
      <c r="A15" s="3" t="s">
        <v>102</v>
      </c>
      <c r="B15" s="8">
        <v>22600</v>
      </c>
      <c r="C15" s="3" t="s">
        <v>103</v>
      </c>
      <c r="D15" s="3" t="s">
        <v>104</v>
      </c>
      <c r="E15" s="3" t="s">
        <v>76</v>
      </c>
    </row>
    <row r="16" spans="1:5" ht="15" customHeight="1" x14ac:dyDescent="0.25">
      <c r="A16" s="3" t="s">
        <v>105</v>
      </c>
      <c r="B16" s="8">
        <v>39400</v>
      </c>
      <c r="C16" s="3" t="s">
        <v>106</v>
      </c>
      <c r="D16" s="3" t="s">
        <v>107</v>
      </c>
      <c r="E16" s="3" t="s">
        <v>76</v>
      </c>
    </row>
    <row r="17" spans="1:5" ht="30" customHeight="1" x14ac:dyDescent="0.25">
      <c r="A17" s="3" t="s">
        <v>108</v>
      </c>
      <c r="B17" s="8">
        <v>18893819.019088939</v>
      </c>
      <c r="C17" s="3" t="s">
        <v>109</v>
      </c>
      <c r="D17" s="3" t="s">
        <v>110</v>
      </c>
      <c r="E17" s="3" t="s">
        <v>76</v>
      </c>
    </row>
    <row r="18" spans="1:5" ht="15" customHeight="1" x14ac:dyDescent="0.25">
      <c r="A18" s="3" t="s">
        <v>111</v>
      </c>
      <c r="B18" s="8">
        <v>3412.14</v>
      </c>
      <c r="C18" s="3" t="s">
        <v>112</v>
      </c>
      <c r="D18" s="3" t="s">
        <v>113</v>
      </c>
      <c r="E18" s="3" t="s">
        <v>76</v>
      </c>
    </row>
    <row r="19" spans="1:5" ht="45" customHeight="1" x14ac:dyDescent="0.25">
      <c r="A19" s="3" t="s">
        <v>114</v>
      </c>
      <c r="B19" s="8">
        <v>0.5</v>
      </c>
      <c r="C19" s="3" t="s">
        <v>81</v>
      </c>
      <c r="D19" s="3" t="s">
        <v>115</v>
      </c>
      <c r="E19" s="3" t="s">
        <v>116</v>
      </c>
    </row>
    <row r="20" spans="1:5" ht="45" customHeight="1" x14ac:dyDescent="0.25">
      <c r="A20" s="3" t="s">
        <v>117</v>
      </c>
      <c r="B20" s="8">
        <v>0.15</v>
      </c>
      <c r="C20" s="3" t="s">
        <v>81</v>
      </c>
      <c r="D20" s="3" t="s">
        <v>118</v>
      </c>
      <c r="E20" s="3" t="s">
        <v>119</v>
      </c>
    </row>
    <row r="21" spans="1:5" ht="15" customHeight="1" x14ac:dyDescent="0.25">
      <c r="A21" s="3" t="s">
        <v>120</v>
      </c>
      <c r="B21" s="8">
        <v>0.3</v>
      </c>
      <c r="C21" s="3" t="s">
        <v>81</v>
      </c>
      <c r="D21" s="3" t="s">
        <v>121</v>
      </c>
      <c r="E21" s="3" t="s">
        <v>119</v>
      </c>
    </row>
    <row r="22" spans="1:5" ht="30" customHeight="1" x14ac:dyDescent="0.25">
      <c r="A22" s="3" t="s">
        <v>122</v>
      </c>
      <c r="B22" s="8">
        <v>150</v>
      </c>
      <c r="C22" s="3" t="s">
        <v>123</v>
      </c>
      <c r="D22" s="3" t="s">
        <v>124</v>
      </c>
      <c r="E22" s="3" t="s">
        <v>119</v>
      </c>
    </row>
    <row r="23" spans="1:5" ht="15" customHeight="1" x14ac:dyDescent="0.25">
      <c r="A23" s="3" t="s">
        <v>120</v>
      </c>
      <c r="B23" s="8">
        <v>400</v>
      </c>
      <c r="C23" s="3" t="s">
        <v>123</v>
      </c>
      <c r="D23" s="3" t="s">
        <v>121</v>
      </c>
      <c r="E23" s="3" t="s">
        <v>119</v>
      </c>
    </row>
    <row r="24" spans="1:5" ht="30" customHeight="1" x14ac:dyDescent="0.25">
      <c r="A24" s="3" t="s">
        <v>125</v>
      </c>
      <c r="B24" s="8">
        <v>1110</v>
      </c>
      <c r="C24" s="3" t="s">
        <v>126</v>
      </c>
      <c r="D24" s="3" t="s">
        <v>127</v>
      </c>
      <c r="E24" s="3" t="s">
        <v>76</v>
      </c>
    </row>
    <row r="25" spans="1:5" ht="15" customHeight="1" x14ac:dyDescent="0.25">
      <c r="A25" s="3" t="s">
        <v>128</v>
      </c>
      <c r="B25" s="8">
        <v>830132</v>
      </c>
      <c r="C25" s="3" t="s">
        <v>78</v>
      </c>
      <c r="D25" s="3" t="s">
        <v>129</v>
      </c>
      <c r="E25" s="3" t="s">
        <v>76</v>
      </c>
    </row>
    <row r="26" spans="1:5" ht="15" customHeight="1" x14ac:dyDescent="0.25">
      <c r="A26" s="3" t="s">
        <v>130</v>
      </c>
      <c r="B26" s="8">
        <v>251.107</v>
      </c>
      <c r="C26" s="3" t="s">
        <v>97</v>
      </c>
      <c r="D26" s="3" t="s">
        <v>131</v>
      </c>
      <c r="E26" s="3" t="s">
        <v>76</v>
      </c>
    </row>
    <row r="27" spans="1:5" ht="30" customHeight="1" x14ac:dyDescent="0.25">
      <c r="A27" s="3" t="s">
        <v>132</v>
      </c>
      <c r="B27" s="8">
        <v>8000</v>
      </c>
      <c r="C27" s="3" t="s">
        <v>84</v>
      </c>
      <c r="D27" s="3" t="s">
        <v>133</v>
      </c>
      <c r="E27" s="3" t="s">
        <v>76</v>
      </c>
    </row>
    <row r="28" spans="1:5" ht="45" customHeight="1" x14ac:dyDescent="0.25">
      <c r="A28" s="3" t="s">
        <v>134</v>
      </c>
      <c r="B28" s="8">
        <v>1488</v>
      </c>
      <c r="C28" s="3" t="s">
        <v>135</v>
      </c>
      <c r="D28" s="3" t="s">
        <v>136</v>
      </c>
      <c r="E28" s="3" t="s">
        <v>76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5"/>
  <sheetViews>
    <sheetView workbookViewId="0"/>
  </sheetViews>
  <sheetFormatPr defaultRowHeight="15" x14ac:dyDescent="0.25"/>
  <cols>
    <col min="1" max="1" width="84" customWidth="1"/>
    <col min="2" max="4" width="20" customWidth="1"/>
    <col min="5" max="5" width="64" customWidth="1"/>
  </cols>
  <sheetData>
    <row r="1" spans="1:5" x14ac:dyDescent="0.25">
      <c r="A1" s="6" t="s">
        <v>137</v>
      </c>
      <c r="B1" s="7"/>
      <c r="C1" s="7"/>
      <c r="D1" s="7"/>
      <c r="E1" s="7"/>
    </row>
    <row r="2" spans="1:5" ht="90" customHeight="1" x14ac:dyDescent="0.25">
      <c r="A2" s="10" t="s">
        <v>138</v>
      </c>
      <c r="B2" s="11"/>
      <c r="C2" s="11"/>
      <c r="D2" s="11"/>
      <c r="E2" s="11"/>
    </row>
    <row r="4" spans="1:5" x14ac:dyDescent="0.25">
      <c r="A4" t="s">
        <v>139</v>
      </c>
      <c r="B4">
        <f>'Source Data'!$B$15/'Source Data'!$B$16</f>
        <v>0.57360406091370564</v>
      </c>
      <c r="E4" t="s">
        <v>140</v>
      </c>
    </row>
    <row r="6" spans="1:5" x14ac:dyDescent="0.25">
      <c r="A6" s="6" t="s">
        <v>141</v>
      </c>
      <c r="B6" s="7"/>
      <c r="C6" s="7"/>
      <c r="D6" s="7"/>
      <c r="E6" s="7"/>
    </row>
    <row r="7" spans="1:5" x14ac:dyDescent="0.25">
      <c r="A7" t="s">
        <v>142</v>
      </c>
      <c r="B7">
        <f>'Source Data'!$B$17/'Source Data'!$B$18</f>
        <v>5537.2344098099547</v>
      </c>
      <c r="E7" t="s">
        <v>143</v>
      </c>
    </row>
    <row r="8" spans="1:5" x14ac:dyDescent="0.25">
      <c r="A8" t="s">
        <v>144</v>
      </c>
      <c r="B8">
        <f>'Source Data'!$B$6*'Source Data'!$B$7</f>
        <v>7884</v>
      </c>
      <c r="E8" t="s">
        <v>145</v>
      </c>
    </row>
    <row r="9" spans="1:5" x14ac:dyDescent="0.25">
      <c r="A9" t="s">
        <v>146</v>
      </c>
      <c r="B9">
        <f>B7/B8</f>
        <v>0.70233820520166856</v>
      </c>
      <c r="E9" t="s">
        <v>147</v>
      </c>
    </row>
    <row r="10" spans="1:5" x14ac:dyDescent="0.25">
      <c r="A10" t="s">
        <v>148</v>
      </c>
      <c r="B10">
        <f>B9*'Source Data'!$B$11</f>
        <v>70.233820520166859</v>
      </c>
      <c r="E10" t="s">
        <v>149</v>
      </c>
    </row>
    <row r="11" spans="1:5" x14ac:dyDescent="0.25">
      <c r="A11" t="s">
        <v>150</v>
      </c>
      <c r="B11">
        <f>B10*'Source Data'!$B$10</f>
        <v>230.50739894718762</v>
      </c>
      <c r="E11" t="s">
        <v>151</v>
      </c>
    </row>
    <row r="12" spans="1:5" x14ac:dyDescent="0.25">
      <c r="A12" t="s">
        <v>152</v>
      </c>
      <c r="B12" s="1">
        <f>B11*'Source Data'!$B$12/'Source Data'!$B$14</f>
        <v>173.68811413735583</v>
      </c>
      <c r="E12" t="s">
        <v>153</v>
      </c>
    </row>
    <row r="14" spans="1:5" x14ac:dyDescent="0.25">
      <c r="A14" s="6" t="s">
        <v>154</v>
      </c>
      <c r="B14" s="7"/>
      <c r="C14" s="7"/>
      <c r="D14" s="7"/>
      <c r="E14" s="7"/>
    </row>
    <row r="15" spans="1:5" ht="30" x14ac:dyDescent="0.25">
      <c r="A15" t="s">
        <v>155</v>
      </c>
      <c r="B15">
        <f>'Source Data'!$B$4/'Source Data'!$B$5</f>
        <v>370.33292399999999</v>
      </c>
      <c r="E15" s="3" t="s">
        <v>156</v>
      </c>
    </row>
    <row r="16" spans="1:5" x14ac:dyDescent="0.25">
      <c r="A16" t="s">
        <v>157</v>
      </c>
      <c r="B16">
        <f>B15/B4</f>
        <v>645.62465511504422</v>
      </c>
      <c r="E16" s="3" t="s">
        <v>158</v>
      </c>
    </row>
    <row r="17" spans="1:5" x14ac:dyDescent="0.25">
      <c r="A17" t="s">
        <v>159</v>
      </c>
      <c r="B17" s="1">
        <f>B16*'Source Data'!$B$12/'Source Data'!$B$13</f>
        <v>579.80633061673836</v>
      </c>
      <c r="E17" s="3" t="s">
        <v>160</v>
      </c>
    </row>
    <row r="18" spans="1:5" x14ac:dyDescent="0.25">
      <c r="A18" t="s">
        <v>161</v>
      </c>
      <c r="B18">
        <f>'Source Data'!$B$8/'Source Data'!$B$5</f>
        <v>626.04426899999999</v>
      </c>
      <c r="E18" s="3" t="s">
        <v>162</v>
      </c>
    </row>
    <row r="19" spans="1:5" x14ac:dyDescent="0.25">
      <c r="A19" t="s">
        <v>163</v>
      </c>
      <c r="B19">
        <f>'Source Data'!$B$9/'Source Data'!$B$5</f>
        <v>533.97372199999995</v>
      </c>
      <c r="E19" s="3" t="s">
        <v>164</v>
      </c>
    </row>
    <row r="21" spans="1:5" x14ac:dyDescent="0.25">
      <c r="A21" s="6" t="s">
        <v>165</v>
      </c>
      <c r="B21" s="7"/>
      <c r="C21" s="7"/>
      <c r="D21" s="7"/>
      <c r="E21" s="7"/>
    </row>
    <row r="22" spans="1:5" x14ac:dyDescent="0.25">
      <c r="A22" s="1" t="s">
        <v>166</v>
      </c>
      <c r="B22" s="9">
        <f>'Source Data'!$B$19*B12+(1-'Source Data'!$B$19)*B17</f>
        <v>376.74722237704708</v>
      </c>
    </row>
    <row r="23" spans="1:5" x14ac:dyDescent="0.25">
      <c r="A23" t="s">
        <v>167</v>
      </c>
      <c r="B23">
        <f>MIN(B12,B17)</f>
        <v>173.68811413735583</v>
      </c>
    </row>
    <row r="24" spans="1:5" x14ac:dyDescent="0.25">
      <c r="A24" t="s">
        <v>168</v>
      </c>
      <c r="B24">
        <f>MAX(B12,B17)</f>
        <v>579.80633061673836</v>
      </c>
    </row>
    <row r="25" spans="1:5" x14ac:dyDescent="0.25">
      <c r="A25" t="s">
        <v>169</v>
      </c>
      <c r="B25">
        <f>B24/B23</f>
        <v>3.3382038459938403</v>
      </c>
    </row>
    <row r="27" spans="1:5" x14ac:dyDescent="0.25">
      <c r="A27" s="6" t="s">
        <v>170</v>
      </c>
      <c r="B27" s="7"/>
      <c r="C27" s="7"/>
      <c r="D27" s="7"/>
      <c r="E27" s="7"/>
    </row>
    <row r="28" spans="1:5" ht="30" customHeight="1" x14ac:dyDescent="0.25">
      <c r="A28" s="2"/>
      <c r="B28" s="2" t="s">
        <v>171</v>
      </c>
      <c r="C28" s="2" t="s">
        <v>172</v>
      </c>
      <c r="D28" s="2" t="s">
        <v>173</v>
      </c>
      <c r="E28" s="2"/>
    </row>
    <row r="29" spans="1:5" x14ac:dyDescent="0.25">
      <c r="A29" t="s">
        <v>174</v>
      </c>
      <c r="B29">
        <f>$B$18*'Source Data'!$B$20</f>
        <v>93.906640349999989</v>
      </c>
      <c r="C29">
        <f>$B$18*AVERAGE('Source Data'!$B$20,'Source Data'!$B$21)</f>
        <v>140.85996052499999</v>
      </c>
      <c r="D29">
        <f>$B$18*'Source Data'!$B$21</f>
        <v>187.81328069999998</v>
      </c>
    </row>
    <row r="30" spans="1:5" x14ac:dyDescent="0.25">
      <c r="A30" t="s">
        <v>175</v>
      </c>
      <c r="B30">
        <f>B29/$B$4*'Source Data'!$B$12/'Source Data'!$B$13</f>
        <v>147.02355916342782</v>
      </c>
      <c r="C30">
        <f>C29/$B$4*'Source Data'!$B$12/'Source Data'!$B$13</f>
        <v>220.53533874514176</v>
      </c>
      <c r="D30">
        <f>D29/$B$4*'Source Data'!$B$12/'Source Data'!$B$13</f>
        <v>294.04711832685564</v>
      </c>
      <c r="E30" t="s">
        <v>176</v>
      </c>
    </row>
    <row r="31" spans="1:5" ht="30" x14ac:dyDescent="0.25">
      <c r="A31" t="s">
        <v>177</v>
      </c>
      <c r="B31">
        <f>B29/$B$15</f>
        <v>0.25357356655116087</v>
      </c>
      <c r="C31">
        <f>C29/$B$15</f>
        <v>0.38036034982674127</v>
      </c>
      <c r="D31">
        <f>D29/$B$15</f>
        <v>0.50714713310232173</v>
      </c>
      <c r="E31" s="3" t="s">
        <v>178</v>
      </c>
    </row>
    <row r="32" spans="1:5" x14ac:dyDescent="0.25">
      <c r="A32" t="s">
        <v>179</v>
      </c>
      <c r="B32">
        <f>'Source Data'!$B$22/$B$4</f>
        <v>261.50442477876106</v>
      </c>
      <c r="D32">
        <f>'Source Data'!$B$23/$B$4</f>
        <v>697.3451327433628</v>
      </c>
    </row>
    <row r="33" spans="1:5" ht="30" x14ac:dyDescent="0.25">
      <c r="A33" t="s">
        <v>180</v>
      </c>
      <c r="B33">
        <f>'Source Data'!$B$24*1000000/'Source Data'!$B$25</f>
        <v>1337.1367445177393</v>
      </c>
      <c r="E33" s="3" t="s">
        <v>181</v>
      </c>
    </row>
    <row r="34" spans="1:5" x14ac:dyDescent="0.25">
      <c r="A34" t="s">
        <v>182</v>
      </c>
      <c r="B34">
        <f>'Source Data'!$B$28</f>
        <v>1488</v>
      </c>
    </row>
    <row r="35" spans="1:5" x14ac:dyDescent="0.25">
      <c r="A35" t="s">
        <v>183</v>
      </c>
      <c r="B35">
        <f>B8</f>
        <v>7884</v>
      </c>
      <c r="C35">
        <f>'Source Data'!$B$27</f>
        <v>8000</v>
      </c>
    </row>
  </sheetData>
  <mergeCells count="1">
    <mergeCell ref="A2:E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defaultRowHeight="15" x14ac:dyDescent="0.25"/>
  <cols>
    <col min="1" max="1" width="84" customWidth="1"/>
    <col min="2" max="2" width="18" customWidth="1"/>
    <col min="3" max="3" width="12" customWidth="1"/>
  </cols>
  <sheetData>
    <row r="1" spans="1:3" x14ac:dyDescent="0.25">
      <c r="A1" s="6" t="s">
        <v>184</v>
      </c>
      <c r="B1" s="7"/>
      <c r="C1" s="7"/>
    </row>
    <row r="2" spans="1:3" ht="30" customHeight="1" x14ac:dyDescent="0.25">
      <c r="A2" s="2" t="s">
        <v>185</v>
      </c>
      <c r="B2" s="2" t="s">
        <v>69</v>
      </c>
      <c r="C2" s="2" t="s">
        <v>186</v>
      </c>
    </row>
    <row r="3" spans="1:3" x14ac:dyDescent="0.25">
      <c r="A3" s="3" t="s">
        <v>187</v>
      </c>
      <c r="B3">
        <f>Calcs!B22</f>
        <v>376.74722237704708</v>
      </c>
      <c r="C3" t="str">
        <f>IF(AND(B3&gt;=Calcs!B23,B3&lt;=Calcs!B24),"PASS","FAIL")</f>
        <v>PASS</v>
      </c>
    </row>
    <row r="4" spans="1:3" x14ac:dyDescent="0.25">
      <c r="A4" s="3" t="s">
        <v>188</v>
      </c>
      <c r="B4">
        <f>'Source Data'!$B$19</f>
        <v>0.5</v>
      </c>
      <c r="C4" t="str">
        <f>IF(AND(B4&gt;=0,B4&lt;=1),"PASS","FAIL")</f>
        <v>PASS</v>
      </c>
    </row>
    <row r="5" spans="1:3" x14ac:dyDescent="0.25">
      <c r="A5" s="3" t="s">
        <v>189</v>
      </c>
      <c r="B5">
        <f>Calcs!C30</f>
        <v>220.53533874514176</v>
      </c>
      <c r="C5" t="str">
        <f>IF(AND(B5&gt;=Calcs!B23,B5&lt;=Calcs!B24),"PASS","FAIL")</f>
        <v>PASS</v>
      </c>
    </row>
    <row r="6" spans="1:3" ht="30" x14ac:dyDescent="0.25">
      <c r="A6" s="3" t="s">
        <v>190</v>
      </c>
      <c r="B6">
        <f>'Source Data'!$B$9/'Source Data'!$B$8</f>
        <v>0.85293284906662092</v>
      </c>
      <c r="C6" t="str">
        <f>IF(B6&lt;1,"PASS","FAIL")</f>
        <v>PASS</v>
      </c>
    </row>
    <row r="7" spans="1:3" x14ac:dyDescent="0.25">
      <c r="A7" s="3" t="s">
        <v>191</v>
      </c>
      <c r="B7">
        <f>Calcs!B12/Calcs!B11</f>
        <v>0.75350342301658668</v>
      </c>
      <c r="C7" t="str">
        <f>IF(B7&lt;1,"PASS","FAIL")</f>
        <v>PASS</v>
      </c>
    </row>
    <row r="8" spans="1:3" x14ac:dyDescent="0.25">
      <c r="A8" s="3" t="s">
        <v>192</v>
      </c>
      <c r="B8">
        <f>Calcs!B4</f>
        <v>0.57360406091370564</v>
      </c>
      <c r="C8" t="str">
        <f>IF(AND(B8&gt;0,B8&lt;1),"PASS","FAIL")</f>
        <v>PASS</v>
      </c>
    </row>
    <row r="9" spans="1:3" x14ac:dyDescent="0.25">
      <c r="A9" s="3" t="s">
        <v>193</v>
      </c>
      <c r="B9">
        <f>Calcs!B8</f>
        <v>7884</v>
      </c>
      <c r="C9" t="str">
        <f>IF(AND(B9&lt;=8760,ABS(B9/'Source Data'!$B$27-1)&lt;0.05),"PASS","FAIL")</f>
        <v>PASS</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B2"/>
  <sheetViews>
    <sheetView workbookViewId="0"/>
  </sheetViews>
  <sheetFormatPr defaultRowHeight="15" x14ac:dyDescent="0.25"/>
  <cols>
    <col min="1" max="1" width="78" customWidth="1"/>
    <col min="2" max="2" width="22" customWidth="1"/>
  </cols>
  <sheetData>
    <row r="1" spans="1:2" x14ac:dyDescent="0.25">
      <c r="A1" t="s">
        <v>194</v>
      </c>
      <c r="B1" t="s">
        <v>195</v>
      </c>
    </row>
    <row r="2" spans="1:2" x14ac:dyDescent="0.25">
      <c r="A2" t="s">
        <v>196</v>
      </c>
      <c r="B2">
        <f>Calcs!B22</f>
        <v>376.74722237704708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Source Data</vt:lpstr>
      <vt:lpstr>Calcs</vt:lpstr>
      <vt:lpstr>Checks</vt:lpstr>
      <vt:lpstr>ECCpTSCA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2026-10-30T13:38:10Z</dcterms:created>
  <dcterms:modified xsi:type="dcterms:W3CDTF">2026-10-30T13:38:13Z</dcterms:modified>
</cp:coreProperties>
</file>