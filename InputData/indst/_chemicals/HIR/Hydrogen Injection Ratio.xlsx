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chemicals-module\InputData\indst\HIR\"/>
    </mc:Choice>
  </mc:AlternateContent>
  <xr:revisionPtr revIDLastSave="0" documentId="13_ncr:1_{D9807376-42C6-4334-8997-DB8AED80BAC5}" xr6:coauthVersionLast="47" xr6:coauthVersionMax="47" xr10:uidLastSave="{00000000-0000-0000-0000-000000000000}"/>
  <bookViews>
    <workbookView xWindow="390" yWindow="390" windowWidth="21600" windowHeight="12585" xr2:uid="{00000000-000D-0000-FFFF-FFFF00000000}"/>
  </bookViews>
  <sheets>
    <sheet name="About" sheetId="1" r:id="rId1"/>
    <sheet name="Source Data" sheetId="2" r:id="rId2"/>
    <sheet name="Calcs" sheetId="3" r:id="rId3"/>
    <sheet name="Checks" sheetId="4" r:id="rId4"/>
    <sheet name="HIR"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C6" i="4" s="1"/>
  <c r="C23" i="3"/>
  <c r="D23" i="3" s="1"/>
  <c r="C22" i="3"/>
  <c r="D22" i="3" s="1"/>
  <c r="C21" i="3"/>
  <c r="D21" i="3" s="1"/>
  <c r="C20" i="3"/>
  <c r="D20" i="3" s="1"/>
  <c r="C19" i="3"/>
  <c r="B16" i="3"/>
  <c r="B13" i="3"/>
  <c r="B23" i="3" s="1"/>
  <c r="E23" i="3" s="1"/>
  <c r="B12" i="3"/>
  <c r="B10" i="3"/>
  <c r="B8" i="3"/>
  <c r="B7" i="3"/>
  <c r="B6" i="3"/>
  <c r="B8" i="4" l="1"/>
  <c r="C8" i="4" s="1"/>
  <c r="D19" i="3"/>
  <c r="B22" i="3"/>
  <c r="E22" i="3" s="1"/>
  <c r="F22" i="3" s="1"/>
  <c r="B4" i="5" s="1"/>
  <c r="B5" i="4"/>
  <c r="C5" i="4" s="1"/>
  <c r="B4" i="4"/>
  <c r="C4" i="4" s="1"/>
  <c r="B9" i="3"/>
  <c r="B20" i="3" s="1"/>
  <c r="E20" i="3" s="1"/>
  <c r="F20" i="3" s="1"/>
  <c r="B11" i="3"/>
  <c r="B21" i="3" s="1"/>
  <c r="E21" i="3" s="1"/>
  <c r="F21" i="3" s="1"/>
  <c r="B3" i="4"/>
  <c r="C3" i="4" s="1"/>
  <c r="B19" i="3"/>
  <c r="E19" i="3" s="1"/>
  <c r="F23" i="3"/>
  <c r="F19" i="3" l="1"/>
  <c r="B3" i="5" s="1"/>
  <c r="B7" i="4"/>
  <c r="C7" i="4" s="1"/>
</calcChain>
</file>

<file path=xl/sharedStrings.xml><?xml version="1.0" encoding="utf-8"?>
<sst xmlns="http://schemas.openxmlformats.org/spreadsheetml/2006/main" count="164" uniqueCount="150">
  <si>
    <t>HIR Hydrogen Injection Ratio</t>
  </si>
  <si>
    <t>Sources:</t>
  </si>
  <si>
    <t>Fuel CO2 intensity and hydrogen heat content</t>
  </si>
  <si>
    <t>Hydrogen and CO2 per tonne of methanol (cross-check)</t>
  </si>
  <si>
    <t>Energy Policy Simulator input files (this repository)</t>
  </si>
  <si>
    <t>IRENA and Methanol Institute</t>
  </si>
  <si>
    <t>InputData/fuels/PEI/PEI-IFPEI.csv (CO2 row) and InputData/web-app/BCF/BCF-BpMMTH.csv</t>
  </si>
  <si>
    <t>Innovation Outlook: Renewable Methanol</t>
  </si>
  <si>
    <t>https://github.com/EnergyInnovation/eps-us</t>
  </si>
  <si>
    <t>https://www.irena.org/Publications/2021/Jan/Innovation-Outlook-Renewable-Methanol</t>
  </si>
  <si>
    <t>Pasted unchanged on the Source Data tab (rows 4-5 and 8). They are EPS model inputs, not external primary sources, so they will follow the model if those inputs are updated. BpMMTH is on a higher-heating-value basis. Not valid for lower-heating-value comparisons.</t>
  </si>
  <si>
    <t>E-methanol production-cost section: 1 tonne of methanol needs 0.188 t H2 and 1.373 t CO2. Used only to confirm the stoichiometry on the Calcs tab (row 13). Held on the Source Data tab (rows 19-20).</t>
  </si>
  <si>
    <t>Water-gas shift reaction and coal-ammonia CO2 intensity</t>
  </si>
  <si>
    <t>China coal-ammonia CO2 intensity (sensitivity only)</t>
  </si>
  <si>
    <t>International Energy Agency</t>
  </si>
  <si>
    <t>Oxford Institute for Energy Studies (Kevin Jianjun Tu)</t>
  </si>
  <si>
    <t>Ammonia Technology Roadmap: Towards more sustainable nitrogen fertiliser production</t>
  </si>
  <si>
    <t>Prospects of the Chinese coal chemical industry in an increasingly carbon-constrained world (OIES Paper CE13)</t>
  </si>
  <si>
    <t>https://www.iea.org/reports/ammonia-technology-roadmap</t>
  </si>
  <si>
    <t>https://www.oxfordenergy.org/</t>
  </si>
  <si>
    <t>Chapter 1 (Ammonia production today): description of the water-gas shift step, and the table of energy needs and direct CO2 intensity by route (coal gasification 3.2 t CO2 per tonne of ammonia; natural gas SMR 1.8). Held on the Source Data tab (row 17). Best-available-technology values, not fleet averages.</t>
  </si>
  <si>
    <t>Reports about 4.6 tCO2 per tonne of coal-based ammonia in China (about 2.2 times the natural gas route). Used only for the route B sensitivity row. URL is the publisher home page; locate the paper by title.</t>
  </si>
  <si>
    <t>CO2 hydrogenation to methanol</t>
  </si>
  <si>
    <t>Atomic weights</t>
  </si>
  <si>
    <t>BloombergNEF and Climate Technology Coalition</t>
  </si>
  <si>
    <t>IUPAC Commission on Isotopic Abundances and Atomic Weights</t>
  </si>
  <si>
    <t>Scaling Up Hydrogen: The Case for Low-Carbon Methanol (white paper)</t>
  </si>
  <si>
    <t>Standard atomic weights</t>
  </si>
  <si>
    <t>https://about.bnef.com/</t>
  </si>
  <si>
    <t>https://www.ciaaw.org/atomic-weights.htm</t>
  </si>
  <si>
    <t>Methanol routes figure: CO2 + 3 H2 -&gt; CH3OH + H2O (stoichiometry used on the Source Data tab, row 16). Reaction chemistry only; no cost or yield figure is used from this source.</t>
  </si>
  <si>
    <t>Hydrogen 1.00794, carbon 12.0107, nitrogen 14.0067, oxygen 15.9994 (conventional values). Used to turn mole ratios into tonne ratios.</t>
  </si>
  <si>
    <t>Notes:</t>
  </si>
  <si>
    <t>Purpose and layout</t>
  </si>
  <si>
    <t>HIR tells the model how much hydrogen to add for each unit of fossil feedstock that a hydrogen-injection policy makes unnecessary in the chemicals syngas-vent pool, for each industrial fuel (BTU of hydrogen per BTU of fossil feedstock avoided). The Source Data tab holds the EPS fuel CO2 intensities, the hydrogen heat content, and the chemistry constants. The Calcs tab does the arithmetic route by route; Checks tests it. Nothing is typed in by hand in the numbers that are exported. The HIR tab, last in the workbook, is exactly what is written to HIR.csv.</t>
  </si>
  <si>
    <t>Method in plain words</t>
  </si>
  <si>
    <t>First we work out how many tonnes of hydrogen are needed to avoid one tonne of CO2 for the chemistry involved (from the balanced reaction). Then we ask how much fossil feedstock that avoided CO2 represents: the carbon in a tonne of CO2 came from some amount of fuel, found from the fuel CO2 intensity already in the model (the PEI input). Dividing the BTU of hydrogen by the BTU of feedstock gives the ratio.</t>
  </si>
  <si>
    <t>Which value goes where</t>
  </si>
  <si>
    <t>The U.S. file uses the water-gas shift avoidance value for coal (about 0.583), the CO2 hydrogenation value for natural gas (about 0.981), and zero for every other fuel. In the U.S. the syngas-vent pool is natural gas methanol, so the natural gas value does the work and the coal value is carried along for completeness. A region whose chemicals feedstock includes ammonia made from coal (for example China) has a coal-dominant pool. It should (a) change the share file for the feedstock fuel to put most of the weight on hard coal, and (b) decide which coal route its policy represents: use route A (about 0.583) if hydrogen is only displacing the shift step, or route B (about 0.707 at the IEA best-available-technology intensity, and about 0.49 at the higher intensity typical of Chinese coal ammonia plants) if hydrogen replaces the gasifier outright. Both are shown on the Calcs tab.</t>
  </si>
  <si>
    <t>Scope limit</t>
  </si>
  <si>
    <t>These ratios are carbon-balance ratios that treat the avoided CO2 as coming entirely from the fossil feedstock named. They do not include the energy needed to make the hydrogen, and for route B the IEA CO2 intensity includes combustion CO2 as well as feedstock CO2, which pulls the ratio down slightly relative to a feedstock-only definition. Natural gas CO2 hydrogenation is a newer route than shift avoidance; its stoichiometry is exact but few plants run it today.</t>
  </si>
  <si>
    <t>Export format</t>
  </si>
  <si>
    <t>The HIR tab has one row for each industrial fuel in the order the model uses, with a Values heading, in the same layout as IFSR-chemicals.csv. CSV values computed in Python from the same formulas; recalc in Excel to verify.</t>
  </si>
  <si>
    <t>SOURCE DATA: values pasted as published or as held in the EPS input files. Nothing on this tab is calculated.</t>
  </si>
  <si>
    <t>CO2 emissions intensity of each industrial fuel (g CO2 per BTU). Pasted from the EPS input file InputData/fuels/PEI/PEI-IFPEI.csv (row CO2); column headings as in that file.</t>
  </si>
  <si>
    <t>Fuel (heading as in PEI-IFPEI.csv)</t>
  </si>
  <si>
    <t>electricity</t>
  </si>
  <si>
    <t>coal</t>
  </si>
  <si>
    <t>natural gas</t>
  </si>
  <si>
    <t>biomass</t>
  </si>
  <si>
    <t>petroleum diesel</t>
  </si>
  <si>
    <t>heat</t>
  </si>
  <si>
    <t>crude oil</t>
  </si>
  <si>
    <t>heavy or residual fuel oil</t>
  </si>
  <si>
    <t>LPG propane or butane</t>
  </si>
  <si>
    <t>hydrogen</t>
  </si>
  <si>
    <t>CO2 (g CO2 per BTU)</t>
  </si>
  <si>
    <t>Heat content of hydrogen: BTU per million metric tons (EPS input file InputData/web-app/BCF/BCF-BpMMTH.csv, BpMMTH). Higher heating value basis (141.9 MJ/kg).</t>
  </si>
  <si>
    <t>BTU per million metric tons of hydrogen</t>
  </si>
  <si>
    <t>Constant</t>
  </si>
  <si>
    <t>Value</t>
  </si>
  <si>
    <t>Unit</t>
  </si>
  <si>
    <t>Where it comes from</t>
  </si>
  <si>
    <t>Molar mass of hydrogen (H2)</t>
  </si>
  <si>
    <t>g/mol</t>
  </si>
  <si>
    <t>Standard atomic weight of hydrogen 1.00794 x 2 (IUPAC CIAAW, https://www.ciaaw.org/atomic-weights.htm)</t>
  </si>
  <si>
    <t>Molar mass of carbon dioxide (CO2)</t>
  </si>
  <si>
    <t>Carbon 12.0107 + 2 x oxygen 15.9994 (IUPAC CIAAW)</t>
  </si>
  <si>
    <t>Molar mass of ammonia (NH3)</t>
  </si>
  <si>
    <t>Nitrogen 14.0067 + 3 x hydrogen 1.00794 (IUPAC CIAAW)</t>
  </si>
  <si>
    <t>Moles of H2 per mole of CO2 avoided: water-gas shift avoidance</t>
  </si>
  <si>
    <t>mol/mol</t>
  </si>
  <si>
    <t>Water-gas shift: CO + H2O -&gt; CO2 + H2 (IEA Ammonia Technology Roadmap, Chapter 1, third step of reforming/gasification). Supplying the H2 directly means the shift reaction is not needed, so 1 mol of H2 replaces 1 mol of CO2 that would have been vented.</t>
  </si>
  <si>
    <t>Moles of H2 per mole of NH3 made</t>
  </si>
  <si>
    <t>Ammonia synthesis N2 + 3 H2 -&gt; 2 NH3, so 3 mol H2 per 2 mol NH3 (stoichiometry).</t>
  </si>
  <si>
    <t>Moles of H2 per mole of CO2 hydrogenated to methanol</t>
  </si>
  <si>
    <t>CO2 + 3 H2 -&gt; CH3OH + H2O (BloombergNEF Scaling Up Hydrogen: The Case for Low-Carbon Methanol, June 2024, methanol production routes figure).</t>
  </si>
  <si>
    <t>Direct CO2 intensity of coal-gasification ammonia (best available technology)</t>
  </si>
  <si>
    <t>t CO2 per t NH3</t>
  </si>
  <si>
    <t>IEA Ammonia Technology Roadmap (2021), Chapter 1, table "Energy needs to produce one tonne of ammonia for each route using BAT" (coal gasification, 3.2 t CO2/t; text: "3.2 t CO2 per tonne of ammonia produced by coal gasification").</t>
  </si>
  <si>
    <t>Direct CO2 intensity of coal-based ammonia in China (sensitivity only)</t>
  </si>
  <si>
    <t>Oxford Institute for Energy Studies, Prospects of the Chinese coal chemical industry in an increasingly carbon-constrained world (OIES Paper CE13, Feb 2024), section on coal chemical emissions: about 4.6 tCO2/t NH3.</t>
  </si>
  <si>
    <t>Hydrogen needed per tonne of methanol (cross-check)</t>
  </si>
  <si>
    <t>t H2 per t methanol</t>
  </si>
  <si>
    <t>IRENA and Methanol Institute (2021), Innovation Outlook: Renewable Methanol, e-methanol production costs section: 0.188 t H2 and 1.373 t CO2 per tonne of methanol.</t>
  </si>
  <si>
    <t>CO2 needed per tonne of methanol (cross-check)</t>
  </si>
  <si>
    <t>t CO2 per t methanol</t>
  </si>
  <si>
    <t>IRENA and Methanol Institute (2021), as above.</t>
  </si>
  <si>
    <t>Grams per metric ton</t>
  </si>
  <si>
    <t>g/t</t>
  </si>
  <si>
    <t>Unit conversion.</t>
  </si>
  <si>
    <t>BTU per million metric tons: scale to BTU per metric ton</t>
  </si>
  <si>
    <t>t per MMT</t>
  </si>
  <si>
    <t>Unit conversion (1 MMT = 1,000,000 metric tons).</t>
  </si>
  <si>
    <t>CALCULATIONS: how much hydrogen replaces one BTU of a fossil feedstock, route by route</t>
  </si>
  <si>
    <t>Question this tab answers: if hydrogen is injected so that a tonne of syngas-vent CO2 is avoided, how many BTU of hydrogen are needed per BTU of fossil feedstock that is no longer required? The fossil feedstock avoided is found from carbon balance: the avoided CO2 carries the carbon of that feedstock, so BTU of feedstock avoided = tonnes of CO2 avoided x 1,000,000 g/t divided by the fuel CO2 intensity (g CO2 per BTU) in the EPS PEI input. The column marked HIR is the answer; the others are shown for comparison.</t>
  </si>
  <si>
    <t>Step 1: tonnes of hydrogen needed per tonne of CO2 avoided, for each chemistry route</t>
  </si>
  <si>
    <t>Quantity</t>
  </si>
  <si>
    <t>Route A (coal): water-gas shift avoidance. t H2 per t CO2 avoided = (mol H2/mol CO2) x M(H2) / M(CO2)</t>
  </si>
  <si>
    <t>t H2 / t CO2</t>
  </si>
  <si>
    <t>Route B (coal): replace the whole gasifier for ammonia. t H2 per t NH3 = (mol H2/mol NH3) x M(H2) / M(NH3)</t>
  </si>
  <si>
    <t>t H2 / t NH3</t>
  </si>
  <si>
    <t>Route B: coal-ammonia direct CO2 per tonne of ammonia (IEA, best available technology)</t>
  </si>
  <si>
    <t>t CO2 / t NH3</t>
  </si>
  <si>
    <t>Route B: t H2 per t CO2 avoided</t>
  </si>
  <si>
    <t>Route B sensitivity: China coal-ammonia CO2 per tonne of ammonia (OIES)</t>
  </si>
  <si>
    <t>Route B sensitivity: t H2 per t CO2 avoided</t>
  </si>
  <si>
    <t>Route C (natural gas): CO2 hydrogenation to methanol. t H2 per t CO2 = (mol H2/mol CO2) x M(H2) / M(CO2)</t>
  </si>
  <si>
    <t>Route C cross-check: IRENA t H2 per t methanol / t CO2 per t methanol</t>
  </si>
  <si>
    <t>Step 2: convert to BTU of hydrogen per BTU of fossil feedstock avoided</t>
  </si>
  <si>
    <t>BTU of hydrogen per metric ton of hydrogen = BpMMTH / (t per MMT)</t>
  </si>
  <si>
    <t>BTU / t H2</t>
  </si>
  <si>
    <t>Route and feedstock fuel</t>
  </si>
  <si>
    <t>Tonnes of hydrogen per tonne of CO2 avoided
(from Step 1)</t>
  </si>
  <si>
    <t>CO2 intensity of the fuel
g CO2 per BTU (EPS PEI input)</t>
  </si>
  <si>
    <t>BTU of fuel avoided per tonne of CO2 avoided
= 1,000,000 / intensity</t>
  </si>
  <si>
    <t>BTU of hydrogen per tonne of CO2 avoided
= t H2 x BTU per t H2</t>
  </si>
  <si>
    <t>HIR: BTU OF HYDROGEN PER BTU OF FEEDSTOCK AVOIDED</t>
  </si>
  <si>
    <t>Use</t>
  </si>
  <si>
    <t>Route A: coal, water-gas shift avoidance</t>
  </si>
  <si>
    <t>EXPORTED for hard coal</t>
  </si>
  <si>
    <t>Route B: coal, replace the whole gasifier (IEA 3.2 t CO2/t NH3)</t>
  </si>
  <si>
    <t>Comparison: use in a region with coal-based ammonia</t>
  </si>
  <si>
    <t>Route B sensitivity: coal, China-type ammonia (4.6 t CO2/t NH3)</t>
  </si>
  <si>
    <t>Comparison only</t>
  </si>
  <si>
    <t>Route C: natural gas, CO2 hydrogenation to methanol</t>
  </si>
  <si>
    <t>EXPORTED for natural gas</t>
  </si>
  <si>
    <t>Route C with IRENA mass ratio</t>
  </si>
  <si>
    <t>Use of the three values. Hard coal value 0.583 (route A) applies where hydrogen is injected into a coal syngas stream to avoid water-gas shift CO2. Route B (about 0.707 at the IEA intensity) is the value a region with ammonia made from coal should use if the policy replaces the coal gasifier with hydrogen outright. The natural gas value (about 0.981, route C) applies to CO2 hydrogenation, because a natural gas methanol plant has hydrogen-rich syngas and no shift vent.</t>
  </si>
  <si>
    <t>CHECKS: live tests on the calculation (each row shows PASS or FAIL)</t>
  </si>
  <si>
    <t>What is tested</t>
  </si>
  <si>
    <t>Result</t>
  </si>
  <si>
    <t>Route A t H2 per t CO2 equals 0.0458 (1 mol H2 per mol CO2) within 0.5%</t>
  </si>
  <si>
    <t>Route B t H2 per t NH3 equals 0.1776 within 0.5%</t>
  </si>
  <si>
    <t>Route C stoichiometric and IRENA t H2 per t CO2 agree within 2%</t>
  </si>
  <si>
    <t>Hydrogen heat content equals 141.9 MJ/kg within 0.5% (BTU per MMT / 947.817 BTU per MJ / 1e9 kg per MMT / 1e6)</t>
  </si>
  <si>
    <t>All exported HIR values between 0 and 1.5</t>
  </si>
  <si>
    <t>PEI CO2 intensities for coal and natural gas are positive</t>
  </si>
  <si>
    <t>Note: the heat content check converts BTU to MJ at 947.817 BTU per MJ and 1,000,000,000 kg per million metric tons.</t>
  </si>
  <si>
    <t>Values</t>
  </si>
  <si>
    <t>electricity if</t>
  </si>
  <si>
    <t>hard coal if</t>
  </si>
  <si>
    <t>natural gas if</t>
  </si>
  <si>
    <t>biomass if</t>
  </si>
  <si>
    <t>petroleum diesel if</t>
  </si>
  <si>
    <t>heat if</t>
  </si>
  <si>
    <t>crude oil if</t>
  </si>
  <si>
    <t>heavy or residual fuel oil if</t>
  </si>
  <si>
    <t>LPG propane or butane if</t>
  </si>
  <si>
    <t>hydrogen 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</si>
</sst>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u/>
      <sz val="11"/>
      <color rgb="FF0563C1"/>
      <name val="Calibri"/>
    </font>
  </fonts>
  <fills count="6">
    <fill>
      <patternFill patternType="none"/>
    </fill>
    <fill>
      <patternFill patternType="gray125"/>
    </fill>
    <fill>
      <patternFill patternType="solid">
        <fgColor rgb="FF305496"/>
        <bgColor rgb="FF305496"/>
      </patternFill>
    </fill>
    <fill>
      <patternFill patternType="solid">
        <fgColor rgb="FFE2EFDA"/>
        <bgColor rgb="FFE2EFDA"/>
      </patternFill>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2" fillId="4"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0" fillId="2" borderId="0" xfId="0" applyFill="1"/>
    <xf numFmtId="0" fontId="0" fillId="3" borderId="0" xfId="0" applyFill="1"/>
    <xf numFmtId="0" fontId="2" fillId="5" borderId="0" xfId="0" applyFont="1" applyFill="1"/>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ea.org/reports/ammonia-technology-roadmap" TargetMode="External"/><Relationship Id="rId2" Type="http://schemas.openxmlformats.org/officeDocument/2006/relationships/hyperlink" Target="https://www.irena.org/Publications/2021/Jan/Innovation-Outlook-Renewable-Methanol" TargetMode="External"/><Relationship Id="rId1" Type="http://schemas.openxmlformats.org/officeDocument/2006/relationships/hyperlink" Target="https://github.com/EnergyInnovation/eps-us" TargetMode="External"/><Relationship Id="rId6" Type="http://schemas.openxmlformats.org/officeDocument/2006/relationships/hyperlink" Target="https://www.ciaaw.org/atomic-weights.htm" TargetMode="External"/><Relationship Id="rId5" Type="http://schemas.openxmlformats.org/officeDocument/2006/relationships/hyperlink" Target="https://about.bnef.com/" TargetMode="External"/><Relationship Id="rId4" Type="http://schemas.openxmlformats.org/officeDocument/2006/relationships/hyperlink" Target="https://www.oxfordenergy.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workbookViewId="0"/>
  </sheetViews>
  <sheetFormatPr defaultRowHeight="15" x14ac:dyDescent="0.25"/>
  <cols>
    <col min="1" max="1" width="16" customWidth="1"/>
    <col min="2" max="2" width="110" customWidth="1"/>
    <col min="3" max="3" width="3" customWidth="1"/>
    <col min="4" max="4" width="110" customWidth="1"/>
  </cols>
  <sheetData>
    <row r="1" spans="1:4" x14ac:dyDescent="0.25">
      <c r="A1" s="1" t="s">
        <v>0</v>
      </c>
    </row>
    <row r="3" spans="1:4" x14ac:dyDescent="0.25">
      <c r="A3" s="1" t="s">
        <v>1</v>
      </c>
      <c r="B3" s="2" t="s">
        <v>2</v>
      </c>
      <c r="D3" s="2" t="s">
        <v>3</v>
      </c>
    </row>
    <row r="4" spans="1:4" x14ac:dyDescent="0.25">
      <c r="B4" s="3" t="s">
        <v>4</v>
      </c>
      <c r="D4" s="3" t="s">
        <v>5</v>
      </c>
    </row>
    <row r="5" spans="1:4" x14ac:dyDescent="0.25">
      <c r="B5" s="3" t="s">
        <v>6</v>
      </c>
      <c r="D5" s="3" t="s">
        <v>7</v>
      </c>
    </row>
    <row r="6" spans="1:4" x14ac:dyDescent="0.25">
      <c r="B6" s="3">
        <v>2026</v>
      </c>
      <c r="D6" s="3">
        <v>2021</v>
      </c>
    </row>
    <row r="7" spans="1:4" x14ac:dyDescent="0.25">
      <c r="B7" s="4" t="s">
        <v>8</v>
      </c>
      <c r="D7" s="4" t="s">
        <v>9</v>
      </c>
    </row>
    <row r="8" spans="1:4" ht="30" customHeight="1" x14ac:dyDescent="0.25">
      <c r="B8" s="3" t="s">
        <v>10</v>
      </c>
      <c r="D8" s="3" t="s">
        <v>11</v>
      </c>
    </row>
    <row r="10" spans="1:4" x14ac:dyDescent="0.25">
      <c r="B10" s="2" t="s">
        <v>12</v>
      </c>
      <c r="D10" s="2" t="s">
        <v>13</v>
      </c>
    </row>
    <row r="11" spans="1:4" x14ac:dyDescent="0.25">
      <c r="B11" s="3" t="s">
        <v>14</v>
      </c>
      <c r="D11" s="3" t="s">
        <v>15</v>
      </c>
    </row>
    <row r="12" spans="1:4" x14ac:dyDescent="0.25">
      <c r="B12" s="3" t="s">
        <v>16</v>
      </c>
      <c r="D12" s="3" t="s">
        <v>17</v>
      </c>
    </row>
    <row r="13" spans="1:4" x14ac:dyDescent="0.25">
      <c r="B13" s="3">
        <v>2021</v>
      </c>
      <c r="D13" s="3">
        <v>2024</v>
      </c>
    </row>
    <row r="14" spans="1:4" x14ac:dyDescent="0.25">
      <c r="B14" s="4" t="s">
        <v>18</v>
      </c>
      <c r="D14" s="4" t="s">
        <v>19</v>
      </c>
    </row>
    <row r="15" spans="1:4" ht="30" customHeight="1" x14ac:dyDescent="0.25">
      <c r="B15" s="3" t="s">
        <v>20</v>
      </c>
      <c r="D15" s="3" t="s">
        <v>21</v>
      </c>
    </row>
    <row r="17" spans="1:4" x14ac:dyDescent="0.25">
      <c r="B17" s="2" t="s">
        <v>22</v>
      </c>
      <c r="D17" s="2" t="s">
        <v>23</v>
      </c>
    </row>
    <row r="18" spans="1:4" x14ac:dyDescent="0.25">
      <c r="B18" s="3" t="s">
        <v>24</v>
      </c>
      <c r="D18" s="3" t="s">
        <v>25</v>
      </c>
    </row>
    <row r="19" spans="1:4" x14ac:dyDescent="0.25">
      <c r="B19" s="3" t="s">
        <v>26</v>
      </c>
      <c r="D19" s="3" t="s">
        <v>27</v>
      </c>
    </row>
    <row r="20" spans="1:4" x14ac:dyDescent="0.25">
      <c r="B20" s="3">
        <v>2024</v>
      </c>
      <c r="D20" s="3">
        <v>2021</v>
      </c>
    </row>
    <row r="21" spans="1:4" x14ac:dyDescent="0.25">
      <c r="B21" s="4" t="s">
        <v>28</v>
      </c>
      <c r="D21" s="4" t="s">
        <v>29</v>
      </c>
    </row>
    <row r="22" spans="1:4" ht="30" customHeight="1" x14ac:dyDescent="0.25">
      <c r="B22" s="3" t="s">
        <v>30</v>
      </c>
      <c r="D22" s="3" t="s">
        <v>31</v>
      </c>
    </row>
    <row r="25" spans="1:4" x14ac:dyDescent="0.25">
      <c r="A25" s="1" t="s">
        <v>32</v>
      </c>
    </row>
    <row r="26" spans="1:4" ht="90" customHeight="1" x14ac:dyDescent="0.25">
      <c r="A26" s="5" t="s">
        <v>33</v>
      </c>
      <c r="B26" s="3" t="s">
        <v>34</v>
      </c>
    </row>
    <row r="27" spans="1:4" ht="60" customHeight="1" x14ac:dyDescent="0.25">
      <c r="A27" s="5" t="s">
        <v>35</v>
      </c>
      <c r="B27" s="3" t="s">
        <v>36</v>
      </c>
    </row>
    <row r="28" spans="1:4" ht="135" customHeight="1" x14ac:dyDescent="0.25">
      <c r="A28" s="5" t="s">
        <v>37</v>
      </c>
      <c r="B28" s="3" t="s">
        <v>38</v>
      </c>
    </row>
    <row r="29" spans="1:4" ht="75" customHeight="1" x14ac:dyDescent="0.25">
      <c r="A29" s="5" t="s">
        <v>39</v>
      </c>
      <c r="B29" s="3" t="s">
        <v>40</v>
      </c>
    </row>
    <row r="30" spans="1:4" ht="45" customHeight="1" x14ac:dyDescent="0.25">
      <c r="A30" s="5" t="s">
        <v>41</v>
      </c>
      <c r="B30" s="3" t="s">
        <v>42</v>
      </c>
    </row>
  </sheetData>
  <hyperlinks>
    <hyperlink ref="B7" r:id="rId1" xr:uid="{00000000-0004-0000-0000-000000000000}"/>
    <hyperlink ref="D7" r:id="rId2" xr:uid="{00000000-0004-0000-0000-000001000000}"/>
    <hyperlink ref="B14" r:id="rId3" xr:uid="{00000000-0004-0000-0000-000002000000}"/>
    <hyperlink ref="D14" r:id="rId4" xr:uid="{00000000-0004-0000-0000-000003000000}"/>
    <hyperlink ref="B21" r:id="rId5" xr:uid="{00000000-0004-0000-0000-000004000000}"/>
    <hyperlink ref="D21" r:id="rId6"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2"/>
  <sheetViews>
    <sheetView workbookViewId="0"/>
  </sheetViews>
  <sheetFormatPr defaultRowHeight="15" x14ac:dyDescent="0.25"/>
  <cols>
    <col min="1" max="1" width="62" customWidth="1"/>
    <col min="2" max="11" width="16" customWidth="1"/>
    <col min="12" max="12" width="70" customWidth="1"/>
  </cols>
  <sheetData>
    <row r="1" spans="1:12" x14ac:dyDescent="0.25">
      <c r="A1" s="6" t="s">
        <v>43</v>
      </c>
      <c r="B1" s="7"/>
      <c r="C1" s="7"/>
      <c r="D1" s="7"/>
      <c r="E1" s="7"/>
      <c r="F1" s="7"/>
      <c r="G1" s="7"/>
      <c r="H1" s="7"/>
      <c r="I1" s="7"/>
      <c r="J1" s="7"/>
      <c r="K1" s="7"/>
      <c r="L1" s="7"/>
    </row>
    <row r="3" spans="1:12" ht="30" customHeight="1" x14ac:dyDescent="0.25">
      <c r="A3" s="3" t="s">
        <v>44</v>
      </c>
    </row>
    <row r="4" spans="1:12" ht="45" customHeight="1" x14ac:dyDescent="0.25">
      <c r="A4" s="1" t="s">
        <v>45</v>
      </c>
      <c r="B4" s="5" t="s">
        <v>46</v>
      </c>
      <c r="C4" s="5" t="s">
        <v>47</v>
      </c>
      <c r="D4" s="5" t="s">
        <v>48</v>
      </c>
      <c r="E4" s="5" t="s">
        <v>49</v>
      </c>
      <c r="F4" s="5" t="s">
        <v>50</v>
      </c>
      <c r="G4" s="5" t="s">
        <v>51</v>
      </c>
      <c r="H4" s="5" t="s">
        <v>52</v>
      </c>
      <c r="I4" s="5" t="s">
        <v>53</v>
      </c>
      <c r="J4" s="5" t="s">
        <v>54</v>
      </c>
      <c r="K4" s="5" t="s">
        <v>55</v>
      </c>
    </row>
    <row r="5" spans="1:12" x14ac:dyDescent="0.25">
      <c r="A5" t="s">
        <v>56</v>
      </c>
      <c r="B5" s="8">
        <v>0</v>
      </c>
      <c r="C5" s="8">
        <v>9.4670000000000004E-2</v>
      </c>
      <c r="D5" s="8">
        <v>5.3060000000000003E-2</v>
      </c>
      <c r="E5" s="8">
        <v>0</v>
      </c>
      <c r="F5" s="8">
        <v>7.5039999999999996E-2</v>
      </c>
      <c r="G5" s="8">
        <v>0</v>
      </c>
      <c r="H5" s="8">
        <v>7.4539999999999995E-2</v>
      </c>
      <c r="I5" s="8">
        <v>7.51E-2</v>
      </c>
      <c r="J5" s="8">
        <v>6.1460000000000001E-2</v>
      </c>
      <c r="K5" s="8">
        <v>0</v>
      </c>
    </row>
    <row r="7" spans="1:12" ht="30" customHeight="1" x14ac:dyDescent="0.25">
      <c r="A7" s="3" t="s">
        <v>57</v>
      </c>
    </row>
    <row r="8" spans="1:12" x14ac:dyDescent="0.25">
      <c r="A8" t="s">
        <v>58</v>
      </c>
      <c r="B8" s="8">
        <v>134511000000000</v>
      </c>
    </row>
    <row r="10" spans="1:12" ht="30" customHeight="1" x14ac:dyDescent="0.25">
      <c r="A10" s="2" t="s">
        <v>59</v>
      </c>
      <c r="B10" s="2" t="s">
        <v>60</v>
      </c>
      <c r="C10" s="2" t="s">
        <v>61</v>
      </c>
      <c r="D10" s="2"/>
      <c r="E10" s="2"/>
      <c r="F10" s="2"/>
      <c r="G10" s="2"/>
      <c r="H10" s="2"/>
      <c r="I10" s="2"/>
      <c r="J10" s="2"/>
      <c r="K10" s="2"/>
      <c r="L10" s="2" t="s">
        <v>62</v>
      </c>
    </row>
    <row r="11" spans="1:12" ht="30" customHeight="1" x14ac:dyDescent="0.25">
      <c r="A11" t="s">
        <v>63</v>
      </c>
      <c r="B11" s="8">
        <v>2.0158800000000001</v>
      </c>
      <c r="C11" t="s">
        <v>64</v>
      </c>
      <c r="L11" s="3" t="s">
        <v>65</v>
      </c>
    </row>
    <row r="12" spans="1:12" ht="15" customHeight="1" x14ac:dyDescent="0.25">
      <c r="A12" t="s">
        <v>66</v>
      </c>
      <c r="B12" s="8">
        <v>44.009500000000003</v>
      </c>
      <c r="C12" t="s">
        <v>64</v>
      </c>
      <c r="L12" s="3" t="s">
        <v>67</v>
      </c>
    </row>
    <row r="13" spans="1:12" ht="15" customHeight="1" x14ac:dyDescent="0.25">
      <c r="A13" t="s">
        <v>68</v>
      </c>
      <c r="B13" s="8">
        <v>17.0305</v>
      </c>
      <c r="C13" t="s">
        <v>64</v>
      </c>
      <c r="L13" s="3" t="s">
        <v>69</v>
      </c>
    </row>
    <row r="14" spans="1:12" ht="60" customHeight="1" x14ac:dyDescent="0.25">
      <c r="A14" t="s">
        <v>70</v>
      </c>
      <c r="B14" s="8">
        <v>1</v>
      </c>
      <c r="C14" t="s">
        <v>71</v>
      </c>
      <c r="L14" s="3" t="s">
        <v>72</v>
      </c>
    </row>
    <row r="15" spans="1:12" ht="30" customHeight="1" x14ac:dyDescent="0.25">
      <c r="A15" t="s">
        <v>73</v>
      </c>
      <c r="B15" s="8">
        <v>1.5</v>
      </c>
      <c r="C15" t="s">
        <v>71</v>
      </c>
      <c r="L15" s="3" t="s">
        <v>74</v>
      </c>
    </row>
    <row r="16" spans="1:12" ht="30" customHeight="1" x14ac:dyDescent="0.25">
      <c r="A16" t="s">
        <v>75</v>
      </c>
      <c r="B16" s="8">
        <v>3</v>
      </c>
      <c r="C16" t="s">
        <v>71</v>
      </c>
      <c r="L16" s="3" t="s">
        <v>76</v>
      </c>
    </row>
    <row r="17" spans="1:12" ht="60" customHeight="1" x14ac:dyDescent="0.25">
      <c r="A17" t="s">
        <v>77</v>
      </c>
      <c r="B17" s="8">
        <v>3.2</v>
      </c>
      <c r="C17" t="s">
        <v>78</v>
      </c>
      <c r="L17" s="3" t="s">
        <v>79</v>
      </c>
    </row>
    <row r="18" spans="1:12" ht="45" customHeight="1" x14ac:dyDescent="0.25">
      <c r="A18" t="s">
        <v>80</v>
      </c>
      <c r="B18" s="8">
        <v>4.5999999999999996</v>
      </c>
      <c r="C18" t="s">
        <v>78</v>
      </c>
      <c r="L18" s="3" t="s">
        <v>81</v>
      </c>
    </row>
    <row r="19" spans="1:12" ht="45" customHeight="1" x14ac:dyDescent="0.25">
      <c r="A19" t="s">
        <v>82</v>
      </c>
      <c r="B19" s="8">
        <v>0.188</v>
      </c>
      <c r="C19" t="s">
        <v>83</v>
      </c>
      <c r="L19" s="3" t="s">
        <v>84</v>
      </c>
    </row>
    <row r="20" spans="1:12" ht="15" customHeight="1" x14ac:dyDescent="0.25">
      <c r="A20" t="s">
        <v>85</v>
      </c>
      <c r="B20" s="8">
        <v>1.373</v>
      </c>
      <c r="C20" t="s">
        <v>86</v>
      </c>
      <c r="L20" s="3" t="s">
        <v>87</v>
      </c>
    </row>
    <row r="21" spans="1:12" ht="15" customHeight="1" x14ac:dyDescent="0.25">
      <c r="A21" t="s">
        <v>88</v>
      </c>
      <c r="B21" s="8">
        <v>1000000</v>
      </c>
      <c r="C21" t="s">
        <v>89</v>
      </c>
      <c r="L21" s="3" t="s">
        <v>90</v>
      </c>
    </row>
    <row r="22" spans="1:12" ht="15" customHeight="1" x14ac:dyDescent="0.25">
      <c r="A22" t="s">
        <v>91</v>
      </c>
      <c r="B22" s="8">
        <v>1000000</v>
      </c>
      <c r="C22" t="s">
        <v>92</v>
      </c>
      <c r="L22" s="3" t="s">
        <v>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heetViews>
  <sheetFormatPr defaultRowHeight="15" x14ac:dyDescent="0.25"/>
  <cols>
    <col min="1" max="1" width="66" customWidth="1"/>
    <col min="2" max="5" width="18" customWidth="1"/>
    <col min="6" max="6" width="22" customWidth="1"/>
    <col min="7" max="7" width="26" customWidth="1"/>
  </cols>
  <sheetData>
    <row r="1" spans="1:7" x14ac:dyDescent="0.25">
      <c r="A1" s="6" t="s">
        <v>94</v>
      </c>
      <c r="B1" s="7"/>
      <c r="C1" s="7"/>
      <c r="D1" s="7"/>
      <c r="E1" s="7"/>
      <c r="F1" s="7"/>
      <c r="G1" s="7"/>
    </row>
    <row r="2" spans="1:7" ht="60" customHeight="1" x14ac:dyDescent="0.25">
      <c r="A2" s="10" t="s">
        <v>95</v>
      </c>
      <c r="B2" s="11"/>
      <c r="C2" s="11"/>
      <c r="D2" s="11"/>
      <c r="E2" s="11"/>
      <c r="F2" s="11"/>
      <c r="G2" s="11"/>
    </row>
    <row r="4" spans="1:7" x14ac:dyDescent="0.25">
      <c r="A4" s="6" t="s">
        <v>96</v>
      </c>
      <c r="B4" s="7"/>
      <c r="C4" s="7"/>
      <c r="D4" s="7"/>
      <c r="E4" s="7"/>
      <c r="F4" s="7"/>
      <c r="G4" s="7"/>
    </row>
    <row r="5" spans="1:7" ht="30" customHeight="1" x14ac:dyDescent="0.25">
      <c r="A5" s="2" t="s">
        <v>97</v>
      </c>
      <c r="B5" s="2" t="s">
        <v>60</v>
      </c>
      <c r="C5" s="2" t="s">
        <v>61</v>
      </c>
      <c r="D5" s="2"/>
      <c r="E5" s="2"/>
      <c r="F5" s="2"/>
      <c r="G5" s="2"/>
    </row>
    <row r="6" spans="1:7" x14ac:dyDescent="0.25">
      <c r="A6" t="s">
        <v>98</v>
      </c>
      <c r="B6">
        <f>'Source Data'!$B$14*'Source Data'!$B$11/'Source Data'!$B$12</f>
        <v>4.5805564707619949E-2</v>
      </c>
      <c r="C6" t="s">
        <v>99</v>
      </c>
    </row>
    <row r="7" spans="1:7" x14ac:dyDescent="0.25">
      <c r="A7" t="s">
        <v>100</v>
      </c>
      <c r="B7">
        <f>'Source Data'!$B$15*'Source Data'!$B$11/'Source Data'!$B$13</f>
        <v>0.17755321335251462</v>
      </c>
      <c r="C7" t="s">
        <v>101</v>
      </c>
    </row>
    <row r="8" spans="1:7" x14ac:dyDescent="0.25">
      <c r="A8" t="s">
        <v>102</v>
      </c>
      <c r="B8">
        <f>'Source Data'!$B$17</f>
        <v>3.2</v>
      </c>
      <c r="C8" t="s">
        <v>103</v>
      </c>
    </row>
    <row r="9" spans="1:7" x14ac:dyDescent="0.25">
      <c r="A9" t="s">
        <v>104</v>
      </c>
      <c r="B9">
        <f>B7/B8</f>
        <v>5.5485379172660818E-2</v>
      </c>
      <c r="C9" t="s">
        <v>99</v>
      </c>
    </row>
    <row r="10" spans="1:7" x14ac:dyDescent="0.25">
      <c r="A10" t="s">
        <v>105</v>
      </c>
      <c r="B10">
        <f>'Source Data'!$B$18</f>
        <v>4.5999999999999996</v>
      </c>
      <c r="C10" t="s">
        <v>103</v>
      </c>
    </row>
    <row r="11" spans="1:7" x14ac:dyDescent="0.25">
      <c r="A11" t="s">
        <v>106</v>
      </c>
      <c r="B11">
        <f>B7/B10</f>
        <v>3.8598524641851005E-2</v>
      </c>
      <c r="C11" t="s">
        <v>99</v>
      </c>
    </row>
    <row r="12" spans="1:7" x14ac:dyDescent="0.25">
      <c r="A12" t="s">
        <v>107</v>
      </c>
      <c r="B12">
        <f>'Source Data'!$B$16*'Source Data'!$B$11/'Source Data'!$B$12</f>
        <v>0.13741669412285984</v>
      </c>
      <c r="C12" t="s">
        <v>99</v>
      </c>
    </row>
    <row r="13" spans="1:7" x14ac:dyDescent="0.25">
      <c r="A13" t="s">
        <v>108</v>
      </c>
      <c r="B13">
        <f>'Source Data'!$B$19/'Source Data'!$B$20</f>
        <v>0.13692643845593591</v>
      </c>
      <c r="C13" t="s">
        <v>99</v>
      </c>
    </row>
    <row r="15" spans="1:7" x14ac:dyDescent="0.25">
      <c r="A15" s="6" t="s">
        <v>109</v>
      </c>
      <c r="B15" s="7"/>
      <c r="C15" s="7"/>
      <c r="D15" s="7"/>
      <c r="E15" s="7"/>
      <c r="F15" s="7"/>
      <c r="G15" s="7"/>
    </row>
    <row r="16" spans="1:7" x14ac:dyDescent="0.25">
      <c r="A16" t="s">
        <v>110</v>
      </c>
      <c r="B16">
        <f>'Source Data'!$B$8/'Source Data'!$B$22</f>
        <v>134511000</v>
      </c>
      <c r="C16" t="s">
        <v>111</v>
      </c>
    </row>
    <row r="18" spans="1:7" ht="90" customHeight="1" x14ac:dyDescent="0.25">
      <c r="A18" s="2" t="s">
        <v>112</v>
      </c>
      <c r="B18" s="2" t="s">
        <v>113</v>
      </c>
      <c r="C18" s="2" t="s">
        <v>114</v>
      </c>
      <c r="D18" s="2" t="s">
        <v>115</v>
      </c>
      <c r="E18" s="2" t="s">
        <v>116</v>
      </c>
      <c r="F18" s="2" t="s">
        <v>117</v>
      </c>
      <c r="G18" s="2" t="s">
        <v>118</v>
      </c>
    </row>
    <row r="19" spans="1:7" x14ac:dyDescent="0.25">
      <c r="A19" t="s">
        <v>119</v>
      </c>
      <c r="B19">
        <f>B6</f>
        <v>4.5805564707619949E-2</v>
      </c>
      <c r="C19">
        <f>INDEX('Source Data'!$B$5:$K$5,MATCH("coal",'Source Data'!$B$4:$K$4,0))</f>
        <v>9.4670000000000004E-2</v>
      </c>
      <c r="D19">
        <f>'Source Data'!$B$21/C19</f>
        <v>10563008.344776591</v>
      </c>
      <c r="E19">
        <f>B19*$B$16</f>
        <v>6161352.3143866668</v>
      </c>
      <c r="F19" s="9">
        <f>E19/D19</f>
        <v>0.5832952236029858</v>
      </c>
      <c r="G19" s="3" t="s">
        <v>120</v>
      </c>
    </row>
    <row r="20" spans="1:7" ht="30" x14ac:dyDescent="0.25">
      <c r="A20" t="s">
        <v>121</v>
      </c>
      <c r="B20">
        <f>B9</f>
        <v>5.5485379172660818E-2</v>
      </c>
      <c r="C20">
        <f>INDEX('Source Data'!$B$5:$K$5,MATCH("coal",'Source Data'!$B$4:$K$4,0))</f>
        <v>9.4670000000000004E-2</v>
      </c>
      <c r="D20">
        <f>'Source Data'!$B$21/C20</f>
        <v>10563008.344776591</v>
      </c>
      <c r="E20">
        <f>B20*$B$16</f>
        <v>7463393.8378937794</v>
      </c>
      <c r="F20" s="9">
        <f>E20/D20</f>
        <v>0.70655949463340417</v>
      </c>
      <c r="G20" s="3" t="s">
        <v>122</v>
      </c>
    </row>
    <row r="21" spans="1:7" x14ac:dyDescent="0.25">
      <c r="A21" t="s">
        <v>123</v>
      </c>
      <c r="B21">
        <f>B11</f>
        <v>3.8598524641851005E-2</v>
      </c>
      <c r="C21">
        <f>INDEX('Source Data'!$B$5:$K$5,MATCH("coal",'Source Data'!$B$4:$K$4,0))</f>
        <v>9.4670000000000004E-2</v>
      </c>
      <c r="D21">
        <f>'Source Data'!$B$21/C21</f>
        <v>10563008.344776591</v>
      </c>
      <c r="E21">
        <f>B21*$B$16</f>
        <v>5191926.1481000204</v>
      </c>
      <c r="F21" s="9">
        <f>E21/D21</f>
        <v>0.49151964844062895</v>
      </c>
      <c r="G21" s="3" t="s">
        <v>124</v>
      </c>
    </row>
    <row r="22" spans="1:7" x14ac:dyDescent="0.25">
      <c r="A22" t="s">
        <v>125</v>
      </c>
      <c r="B22">
        <f>B12</f>
        <v>0.13741669412285984</v>
      </c>
      <c r="C22">
        <f>INDEX('Source Data'!$B$5:$K$5,MATCH("natural gas",'Source Data'!$B$4:$K$4,0))</f>
        <v>5.3060000000000003E-2</v>
      </c>
      <c r="D22">
        <f>'Source Data'!$B$21/C22</f>
        <v>18846588.767433092</v>
      </c>
      <c r="E22">
        <f>B22*$B$16</f>
        <v>18484056.943160001</v>
      </c>
      <c r="F22" s="9">
        <f>E22/D22</f>
        <v>0.9807640614040698</v>
      </c>
      <c r="G22" s="3" t="s">
        <v>126</v>
      </c>
    </row>
    <row r="23" spans="1:7" x14ac:dyDescent="0.25">
      <c r="A23" t="s">
        <v>127</v>
      </c>
      <c r="B23">
        <f>B13</f>
        <v>0.13692643845593591</v>
      </c>
      <c r="C23">
        <f>INDEX('Source Data'!$B$5:$K$5,MATCH("natural gas",'Source Data'!$B$4:$K$4,0))</f>
        <v>5.3060000000000003E-2</v>
      </c>
      <c r="D23">
        <f>'Source Data'!$B$21/C23</f>
        <v>18846588.767433092</v>
      </c>
      <c r="E23">
        <f>B23*$B$16</f>
        <v>18418112.163146395</v>
      </c>
      <c r="F23" s="9">
        <f>E23/D23</f>
        <v>0.97726503137654785</v>
      </c>
      <c r="G23" s="3" t="s">
        <v>124</v>
      </c>
    </row>
    <row r="25" spans="1:7" ht="60" customHeight="1" x14ac:dyDescent="0.25">
      <c r="A25" s="10" t="s">
        <v>128</v>
      </c>
      <c r="B25" s="11"/>
      <c r="C25" s="11"/>
      <c r="D25" s="11"/>
      <c r="E25" s="11"/>
      <c r="F25" s="11"/>
      <c r="G25" s="11"/>
    </row>
  </sheetData>
  <mergeCells count="2">
    <mergeCell ref="A2:G2"/>
    <mergeCell ref="A25:G2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sheetViews>
  <sheetFormatPr defaultRowHeight="15" x14ac:dyDescent="0.25"/>
  <cols>
    <col min="1" max="1" width="80" customWidth="1"/>
    <col min="2" max="2" width="18" customWidth="1"/>
    <col min="3" max="3" width="14" customWidth="1"/>
  </cols>
  <sheetData>
    <row r="1" spans="1:3" x14ac:dyDescent="0.25">
      <c r="A1" s="6" t="s">
        <v>129</v>
      </c>
      <c r="B1" s="7"/>
      <c r="C1" s="7"/>
    </row>
    <row r="2" spans="1:3" ht="30" customHeight="1" x14ac:dyDescent="0.25">
      <c r="A2" s="2" t="s">
        <v>130</v>
      </c>
      <c r="B2" s="2" t="s">
        <v>60</v>
      </c>
      <c r="C2" s="2" t="s">
        <v>131</v>
      </c>
    </row>
    <row r="3" spans="1:3" x14ac:dyDescent="0.25">
      <c r="A3" s="3" t="s">
        <v>132</v>
      </c>
      <c r="B3">
        <f>Calcs!B6/0.0458-1</f>
        <v>1.2150016637435535E-4</v>
      </c>
      <c r="C3" t="str">
        <f>IF(ABS(B3)&lt;0.005,"PASS","FAIL")</f>
        <v>PASS</v>
      </c>
    </row>
    <row r="4" spans="1:3" x14ac:dyDescent="0.25">
      <c r="A4" s="3" t="s">
        <v>133</v>
      </c>
      <c r="B4">
        <f>Calcs!B7/0.1776-1</f>
        <v>-2.6343833043573905E-4</v>
      </c>
      <c r="C4" t="str">
        <f>IF(ABS(B4)&lt;0.005,"PASS","FAIL")</f>
        <v>PASS</v>
      </c>
    </row>
    <row r="5" spans="1:3" x14ac:dyDescent="0.25">
      <c r="A5" s="3" t="s">
        <v>134</v>
      </c>
      <c r="B5">
        <f>Calcs!B12/Calcs!B13-1</f>
        <v>3.5804310142901752E-3</v>
      </c>
      <c r="C5" t="str">
        <f>IF(ABS(B5)&lt;0.02,"PASS","FAIL")</f>
        <v>PASS</v>
      </c>
    </row>
    <row r="6" spans="1:3" ht="30" x14ac:dyDescent="0.25">
      <c r="A6" s="3" t="s">
        <v>135</v>
      </c>
      <c r="B6">
        <f>'Source Data'!$B$8/947.817/1000000000/141.9-1</f>
        <v>1.1723612599756628E-4</v>
      </c>
      <c r="C6" t="str">
        <f>IF(ABS(B6)&lt;0.005,"PASS","FAIL")</f>
        <v>PASS</v>
      </c>
    </row>
    <row r="7" spans="1:3" x14ac:dyDescent="0.25">
      <c r="A7" s="3" t="s">
        <v>136</v>
      </c>
      <c r="B7">
        <f>MAX(Calcs!F19,Calcs!F22)</f>
        <v>0.9807640614040698</v>
      </c>
      <c r="C7" t="str">
        <f>IF(AND(B7&gt;0,B7&lt;1.5,MIN(Calcs!F19,Calcs!F22)&gt;0),"PASS","FAIL")</f>
        <v>PASS</v>
      </c>
    </row>
    <row r="8" spans="1:3" x14ac:dyDescent="0.25">
      <c r="A8" s="3" t="s">
        <v>137</v>
      </c>
      <c r="B8">
        <f>MIN(Calcs!C19,Calcs!C22)</f>
        <v>5.3060000000000003E-2</v>
      </c>
      <c r="C8" t="str">
        <f>IF(B8&gt;0,"PASS","FAIL")</f>
        <v>PASS</v>
      </c>
    </row>
    <row r="10" spans="1:3" ht="30" x14ac:dyDescent="0.25">
      <c r="A10" s="3" t="s">
        <v>138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11"/>
  <sheetViews>
    <sheetView workbookViewId="0"/>
  </sheetViews>
  <sheetFormatPr defaultRowHeight="15" x14ac:dyDescent="0.25"/>
  <cols>
    <col min="1" max="1" width="34" customWidth="1"/>
    <col min="2" max="2" width="16" customWidth="1"/>
  </cols>
  <sheetData>
    <row r="1" spans="1:2" x14ac:dyDescent="0.25">
      <c r="B1" t="s">
        <v>139</v>
      </c>
    </row>
    <row r="2" spans="1:2" x14ac:dyDescent="0.25">
      <c r="A2" t="s">
        <v>140</v>
      </c>
      <c r="B2">
        <v>0</v>
      </c>
    </row>
    <row r="3" spans="1:2" x14ac:dyDescent="0.25">
      <c r="A3" t="s">
        <v>141</v>
      </c>
      <c r="B3">
        <f>Calcs!F19</f>
        <v>0.5832952236029858</v>
      </c>
    </row>
    <row r="4" spans="1:2" x14ac:dyDescent="0.25">
      <c r="A4" t="s">
        <v>142</v>
      </c>
      <c r="B4">
        <f>Calcs!F22</f>
        <v>0.9807640614040698</v>
      </c>
    </row>
    <row r="5" spans="1:2" x14ac:dyDescent="0.25">
      <c r="A5" t="s">
        <v>143</v>
      </c>
      <c r="B5">
        <v>0</v>
      </c>
    </row>
    <row r="6" spans="1:2" x14ac:dyDescent="0.25">
      <c r="A6" t="s">
        <v>144</v>
      </c>
      <c r="B6">
        <v>0</v>
      </c>
    </row>
    <row r="7" spans="1:2" x14ac:dyDescent="0.25">
      <c r="A7" t="s">
        <v>145</v>
      </c>
      <c r="B7">
        <v>0</v>
      </c>
    </row>
    <row r="8" spans="1:2" x14ac:dyDescent="0.25">
      <c r="A8" t="s">
        <v>146</v>
      </c>
      <c r="B8">
        <v>0</v>
      </c>
    </row>
    <row r="9" spans="1:2" x14ac:dyDescent="0.25">
      <c r="A9" t="s">
        <v>147</v>
      </c>
      <c r="B9">
        <v>0</v>
      </c>
    </row>
    <row r="10" spans="1:2" x14ac:dyDescent="0.25">
      <c r="A10" t="s">
        <v>148</v>
      </c>
      <c r="B10">
        <v>0</v>
      </c>
    </row>
    <row r="11" spans="1:2" x14ac:dyDescent="0.25">
      <c r="A11" t="s">
        <v>149</v>
      </c>
      <c r="B1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Source Data</vt:lpstr>
      <vt:lpstr>Calcs</vt:lpstr>
      <vt:lpstr>Checks</vt:lpstr>
      <vt:lpstr>HIR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2026-10-29T13:42:02Z</dcterms:created>
  <dcterms:modified xsi:type="dcterms:W3CDTF">2026-10-29T13:42:23Z</dcterms:modified>
</cp:coreProperties>
</file>