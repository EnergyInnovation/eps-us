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DanOBrien\Models\EPS\US\eps-us\.claude\worktrees\chemicals-module\InputData\indst\_chemicals\EEpTSCA\"/>
    </mc:Choice>
  </mc:AlternateContent>
  <xr:revisionPtr revIDLastSave="0" documentId="13_ncr:1_{C3C59610-BC37-4C05-9BF3-1696B69141C0}" xr6:coauthVersionLast="47" xr6:coauthVersionMax="47" xr10:uidLastSave="{00000000-0000-0000-0000-000000000000}"/>
  <bookViews>
    <workbookView xWindow="28680" yWindow="-120" windowWidth="29040" windowHeight="17520" xr2:uid="{00000000-000D-0000-FFFF-FFFF00000000}"/>
  </bookViews>
  <sheets>
    <sheet name="About" sheetId="1" r:id="rId1"/>
    <sheet name="Source Data" sheetId="2" r:id="rId2"/>
    <sheet name="Calcs" sheetId="3" r:id="rId3"/>
    <sheet name="Checks" sheetId="4" r:id="rId4"/>
    <sheet name="EEpTSC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 l="1"/>
  <c r="C3" i="4" s="1"/>
  <c r="B36" i="3"/>
  <c r="B34" i="3"/>
  <c r="B33" i="3"/>
  <c r="B35" i="3" s="1"/>
  <c r="C28" i="3"/>
  <c r="B28" i="3"/>
  <c r="C27" i="3"/>
  <c r="B27" i="3"/>
  <c r="B21" i="3"/>
  <c r="B22" i="3" s="1"/>
  <c r="C18" i="3"/>
  <c r="B18" i="3"/>
  <c r="B16" i="3"/>
  <c r="B14" i="3"/>
  <c r="B10" i="3"/>
  <c r="D5" i="3"/>
  <c r="D6" i="3" s="1"/>
  <c r="D7" i="3" s="1"/>
  <c r="D8" i="3" s="1"/>
  <c r="D9" i="3" s="1"/>
  <c r="C5" i="3"/>
  <c r="C6" i="3" s="1"/>
  <c r="C7" i="3" s="1"/>
  <c r="C8" i="3" s="1"/>
  <c r="C9" i="3" s="1"/>
  <c r="B5" i="3"/>
  <c r="B6" i="3" s="1"/>
  <c r="B15" i="3" l="1"/>
  <c r="B17" i="3" s="1"/>
  <c r="B5" i="4" s="1"/>
  <c r="C5" i="4" s="1"/>
  <c r="D10" i="3"/>
  <c r="D11" i="3" s="1"/>
  <c r="C10" i="3"/>
  <c r="C11" i="3" s="1"/>
  <c r="B6" i="4"/>
  <c r="C6" i="4" s="1"/>
  <c r="B7" i="3"/>
  <c r="B8" i="3" s="1"/>
  <c r="B9" i="3" s="1"/>
  <c r="B11" i="3" s="1"/>
  <c r="D27" i="3"/>
  <c r="D28" i="3"/>
  <c r="D29" i="3"/>
  <c r="B4" i="4" l="1"/>
  <c r="C4" i="4" s="1"/>
  <c r="B7" i="4"/>
  <c r="C7" i="4" s="1"/>
  <c r="B9" i="4"/>
  <c r="C9" i="4" s="1"/>
  <c r="B2" i="5"/>
  <c r="B23" i="3"/>
  <c r="B8" i="4" s="1"/>
  <c r="C8" i="4" s="1"/>
  <c r="B37" i="3"/>
  <c r="B10" i="4" s="1"/>
  <c r="C10" i="4" s="1"/>
  <c r="B30" i="3"/>
</calcChain>
</file>

<file path=xl/sharedStrings.xml><?xml version="1.0" encoding="utf-8"?>
<sst xmlns="http://schemas.openxmlformats.org/spreadsheetml/2006/main" count="239" uniqueCount="210">
  <si>
    <t>EEpTSCA Electricity per Ton of Stack CO2 Abated</t>
  </si>
  <si>
    <t>Sources:</t>
  </si>
  <si>
    <t>US petrochemical and ammonia process CO2 (2023)</t>
  </si>
  <si>
    <t>Independent inventory of an electrified cracker (naphtha)</t>
  </si>
  <si>
    <t>U.S. Environmental Protection Agency</t>
  </si>
  <si>
    <t>Layritz, Dolganova, Finkbeiner, Luderer, Penteado, Ueckerdt and Repke (PIK / TU Berlin)</t>
  </si>
  <si>
    <t>Inventory of U.S. Greenhouse Gas Emissions and Sinks: 1990-2023 (EPA 430-R-25-003), Chapter 4 Industrial Processes and Product Use: Petrochemical Production (Tables 4-55 to 4-57) and Ammonia Production (Tables 4-23 and 4-24)</t>
  </si>
  <si>
    <t>The potential of direct steam cracker electrification and carbon capture &amp; utilization via oxidative coupling of methane as decarbonization strategies for ethylene production, Applied Energy 296:117049 (preprint)</t>
  </si>
  <si>
    <t>https://www.epa.gov/ghgemissions/inventory-us-greenhouse-gas-emissions-and-sinks</t>
  </si>
  <si>
    <t>https://publications.pik-potsdam.de/pubman/item/item_25669_4/component/file_25682/25669_preprint.pdf</t>
  </si>
  <si>
    <t>Tables 4-55/4-56 give 2023 petrochemical CO2 by product in MMT CO2 Eq. and kt (total 30,540 kt: carbon black 2,550; ethylene 22,600; ethylene dichloride 460; ethylene oxide 1,730; methanol 2,130; acrylonitrile 1,070). Table 4-57 gives production (ethylene 2023: 39,400 kt). The ethylene figure is the CO2 from burning ethylene process off-gas (the GHGRP optional combustion method), so it excludes CO2 from any natural gas make-up fuel. Ammonia (Table 4-24): 12,211 kt CO2 in 2023, net of CO2 recovered for urea. Held verbatim on the Source Data tab. Do not use these as a facility-level or non-US figure.</t>
  </si>
  <si>
    <t>Preprint read 2026-10-29 (the published version may differ). Appendix A.2 (conventional naphtha cracker, flows from Zimmermann and Walzl): furnace heat 6.78 MWh per tonne of ethylene supplied by 0.488 t of methane-rich fuel gas, with an emission factor of 2.6 t CO2 per t fuel (Appendix A.5), so 1.27 t CO2 per tonne of ethylene from the furnace. Appendix A.3 (electrified cracker): furnace electricity 6.78 MWh per tonne of ethylene, footnote 3: demand and furnace efficiency assumed identical to the conventional process. Section 3.2.1 states the same assumption: added electricity equals the lower heating value of the off-gas the furnace burned. Used as an independent check (Calcs rows 21-23) and as the equal-efficiency sensitivity case.</t>
  </si>
  <si>
    <t>Steam cracker energy use and its split by section (primary source)</t>
  </si>
  <si>
    <t>US ethane-cracker techno-economics with an electrically heated cracker case</t>
  </si>
  <si>
    <t>Ren, Patel and Blok (Utrecht University)</t>
  </si>
  <si>
    <t>Shin, Lin, Lai, Ibrahim and Zang (MIT Energy Initiative)</t>
  </si>
  <si>
    <t>Olefins from conventional and heavy feedstocks: Energy use in steam cracking and alternative processes, Energy 31(4):425-451</t>
  </si>
  <si>
    <t>Decarbonization approaches for ethylene production: comparative techno-economic and life-cycle analysis, Green Chemistry 27:3655-3675 (open access, CC-BY-NC) and its Electronic Supplementary Information</t>
  </si>
  <si>
    <t>https://dspace.library.uu.nl/handle/1874/21674</t>
  </si>
  <si>
    <t>https://doi.org/10.1039/d4gc04538f</t>
  </si>
  <si>
    <t>Open-access PDF read 2026-10-29. Table 2 (p.433): ethane steam cracking 17-21 GJ per tonne of ethylene (typical; 15-25 maximum), naphtha 26-31; CO2 1.0-1.2 t per tonne ethylene for ethane. Footnote a: the figure is process energy in pyrolysis and separation; all figures are primary energy, with electricity (about 1 GJ/t) and steam converted at 40% and 85%. Table 3 (p.435): one ethane column gives pyrolysis 65%, fractionation and compression 15%, separation 20%; a second ethane column gives heat of reaction 23%, steam, heating and losses 24%, compression 22%, separation 31%. The 65% share is used centrally because it reproduces the inventory stack CO2 per tonne (Calcs row 17); the second split is noted as a caution.</t>
  </si>
  <si>
    <t>Paper and ESI read 2026-10-30 (PDFs supplied by Dan; the site refuses automated download). Aspen Plus models of a 1 million t/yr U.S. ethane cracker in four cases. Table 5 (p.3663): Baseline imports no electricity, burns 5,920 kg/h natural gas plus purge gas (combustion energy 1,173,780 MJ/h, on-site 50,505 kg CO2e/h); the Electrical heating case imports 353 MW, burns nothing, and exports 7,448 kg/h hydrogen and 13,659 kg/h other gas; ethylene 114,335 kg/h in all cases. Section 2.2.2 (p.3659): 100% efficiency assumed for the electrically heated cracker. ESI Tables S6 and S8: the cracker unit is the same $370,332,924 installed in the Baseline and Electrical heating cases (no capital premium for electric heating; scaling exponent 0.67); total plant cost $626,044,269 (Baseline) and $533,973,722 (Electrical heating, no boiler or turbine). ESI Table S10: reference year 2019, operating capacity factor 90%, design capacity 1.00 million t/yr. Table 1 (p.3658): combustion energy 17.2 GJ per tonne of ethylene, consistent with Ren et al.</t>
  </si>
  <si>
    <t>Steam cracker energy use and plant capital cost</t>
  </si>
  <si>
    <t>Demonstration furnace scale (context)</t>
  </si>
  <si>
    <t>Idaho National Laboratory (Hu, Ding, Knighton, Wendt and Boardman)</t>
  </si>
  <si>
    <t>BASF, SABIC and Linde</t>
  </si>
  <si>
    <t>Technoeconomic Analysis on an Electrochemical Nonoxidative Deprotonation Process for Ethylene Production from Ethane (INL/EXT-19-56936)</t>
  </si>
  <si>
    <t>Press release P-24-177: BASF, SABIC and Linde inaugurate the world's first large-scale electrically heated steam cracking furnace</t>
  </si>
  <si>
    <t>https://inldigitallibrary.inl.gov/sites/sti/sti/Sort_21795.pdf</t>
  </si>
  <si>
    <t>https://www.basf.com/global/en/media/news-releases/2024/04/p-24-177</t>
  </si>
  <si>
    <t>Section 1.2 (p.iii) quotes 17-21 GJ of process energy per tonne of ethylene for ethane steam cracking, 65% of it in high-temperature pyrolysis (both from Ren et al. 2006), and 1-1.6 t CO2 per tonne of ethylene from external heating (Gartner et al. 2013). Table 5 (p.12): simulated fired duty, feedstock preheater 7.376 plus cracker 7.355 MMBtu per tonne ethylene (its full energy table sums to 37.5 MMBtu/t because it also counts cooling and refrigeration duties). Table 14 (p.28): steam cracker total capital investment $1,110 million for 830,132 t/yr ethylene, from PetroChemical Update 2018 cost data for the US Gulf Coast (treated here as 2018 dollars; the report states no cost year for this table). Table 15 (p.29): Lang factor 3.282 (Wain 2014). Table 27 (p.62): on-stream factor 91%, 8,000 operating hours per year (stated for the LDPE unit of the same complex; the cracking energy balance in Table 8 uses 8,760). All values read in the report text (2026-10-29). Not an electric-furnace cost.</t>
  </si>
  <si>
    <t>Two demonstration furnaces at Ludwigshafen consume about 6 MW of renewable electricity and process about 4 tonnes of hydrocarbon feed per hour combined (feed, not ethylene; feedstock type not stated), one heated by passing current through the coils and one by radiant elements. Claims at least 90% lower CO2 with renewable power. That is about 1.5 MWh per tonne of feed, or 5-6 MWh per tonne of ethylene if 25-30% of the feed becomes ethylene, which is the same order as the Layritz inventory (6.78 MWh/t). Context only; nothing is taken from it numerically.</t>
  </si>
  <si>
    <t>Efficiency of fired versus electrified cracking (reported as a pair)</t>
  </si>
  <si>
    <t>Electric cracking furnace status (context)</t>
  </si>
  <si>
    <t>Maporti et al., Energy Conversion and Management (Elsevier)</t>
  </si>
  <si>
    <t>ISPT (Shell, Dow, TNO)</t>
  </si>
  <si>
    <t>Flexible ethylene production: Electrified ethane cracking coupled with oxidative dehydrogenation, 296:117761 (ScienceDirect PII S019689042301107X)</t>
  </si>
  <si>
    <t>Public report: e-Missi0n electric steam cracker furnace development</t>
  </si>
  <si>
    <t>https://doi.org/10.1016/j.enconman.2023.117761</t>
  </si>
  <si>
    <t>https://ispt.eu/publications/public-report-e-missi0n/</t>
  </si>
  <si>
    <t>Paywalled; only the abstract was seen (search snippet, re-checked 2026-10-29): thermal efficiency 89.9% for fuel-fired cracking, 97.1% for electrified cracking, 98.1% for oxidative dehydrogenation. The paper's definition of thermal efficiency is not confirmed; for an ethane cracker it is most likely heat delivered to the process over fuel or electricity input. These two values are the central pair because they were reported together for the same unit. The Calcs tab shows the result with the alternative fired efficiency (95%, Amghizar) and with equal efficiencies (Layritz): the three differ by 8%.</t>
  </si>
  <si>
    <t>Reports that direct electric heating of cracker tubes gave performance comparable to gas-fired furnaces, that electric cracking competes at electricity below about 67 EUR/MWh or a CO2 price above about 235 EUR/t, and that silicon carbide heating elements are unlikely to meet the targeted four-year lifetime; gives no electricity per tonne, efficiency or capital cost, so nothing is taken from it numerically.</t>
  </si>
  <si>
    <t>Fired cracking furnace efficiency (state of the art)</t>
  </si>
  <si>
    <t>Fuel CO2 intensity (consistency check)</t>
  </si>
  <si>
    <t>Amghizar, Dedeyne, Brown, Marin and Van Geem (Ghent University)</t>
  </si>
  <si>
    <t>Energy Policy Simulator input files (this repository)</t>
  </si>
  <si>
    <t>Sustainable innovations in steam cracking: CO2 neutral olefin production, Reaction Chemistry &amp; Engineering 5:239-257 (accepted manuscript)</t>
  </si>
  <si>
    <t>InputData/fuels/PEI/PEI-IFPEI.csv (natural gas CO2)</t>
  </si>
  <si>
    <t>https://biblio.ugent.be/publication/8651201</t>
  </si>
  <si>
    <t>https://github.com/EnergyInnovation/eps-us</t>
  </si>
  <si>
    <t>Accepted manuscript read 2026-10-29. Introduction: state-of-the-art furnaces reach efficiencies up to 95% (citing Zimmermann 2000); of the burner heat about 42% is absorbed by the reactor coil, 29% recovered in the transfer-line exchanger, 5% leaves through the stack, and up to 55% of the remaining flue-gas heat is recovered in the convection section. Abstract: more than 90% of a cracker's direct CO2 comes from furnace combustion. Gives no electricity per tonne for electric furnaces. The 95% figure is the alternative fired-efficiency case on the Calcs tab.</t>
  </si>
  <si>
    <t>Used only in the Calcs consistency rows (Source Data row 17); not in the exported value.</t>
  </si>
  <si>
    <t>Notes:</t>
  </si>
  <si>
    <t>Purpose and layout</t>
  </si>
  <si>
    <t>EEpTSCA is the electricity the chemicals module adds when cracker furnace heating (the "other stack" CO2 pool) is electrified: BTU of electricity per metric ton of stack CO2 abated. The Source Data tab holds the published inputs, Calcs works through furnace duty, efficiency and stack CO2 and then tests the result against an independent inventory and other efficiency assumptions, Checks tests it, and the last tab, EEpTSCA, is exactly what is written to EEpTSCA.csv (same layout as CGSCR.csv).</t>
  </si>
  <si>
    <t>Method in plain words</t>
  </si>
  <si>
    <t>A steam cracker heats its reaction tubes in furnaces fired mostly with its own off-gas. We take the fuel energy the furnaces burn per tonne of ethylene (65% of the 17-21 GJ/t total process energy in Ren et al.). Fired furnaces deliver about 90% of that fuel energy to the tubes and electric heating about 97% of the electricity, so the electricity needed is the fuel energy times 0.899/0.971. We then divide by the stack CO2 per tonne of ethylene from the U.S. greenhouse gas inventory (22.6 million tonnes of CO2 over 39.4 million tonnes of ethylene in 2023, about 0.574) to get electricity per tonne of CO2 abated.</t>
  </si>
  <si>
    <t>Confidence (research pass 2026-10-29/30)</t>
  </si>
  <si>
    <t>Every number except the efficiency pair was read in its primary source. The result is robust to the efficiency assumption: with the state-of-the-art fired efficiency of 95% (Amghizar et al.) or with equal efficiencies (Layritz et al.; Shin et al. assume 100% for electric heating) the value rises by 5% and 8% (Calcs rows 27-30). Two independent plant models bracket it: a European naphtha-cracker inventory (Layritz et al., 6.78 MWh of furnace heat against 1.27 t of furnace CO2 per tonne of ethylene) gives a value within 4% of the export (Calcs row 23), and a U.S. ethane-plant model that electrifies the whole plant (Shin et al., 353 MW for 114 t/h of ethylene against 50.5 t/h of on-site CO2e) gives a value 26% higher, which is an upper bound because that electricity also replaces the plant's own power generation (Calcs rows 33-37). The furnace-duty range (17-21 GJ/t) moves the result by +/-11% (columns C-D). Two cautions remain: the 89.9% / 97.1% pair comes from an abstract and its definition is unconfirmed, and Ren et al. give a second ethane energy split in which heating is 47% rather than 65% of process energy; that split would not reproduce the inventory stack CO2 (Calcs row 17), which is why 65% is used. Verify against the primary sources before relying on this in a work product.</t>
  </si>
  <si>
    <t>Sanity check</t>
  </si>
  <si>
    <t>The result (about 1.89e7 BTU of electricity per tonne of CO2) is close to the energy in the natural gas that would emit one tonne of CO2 (about 1.88e7 BTU), as it should be if the furnace duty is mostly burned fuel gas. The Checks tab tests this and the Layritz comparison.</t>
  </si>
  <si>
    <t>Things this value does not capture</t>
  </si>
  <si>
    <t>Electricity used on site for other cracker sections is unchanged. The off-gas no longer burned in the furnaces is not given a value here, so the model should treat it as a by-product (sold or used elsewhere) if it wants to credit it. Furnace efficiency varies with the definition used: Amghizar et al. report about 42% of burner heat absorbed by the coil and up to 95% overall with heat recovery, which are different boundaries; we use the pair that was reported together.</t>
  </si>
  <si>
    <t>Regional adaptation</t>
  </si>
  <si>
    <t>The method is feedstock-neutral: replace the furnace duty (naphtha crackers use 26-31 GJ/t ethylene in Ren et al. Table 2) and the stack CO2 per tonne of ethylene with the region's inventory figure. The Layritz inventory is a European naphtha plant and can serve directly where no national figure exists.</t>
  </si>
  <si>
    <t>Export format</t>
  </si>
  <si>
    <t>Unit line and label in the first row, one data row below, as in CGSCR.csv. CSV values computed in Python from the same formulas; recalc in Excel to verify.</t>
  </si>
  <si>
    <t>SOURCE DATA: values pasted as published (confidence flag in column E: DIRECT = read in the source text; SNIPPET = read from an abstract or search snippet only)</t>
  </si>
  <si>
    <t>Item</t>
  </si>
  <si>
    <t>Value</t>
  </si>
  <si>
    <t>Unit</t>
  </si>
  <si>
    <t>Source and location</t>
  </si>
  <si>
    <t>Confidence</t>
  </si>
  <si>
    <t>Ethane steam cracking process energy, low end</t>
  </si>
  <si>
    <t>GJ per t ethylene</t>
  </si>
  <si>
    <t>Ren, Patel and Blok (2006) Energy 31:425, Table 2 (p.433), ethane, typical range 17-21 GJ/t ethylene (open-access PDF, Utrecht repository)</t>
  </si>
  <si>
    <t>DIRECT</t>
  </si>
  <si>
    <t>Ethane steam cracking process energy, high end</t>
  </si>
  <si>
    <t>Same</t>
  </si>
  <si>
    <t>Share of that process energy used in high-temperature pyrolysis (furnaces)</t>
  </si>
  <si>
    <t>fraction</t>
  </si>
  <si>
    <t>Ren et al. (2006) Table 3 (p.435), ethane column from its ref. 68: pyrolysis 65%, fractionation and compression 15%, separation 20%. The other ethane column (ref. 20) gives heat of reaction 23% plus steam, heating and losses 24%.</t>
  </si>
  <si>
    <t>Simulated fired duty: feedstock preheater</t>
  </si>
  <si>
    <t>MMBtu per t ethylene</t>
  </si>
  <si>
    <t>INL/EXT-19-56936 Table 5 (p.12), CH4-fired</t>
  </si>
  <si>
    <t>Simulated fired duty: cracker</t>
  </si>
  <si>
    <t>GJ per MMBtu</t>
  </si>
  <si>
    <t>GJ/MMBtu</t>
  </si>
  <si>
    <t>Unit conversion (1 MMBtu = 1.055056 GJ)</t>
  </si>
  <si>
    <t>BTU per GJ</t>
  </si>
  <si>
    <t>BTU/GJ</t>
  </si>
  <si>
    <t>Unit conversion (1 GJ = 947,817 BTU)</t>
  </si>
  <si>
    <t>Thermal efficiency of fuel-fired cracking (central)</t>
  </si>
  <si>
    <t>Maporti et al. (2023), Energy Conversion and Management 296:117761, abstract text (89.9%); definition of thermal efficiency not confirmed in the full text</t>
  </si>
  <si>
    <t>SNIPPET</t>
  </si>
  <si>
    <t>Thermal efficiency of electrified cracking (central)</t>
  </si>
  <si>
    <t>Same abstract text (97.1%)</t>
  </si>
  <si>
    <t>CO2 from burning ethylene process off-gas, 2023</t>
  </si>
  <si>
    <t>kt CO2</t>
  </si>
  <si>
    <t>US GHGI 2025 (EPA 430-R-25-003) Section 4.4 text and Table 4-56 (p.4-74): 22,600,000 t CO2 from ethylene production, 2023</t>
  </si>
  <si>
    <t>Ethylene production, 2023</t>
  </si>
  <si>
    <t>kt ethylene</t>
  </si>
  <si>
    <t>US GHGI 2025 Table 4-57 (p.4-78), ethylene, 2023</t>
  </si>
  <si>
    <t>Literature CO2 from external heating per t ethylene, low (context only)</t>
  </si>
  <si>
    <t>t CO2 per t ethylene</t>
  </si>
  <si>
    <t>Gartner, van Veen and Lercher (2013) ChemCatChem 5:3196, as quoted in INL/EXT-19-56936 Section 1.2 (original not accessed); Ren et al. Table 2 gives 1.0-1.2 for ethane</t>
  </si>
  <si>
    <t>DIRECT (as quoted)</t>
  </si>
  <si>
    <t>Literature CO2 from external heating per t ethylene, high (context only)</t>
  </si>
  <si>
    <t>CO2 intensity of natural gas in the EPS fuel input (PEI, natural gas)</t>
  </si>
  <si>
    <t>g CO2 per BTU</t>
  </si>
  <si>
    <t>InputData/fuels/PEI/PEI-IFPEI.csv, CO2 row, natural gas column (an EPS input, pasted for the consistency check only)</t>
  </si>
  <si>
    <t>Fired furnace efficiency, state of the art (alternative)</t>
  </si>
  <si>
    <t>Amghizar et al. (2020) Reaction Chemistry &amp; Engineering 5:239, introduction: furnaces reach efficiencies "up to 95%" (accepted manuscript, Ghent University repository)</t>
  </si>
  <si>
    <t>Layritz et al.: furnace heat of a conventional naphtha cracker</t>
  </si>
  <si>
    <t>MWh per t ethylene</t>
  </si>
  <si>
    <t>Layritz et al. (2021) Applied Energy 296:117049, preprint Appendix A.2 (Heat, from Zimmermann and Walzl); Appendix A.3 gives the same 6.78 MWh as furnace electricity in the electrified case (footnote 3: demand and furnace efficiency identical)</t>
  </si>
  <si>
    <t>Layritz et al.: fuel gas burned in that furnace</t>
  </si>
  <si>
    <t>t fuel per t ethylene</t>
  </si>
  <si>
    <t>Same, Appendix A.2 (Methane (Fuel) output, 0.488 t)</t>
  </si>
  <si>
    <t>Layritz et al.: emission factor of that fuel gas</t>
  </si>
  <si>
    <t>t CO2 per t fuel</t>
  </si>
  <si>
    <t>Same, Appendix A.5 (EF column, Heat row)</t>
  </si>
  <si>
    <t>BTU per MWh</t>
  </si>
  <si>
    <t>BTU/MWh</t>
  </si>
  <si>
    <t>Unit conversion (1 kWh = 3,412.14 BTU, as in the TBCC workbook)</t>
  </si>
  <si>
    <t>Shin et al.: electricity imported by the electrically heated ethane cracker</t>
  </si>
  <si>
    <t>MW</t>
  </si>
  <si>
    <t>Shin et al. (2025) Green Chemistry 27:3655, Table 5 (p.3663), Electrical heating case (Baseline imports 0 MW)</t>
  </si>
  <si>
    <t>Shin et al.: ethylene output</t>
  </si>
  <si>
    <t>kg per h</t>
  </si>
  <si>
    <t>Same, Table 5 (all cases)</t>
  </si>
  <si>
    <t>Shin et al.: on-site GHG emissions of the Baseline plant</t>
  </si>
  <si>
    <t>kg CO2e per h</t>
  </si>
  <si>
    <t>Same, Table 5, Baseline (all combustion: natural gas fuel plus purge gas; the Electrical heating case emits 0 on site)</t>
  </si>
  <si>
    <t>Shin et al.: combustion energy of the Baseline plant</t>
  </si>
  <si>
    <t>MJ per h</t>
  </si>
  <si>
    <t>Same, Table 5, Baseline</t>
  </si>
  <si>
    <t>CALCULATIONS: electricity needed to replace the fuel burned for cracker furnace heat, per tonne of CO2 avoided</t>
  </si>
  <si>
    <t>Question this tab answers: if a steam cracker's furnaces are heated by electricity instead of burning off-gas, how much electricity does it take for each tonne of stack CO2 avoided? Steps: furnace fuel energy per tonne of ethylene (Ren et al.), converted to electricity using the efficiency of fired versus electric heating, then divided by the stack CO2 per tonne of ethylene (U.S. inventory). Columns B-D give the central, low and high furnace-duty estimates; the central column (B) is exported. The blocks below test the result against other efficiency assumptions and against an independent inventory.</t>
  </si>
  <si>
    <t>Quantity</t>
  </si>
  <si>
    <t>CENTRAL
(exported)</t>
  </si>
  <si>
    <t>Low furnace duty</t>
  </si>
  <si>
    <t>High furnace duty</t>
  </si>
  <si>
    <t>Formula in words</t>
  </si>
  <si>
    <t>Process energy per tonne ethylene, GJ (17-21 range)</t>
  </si>
  <si>
    <t>Midpoint of the 17-21 GJ/t range; low and high end of the range</t>
  </si>
  <si>
    <t>Fired furnace duty per tonne ethylene, GJ (pyrolysis share of process energy)</t>
  </si>
  <si>
    <t>Process energy x 65% used in furnaces</t>
  </si>
  <si>
    <t>Heat actually delivered to the cracking tubes, GJ per t ethylene</t>
  </si>
  <si>
    <t>Fired duty x efficiency of fuel-fired cracking</t>
  </si>
  <si>
    <t>Electricity needed to deliver the same heat, GJ per t ethylene</t>
  </si>
  <si>
    <t>Delivered heat / efficiency of electrified cracking</t>
  </si>
  <si>
    <t>Electricity needed, BTU per t ethylene</t>
  </si>
  <si>
    <t>GJ x BTU per GJ</t>
  </si>
  <si>
    <t>Stack CO2 per tonne ethylene, t CO2 per t (2023 U.S. inventory)</t>
  </si>
  <si>
    <t>Off-gas combustion CO2 / ethylene production</t>
  </si>
  <si>
    <t>EEpTSCA: ELECTRICITY PER TON OF STACK CO2 ABATED, BTU per t CO2</t>
  </si>
  <si>
    <t>BTU of electricity per t ethylene / t CO2 per t ethylene</t>
  </si>
  <si>
    <t>Consistency rows (not used in the export)</t>
  </si>
  <si>
    <t>Fired duty from the INL simulation (preheater + cracker), GJ per t ethylene</t>
  </si>
  <si>
    <t>A single Aspen model; higher than the literature range because of its lower ethylene yield</t>
  </si>
  <si>
    <t>CO2 intensity implied by the central furnace duty, kg CO2 per GJ of fired duty</t>
  </si>
  <si>
    <t>CO2 intensity of natural gas in the EPS input, kg CO2 per GJ</t>
  </si>
  <si>
    <t>Ratio: implied intensity / natural gas intensity</t>
  </si>
  <si>
    <t>Near 1 means the stack CO2 is consistent with the furnace duty being mostly burned fuel gas. Well below 1 would mean much of the duty is not CO2-emitting (hydrogen-rich off-gas) or that the inventory pool covers only part of the duty.</t>
  </si>
  <si>
    <t>Literature CO2 from external heating per t ethylene, range (Gartner et al. as quoted by INL)</t>
  </si>
  <si>
    <t>The inventory figure (B10) is lower than this range; it counts only the off-gas share of furnace CO2</t>
  </si>
  <si>
    <t>Independent check: Layritz et al. (2021) naphtha cracker inventory, equal furnace efficiencies</t>
  </si>
  <si>
    <t>Furnace CO2 per tonne ethylene, t CO2 per t (fuel gas burned x its emission factor)</t>
  </si>
  <si>
    <t>Electricity per tonne of furnace CO2 avoided, BTU per t CO2 (furnace electricity / furnace CO2)</t>
  </si>
  <si>
    <t>Naphtha feed, European plant data, electricity assumed equal to the fuel heat it replaces</t>
  </si>
  <si>
    <t>Ratio: central result / Layritz estimate</t>
  </si>
  <si>
    <t>Two different feedstocks, data sets and efficiency assumptions; agreement within about 10% supports the order of magnitude</t>
  </si>
  <si>
    <t>Sensitivity to the efficiency assumption (central furnace duty)</t>
  </si>
  <si>
    <t>Case</t>
  </si>
  <si>
    <t>Fired efficiency</t>
  </si>
  <si>
    <t>Electric efficiency</t>
  </si>
  <si>
    <t>Result, BTU per t CO2</t>
  </si>
  <si>
    <t>Source of the pair</t>
  </si>
  <si>
    <t>Central: pair reported together (Maporti et al. 2023 abstract)</t>
  </si>
  <si>
    <t>Exported</t>
  </si>
  <si>
    <t>Alternative fired efficiency: state of the art up to 95% (Amghizar et al. 2020)</t>
  </si>
  <si>
    <t>Fired 95% with the same electric efficiency</t>
  </si>
  <si>
    <t>Equal efficiencies (Layritz et al. 2021 assumption; Shin et al. 2025 assume 100% electric)</t>
  </si>
  <si>
    <t>Electricity equals the fuel heat it replaces</t>
  </si>
  <si>
    <t>Spread: highest / lowest of the three cases</t>
  </si>
  <si>
    <t>Third check: Shin et al. (2025) U.S. ethane plant, whole-plant electrification (an upper bound)</t>
  </si>
  <si>
    <t>Electricity imported per tonne of ethylene, MWh per t</t>
  </si>
  <si>
    <t>MW x 1000 kg/t / (kg ethylene per h)</t>
  </si>
  <si>
    <t>On-site CO2e avoided per tonne of ethylene, t per t</t>
  </si>
  <si>
    <t>Baseline on-site emissions (the electric case emits none on site)</t>
  </si>
  <si>
    <t>Electricity per tonne of on-site CO2 avoided, BTU per t CO2</t>
  </si>
  <si>
    <t>CO2 intensity of the Baseline fuel burned, kg CO2 per GJ</t>
  </si>
  <si>
    <t>Hydrogen-rich purge gas plus natural gas: well below natural gas alone (row 16)</t>
  </si>
  <si>
    <t>Ratio: central result / Shin estimate</t>
  </si>
  <si>
    <t>Shin's figure is higher by design: the imported electricity also replaces the plant's own steam-turbine power and the hydrogen-rich purge gas it stops burning is exported, so it is an upper bound for the furnace-only quantity EEpTSCA represents</t>
  </si>
  <si>
    <t>CHECKS: live tests on the calculation</t>
  </si>
  <si>
    <t>What is tested</t>
  </si>
  <si>
    <t>Result</t>
  </si>
  <si>
    <t>Electric efficiency is above fired efficiency (otherwise electricity use would exceed fuel use)</t>
  </si>
  <si>
    <t>Central result lies between the low-duty and high-duty results</t>
  </si>
  <si>
    <t>Implied furnace CO2 intensity is within 50-110% of natural gas</t>
  </si>
  <si>
    <t>Stack CO2 per tonne ethylene is positive and below 1</t>
  </si>
  <si>
    <t>Result is within 25% of the simple physical estimate: 1 tonne CO2 of natural gas fuel = 1,000,000 / PEI BTU</t>
  </si>
  <si>
    <t>Result is within 25% of the independent Layritz et al. inventory estimate</t>
  </si>
  <si>
    <t>Exported value equals the central case of the efficiency sensitivity block</t>
  </si>
  <si>
    <t>Result lies below the Shin et al. whole-plant figure (an upper bound) and above 60% of it</t>
  </si>
  <si>
    <t>Unit: BTU electricity per metric ton CO2 abated</t>
  </si>
  <si>
    <t>Electricity per Ton of Stack CO2 Abated</t>
  </si>
  <si>
    <t>electricity per ton of stack CO2 abated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</si>
</sst>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u/>
      <sz val="11"/>
      <color rgb="FF0563C1"/>
      <name val="Calibri"/>
    </font>
  </fonts>
  <fills count="6">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E2EFDA"/>
        <bgColor rgb="FFE2EFDA"/>
      </patternFill>
    </fill>
    <fill>
      <patternFill patternType="solid">
        <fgColor rgb="FFFFF2CC"/>
        <bgColor rgb="FFFFF2CC"/>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0" fillId="2" borderId="0" xfId="0" applyFill="1"/>
    <xf numFmtId="0" fontId="0" fillId="4" borderId="0" xfId="0" applyFill="1"/>
    <xf numFmtId="0" fontId="2" fillId="5" borderId="0" xfId="0" applyFont="1" applyFill="1"/>
    <xf numFmtId="0" fontId="0" fillId="0" borderId="0" xfId="0" applyAlignment="1">
      <alignment horizontal="lef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spt.eu/publications/public-report-e-missi0n/" TargetMode="External"/><Relationship Id="rId3" Type="http://schemas.openxmlformats.org/officeDocument/2006/relationships/hyperlink" Target="https://dspace.library.uu.nl/handle/1874/21674" TargetMode="External"/><Relationship Id="rId7" Type="http://schemas.openxmlformats.org/officeDocument/2006/relationships/hyperlink" Target="https://doi.org/10.1016/j.enconman.2023.117761" TargetMode="External"/><Relationship Id="rId2" Type="http://schemas.openxmlformats.org/officeDocument/2006/relationships/hyperlink" Target="https://publications.pik-potsdam.de/pubman/item/item_25669_4/component/file_25682/25669_preprint.pdf" TargetMode="External"/><Relationship Id="rId1" Type="http://schemas.openxmlformats.org/officeDocument/2006/relationships/hyperlink" Target="https://www.epa.gov/ghgemissions/inventory-us-greenhouse-gas-emissions-and-sinks" TargetMode="External"/><Relationship Id="rId6" Type="http://schemas.openxmlformats.org/officeDocument/2006/relationships/hyperlink" Target="https://www.basf.com/global/en/media/news-releases/2024/04/p-24-177" TargetMode="External"/><Relationship Id="rId5" Type="http://schemas.openxmlformats.org/officeDocument/2006/relationships/hyperlink" Target="https://inldigitallibrary.inl.gov/sites/sti/sti/Sort_21795.pdf" TargetMode="External"/><Relationship Id="rId10" Type="http://schemas.openxmlformats.org/officeDocument/2006/relationships/hyperlink" Target="https://github.com/EnergyInnovation/eps-us" TargetMode="External"/><Relationship Id="rId4" Type="http://schemas.openxmlformats.org/officeDocument/2006/relationships/hyperlink" Target="https://doi.org/10.1039/d4gc04538f" TargetMode="External"/><Relationship Id="rId9" Type="http://schemas.openxmlformats.org/officeDocument/2006/relationships/hyperlink" Target="https://biblio.ugent.be/publication/86512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6"/>
  <sheetViews>
    <sheetView tabSelected="1" workbookViewId="0"/>
  </sheetViews>
  <sheetFormatPr defaultRowHeight="15" x14ac:dyDescent="0.25"/>
  <cols>
    <col min="1" max="1" width="16" customWidth="1"/>
    <col min="2" max="2" width="110" customWidth="1"/>
    <col min="3" max="3" width="3" customWidth="1"/>
    <col min="4" max="4" width="110" customWidth="1"/>
  </cols>
  <sheetData>
    <row r="1" spans="1:4" x14ac:dyDescent="0.25">
      <c r="A1" s="1" t="s">
        <v>0</v>
      </c>
    </row>
    <row r="3" spans="1:4" x14ac:dyDescent="0.25">
      <c r="A3" s="1" t="s">
        <v>1</v>
      </c>
      <c r="B3" s="2" t="s">
        <v>2</v>
      </c>
      <c r="D3" s="2" t="s">
        <v>3</v>
      </c>
    </row>
    <row r="4" spans="1:4" x14ac:dyDescent="0.25">
      <c r="B4" s="3" t="s">
        <v>4</v>
      </c>
      <c r="D4" s="3" t="s">
        <v>5</v>
      </c>
    </row>
    <row r="5" spans="1:4" ht="30" x14ac:dyDescent="0.25">
      <c r="B5" s="3" t="s">
        <v>6</v>
      </c>
      <c r="D5" s="3" t="s">
        <v>7</v>
      </c>
    </row>
    <row r="6" spans="1:4" x14ac:dyDescent="0.25">
      <c r="B6" s="3">
        <v>2025</v>
      </c>
      <c r="D6" s="3">
        <v>2021</v>
      </c>
    </row>
    <row r="7" spans="1:4" x14ac:dyDescent="0.25">
      <c r="B7" s="4" t="s">
        <v>8</v>
      </c>
      <c r="D7" s="4" t="s">
        <v>9</v>
      </c>
    </row>
    <row r="8" spans="1:4" ht="120" customHeight="1" x14ac:dyDescent="0.25">
      <c r="B8" s="3" t="s">
        <v>10</v>
      </c>
      <c r="D8" s="3" t="s">
        <v>11</v>
      </c>
    </row>
    <row r="10" spans="1:4" x14ac:dyDescent="0.25">
      <c r="B10" s="2" t="s">
        <v>12</v>
      </c>
      <c r="D10" s="2" t="s">
        <v>13</v>
      </c>
    </row>
    <row r="11" spans="1:4" x14ac:dyDescent="0.25">
      <c r="B11" s="3" t="s">
        <v>14</v>
      </c>
      <c r="D11" s="3" t="s">
        <v>15</v>
      </c>
    </row>
    <row r="12" spans="1:4" ht="30" x14ac:dyDescent="0.25">
      <c r="B12" s="3" t="s">
        <v>16</v>
      </c>
      <c r="D12" s="3" t="s">
        <v>17</v>
      </c>
    </row>
    <row r="13" spans="1:4" x14ac:dyDescent="0.25">
      <c r="B13" s="3">
        <v>2006</v>
      </c>
      <c r="D13" s="3">
        <v>2025</v>
      </c>
    </row>
    <row r="14" spans="1:4" x14ac:dyDescent="0.25">
      <c r="B14" s="4" t="s">
        <v>18</v>
      </c>
      <c r="D14" s="4" t="s">
        <v>19</v>
      </c>
    </row>
    <row r="15" spans="1:4" ht="150" customHeight="1" x14ac:dyDescent="0.25">
      <c r="B15" s="3" t="s">
        <v>20</v>
      </c>
      <c r="D15" s="3" t="s">
        <v>21</v>
      </c>
    </row>
    <row r="17" spans="2:4" x14ac:dyDescent="0.25">
      <c r="B17" s="2" t="s">
        <v>22</v>
      </c>
      <c r="D17" s="2" t="s">
        <v>23</v>
      </c>
    </row>
    <row r="18" spans="2:4" x14ac:dyDescent="0.25">
      <c r="B18" s="3" t="s">
        <v>24</v>
      </c>
      <c r="D18" s="3" t="s">
        <v>25</v>
      </c>
    </row>
    <row r="19" spans="2:4" ht="30" x14ac:dyDescent="0.25">
      <c r="B19" s="3" t="s">
        <v>26</v>
      </c>
      <c r="D19" s="3" t="s">
        <v>27</v>
      </c>
    </row>
    <row r="20" spans="2:4" x14ac:dyDescent="0.25">
      <c r="B20" s="3">
        <v>2020</v>
      </c>
      <c r="D20" s="3">
        <v>2024</v>
      </c>
    </row>
    <row r="21" spans="2:4" x14ac:dyDescent="0.25">
      <c r="B21" s="4" t="s">
        <v>28</v>
      </c>
      <c r="D21" s="4" t="s">
        <v>29</v>
      </c>
    </row>
    <row r="22" spans="2:4" ht="90" customHeight="1" x14ac:dyDescent="0.25">
      <c r="B22" s="3" t="s">
        <v>30</v>
      </c>
      <c r="D22" s="3" t="s">
        <v>31</v>
      </c>
    </row>
    <row r="24" spans="2:4" x14ac:dyDescent="0.25">
      <c r="B24" s="2" t="s">
        <v>32</v>
      </c>
      <c r="D24" s="2" t="s">
        <v>33</v>
      </c>
    </row>
    <row r="25" spans="2:4" x14ac:dyDescent="0.25">
      <c r="B25" s="3" t="s">
        <v>34</v>
      </c>
      <c r="D25" s="3" t="s">
        <v>35</v>
      </c>
    </row>
    <row r="26" spans="2:4" ht="30" x14ac:dyDescent="0.25">
      <c r="B26" s="3" t="s">
        <v>36</v>
      </c>
      <c r="D26" s="3" t="s">
        <v>37</v>
      </c>
    </row>
    <row r="27" spans="2:4" x14ac:dyDescent="0.25">
      <c r="B27" s="3">
        <v>2023</v>
      </c>
      <c r="D27" s="3">
        <v>2026</v>
      </c>
    </row>
    <row r="28" spans="2:4" x14ac:dyDescent="0.25">
      <c r="B28" s="4" t="s">
        <v>38</v>
      </c>
      <c r="D28" s="4" t="s">
        <v>39</v>
      </c>
    </row>
    <row r="29" spans="2:4" ht="60" customHeight="1" x14ac:dyDescent="0.25">
      <c r="B29" s="3" t="s">
        <v>40</v>
      </c>
      <c r="D29" s="3" t="s">
        <v>41</v>
      </c>
    </row>
    <row r="31" spans="2:4" x14ac:dyDescent="0.25">
      <c r="B31" s="2" t="s">
        <v>42</v>
      </c>
      <c r="D31" s="2" t="s">
        <v>43</v>
      </c>
    </row>
    <row r="32" spans="2:4" x14ac:dyDescent="0.25">
      <c r="B32" s="3" t="s">
        <v>44</v>
      </c>
      <c r="D32" s="3" t="s">
        <v>45</v>
      </c>
    </row>
    <row r="33" spans="1:4" ht="30" x14ac:dyDescent="0.25">
      <c r="B33" s="3" t="s">
        <v>46</v>
      </c>
      <c r="D33" s="3" t="s">
        <v>47</v>
      </c>
    </row>
    <row r="34" spans="1:4" x14ac:dyDescent="0.25">
      <c r="B34" s="3">
        <v>2020</v>
      </c>
      <c r="D34" s="3">
        <v>2026</v>
      </c>
    </row>
    <row r="35" spans="1:4" x14ac:dyDescent="0.25">
      <c r="B35" s="4" t="s">
        <v>48</v>
      </c>
      <c r="D35" s="4" t="s">
        <v>49</v>
      </c>
    </row>
    <row r="36" spans="1:4" ht="15" customHeight="1" x14ac:dyDescent="0.25">
      <c r="B36" s="3" t="s">
        <v>50</v>
      </c>
      <c r="D36" s="3" t="s">
        <v>51</v>
      </c>
    </row>
    <row r="39" spans="1:4" x14ac:dyDescent="0.25">
      <c r="A39" s="1" t="s">
        <v>52</v>
      </c>
    </row>
    <row r="40" spans="1:4" ht="75" customHeight="1" x14ac:dyDescent="0.25">
      <c r="A40" s="5" t="s">
        <v>53</v>
      </c>
      <c r="B40" s="3" t="s">
        <v>54</v>
      </c>
    </row>
    <row r="41" spans="1:4" ht="90" customHeight="1" x14ac:dyDescent="0.25">
      <c r="A41" s="5" t="s">
        <v>55</v>
      </c>
      <c r="B41" s="3" t="s">
        <v>56</v>
      </c>
    </row>
    <row r="42" spans="1:4" ht="195" customHeight="1" x14ac:dyDescent="0.25">
      <c r="A42" s="5" t="s">
        <v>57</v>
      </c>
      <c r="B42" s="3" t="s">
        <v>58</v>
      </c>
    </row>
    <row r="43" spans="1:4" ht="45" customHeight="1" x14ac:dyDescent="0.25">
      <c r="A43" s="5" t="s">
        <v>59</v>
      </c>
      <c r="B43" s="3" t="s">
        <v>60</v>
      </c>
    </row>
    <row r="44" spans="1:4" ht="75" customHeight="1" x14ac:dyDescent="0.25">
      <c r="A44" s="5" t="s">
        <v>61</v>
      </c>
      <c r="B44" s="3" t="s">
        <v>62</v>
      </c>
    </row>
    <row r="45" spans="1:4" ht="45" customHeight="1" x14ac:dyDescent="0.25">
      <c r="A45" s="5" t="s">
        <v>63</v>
      </c>
      <c r="B45" s="3" t="s">
        <v>64</v>
      </c>
    </row>
    <row r="46" spans="1:4" ht="30" customHeight="1" x14ac:dyDescent="0.25">
      <c r="A46" s="5" t="s">
        <v>65</v>
      </c>
      <c r="B46" s="3" t="s">
        <v>66</v>
      </c>
    </row>
  </sheetData>
  <hyperlinks>
    <hyperlink ref="B7" r:id="rId1" xr:uid="{00000000-0004-0000-0000-000000000000}"/>
    <hyperlink ref="D7" r:id="rId2" xr:uid="{00000000-0004-0000-0000-000001000000}"/>
    <hyperlink ref="B14" r:id="rId3" xr:uid="{00000000-0004-0000-0000-000002000000}"/>
    <hyperlink ref="D14" r:id="rId4" xr:uid="{00000000-0004-0000-0000-000003000000}"/>
    <hyperlink ref="B21" r:id="rId5" xr:uid="{00000000-0004-0000-0000-000004000000}"/>
    <hyperlink ref="D21" r:id="rId6" xr:uid="{00000000-0004-0000-0000-000005000000}"/>
    <hyperlink ref="B28" r:id="rId7" xr:uid="{00000000-0004-0000-0000-000006000000}"/>
    <hyperlink ref="D28" r:id="rId8" xr:uid="{00000000-0004-0000-0000-000007000000}"/>
    <hyperlink ref="B35" r:id="rId9" xr:uid="{00000000-0004-0000-0000-000008000000}"/>
    <hyperlink ref="D35" r:id="rId10" xr:uid="{00000000-0004-0000-0000-000009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workbookViewId="0"/>
  </sheetViews>
  <sheetFormatPr defaultRowHeight="15" x14ac:dyDescent="0.25"/>
  <cols>
    <col min="1" max="1" width="62" customWidth="1"/>
    <col min="2" max="2" width="14" customWidth="1"/>
    <col min="3" max="3" width="22" customWidth="1"/>
    <col min="4" max="4" width="70" customWidth="1"/>
    <col min="5" max="5" width="18" customWidth="1"/>
  </cols>
  <sheetData>
    <row r="1" spans="1:5" x14ac:dyDescent="0.25">
      <c r="A1" s="6" t="s">
        <v>67</v>
      </c>
      <c r="B1" s="7"/>
      <c r="C1" s="7"/>
      <c r="D1" s="7"/>
      <c r="E1" s="7"/>
    </row>
    <row r="3" spans="1:5" ht="30" customHeight="1" x14ac:dyDescent="0.25">
      <c r="A3" s="2" t="s">
        <v>68</v>
      </c>
      <c r="B3" s="2" t="s">
        <v>69</v>
      </c>
      <c r="C3" s="2" t="s">
        <v>70</v>
      </c>
      <c r="D3" s="2" t="s">
        <v>71</v>
      </c>
      <c r="E3" s="2" t="s">
        <v>72</v>
      </c>
    </row>
    <row r="4" spans="1:5" ht="45" customHeight="1" x14ac:dyDescent="0.25">
      <c r="A4" s="3" t="s">
        <v>73</v>
      </c>
      <c r="B4" s="8">
        <v>17</v>
      </c>
      <c r="C4" s="3" t="s">
        <v>74</v>
      </c>
      <c r="D4" s="3" t="s">
        <v>75</v>
      </c>
      <c r="E4" s="3" t="s">
        <v>76</v>
      </c>
    </row>
    <row r="5" spans="1:5" ht="15" customHeight="1" x14ac:dyDescent="0.25">
      <c r="A5" s="3" t="s">
        <v>77</v>
      </c>
      <c r="B5" s="8">
        <v>21</v>
      </c>
      <c r="C5" s="3" t="s">
        <v>74</v>
      </c>
      <c r="D5" s="3" t="s">
        <v>78</v>
      </c>
      <c r="E5" s="3" t="s">
        <v>76</v>
      </c>
    </row>
    <row r="6" spans="1:5" ht="60" customHeight="1" x14ac:dyDescent="0.25">
      <c r="A6" s="3" t="s">
        <v>79</v>
      </c>
      <c r="B6" s="8">
        <v>0.65</v>
      </c>
      <c r="C6" s="3" t="s">
        <v>80</v>
      </c>
      <c r="D6" s="3" t="s">
        <v>81</v>
      </c>
      <c r="E6" s="3" t="s">
        <v>76</v>
      </c>
    </row>
    <row r="7" spans="1:5" ht="15" customHeight="1" x14ac:dyDescent="0.25">
      <c r="A7" s="3" t="s">
        <v>82</v>
      </c>
      <c r="B7" s="8">
        <v>7.3760000000000003</v>
      </c>
      <c r="C7" s="3" t="s">
        <v>83</v>
      </c>
      <c r="D7" s="3" t="s">
        <v>84</v>
      </c>
      <c r="E7" s="3" t="s">
        <v>76</v>
      </c>
    </row>
    <row r="8" spans="1:5" ht="15" customHeight="1" x14ac:dyDescent="0.25">
      <c r="A8" s="3" t="s">
        <v>85</v>
      </c>
      <c r="B8" s="8">
        <v>7.3550000000000004</v>
      </c>
      <c r="C8" s="3" t="s">
        <v>83</v>
      </c>
      <c r="D8" s="3" t="s">
        <v>84</v>
      </c>
      <c r="E8" s="3" t="s">
        <v>76</v>
      </c>
    </row>
    <row r="9" spans="1:5" ht="15" customHeight="1" x14ac:dyDescent="0.25">
      <c r="A9" s="3" t="s">
        <v>86</v>
      </c>
      <c r="B9" s="8">
        <v>1.055056</v>
      </c>
      <c r="C9" s="3" t="s">
        <v>87</v>
      </c>
      <c r="D9" s="3" t="s">
        <v>88</v>
      </c>
      <c r="E9" s="3" t="s">
        <v>76</v>
      </c>
    </row>
    <row r="10" spans="1:5" ht="15" customHeight="1" x14ac:dyDescent="0.25">
      <c r="A10" s="3" t="s">
        <v>89</v>
      </c>
      <c r="B10" s="8">
        <v>947817.12</v>
      </c>
      <c r="C10" s="3" t="s">
        <v>90</v>
      </c>
      <c r="D10" s="3" t="s">
        <v>91</v>
      </c>
      <c r="E10" s="3" t="s">
        <v>76</v>
      </c>
    </row>
    <row r="11" spans="1:5" ht="45" customHeight="1" x14ac:dyDescent="0.25">
      <c r="A11" s="3" t="s">
        <v>92</v>
      </c>
      <c r="B11" s="8">
        <v>0.89900000000000002</v>
      </c>
      <c r="C11" s="3" t="s">
        <v>80</v>
      </c>
      <c r="D11" s="3" t="s">
        <v>93</v>
      </c>
      <c r="E11" s="3" t="s">
        <v>94</v>
      </c>
    </row>
    <row r="12" spans="1:5" ht="15" customHeight="1" x14ac:dyDescent="0.25">
      <c r="A12" s="3" t="s">
        <v>95</v>
      </c>
      <c r="B12" s="8">
        <v>0.97099999999999997</v>
      </c>
      <c r="C12" s="3" t="s">
        <v>80</v>
      </c>
      <c r="D12" s="3" t="s">
        <v>96</v>
      </c>
      <c r="E12" s="3" t="s">
        <v>94</v>
      </c>
    </row>
    <row r="13" spans="1:5" ht="30" customHeight="1" x14ac:dyDescent="0.25">
      <c r="A13" s="3" t="s">
        <v>97</v>
      </c>
      <c r="B13" s="8">
        <v>22600</v>
      </c>
      <c r="C13" s="3" t="s">
        <v>98</v>
      </c>
      <c r="D13" s="3" t="s">
        <v>99</v>
      </c>
      <c r="E13" s="3" t="s">
        <v>76</v>
      </c>
    </row>
    <row r="14" spans="1:5" ht="15" customHeight="1" x14ac:dyDescent="0.25">
      <c r="A14" s="3" t="s">
        <v>100</v>
      </c>
      <c r="B14" s="8">
        <v>39400</v>
      </c>
      <c r="C14" s="3" t="s">
        <v>101</v>
      </c>
      <c r="D14" s="3" t="s">
        <v>102</v>
      </c>
      <c r="E14" s="3" t="s">
        <v>76</v>
      </c>
    </row>
    <row r="15" spans="1:5" ht="45" customHeight="1" x14ac:dyDescent="0.25">
      <c r="A15" s="3" t="s">
        <v>103</v>
      </c>
      <c r="B15" s="8">
        <v>1</v>
      </c>
      <c r="C15" s="3" t="s">
        <v>104</v>
      </c>
      <c r="D15" s="3" t="s">
        <v>105</v>
      </c>
      <c r="E15" s="3" t="s">
        <v>106</v>
      </c>
    </row>
    <row r="16" spans="1:5" ht="30" customHeight="1" x14ac:dyDescent="0.25">
      <c r="A16" s="3" t="s">
        <v>107</v>
      </c>
      <c r="B16" s="8">
        <v>1.6</v>
      </c>
      <c r="C16" s="3" t="s">
        <v>104</v>
      </c>
      <c r="D16" s="3" t="s">
        <v>78</v>
      </c>
      <c r="E16" s="3" t="s">
        <v>106</v>
      </c>
    </row>
    <row r="17" spans="1:5" ht="30" customHeight="1" x14ac:dyDescent="0.25">
      <c r="A17" s="3" t="s">
        <v>108</v>
      </c>
      <c r="B17" s="8">
        <v>5.3060000000000003E-2</v>
      </c>
      <c r="C17" s="3" t="s">
        <v>109</v>
      </c>
      <c r="D17" s="3" t="s">
        <v>110</v>
      </c>
      <c r="E17" s="3" t="s">
        <v>76</v>
      </c>
    </row>
    <row r="18" spans="1:5" ht="45" customHeight="1" x14ac:dyDescent="0.25">
      <c r="A18" s="3" t="s">
        <v>111</v>
      </c>
      <c r="B18" s="8">
        <v>0.95</v>
      </c>
      <c r="C18" s="3" t="s">
        <v>80</v>
      </c>
      <c r="D18" s="3" t="s">
        <v>112</v>
      </c>
      <c r="E18" s="3" t="s">
        <v>76</v>
      </c>
    </row>
    <row r="19" spans="1:5" ht="60" customHeight="1" x14ac:dyDescent="0.25">
      <c r="A19" s="3" t="s">
        <v>113</v>
      </c>
      <c r="B19" s="8">
        <v>6.78</v>
      </c>
      <c r="C19" s="3" t="s">
        <v>114</v>
      </c>
      <c r="D19" s="3" t="s">
        <v>115</v>
      </c>
      <c r="E19" s="3" t="s">
        <v>76</v>
      </c>
    </row>
    <row r="20" spans="1:5" ht="15" customHeight="1" x14ac:dyDescent="0.25">
      <c r="A20" s="3" t="s">
        <v>116</v>
      </c>
      <c r="B20" s="8">
        <v>0.48799999999999999</v>
      </c>
      <c r="C20" s="3" t="s">
        <v>117</v>
      </c>
      <c r="D20" s="3" t="s">
        <v>118</v>
      </c>
      <c r="E20" s="3" t="s">
        <v>76</v>
      </c>
    </row>
    <row r="21" spans="1:5" ht="15" customHeight="1" x14ac:dyDescent="0.25">
      <c r="A21" s="3" t="s">
        <v>119</v>
      </c>
      <c r="B21" s="8">
        <v>2.6</v>
      </c>
      <c r="C21" s="3" t="s">
        <v>120</v>
      </c>
      <c r="D21" s="3" t="s">
        <v>121</v>
      </c>
      <c r="E21" s="3" t="s">
        <v>76</v>
      </c>
    </row>
    <row r="22" spans="1:5" ht="15" customHeight="1" x14ac:dyDescent="0.25">
      <c r="A22" s="3" t="s">
        <v>122</v>
      </c>
      <c r="B22" s="8">
        <v>3412140</v>
      </c>
      <c r="C22" s="3" t="s">
        <v>123</v>
      </c>
      <c r="D22" s="3" t="s">
        <v>124</v>
      </c>
      <c r="E22" s="3" t="s">
        <v>76</v>
      </c>
    </row>
    <row r="23" spans="1:5" ht="30" customHeight="1" x14ac:dyDescent="0.25">
      <c r="A23" s="3" t="s">
        <v>125</v>
      </c>
      <c r="B23" s="8">
        <v>353</v>
      </c>
      <c r="C23" s="3" t="s">
        <v>126</v>
      </c>
      <c r="D23" s="3" t="s">
        <v>127</v>
      </c>
      <c r="E23" s="3" t="s">
        <v>76</v>
      </c>
    </row>
    <row r="24" spans="1:5" ht="15" customHeight="1" x14ac:dyDescent="0.25">
      <c r="A24" s="3" t="s">
        <v>128</v>
      </c>
      <c r="B24" s="8">
        <v>114335</v>
      </c>
      <c r="C24" s="3" t="s">
        <v>129</v>
      </c>
      <c r="D24" s="3" t="s">
        <v>130</v>
      </c>
      <c r="E24" s="3" t="s">
        <v>76</v>
      </c>
    </row>
    <row r="25" spans="1:5" ht="30" customHeight="1" x14ac:dyDescent="0.25">
      <c r="A25" s="3" t="s">
        <v>131</v>
      </c>
      <c r="B25" s="8">
        <v>50505</v>
      </c>
      <c r="C25" s="3" t="s">
        <v>132</v>
      </c>
      <c r="D25" s="3" t="s">
        <v>133</v>
      </c>
      <c r="E25" s="3" t="s">
        <v>76</v>
      </c>
    </row>
    <row r="26" spans="1:5" ht="15" customHeight="1" x14ac:dyDescent="0.25">
      <c r="A26" s="3" t="s">
        <v>134</v>
      </c>
      <c r="B26" s="8">
        <v>1173780</v>
      </c>
      <c r="C26" s="3" t="s">
        <v>135</v>
      </c>
      <c r="D26" s="3" t="s">
        <v>136</v>
      </c>
      <c r="E26" s="3" t="s">
        <v>76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7"/>
  <sheetViews>
    <sheetView workbookViewId="0"/>
  </sheetViews>
  <sheetFormatPr defaultRowHeight="15" x14ac:dyDescent="0.25"/>
  <cols>
    <col min="1" max="1" width="80" customWidth="1"/>
    <col min="2" max="4" width="18" customWidth="1"/>
    <col min="5" max="5" width="60" customWidth="1"/>
  </cols>
  <sheetData>
    <row r="1" spans="1:5" x14ac:dyDescent="0.25">
      <c r="A1" s="6" t="s">
        <v>137</v>
      </c>
      <c r="B1" s="7"/>
      <c r="C1" s="7"/>
      <c r="D1" s="7"/>
      <c r="E1" s="7"/>
    </row>
    <row r="2" spans="1:5" ht="75" customHeight="1" x14ac:dyDescent="0.25">
      <c r="A2" s="10" t="s">
        <v>138</v>
      </c>
      <c r="B2" s="11"/>
      <c r="C2" s="11"/>
      <c r="D2" s="11"/>
      <c r="E2" s="11"/>
    </row>
    <row r="4" spans="1:5" ht="45" customHeight="1" x14ac:dyDescent="0.25">
      <c r="A4" s="2" t="s">
        <v>139</v>
      </c>
      <c r="B4" s="2" t="s">
        <v>140</v>
      </c>
      <c r="C4" s="2" t="s">
        <v>141</v>
      </c>
      <c r="D4" s="2" t="s">
        <v>142</v>
      </c>
      <c r="E4" s="2" t="s">
        <v>143</v>
      </c>
    </row>
    <row r="5" spans="1:5" x14ac:dyDescent="0.25">
      <c r="A5" t="s">
        <v>144</v>
      </c>
      <c r="B5">
        <f>AVERAGE('Source Data'!$B$4,'Source Data'!$B$5)</f>
        <v>19</v>
      </c>
      <c r="C5">
        <f>'Source Data'!$B$4</f>
        <v>17</v>
      </c>
      <c r="D5">
        <f>'Source Data'!$B$5</f>
        <v>21</v>
      </c>
      <c r="E5" s="3" t="s">
        <v>145</v>
      </c>
    </row>
    <row r="6" spans="1:5" x14ac:dyDescent="0.25">
      <c r="A6" t="s">
        <v>146</v>
      </c>
      <c r="B6">
        <f>B5*'Source Data'!$B$6</f>
        <v>12.35</v>
      </c>
      <c r="C6">
        <f>C5*'Source Data'!$B$6</f>
        <v>11.05</v>
      </c>
      <c r="D6">
        <f>D5*'Source Data'!$B$6</f>
        <v>13.65</v>
      </c>
      <c r="E6" s="3" t="s">
        <v>147</v>
      </c>
    </row>
    <row r="7" spans="1:5" x14ac:dyDescent="0.25">
      <c r="A7" t="s">
        <v>148</v>
      </c>
      <c r="B7">
        <f>B6*'Source Data'!$B$11</f>
        <v>11.102650000000001</v>
      </c>
      <c r="C7">
        <f>C6*'Source Data'!$B$11</f>
        <v>9.9339500000000012</v>
      </c>
      <c r="D7">
        <f>D6*'Source Data'!$B$11</f>
        <v>12.27135</v>
      </c>
      <c r="E7" s="3" t="s">
        <v>149</v>
      </c>
    </row>
    <row r="8" spans="1:5" x14ac:dyDescent="0.25">
      <c r="A8" t="s">
        <v>150</v>
      </c>
      <c r="B8">
        <f>B7/'Source Data'!$B$12</f>
        <v>11.434243048403708</v>
      </c>
      <c r="C8">
        <f>C7/'Source Data'!$B$12</f>
        <v>10.230638516992792</v>
      </c>
      <c r="D8">
        <f>D7/'Source Data'!$B$12</f>
        <v>12.637847579814624</v>
      </c>
      <c r="E8" s="3" t="s">
        <v>151</v>
      </c>
    </row>
    <row r="9" spans="1:5" x14ac:dyDescent="0.25">
      <c r="A9" t="s">
        <v>152</v>
      </c>
      <c r="B9">
        <f>B8*'Source Data'!$B$10</f>
        <v>10837571.315518023</v>
      </c>
      <c r="C9">
        <f>C8*'Source Data'!$B$10</f>
        <v>9696774.3349371795</v>
      </c>
      <c r="D9">
        <f>D8*'Source Data'!$B$10</f>
        <v>11978368.296098867</v>
      </c>
      <c r="E9" s="3" t="s">
        <v>153</v>
      </c>
    </row>
    <row r="10" spans="1:5" x14ac:dyDescent="0.25">
      <c r="A10" t="s">
        <v>154</v>
      </c>
      <c r="B10">
        <f>'Source Data'!$B$13/'Source Data'!$B$14</f>
        <v>0.57360406091370564</v>
      </c>
      <c r="C10">
        <f>B10</f>
        <v>0.57360406091370564</v>
      </c>
      <c r="D10">
        <f>B10</f>
        <v>0.57360406091370564</v>
      </c>
      <c r="E10" s="3" t="s">
        <v>155</v>
      </c>
    </row>
    <row r="11" spans="1:5" x14ac:dyDescent="0.25">
      <c r="A11" s="1" t="s">
        <v>156</v>
      </c>
      <c r="B11" s="9">
        <f>B9/B10</f>
        <v>18893819.019088943</v>
      </c>
      <c r="C11" s="1">
        <f>C9/C10</f>
        <v>16904995.964448001</v>
      </c>
      <c r="D11" s="1">
        <f>D9/D10</f>
        <v>20882642.07372988</v>
      </c>
      <c r="E11" s="3" t="s">
        <v>157</v>
      </c>
    </row>
    <row r="13" spans="1:5" x14ac:dyDescent="0.25">
      <c r="A13" s="6" t="s">
        <v>158</v>
      </c>
      <c r="B13" s="7"/>
      <c r="C13" s="7"/>
      <c r="D13" s="7"/>
      <c r="E13" s="7"/>
    </row>
    <row r="14" spans="1:5" x14ac:dyDescent="0.25">
      <c r="A14" t="s">
        <v>159</v>
      </c>
      <c r="B14">
        <f>('Source Data'!$B$7+'Source Data'!$B$8)*'Source Data'!$B$9</f>
        <v>15.542029936000002</v>
      </c>
      <c r="E14" t="s">
        <v>160</v>
      </c>
    </row>
    <row r="15" spans="1:5" x14ac:dyDescent="0.25">
      <c r="A15" t="s">
        <v>161</v>
      </c>
      <c r="B15">
        <f>B10*1000/B6</f>
        <v>46.44567294847819</v>
      </c>
    </row>
    <row r="16" spans="1:5" x14ac:dyDescent="0.25">
      <c r="A16" t="s">
        <v>162</v>
      </c>
      <c r="B16">
        <f>'Source Data'!$B$17*'Source Data'!$B$10/1000</f>
        <v>50.291176387200004</v>
      </c>
    </row>
    <row r="17" spans="1:5" ht="60" customHeight="1" x14ac:dyDescent="0.25">
      <c r="A17" t="s">
        <v>163</v>
      </c>
      <c r="B17">
        <f>B15/B16</f>
        <v>0.92353522595863236</v>
      </c>
      <c r="E17" s="3" t="s">
        <v>164</v>
      </c>
    </row>
    <row r="18" spans="1:5" ht="30" customHeight="1" x14ac:dyDescent="0.25">
      <c r="A18" t="s">
        <v>165</v>
      </c>
      <c r="B18">
        <f>'Source Data'!$B$15</f>
        <v>1</v>
      </c>
      <c r="C18">
        <f>'Source Data'!$B$16</f>
        <v>1.6</v>
      </c>
      <c r="E18" s="3" t="s">
        <v>166</v>
      </c>
    </row>
    <row r="20" spans="1:5" x14ac:dyDescent="0.25">
      <c r="A20" s="6" t="s">
        <v>167</v>
      </c>
      <c r="B20" s="7"/>
      <c r="C20" s="7"/>
      <c r="D20" s="7"/>
      <c r="E20" s="7"/>
    </row>
    <row r="21" spans="1:5" x14ac:dyDescent="0.25">
      <c r="A21" t="s">
        <v>168</v>
      </c>
      <c r="B21">
        <f>'Source Data'!$B$20*'Source Data'!$B$21</f>
        <v>1.2687999999999999</v>
      </c>
    </row>
    <row r="22" spans="1:5" x14ac:dyDescent="0.25">
      <c r="A22" t="s">
        <v>169</v>
      </c>
      <c r="B22">
        <f>'Source Data'!$B$19*'Source Data'!$B$22/B21</f>
        <v>18233219.735182852</v>
      </c>
      <c r="E22" t="s">
        <v>170</v>
      </c>
    </row>
    <row r="23" spans="1:5" ht="30" customHeight="1" x14ac:dyDescent="0.25">
      <c r="A23" t="s">
        <v>171</v>
      </c>
      <c r="B23">
        <f>B11/B22</f>
        <v>1.0362305338004234</v>
      </c>
      <c r="E23" s="3" t="s">
        <v>172</v>
      </c>
    </row>
    <row r="25" spans="1:5" x14ac:dyDescent="0.25">
      <c r="A25" s="6" t="s">
        <v>173</v>
      </c>
      <c r="B25" s="7"/>
      <c r="C25" s="7"/>
      <c r="D25" s="7"/>
      <c r="E25" s="7"/>
    </row>
    <row r="26" spans="1:5" ht="30" customHeight="1" x14ac:dyDescent="0.25">
      <c r="A26" s="2" t="s">
        <v>174</v>
      </c>
      <c r="B26" s="2" t="s">
        <v>175</v>
      </c>
      <c r="C26" s="2" t="s">
        <v>176</v>
      </c>
      <c r="D26" s="2" t="s">
        <v>177</v>
      </c>
      <c r="E26" s="2" t="s">
        <v>178</v>
      </c>
    </row>
    <row r="27" spans="1:5" x14ac:dyDescent="0.25">
      <c r="A27" t="s">
        <v>179</v>
      </c>
      <c r="B27">
        <f>'Source Data'!$B$11</f>
        <v>0.89900000000000002</v>
      </c>
      <c r="C27">
        <f>'Source Data'!$B$12</f>
        <v>0.97099999999999997</v>
      </c>
      <c r="D27">
        <f>$B$6*B27/C27*'Source Data'!$B$10/$B$10</f>
        <v>18893819.019088943</v>
      </c>
      <c r="E27" t="s">
        <v>180</v>
      </c>
    </row>
    <row r="28" spans="1:5" x14ac:dyDescent="0.25">
      <c r="A28" t="s">
        <v>181</v>
      </c>
      <c r="B28">
        <f>'Source Data'!$B$18</f>
        <v>0.95</v>
      </c>
      <c r="C28">
        <f>'Source Data'!$B$12</f>
        <v>0.97099999999999997</v>
      </c>
      <c r="D28">
        <f>$B$6*B28/C28*'Source Data'!$B$10/$B$10</f>
        <v>19965659.697591204</v>
      </c>
      <c r="E28" t="s">
        <v>182</v>
      </c>
    </row>
    <row r="29" spans="1:5" x14ac:dyDescent="0.25">
      <c r="A29" t="s">
        <v>183</v>
      </c>
      <c r="B29">
        <v>1</v>
      </c>
      <c r="C29">
        <v>1</v>
      </c>
      <c r="D29">
        <f>$B$6*B29/C29*'Source Data'!$B$10/$B$10</f>
        <v>20407005.859327432</v>
      </c>
      <c r="E29" t="s">
        <v>184</v>
      </c>
    </row>
    <row r="30" spans="1:5" x14ac:dyDescent="0.25">
      <c r="A30" t="s">
        <v>185</v>
      </c>
      <c r="B30">
        <f>MAX(D27:D29)/MIN(D27:D29)</f>
        <v>1.0800889877641824</v>
      </c>
    </row>
    <row r="32" spans="1:5" x14ac:dyDescent="0.25">
      <c r="A32" s="6" t="s">
        <v>186</v>
      </c>
      <c r="B32" s="7"/>
      <c r="C32" s="7"/>
      <c r="D32" s="7"/>
      <c r="E32" s="7"/>
    </row>
    <row r="33" spans="1:5" x14ac:dyDescent="0.25">
      <c r="A33" t="s">
        <v>187</v>
      </c>
      <c r="B33">
        <f>'Source Data'!$B$23*1000/'Source Data'!$B$24</f>
        <v>3.0874185507499892</v>
      </c>
      <c r="E33" t="s">
        <v>188</v>
      </c>
    </row>
    <row r="34" spans="1:5" x14ac:dyDescent="0.25">
      <c r="A34" t="s">
        <v>189</v>
      </c>
      <c r="B34">
        <f>'Source Data'!$B$25/'Source Data'!$B$24</f>
        <v>0.44172825469016486</v>
      </c>
      <c r="E34" t="s">
        <v>190</v>
      </c>
    </row>
    <row r="35" spans="1:5" x14ac:dyDescent="0.25">
      <c r="A35" t="s">
        <v>191</v>
      </c>
      <c r="B35">
        <f>B33*'Source Data'!$B$22/B34</f>
        <v>23848835.164835166</v>
      </c>
    </row>
    <row r="36" spans="1:5" x14ac:dyDescent="0.25">
      <c r="A36" t="s">
        <v>192</v>
      </c>
      <c r="B36">
        <f>'Source Data'!$B$25/'Source Data'!$B$26*1000</f>
        <v>43.027654245258908</v>
      </c>
      <c r="E36" t="s">
        <v>193</v>
      </c>
    </row>
    <row r="37" spans="1:5" ht="60" customHeight="1" x14ac:dyDescent="0.25">
      <c r="A37" t="s">
        <v>194</v>
      </c>
      <c r="B37">
        <f>B11/B35</f>
        <v>0.79223236223074167</v>
      </c>
      <c r="E37" s="3" t="s">
        <v>195</v>
      </c>
    </row>
  </sheetData>
  <mergeCells count="1">
    <mergeCell ref="A2:E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workbookViewId="0"/>
  </sheetViews>
  <sheetFormatPr defaultRowHeight="15" x14ac:dyDescent="0.25"/>
  <cols>
    <col min="1" max="1" width="82" customWidth="1"/>
    <col min="2" max="2" width="18" customWidth="1"/>
    <col min="3" max="3" width="12" customWidth="1"/>
  </cols>
  <sheetData>
    <row r="1" spans="1:3" x14ac:dyDescent="0.25">
      <c r="A1" s="6" t="s">
        <v>196</v>
      </c>
      <c r="B1" s="7"/>
      <c r="C1" s="7"/>
    </row>
    <row r="2" spans="1:3" ht="30" customHeight="1" x14ac:dyDescent="0.25">
      <c r="A2" s="2" t="s">
        <v>197</v>
      </c>
      <c r="B2" s="2" t="s">
        <v>69</v>
      </c>
      <c r="C2" s="2" t="s">
        <v>198</v>
      </c>
    </row>
    <row r="3" spans="1:3" ht="30" x14ac:dyDescent="0.25">
      <c r="A3" s="3" t="s">
        <v>199</v>
      </c>
      <c r="B3">
        <f>'Source Data'!$B$12-'Source Data'!$B$11</f>
        <v>7.1999999999999953E-2</v>
      </c>
      <c r="C3" t="str">
        <f>IF(B3&gt;0,"PASS","FAIL")</f>
        <v>PASS</v>
      </c>
    </row>
    <row r="4" spans="1:3" x14ac:dyDescent="0.25">
      <c r="A4" s="3" t="s">
        <v>200</v>
      </c>
      <c r="B4">
        <f>Calcs!B11</f>
        <v>18893819.019088943</v>
      </c>
      <c r="C4" t="str">
        <f>IF(AND(B4&gt;=Calcs!C11,B4&lt;=Calcs!D11),"PASS","FAIL")</f>
        <v>PASS</v>
      </c>
    </row>
    <row r="5" spans="1:3" x14ac:dyDescent="0.25">
      <c r="A5" s="3" t="s">
        <v>201</v>
      </c>
      <c r="B5">
        <f>Calcs!B17</f>
        <v>0.92353522595863236</v>
      </c>
      <c r="C5" t="str">
        <f>IF(AND(B5&gt;0.5,B5&lt;1.1),"PASS","FAIL")</f>
        <v>PASS</v>
      </c>
    </row>
    <row r="6" spans="1:3" x14ac:dyDescent="0.25">
      <c r="A6" s="3" t="s">
        <v>202</v>
      </c>
      <c r="B6">
        <f>Calcs!B10</f>
        <v>0.57360406091370564</v>
      </c>
      <c r="C6" t="str">
        <f>IF(AND(B6&gt;0,B6&lt;1),"PASS","FAIL")</f>
        <v>PASS</v>
      </c>
    </row>
    <row r="7" spans="1:3" ht="30" x14ac:dyDescent="0.25">
      <c r="A7" s="3" t="s">
        <v>203</v>
      </c>
      <c r="B7">
        <f>Calcs!B11/(1000000/'Source Data'!$B$17)-1</f>
        <v>2.5060371528593528E-3</v>
      </c>
      <c r="C7" t="str">
        <f>IF(ABS(B7)&lt;0.25,"PASS","FAIL")</f>
        <v>PASS</v>
      </c>
    </row>
    <row r="8" spans="1:3" x14ac:dyDescent="0.25">
      <c r="A8" s="3" t="s">
        <v>204</v>
      </c>
      <c r="B8">
        <f>Calcs!B23-1</f>
        <v>3.6230533800423403E-2</v>
      </c>
      <c r="C8" t="str">
        <f>IF(ABS(B8)&lt;0.25,"PASS","FAIL")</f>
        <v>PASS</v>
      </c>
    </row>
    <row r="9" spans="1:3" x14ac:dyDescent="0.25">
      <c r="A9" s="3" t="s">
        <v>205</v>
      </c>
      <c r="B9">
        <f>Calcs!B11/Calcs!D27-1</f>
        <v>0</v>
      </c>
      <c r="C9" t="str">
        <f>IF(ABS(B9)&lt;0.000000001,"PASS","FAIL")</f>
        <v>PASS</v>
      </c>
    </row>
    <row r="10" spans="1:3" x14ac:dyDescent="0.25">
      <c r="A10" s="3" t="s">
        <v>206</v>
      </c>
      <c r="B10">
        <f>Calcs!B37</f>
        <v>0.79223236223074167</v>
      </c>
      <c r="C10" t="str">
        <f>IF(AND(B10&gt;0.6,B10&lt;=1),"PASS","FAIL")</f>
        <v>PASS</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B2"/>
  <sheetViews>
    <sheetView workbookViewId="0"/>
  </sheetViews>
  <sheetFormatPr defaultRowHeight="15" x14ac:dyDescent="0.25"/>
  <cols>
    <col min="1" max="1" width="60" customWidth="1"/>
    <col min="2" max="2" width="22" customWidth="1"/>
  </cols>
  <sheetData>
    <row r="1" spans="1:2" x14ac:dyDescent="0.25">
      <c r="A1" t="s">
        <v>207</v>
      </c>
      <c r="B1" t="s">
        <v>208</v>
      </c>
    </row>
    <row r="2" spans="1:2" x14ac:dyDescent="0.25">
      <c r="A2" t="s">
        <v>209</v>
      </c>
      <c r="B2">
        <f>Calcs!B11</f>
        <v>18893819.019088943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Source Data</vt:lpstr>
      <vt:lpstr>Calcs</vt:lpstr>
      <vt:lpstr>Checks</vt:lpstr>
      <vt:lpstr>EEpTSCA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2026-10-30T13:38:10Z</dcterms:created>
  <dcterms:modified xsi:type="dcterms:W3CDTF">2026-10-30T13:38:13Z</dcterms:modified>
</cp:coreProperties>
</file>