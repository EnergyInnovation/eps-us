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 sheetId="1" state="visible" r:id="rId1"/>
    <sheet name="Source Data" sheetId="2" state="visible" r:id="rId2"/>
    <sheet name="Calcs" sheetId="3" state="visible" r:id="rId3"/>
    <sheet name="Checks" sheetId="4" state="visible" r:id="rId4"/>
    <sheet name="SoCPCbP"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20" customWidth="1" min="1" max="1"/>
  </cols>
  <sheetData>
    <row r="1">
      <c r="A1" s="1" t="inlineStr">
        <is>
          <t>SoCPCbP Share of Chemicals Process CO2 by Pool</t>
        </is>
      </c>
    </row>
    <row r="2">
      <c r="A2" s="2" t="inlineStr">
        <is>
          <t>Purpose and layout: splits the chemicals 20 BAU process CO2 (BPE) into the three pools the EPS chemicals levers act on. Source Data holds the GHGI rows; Calcs assigns each row to a pool and computes 2023 shares; the SoCPCbP tab (dark blue) is the export. CSV values computed in Python from the same formulas; recalc in Excel to verify.</t>
        </is>
      </c>
    </row>
    <row r="3">
      <c r="A3" s="2" t="inlineStr"/>
    </row>
    <row r="4">
      <c r="A4" s="1" t="inlineStr">
        <is>
          <t>Pools</t>
        </is>
      </c>
    </row>
    <row r="5">
      <c r="A5" s="2" t="inlineStr">
        <is>
          <t>syngas vent: reforming/gasification plus water-gas-shift CO2 from ammonia, methanol and coal-to-chemicals routes. In the US, after ammonia is excluded from BPE chemicals 20 (it is emitted by the EPS hydrogen sector when it makes the hydrogen chemicals demands), only methanol remains.</t>
        </is>
      </c>
    </row>
    <row r="6">
      <c r="A6" s="2" t="inlineStr">
        <is>
          <t>other stack: cracker off-gas combustion and flares, carbon black, ethylene oxide, ethylene dichloride, acrylonitrile (GHGI petrochemical production less methanol), plus phosphoric acid, carbide and the small ODS CO2 line.</t>
        </is>
      </c>
    </row>
    <row r="7">
      <c r="A7" s="2" t="inlineStr">
        <is>
          <t>diffuse feedstock oxidation: CO2 from non-energy use of fuels allocated to chemicals (GHGI Table 3-24): carbon in products released during use and disposal. Not capturable.</t>
        </is>
      </c>
    </row>
    <row r="8">
      <c r="A8" s="2" t="inlineStr"/>
    </row>
    <row r="9">
      <c r="A9" s="1" t="inlineStr">
        <is>
          <t>Method</t>
        </is>
      </c>
    </row>
    <row r="10">
      <c r="A10" s="2" t="inlineStr">
        <is>
          <t>Shares are the 2023 inventory shares and are held constant over 2020-2050 because the BPE workbook projects chemicals process CO2 with a single growth multiplier. The 2021 and 2022 columns are shown for reference only. Rows must sum to 1 each year (Checks).</t>
        </is>
      </c>
    </row>
    <row r="11">
      <c r="A11" s="2" t="inlineStr"/>
    </row>
    <row r="12">
      <c r="A12" s="1" t="inlineStr">
        <is>
          <t>Sources</t>
        </is>
      </c>
    </row>
    <row r="13">
      <c r="A13" s="2" t="inlineStr">
        <is>
          <t>U.S. EPA (2025). Inventory of U.S. Greenhouse Gas Emissions and Sinks: 1990-2023. EPA 430-R-25-003. Table 4-1 (IPPU by source), Table 4-55 (petrochemical production CO2 by product), section 4.13 text (methanol 2,130,000 t CO2 in 2023), Table 3-24 (CO2 from non-energy use of fuels). https://www.epa.gov/ghgemissions/inventory-us-greenhouse-gas-emissions-and-sinks</t>
        </is>
      </c>
    </row>
    <row r="14">
      <c r="A14" s="2" t="inlineStr">
        <is>
          <t>Values for Tables 4-1 and 3-24 are taken from the tabs of the same name in InputData/indst/BPE/BAU Process Emissions.xlsx (chemicals 20 mapping), so this split reconciles to BPE by construction.</t>
        </is>
      </c>
    </row>
    <row r="15">
      <c r="A15" s="2" t="inlineStr"/>
    </row>
    <row r="16">
      <c r="A16" s="1" t="inlineStr">
        <is>
          <t>Regional adaptation</t>
        </is>
      </c>
    </row>
    <row r="17">
      <c r="A17" s="2" t="inlineStr">
        <is>
          <t>Replace Source Data with the national inventory rows (CRF 2.B.1 ammonia, 2.B.8 petrochemical and carbon black, 2.D non-energy products; for China the coal-chemicals process CO2 by product) and keep the pool assignments. If ammonia CO2 is in the chemicals process baseline rather than the hydrogen sector, assign it to syngas vent.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80" customWidth="1" min="1" max="1"/>
    <col width="28" customWidth="1" min="5" max="5"/>
    <col width="60" customWidth="1" min="6" max="6"/>
  </cols>
  <sheetData>
    <row r="1">
      <c r="A1" s="3" t="inlineStr">
        <is>
          <t>Row</t>
        </is>
      </c>
      <c r="B1" s="3" t="inlineStr">
        <is>
          <t>2021</t>
        </is>
      </c>
      <c r="C1" s="3" t="inlineStr">
        <is>
          <t>2022</t>
        </is>
      </c>
      <c r="D1" s="3" t="inlineStr">
        <is>
          <t>2023</t>
        </is>
      </c>
      <c r="E1" s="3" t="inlineStr">
        <is>
          <t>Pool assignment</t>
        </is>
      </c>
      <c r="F1" s="3" t="inlineStr">
        <is>
          <t>Source</t>
        </is>
      </c>
    </row>
    <row r="2">
      <c r="A2" t="inlineStr">
        <is>
          <t>Petrochemical Production (Table 4-1)</t>
        </is>
      </c>
      <c r="B2" t="n">
        <v>30.656</v>
      </c>
      <c r="C2" t="n">
        <v>28.788</v>
      </c>
      <c r="D2" t="n">
        <v>30.54</v>
      </c>
      <c r="F2" t="inlineStr">
        <is>
          <t>GHGI Table 4-1</t>
        </is>
      </c>
    </row>
    <row r="3">
      <c r="A3" t="inlineStr">
        <is>
          <t xml:space="preserve">  of which Methanol (Table 4-55 / sec. 4.13)</t>
        </is>
      </c>
      <c r="B3" t="n">
        <v>1</v>
      </c>
      <c r="C3" t="n">
        <v>1</v>
      </c>
      <c r="D3" t="n">
        <v>2.13</v>
      </c>
      <c r="E3" t="inlineStr">
        <is>
          <t>syngas vent</t>
        </is>
      </c>
      <c r="F3" t="inlineStr">
        <is>
          <t>GHGI Table 4-55; sec. 4.13 text: 2,130,000 t CO2 in 2023</t>
        </is>
      </c>
    </row>
    <row r="4">
      <c r="A4" t="inlineStr">
        <is>
          <t>Ammonia Production (Table 4-1) - EXCLUDED from BPE chemicals 20</t>
        </is>
      </c>
      <c r="B4" t="n">
        <v>11.458</v>
      </c>
      <c r="C4" t="n">
        <v>11.945</v>
      </c>
      <c r="D4" t="n">
        <v>12.211</v>
      </c>
      <c r="E4" t="inlineStr">
        <is>
          <t>excluded</t>
        </is>
      </c>
      <c r="F4" t="inlineStr">
        <is>
          <t>GHGI Table 4-1; booked in the EPS hydrogen sector</t>
        </is>
      </c>
    </row>
    <row r="5">
      <c r="A5" t="inlineStr">
        <is>
          <t>Urea Consumption for Non-Agricultural Purposes (Table 4-1) - EXCLUDED</t>
        </is>
      </c>
      <c r="B5" t="n">
        <v>6.724</v>
      </c>
      <c r="C5" t="n">
        <v>5.464</v>
      </c>
      <c r="D5" t="n">
        <v>5.424</v>
      </c>
      <c r="E5" t="inlineStr">
        <is>
          <t>excluded</t>
        </is>
      </c>
      <c r="F5" t="inlineStr">
        <is>
          <t>GHGI Table 4-1; re-release of CO2 captured into urea</t>
        </is>
      </c>
    </row>
    <row r="6">
      <c r="A6" t="inlineStr">
        <is>
          <t>Phosphoric Acid Production (Table 4-1)</t>
        </is>
      </c>
      <c r="B6" t="n">
        <v>0.874</v>
      </c>
      <c r="C6" t="n">
        <v>0.804</v>
      </c>
      <c r="D6" t="n">
        <v>0.85</v>
      </c>
      <c r="E6" t="inlineStr">
        <is>
          <t>other stack</t>
        </is>
      </c>
      <c r="F6" t="inlineStr">
        <is>
          <t>GHGI Table 4-1</t>
        </is>
      </c>
    </row>
    <row r="7">
      <c r="A7" t="inlineStr">
        <is>
          <t>Carbide Production and Consumption (Table 4-1)</t>
        </is>
      </c>
      <c r="B7" t="n">
        <v>0.172</v>
      </c>
      <c r="C7" t="n">
        <v>0.21</v>
      </c>
      <c r="D7" t="n">
        <v>0.183</v>
      </c>
      <c r="E7" t="inlineStr">
        <is>
          <t>other stack</t>
        </is>
      </c>
      <c r="F7" t="inlineStr">
        <is>
          <t>GHGI Table 4-1</t>
        </is>
      </c>
    </row>
    <row r="8">
      <c r="A8" t="inlineStr">
        <is>
          <t>Substitution of Ozone Depleting Substances, CO2 (Table 4-1)</t>
        </is>
      </c>
      <c r="B8" t="n">
        <v>0.004</v>
      </c>
      <c r="C8" t="n">
        <v>0.004</v>
      </c>
      <c r="D8" t="n">
        <v>0.004</v>
      </c>
      <c r="E8" t="inlineStr">
        <is>
          <t>other stack</t>
        </is>
      </c>
      <c r="F8" t="inlineStr">
        <is>
          <t>GHGI Table 4-1</t>
        </is>
      </c>
    </row>
    <row r="9">
      <c r="A9" t="inlineStr">
        <is>
          <t>Non-energy use of fuels allocated to chemicals: natural gas to chemical plants (Table 3-24)</t>
        </is>
      </c>
      <c r="D9" t="n">
        <v>11.935</v>
      </c>
      <c r="E9" t="inlineStr">
        <is>
          <t>diffuse feedstock oxidation</t>
        </is>
      </c>
      <c r="F9" t="inlineStr">
        <is>
          <t>GHGI Table 3-24 (2023 column, BPE workbook allocation)</t>
        </is>
      </c>
    </row>
    <row r="10">
      <c r="A10" t="inlineStr">
        <is>
          <t>Non-energy use of fuels allocated to chemicals: HGL (Table 3-24)</t>
        </is>
      </c>
      <c r="D10" t="n">
        <v>62.157</v>
      </c>
      <c r="E10" t="inlineStr">
        <is>
          <t>diffuse feedstock oxidation</t>
        </is>
      </c>
      <c r="F10" t="inlineStr">
        <is>
          <t>GHGI Table 3-24</t>
        </is>
      </c>
    </row>
    <row r="11">
      <c r="A11" t="inlineStr">
        <is>
          <t>Non-energy use of fuels allocated to chemicals: other (Table 3-24)</t>
        </is>
      </c>
      <c r="D11" t="n">
        <v>0.277</v>
      </c>
      <c r="E11" t="inlineStr">
        <is>
          <t>diffuse feedstock oxidation</t>
        </is>
      </c>
      <c r="F11" t="inlineStr">
        <is>
          <t>GHGI Table 3-24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62" customWidth="1" min="1" max="1"/>
    <col width="16" customWidth="1" min="2" max="2"/>
  </cols>
  <sheetData>
    <row r="1">
      <c r="A1" s="3" t="inlineStr">
        <is>
          <t>Pool</t>
        </is>
      </c>
      <c r="B1" s="3" t="inlineStr">
        <is>
          <t>MMT CO2 2023</t>
        </is>
      </c>
      <c r="C1" s="3" t="inlineStr">
        <is>
          <t>Share 2023</t>
        </is>
      </c>
    </row>
    <row r="2">
      <c r="A2" t="inlineStr">
        <is>
          <t>syngas vent</t>
        </is>
      </c>
      <c r="B2">
        <f>SUMIF('Source Data'!E:E,A2,'Source Data'!D:D)</f>
        <v/>
      </c>
      <c r="C2">
        <f>B2/$B$5</f>
        <v/>
      </c>
    </row>
    <row r="3">
      <c r="A3" t="inlineStr">
        <is>
          <t>other stack</t>
        </is>
      </c>
      <c r="B3">
        <f>SUMIF('Source Data'!E:E,A3,'Source Data'!D:D)+'Source Data'!D2-'Source Data'!D3</f>
        <v/>
      </c>
      <c r="C3">
        <f>B3/$B$5</f>
        <v/>
      </c>
    </row>
    <row r="4">
      <c r="A4" t="inlineStr">
        <is>
          <t>diffuse feedstock oxidation</t>
        </is>
      </c>
      <c r="B4">
        <f>SUMIF('Source Data'!E:E,A4,'Source Data'!D:D)</f>
        <v/>
      </c>
      <c r="C4">
        <f>B4/$B$5</f>
        <v/>
      </c>
    </row>
    <row r="5">
      <c r="A5" t="inlineStr">
        <is>
          <t>total (= BPE chemicals 20 CO2 after ammonia exclusion)</t>
        </is>
      </c>
      <c r="B5">
        <f>SUM(B2:B4)</f>
        <v/>
      </c>
      <c r="C5">
        <f>SUM(C2:C4)</f>
        <v/>
      </c>
    </row>
    <row r="6">
      <c r="A6" t="inlineStr">
        <is>
          <t>BPE workbook subtotal after exclusion (US specific multipliers G30)</t>
        </is>
      </c>
      <c r="B6" t="n">
        <v>105.946922893</v>
      </c>
      <c r="C6">
        <f>B6-B5</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Check</t>
        </is>
      </c>
      <c r="B1" t="inlineStr">
        <is>
          <t>Value</t>
        </is>
      </c>
      <c r="C1" t="inlineStr">
        <is>
          <t>Pass?</t>
        </is>
      </c>
    </row>
    <row r="2">
      <c r="A2" t="inlineStr">
        <is>
          <t>Shares sum to 1</t>
        </is>
      </c>
      <c r="B2">
        <f>Calcs!C5</f>
        <v/>
      </c>
      <c r="C2">
        <f>IF(ABS(B2-1)&lt;1e-9,"PASS","FAIL")</f>
        <v/>
      </c>
    </row>
    <row r="3">
      <c r="A3" t="inlineStr">
        <is>
          <t>Total reconciles to BPE subtotal (MMT)</t>
        </is>
      </c>
      <c r="B3">
        <f>Calcs!C6</f>
        <v/>
      </c>
      <c r="C3">
        <f>IF(ABS(B3)&lt;0.01,"PASS","FAIL")</f>
        <v/>
      </c>
    </row>
  </sheetData>
  <pageMargins left="0.75" right="0.75" top="1" bottom="1" header="0.5" footer="0.5"/>
</worksheet>
</file>

<file path=xl/worksheets/sheet5.xml><?xml version="1.0" encoding="utf-8"?>
<worksheet xmlns="http://schemas.openxmlformats.org/spreadsheetml/2006/main">
  <sheetPr>
    <tabColor rgb="001F3864"/>
    <outlinePr summaryBelow="1" summaryRight="1"/>
    <pageSetUpPr/>
  </sheetPr>
  <dimension ref="A1:AF5"/>
  <sheetViews>
    <sheetView workbookViewId="0">
      <selection activeCell="A1" sqref="A1"/>
    </sheetView>
  </sheetViews>
  <sheetFormatPr baseColWidth="8" defaultRowHeight="15"/>
  <sheetData>
    <row r="1">
      <c r="A1" t="inlineStr">
        <is>
          <t>Share of Chemicals Process CO2 by Pool</t>
        </is>
      </c>
      <c r="B1" t="inlineStr">
        <is>
          <t>Unit: dimensionless (shares sum to 1)</t>
        </is>
      </c>
    </row>
    <row r="2">
      <c r="A2" t="inlineStr">
        <is>
          <t>To type (below) / From type (right)</t>
        </is>
      </c>
      <c r="B2" t="n">
        <v>2020</v>
      </c>
      <c r="C2" t="n">
        <v>2021</v>
      </c>
      <c r="D2" t="n">
        <v>2022</v>
      </c>
      <c r="E2" t="n">
        <v>2023</v>
      </c>
      <c r="F2" t="n">
        <v>2024</v>
      </c>
      <c r="G2" t="n">
        <v>2025</v>
      </c>
      <c r="H2" t="n">
        <v>2026</v>
      </c>
      <c r="I2" t="n">
        <v>2027</v>
      </c>
      <c r="J2" t="n">
        <v>2028</v>
      </c>
      <c r="K2" t="n">
        <v>2029</v>
      </c>
      <c r="L2" t="n">
        <v>2030</v>
      </c>
      <c r="M2" t="n">
        <v>2031</v>
      </c>
      <c r="N2" t="n">
        <v>2032</v>
      </c>
      <c r="O2" t="n">
        <v>2033</v>
      </c>
      <c r="P2" t="n">
        <v>2034</v>
      </c>
      <c r="Q2" t="n">
        <v>2035</v>
      </c>
      <c r="R2" t="n">
        <v>2036</v>
      </c>
      <c r="S2" t="n">
        <v>2037</v>
      </c>
      <c r="T2" t="n">
        <v>2038</v>
      </c>
      <c r="U2" t="n">
        <v>2039</v>
      </c>
      <c r="V2" t="n">
        <v>2040</v>
      </c>
      <c r="W2" t="n">
        <v>2041</v>
      </c>
      <c r="X2" t="n">
        <v>2042</v>
      </c>
      <c r="Y2" t="n">
        <v>2043</v>
      </c>
      <c r="Z2" t="n">
        <v>2044</v>
      </c>
      <c r="AA2" t="n">
        <v>2045</v>
      </c>
      <c r="AB2" t="n">
        <v>2046</v>
      </c>
      <c r="AC2" t="n">
        <v>2047</v>
      </c>
      <c r="AD2" t="n">
        <v>2048</v>
      </c>
      <c r="AE2" t="n">
        <v>2049</v>
      </c>
      <c r="AF2" t="n">
        <v>2050</v>
      </c>
    </row>
    <row r="3">
      <c r="A3" t="inlineStr">
        <is>
          <t>syngas vent</t>
        </is>
      </c>
      <c r="B3">
        <f>Calcs!$C$2</f>
        <v/>
      </c>
      <c r="C3">
        <f>Calcs!$C$2</f>
        <v/>
      </c>
      <c r="D3">
        <f>Calcs!$C$2</f>
        <v/>
      </c>
      <c r="E3">
        <f>Calcs!$C$2</f>
        <v/>
      </c>
      <c r="F3">
        <f>Calcs!$C$2</f>
        <v/>
      </c>
      <c r="G3">
        <f>Calcs!$C$2</f>
        <v/>
      </c>
      <c r="H3">
        <f>Calcs!$C$2</f>
        <v/>
      </c>
      <c r="I3">
        <f>Calcs!$C$2</f>
        <v/>
      </c>
      <c r="J3">
        <f>Calcs!$C$2</f>
        <v/>
      </c>
      <c r="K3">
        <f>Calcs!$C$2</f>
        <v/>
      </c>
      <c r="L3">
        <f>Calcs!$C$2</f>
        <v/>
      </c>
      <c r="M3">
        <f>Calcs!$C$2</f>
        <v/>
      </c>
      <c r="N3">
        <f>Calcs!$C$2</f>
        <v/>
      </c>
      <c r="O3">
        <f>Calcs!$C$2</f>
        <v/>
      </c>
      <c r="P3">
        <f>Calcs!$C$2</f>
        <v/>
      </c>
      <c r="Q3">
        <f>Calcs!$C$2</f>
        <v/>
      </c>
      <c r="R3">
        <f>Calcs!$C$2</f>
        <v/>
      </c>
      <c r="S3">
        <f>Calcs!$C$2</f>
        <v/>
      </c>
      <c r="T3">
        <f>Calcs!$C$2</f>
        <v/>
      </c>
      <c r="U3">
        <f>Calcs!$C$2</f>
        <v/>
      </c>
      <c r="V3">
        <f>Calcs!$C$2</f>
        <v/>
      </c>
      <c r="W3">
        <f>Calcs!$C$2</f>
        <v/>
      </c>
      <c r="X3">
        <f>Calcs!$C$2</f>
        <v/>
      </c>
      <c r="Y3">
        <f>Calcs!$C$2</f>
        <v/>
      </c>
      <c r="Z3">
        <f>Calcs!$C$2</f>
        <v/>
      </c>
      <c r="AA3">
        <f>Calcs!$C$2</f>
        <v/>
      </c>
      <c r="AB3">
        <f>Calcs!$C$2</f>
        <v/>
      </c>
      <c r="AC3">
        <f>Calcs!$C$2</f>
        <v/>
      </c>
      <c r="AD3">
        <f>Calcs!$C$2</f>
        <v/>
      </c>
      <c r="AE3">
        <f>Calcs!$C$2</f>
        <v/>
      </c>
      <c r="AF3">
        <f>Calcs!$C$2</f>
        <v/>
      </c>
    </row>
    <row r="4">
      <c r="A4" t="inlineStr">
        <is>
          <t>other stack</t>
        </is>
      </c>
      <c r="B4">
        <f>Calcs!$C$3</f>
        <v/>
      </c>
      <c r="C4">
        <f>Calcs!$C$3</f>
        <v/>
      </c>
      <c r="D4">
        <f>Calcs!$C$3</f>
        <v/>
      </c>
      <c r="E4">
        <f>Calcs!$C$3</f>
        <v/>
      </c>
      <c r="F4">
        <f>Calcs!$C$3</f>
        <v/>
      </c>
      <c r="G4">
        <f>Calcs!$C$3</f>
        <v/>
      </c>
      <c r="H4">
        <f>Calcs!$C$3</f>
        <v/>
      </c>
      <c r="I4">
        <f>Calcs!$C$3</f>
        <v/>
      </c>
      <c r="J4">
        <f>Calcs!$C$3</f>
        <v/>
      </c>
      <c r="K4">
        <f>Calcs!$C$3</f>
        <v/>
      </c>
      <c r="L4">
        <f>Calcs!$C$3</f>
        <v/>
      </c>
      <c r="M4">
        <f>Calcs!$C$3</f>
        <v/>
      </c>
      <c r="N4">
        <f>Calcs!$C$3</f>
        <v/>
      </c>
      <c r="O4">
        <f>Calcs!$C$3</f>
        <v/>
      </c>
      <c r="P4">
        <f>Calcs!$C$3</f>
        <v/>
      </c>
      <c r="Q4">
        <f>Calcs!$C$3</f>
        <v/>
      </c>
      <c r="R4">
        <f>Calcs!$C$3</f>
        <v/>
      </c>
      <c r="S4">
        <f>Calcs!$C$3</f>
        <v/>
      </c>
      <c r="T4">
        <f>Calcs!$C$3</f>
        <v/>
      </c>
      <c r="U4">
        <f>Calcs!$C$3</f>
        <v/>
      </c>
      <c r="V4">
        <f>Calcs!$C$3</f>
        <v/>
      </c>
      <c r="W4">
        <f>Calcs!$C$3</f>
        <v/>
      </c>
      <c r="X4">
        <f>Calcs!$C$3</f>
        <v/>
      </c>
      <c r="Y4">
        <f>Calcs!$C$3</f>
        <v/>
      </c>
      <c r="Z4">
        <f>Calcs!$C$3</f>
        <v/>
      </c>
      <c r="AA4">
        <f>Calcs!$C$3</f>
        <v/>
      </c>
      <c r="AB4">
        <f>Calcs!$C$3</f>
        <v/>
      </c>
      <c r="AC4">
        <f>Calcs!$C$3</f>
        <v/>
      </c>
      <c r="AD4">
        <f>Calcs!$C$3</f>
        <v/>
      </c>
      <c r="AE4">
        <f>Calcs!$C$3</f>
        <v/>
      </c>
      <c r="AF4">
        <f>Calcs!$C$3</f>
        <v/>
      </c>
    </row>
    <row r="5">
      <c r="A5" t="inlineStr">
        <is>
          <t>diffuse feedstock oxidation</t>
        </is>
      </c>
      <c r="B5">
        <f>Calcs!$C$4</f>
        <v/>
      </c>
      <c r="C5">
        <f>Calcs!$C$4</f>
        <v/>
      </c>
      <c r="D5">
        <f>Calcs!$C$4</f>
        <v/>
      </c>
      <c r="E5">
        <f>Calcs!$C$4</f>
        <v/>
      </c>
      <c r="F5">
        <f>Calcs!$C$4</f>
        <v/>
      </c>
      <c r="G5">
        <f>Calcs!$C$4</f>
        <v/>
      </c>
      <c r="H5">
        <f>Calcs!$C$4</f>
        <v/>
      </c>
      <c r="I5">
        <f>Calcs!$C$4</f>
        <v/>
      </c>
      <c r="J5">
        <f>Calcs!$C$4</f>
        <v/>
      </c>
      <c r="K5">
        <f>Calcs!$C$4</f>
        <v/>
      </c>
      <c r="L5">
        <f>Calcs!$C$4</f>
        <v/>
      </c>
      <c r="M5">
        <f>Calcs!$C$4</f>
        <v/>
      </c>
      <c r="N5">
        <f>Calcs!$C$4</f>
        <v/>
      </c>
      <c r="O5">
        <f>Calcs!$C$4</f>
        <v/>
      </c>
      <c r="P5">
        <f>Calcs!$C$4</f>
        <v/>
      </c>
      <c r="Q5">
        <f>Calcs!$C$4</f>
        <v/>
      </c>
      <c r="R5">
        <f>Calcs!$C$4</f>
        <v/>
      </c>
      <c r="S5">
        <f>Calcs!$C$4</f>
        <v/>
      </c>
      <c r="T5">
        <f>Calcs!$C$4</f>
        <v/>
      </c>
      <c r="U5">
        <f>Calcs!$C$4</f>
        <v/>
      </c>
      <c r="V5">
        <f>Calcs!$C$4</f>
        <v/>
      </c>
      <c r="W5">
        <f>Calcs!$C$4</f>
        <v/>
      </c>
      <c r="X5">
        <f>Calcs!$C$4</f>
        <v/>
      </c>
      <c r="Y5">
        <f>Calcs!$C$4</f>
        <v/>
      </c>
      <c r="Z5">
        <f>Calcs!$C$4</f>
        <v/>
      </c>
      <c r="AA5">
        <f>Calcs!$C$4</f>
        <v/>
      </c>
      <c r="AB5">
        <f>Calcs!$C$4</f>
        <v/>
      </c>
      <c r="AC5">
        <f>Calcs!$C$4</f>
        <v/>
      </c>
      <c r="AD5">
        <f>Calcs!$C$4</f>
        <v/>
      </c>
      <c r="AE5">
        <f>Calcs!$C$4</f>
        <v/>
      </c>
      <c r="AF5">
        <f>Calcs!$C$4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2026-10-29T13:53:44Z</dcterms:created>
  <dcterms:modified xsi:type="dcterms:W3CDTF">2026-10-29T13:53:44Z</dcterms:modified>
</cp:coreProperties>
</file>