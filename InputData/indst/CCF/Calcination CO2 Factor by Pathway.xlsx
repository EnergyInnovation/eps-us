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ource Data" sheetId="2" state="visible" r:id="rId2"/>
    <sheet name="Parameters" sheetId="3" state="visible" r:id="rId3"/>
    <sheet name="Calc" sheetId="4" state="visible" r:id="rId4"/>
    <sheet name="Checks" sheetId="5" state="visible" r:id="rId5"/>
    <sheet name="C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pa.gov/ghgemissions/inventory-us-greenhouse-gas-emissions-and-sink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CCF Calcination CO2 Factor by Pathway</t>
        </is>
      </c>
    </row>
    <row r="3">
      <c r="A3" s="1" t="inlineStr">
        <is>
          <t>Sources:</t>
        </is>
      </c>
      <c r="B3" s="2" t="inlineStr">
        <is>
          <t>Calcination emission factor equation and inputs (CaO content, molar-mass ratio)</t>
        </is>
      </c>
    </row>
    <row r="4">
      <c r="B4" s="3" t="inlineStr">
        <is>
          <t>US EPA</t>
        </is>
      </c>
    </row>
    <row r="5">
      <c r="B5" s="3" t="inlineStr">
        <is>
          <t>Greenhouse Gas Inventory (GHGI), Cement Production chapter, Equation 4-1 (1990-2022 edition, official)</t>
        </is>
      </c>
    </row>
    <row r="6">
      <c r="B6" s="3" t="n">
        <v>2024</v>
      </c>
    </row>
    <row r="7">
      <c r="B7" s="4" t="inlineStr">
        <is>
          <t>https://www.epa.gov/ghgemissions/inventory-us-greenhouse-gas-emissions-and-sinks</t>
        </is>
      </c>
    </row>
    <row r="8">
      <c r="B8" s="3" t="inlineStr">
        <is>
          <t>[DIRECT for the official 1990-2022 edition] Equation 4-1: EF = (CaO fraction of clinker) x (44.01 / 56.08), where 44.01 = molar mass of CO2 (g/mol) and 56.08 = molar mass of CaO (g/mol). EPA's default CaO fraction is 0.650 (65.0% by mass). NOTE: a 1990-2023-vintage edition circulating publicly is EDF's FOIA release, not an official EPA posting - the factor is identical in both, but this workbook cites the official 1990-2022 edition as the source of record. 2023 GHGI anchors (context, not used in the formula): cement process CO2 40.6 MMT; lime 11.5 MMT.</t>
        </is>
      </c>
    </row>
    <row r="11">
      <c r="A11" s="1" t="inlineStr">
        <is>
          <t>Notes:</t>
        </is>
      </c>
    </row>
    <row r="12">
      <c r="A12" s="1" t="inlineStr">
        <is>
          <t>DRAFT status</t>
        </is>
      </c>
      <c r="B12" s="3" t="inlineStr">
        <is>
          <t>DRAFT - an input for staff review, not a finished or approved EI position. Verify every figure against primary sources before use in any work product; treat this workbook as a starting point open to further input and refinement.</t>
        </is>
      </c>
    </row>
    <row r="13">
      <c r="A13" s="1" t="inlineStr">
        <is>
          <t>Dry kiln with precalciner and electric kiln (510,000 g/t) [DIRECT]</t>
        </is>
      </c>
      <c r="B13" s="3" t="inlineStr">
        <is>
          <t>Both pathways use the same unmitigated EPA GHGI calcination factor because neither captures CO2. Calc tab formula: 0.650 x (44.01/56.08) t CO2/t clinker, converted to g/t (x1,000,000) and rounded to the nearest 1,000 g, reproducing the shipped 510,000 g/t exactly.</t>
        </is>
      </c>
    </row>
    <row r="14">
      <c r="A14" s="1" t="inlineStr">
        <is>
          <t>Dry kiln with CCS (51,000 g/t) [UNVERIFIED - EI judgment on the capture rate]</t>
        </is>
      </c>
      <c r="B14" s="3" t="inlineStr">
        <is>
          <t>Formula = the same unmitigated factor x (1 - capture rate), with capture rate = 90% stored as a labeled Parameters-tab judgment value (matching common CCS design-basis assumptions). Capture energy penalty is accounted for separately in CEIbPaF, not here. A captured-tons ledger / 45Q tax-credit reconciliation is deferred to the CCS-framework work and is NOT represented in this workbook.</t>
        </is>
      </c>
    </row>
    <row r="15">
      <c r="A15" s="1" t="inlineStr">
        <is>
          <t>Alternative chemistry cement (0 g/t)</t>
        </is>
      </c>
      <c r="B15" s="3" t="inlineStr">
        <is>
          <t>Literal zero - alternative-chemistry binders (e.g., calcium silicate / non-limestone chemistries such as Brimstone or Sublime) do not release calcination CO2 by definition (non-carbonate feedstock), so no formula is needed.</t>
        </is>
      </c>
    </row>
    <row r="16">
      <c r="A16" s="1" t="inlineStr">
        <is>
          <t>Provenance</t>
        </is>
      </c>
      <c r="B16" s="3" t="inlineStr">
        <is>
          <t>Built by Claude Code (Fable/Sonnet agent session) from the Phase 4 verification dossier and CreateCementDraftInputsScript.py inline source comments, cement industry breakout, worktree cement-industry-breakout-f901fc, 2026-08-26. Reviewed by: (pending).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EPA GHGI Equation 4-1 inputs</t>
        </is>
      </c>
    </row>
    <row r="2">
      <c r="A2" t="inlineStr">
        <is>
          <t>CaO fraction of clinker (EPA default)</t>
        </is>
      </c>
      <c r="B2" t="n">
        <v>0.65</v>
      </c>
    </row>
    <row r="3">
      <c r="A3" t="inlineStr">
        <is>
          <t>Molar mass of CO2 (g/mol)</t>
        </is>
      </c>
      <c r="B3" t="n">
        <v>44.01</v>
      </c>
    </row>
    <row r="4">
      <c r="A4" t="inlineStr">
        <is>
          <t>Molar mass of CaO (g/mol)</t>
        </is>
      </c>
      <c r="B4" t="n">
        <v>56.08</v>
      </c>
    </row>
    <row r="6">
      <c r="A6" s="1" t="inlineStr">
        <is>
          <t>2023 GHGI anchors (context only, not used in the formula)</t>
        </is>
      </c>
    </row>
    <row r="7">
      <c r="A7" t="inlineStr">
        <is>
          <t>Cement process CO2, 2023 (MMT)</t>
        </is>
      </c>
      <c r="B7" t="n">
        <v>40.6</v>
      </c>
    </row>
    <row r="8">
      <c r="A8" t="inlineStr">
        <is>
          <t>Lime process CO2, 2023 (MMT)</t>
        </is>
      </c>
      <c r="B8" t="n">
        <v>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0" customWidth="1" min="3" max="3"/>
  </cols>
  <sheetData>
    <row r="1">
      <c r="A1" s="1" t="inlineStr">
        <is>
          <t>Judgment parameters</t>
        </is>
      </c>
    </row>
    <row r="3">
      <c r="A3" t="inlineStr">
        <is>
          <t>Dry kiln with CCS capture rate</t>
        </is>
      </c>
      <c r="B3" t="n">
        <v>0.9</v>
      </c>
      <c r="C3" t="inlineStr">
        <is>
          <t>UNVERIFIED - EI judgment; common CCS design-basis capture-rate assumption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Unmitigated calcination emission factor (EPA GHGI Eq. 4-1)</t>
        </is>
      </c>
    </row>
    <row r="2">
      <c r="A2" t="inlineStr">
        <is>
          <t>t CO2 / t clinker</t>
        </is>
      </c>
      <c r="B2">
        <f>'Source Data'!B2*('Source Data'!B3/'Source Data'!B4)</f>
        <v/>
      </c>
    </row>
    <row r="3">
      <c r="A3" t="inlineStr">
        <is>
          <t>g CO2 / t clinker, unrounded</t>
        </is>
      </c>
      <c r="B3">
        <f>B2*1000000</f>
        <v/>
      </c>
    </row>
    <row r="4">
      <c r="A4" t="inlineStr">
        <is>
          <t>g CO2 / t clinker, rounded to nearest 1,000</t>
        </is>
      </c>
      <c r="B4">
        <f>ROUND(B3,-3)</f>
        <v/>
      </c>
    </row>
    <row r="6">
      <c r="A6" s="1" t="inlineStr">
        <is>
          <t>Dry kiln with CCS: unmitigated x (1 - capture rate)</t>
        </is>
      </c>
    </row>
    <row r="7">
      <c r="A7" t="inlineStr">
        <is>
          <t>g CO2 / t clinker</t>
        </is>
      </c>
      <c r="B7">
        <f>B4*(1-Parameters!B3)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0" customWidth="1" min="4" max="4"/>
  </cols>
  <sheetData>
    <row r="1">
      <c r="A1" s="1" t="inlineStr">
        <is>
          <t>Cross-check: export tab literal vs. Calc-derived value</t>
        </is>
      </c>
    </row>
    <row r="3">
      <c r="A3" s="1" t="inlineStr">
        <is>
          <t>Pathway</t>
        </is>
      </c>
      <c r="B3" s="1" t="inlineStr">
        <is>
          <t>Export literal</t>
        </is>
      </c>
      <c r="C3" s="1" t="inlineStr">
        <is>
          <t>Calc value</t>
        </is>
      </c>
      <c r="D3" s="1" t="inlineStr">
        <is>
          <t>Abs diff</t>
        </is>
      </c>
    </row>
    <row r="4">
      <c r="A4" t="inlineStr">
        <is>
          <t>dry kiln with precalciner</t>
        </is>
      </c>
      <c r="B4">
        <f>CCF!B2</f>
        <v/>
      </c>
      <c r="C4">
        <f>Calc!B4</f>
        <v/>
      </c>
      <c r="D4">
        <f>ABS(B4-C4)</f>
        <v/>
      </c>
    </row>
    <row r="5">
      <c r="A5" t="inlineStr">
        <is>
          <t>dry kiln with CCS</t>
        </is>
      </c>
      <c r="B5">
        <f>CCF!B3</f>
        <v/>
      </c>
      <c r="C5">
        <f>Calc!B7</f>
        <v/>
      </c>
      <c r="D5">
        <f>ABS(B5-C5)</f>
        <v/>
      </c>
    </row>
    <row r="6">
      <c r="A6" t="inlineStr">
        <is>
          <t>electric kiln</t>
        </is>
      </c>
      <c r="B6">
        <f>CCF!B4</f>
        <v/>
      </c>
      <c r="C6">
        <f>Calc!B4</f>
        <v/>
      </c>
      <c r="D6">
        <f>ABS(B6-C6)</f>
        <v/>
      </c>
    </row>
    <row r="7">
      <c r="A7" t="inlineStr">
        <is>
          <t>alternative chemistry cement</t>
        </is>
      </c>
      <c r="B7">
        <f>CCF!B5</f>
        <v/>
      </c>
      <c r="C7" t="n">
        <v>0</v>
      </c>
      <c r="D7">
        <f>ABS(B7-C7)</f>
        <v/>
      </c>
    </row>
    <row r="9">
      <c r="A9" s="1" t="inlineStr">
        <is>
          <t>MAX abs diff</t>
        </is>
      </c>
      <c r="D9">
        <f>MAX(D4:D7)</f>
        <v/>
      </c>
    </row>
    <row r="10">
      <c r="A10" s="1" t="inlineStr">
        <is>
          <t>Overall</t>
        </is>
      </c>
      <c r="D10">
        <f>IF(D9&lt;0.0000001,"PASS","FAIL")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g CO2/metric ton clinker net of pathway-integral capture (DRAFT: EPA GHGI 0.510 t/t calcination factor; CCS 90% capture judgment; verify before release)</t>
        </is>
      </c>
      <c r="B1" t="inlineStr">
        <is>
          <t>Calcination CO2 Factor</t>
        </is>
      </c>
    </row>
    <row r="2">
      <c r="A2" t="inlineStr">
        <is>
          <t>dry kiln with precalciner</t>
        </is>
      </c>
      <c r="B2" t="n">
        <v>510000</v>
      </c>
    </row>
    <row r="3">
      <c r="A3" t="inlineStr">
        <is>
          <t>dry kiln with CCS</t>
        </is>
      </c>
      <c r="B3" t="n">
        <v>50999.99999999999</v>
      </c>
    </row>
    <row r="4">
      <c r="A4" t="inlineStr">
        <is>
          <t>electric kiln</t>
        </is>
      </c>
      <c r="B4" t="n">
        <v>510000</v>
      </c>
    </row>
    <row r="5">
      <c r="A5" t="inlineStr">
        <is>
          <t>alternative chemistry cement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2026-08-26T11:52:49Z</dcterms:created>
  <dcterms:modified xsi:type="dcterms:W3CDTF">2026-08-26T11:52:49Z</dcterms:modified>
</cp:coreProperties>
</file>