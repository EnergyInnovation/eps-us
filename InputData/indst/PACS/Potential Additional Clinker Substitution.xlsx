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out" sheetId="1" state="visible" r:id="rId1"/>
    <sheet name="Derivation" sheetId="2" state="visible" r:id="rId2"/>
    <sheet name="Checks" sheetId="3" state="visible" r:id="rId3"/>
    <sheet name="PAC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3">
    <fill>
      <patternFill/>
    </fill>
    <fill>
      <patternFill patternType="gray125"/>
    </fill>
    <fill>
      <patternFill patternType="solid">
        <fgColor rgb="00D9D9D9"/>
        <bgColor rgb="00D9D9D9"/>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horizontal="left" vertical="top" wrapText="1"/>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nergyinnovation.org/" TargetMode="External" Id="rId1" /><Relationship Type="http://schemas.openxmlformats.org/officeDocument/2006/relationships/hyperlink" Target="https://gccassociation.org/concretefuture/" TargetMode="External" Id="rId2" /><Relationship Type="http://schemas.openxmlformats.org/officeDocument/2006/relationships/hyperlink" Target="https://www.cement.org/a-sustainable-future/roadmap-to-carbon-neutrality/" TargetMode="External" Id="rId3" /><Relationship Type="http://schemas.openxmlformats.org/officeDocument/2006/relationships/hyperlink" Target="https://pubs.usgs.gov/periodicals/mcs2026/mcs2026-cement.pdf" TargetMode="External" Id="rId4" /></Relationships>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14" customWidth="1" min="1" max="1"/>
    <col width="110" customWidth="1" min="2" max="2"/>
  </cols>
  <sheetData>
    <row r="1">
      <c r="A1" s="1" t="inlineStr">
        <is>
          <t>PACS Potential Additional Clinker Substitution</t>
        </is>
      </c>
    </row>
    <row r="3">
      <c r="A3" s="1" t="inlineStr">
        <is>
          <t>Sources:</t>
        </is>
      </c>
      <c r="B3" s="2" t="inlineStr">
        <is>
          <t>BAU clinker-to-cement ratio endpoint (0.78, 2035+) - basis for the "before" side of the PACS gap</t>
        </is>
      </c>
    </row>
    <row r="4">
      <c r="B4" s="3" t="inlineStr">
        <is>
          <t>Energy Innovation (internal, see BCtCR workbook)</t>
        </is>
      </c>
    </row>
    <row r="5">
      <c r="B5" s="3" t="inlineStr">
        <is>
          <t>BAU Clinker to Cement Ratio (BCtCR) input workbook, this repo</t>
        </is>
      </c>
    </row>
    <row r="6">
      <c r="B6" s="3" t="n">
        <v>2026</v>
      </c>
    </row>
    <row r="7">
      <c r="B7" s="4" t="inlineStr">
        <is>
          <t>https://www.energyinnovation.org/</t>
        </is>
      </c>
    </row>
    <row r="8">
      <c r="B8" s="3" t="inlineStr">
        <is>
          <t>PACS is defined relative to BCtCR's 0.78 BAU 2035+ endpoint, not an external source. See InputData/indst/BCtCR/BAU Clinker to Cement Ratio.xlsx for that derivation. [DIRECT reference to an internal EPS input]</t>
        </is>
      </c>
    </row>
    <row r="10">
      <c r="B10" s="2" t="inlineStr">
        <is>
          <t>Global aggressive-decarbonization clinker ratio targets (context for the achievable floor)</t>
        </is>
      </c>
    </row>
    <row r="11">
      <c r="B11" s="3" t="inlineStr">
        <is>
          <t>Global Cement and Concrete Association (GCCA)</t>
        </is>
      </c>
    </row>
    <row r="12">
      <c r="B12" s="3" t="inlineStr">
        <is>
          <t>Concrete Future: GCCA 2050 Cement and Concrete Industry Roadmap for Net Zero Concrete</t>
        </is>
      </c>
    </row>
    <row r="13">
      <c r="B13" s="3" t="n">
        <v>2021</v>
      </c>
    </row>
    <row r="14">
      <c r="B14" s="4" t="inlineStr">
        <is>
          <t>https://gccassociation.org/concretefuture/</t>
        </is>
      </c>
    </row>
    <row r="15">
      <c r="B15" s="3" t="inlineStr">
        <is>
          <t>Global roadmap clinker ratio targets in the 0.52-0.58 range by 2050 under aggressive global SCM/clinker-substitution scenarios. Cited as upper-bound context only; the US PACS value is set conservative relative to this (see Notes). [DIRECT]</t>
        </is>
      </c>
    </row>
    <row r="17">
      <c r="B17" s="2" t="inlineStr">
        <is>
          <t>US near-term clinker ratio trajectory (context)</t>
        </is>
      </c>
    </row>
    <row r="18">
      <c r="B18" s="3" t="inlineStr">
        <is>
          <t>Portland Cement Association (PCA)</t>
        </is>
      </c>
    </row>
    <row r="19">
      <c r="B19" s="3" t="inlineStr">
        <is>
          <t>Roadmap to Carbon Neutrality</t>
        </is>
      </c>
    </row>
    <row r="20">
      <c r="B20" s="3" t="n">
        <v>2021</v>
      </c>
    </row>
    <row r="21">
      <c r="B21" s="4" t="inlineStr">
        <is>
          <t>https://www.cement.org/a-sustainable-future/roadmap-to-carbon-neutrality/</t>
        </is>
      </c>
    </row>
    <row r="22">
      <c r="B22" s="3" t="inlineStr">
        <is>
          <t>PCA roadmap cites a US clinker ratio near ~0.75 in the near term, trending lower with PLC (Type IL) adoption. Used as a cross-check that the BCtCR 0.78 BAU endpoint and the PACS-implied 0.65 policy-case floor are in a plausible US range. [PROXY - accessed via press summary, not the full PDF]</t>
        </is>
      </c>
    </row>
    <row r="24">
      <c r="B24" s="2" t="inlineStr">
        <is>
          <t>Current US clinker/cement production trajectory (basis for the BAU anchor cited above)</t>
        </is>
      </c>
    </row>
    <row r="25">
      <c r="B25" s="3" t="inlineStr">
        <is>
          <t>U.S. Geological Survey (USGS)</t>
        </is>
      </c>
    </row>
    <row r="26">
      <c r="B26" s="3" t="inlineStr">
        <is>
          <t>Mineral Commodity Summaries 2026 - Cement</t>
        </is>
      </c>
    </row>
    <row r="27">
      <c r="B27" s="3" t="n">
        <v>2026</v>
      </c>
    </row>
    <row r="28">
      <c r="B28" s="4" t="inlineStr">
        <is>
          <t>https://pubs.usgs.gov/periodicals/mcs2026/mcs2026-cement.pdf</t>
        </is>
      </c>
    </row>
    <row r="29">
      <c r="B29" s="3" t="inlineStr">
        <is>
          <t>Source for the underlying clinker and cement production series used to build the BCtCR 0.78 BAU endpoint that PACS is defined against. [PROXY - read via reader proxy, PDF 403s on direct fetch]</t>
        </is>
      </c>
    </row>
    <row r="32">
      <c r="A32" s="1" t="inlineStr">
        <is>
          <t>Notes:</t>
        </is>
      </c>
    </row>
    <row r="33">
      <c r="A33" s="1" t="inlineStr">
        <is>
          <t>Definition</t>
        </is>
      </c>
      <c r="B33" s="3" t="inlineStr">
        <is>
          <t>PACS (Potential Additional Clinker Substitution) = the additional reduction in the clinker-to-cement ratio achievable under an aggressive policy-driven SCM (supplementary cementitious material) blending scenario, on top of the BAU trajectory. It is expressed in ratio points (dimensionless), to be subtracted from the BAU clinker-to-cement ratio to obtain a policy-case floor.</t>
        </is>
      </c>
    </row>
    <row r="34">
      <c r="A34" s="1" t="inlineStr">
        <is>
          <t>Derivation</t>
        </is>
      </c>
      <c r="B34" s="3" t="inlineStr">
        <is>
          <t>0.13 = 0.78 (BAU clinker-to-cement ratio endpoint, 2035 onward - see BCtCR workbook) minus ~0.65 (an achievable policy-case clinker ratio with aggressive SCM blending, i.e. a policy-case floor of BAU minus PACS = 0.78 - 0.13 = 0.65). The 0.65 floor is EI DRAFT judgment: it sits above (i.e. is more conservative than) the GCCA global 2050 targets of 0.52-0.58, reflecting that US SCM supply (see MASCM) and blended-cement standards adoption are expected to lag the most aggressive global scenarios.</t>
        </is>
      </c>
    </row>
    <row r="35">
      <c r="A35" s="1" t="inlineStr">
        <is>
          <t>Conservatism vs. GCCA</t>
        </is>
      </c>
      <c r="B35" s="3" t="inlineStr">
        <is>
          <t>The chosen policy-case floor of 0.65 is deliberately conservative relative to the GCCA Concrete Future roadmap's global 0.52-0.58 target range - a full move to the GCCA range would imply PACS of roughly 0.20-0.26 rather than 0.13. This is an EI DRAFT judgment pending team review, not a claim that 0.65 is a hard physical or supply floor.</t>
        </is>
      </c>
    </row>
    <row r="36">
      <c r="A36" s="1" t="inlineStr">
        <is>
          <t>Interaction with MASCM</t>
        </is>
      </c>
      <c r="B36" s="3" t="inlineStr">
        <is>
          <t>The realized (endogenous) clinker substitution achieved in any policy run is also constrained by the Maximum Annual SCM Supply for Cement (MASCM) tonnage cap, which binds separately in the model's SCM-blending logic. PACS sets the ratio-point ceiling on substitution; MASCM can bind the achievable tonnage below what PACS alone would allow.</t>
        </is>
      </c>
    </row>
    <row r="37">
      <c r="A37" s="1" t="inlineStr">
        <is>
          <t>DRAFT status</t>
        </is>
      </c>
      <c r="B37" s="3" t="inlineStr">
        <is>
          <t>This is an input for staff review, not a finished or approved EI position; treat as a starting point pending team sign-off. Verify all cited figures against the primary sources before use in any work product.</t>
        </is>
      </c>
    </row>
    <row r="38">
      <c r="A38" s="1" t="inlineStr">
        <is>
          <t>Provenance</t>
        </is>
      </c>
      <c r="B38" s="3" t="inlineStr">
        <is>
          <t>Written by Claude Code (Fable/Sonnet agent session), cement industry breakout, worktree cement-industry-breakout-f901fc, 2026-08-26. Reviewed by: (pending).</t>
        </is>
      </c>
    </row>
  </sheetData>
  <hyperlinks>
    <hyperlink xmlns:r="http://schemas.openxmlformats.org/officeDocument/2006/relationships" ref="B7" r:id="rId1"/>
    <hyperlink xmlns:r="http://schemas.openxmlformats.org/officeDocument/2006/relationships" ref="B14" r:id="rId2"/>
    <hyperlink xmlns:r="http://schemas.openxmlformats.org/officeDocument/2006/relationships" ref="B21" r:id="rId3"/>
    <hyperlink xmlns:r="http://schemas.openxmlformats.org/officeDocument/2006/relationships" ref="B28"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PACS derivation: BAU clinker-to-cement ratio endpoint minus achievable policy-case floor</t>
        </is>
      </c>
    </row>
    <row r="3">
      <c r="A3" t="inlineStr">
        <is>
          <t>BAU clinker-to-cement ratio endpoint (2035+, see BCtCR workbook)</t>
        </is>
      </c>
      <c r="B3" t="n">
        <v>0.78</v>
      </c>
    </row>
    <row r="4">
      <c r="A4" t="inlineStr">
        <is>
          <t>Achievable policy-case clinker ratio floor with aggressive SCM blending (EI DRAFT judgment, conservative vs. GCCA 0.52-0.58 global targets)</t>
        </is>
      </c>
      <c r="B4" t="n">
        <v>0.65</v>
      </c>
    </row>
    <row r="5">
      <c r="A5" s="1" t="inlineStr">
        <is>
          <t>PACS = BAU endpoint - achievable floor</t>
        </is>
      </c>
      <c r="B5" s="1">
        <f>B3-B4</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Cross-check: 'PACS' export-tab literal value vs. Derivation formula result</t>
        </is>
      </c>
    </row>
    <row r="3">
      <c r="A3" t="inlineStr">
        <is>
          <t>Export literal</t>
        </is>
      </c>
      <c r="B3" t="n">
        <v>0.13</v>
      </c>
    </row>
    <row r="4">
      <c r="A4" t="inlineStr">
        <is>
          <t>Derivation formula</t>
        </is>
      </c>
      <c r="B4">
        <f>Derivation!B5</f>
        <v/>
      </c>
    </row>
    <row r="5">
      <c r="A5" t="inlineStr">
        <is>
          <t>ABS(Export - Derivation)</t>
        </is>
      </c>
      <c r="B5">
        <f>ABS(B3-B4)</f>
        <v/>
      </c>
    </row>
    <row r="6">
      <c r="A6" s="1" t="inlineStr">
        <is>
          <t>Result</t>
        </is>
      </c>
      <c r="B6">
        <f>IF(B5&lt;0.000001,"PASS","FAIL")</f>
        <v/>
      </c>
    </row>
    <row r="8">
      <c r="A8" s="1" t="inlineStr">
        <is>
          <t>Range check: 0 &lt; PACS &lt; 0.3</t>
        </is>
      </c>
      <c r="B8">
        <f>IF(AND(B3&gt;0,B3&lt;0.3),"PASS","FAIL")</f>
        <v/>
      </c>
    </row>
  </sheetData>
  <pageMargins left="0.75" right="0.75" top="1" bottom="1" header="0.5" footer="0.5"/>
</worksheet>
</file>

<file path=xl/worksheets/sheet4.xml><?xml version="1.0" encoding="utf-8"?>
<worksheet xmlns="http://schemas.openxmlformats.org/spreadsheetml/2006/main">
  <sheetPr>
    <tabColor rgb="001F3864"/>
    <outlinePr summaryBelow="1" summaryRight="1"/>
    <pageSetUpPr/>
  </sheetPr>
  <dimension ref="A1:B2"/>
  <sheetViews>
    <sheetView workbookViewId="0">
      <selection activeCell="A1" sqref="A1"/>
    </sheetView>
  </sheetViews>
  <sheetFormatPr baseColWidth="8" defaultRowHeight="15"/>
  <sheetData>
    <row r="1">
      <c r="A1" t="inlineStr">
        <is>
          <t>Unit: dimensionless ratio points (DRAFT 0.13 = BAU 0.78 endpoint minus ~0.65 achievable; GCCA/PCA roadmaps - verify before release)</t>
        </is>
      </c>
      <c r="B1" t="inlineStr">
        <is>
          <t>Value</t>
        </is>
      </c>
    </row>
    <row r="2">
      <c r="A2" t="inlineStr">
        <is>
          <t>Potential Additional Clinker Substitution</t>
        </is>
      </c>
      <c r="B2" t="n">
        <v>0.13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2026-08-26T13:56:26Z</dcterms:created>
  <dcterms:modified xsi:type="dcterms:W3CDTF">2026-08-26T13:56:26Z</dcterms:modified>
</cp:coreProperties>
</file>