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SCM Supply Components" sheetId="2" state="visible" r:id="rId2"/>
    <sheet name="Derivation" sheetId="3" state="visible" r:id="rId3"/>
    <sheet name="Checks" sheetId="4" state="visible" r:id="rId4"/>
    <sheet name="MAS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caa-usa.org/publications/production-use-reports/" TargetMode="External" Id="rId1" /><Relationship Type="http://schemas.openxmlformats.org/officeDocument/2006/relationships/hyperlink" Target="https://pubs.usgs.gov/periodicals/mcs2026/mcs2026-iron-and-steel-slag.pdf" TargetMode="External" Id="rId2" /><Relationship Type="http://schemas.openxmlformats.org/officeDocument/2006/relationships/hyperlink" Target="https://www.flyash.info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MASCM Maximum Annual SCM Supply for Cement</t>
        </is>
      </c>
    </row>
    <row r="3">
      <c r="A3" s="1" t="inlineStr">
        <is>
          <t>Sources:</t>
        </is>
      </c>
      <c r="B3" s="2" t="inlineStr">
        <is>
          <t>Fly ash used in concrete and other CCP (coal combustion product) beneficial uses</t>
        </is>
      </c>
    </row>
    <row r="4">
      <c r="B4" s="3" t="inlineStr">
        <is>
          <t>ACAA (American Coal Ash Association)</t>
        </is>
      </c>
    </row>
    <row r="5">
      <c r="B5" s="3" t="inlineStr">
        <is>
          <t>2024 Coal Combustion Product Production &amp; Use Survey</t>
        </is>
      </c>
    </row>
    <row r="6">
      <c r="B6" s="3" t="n">
        <v>2025</v>
      </c>
    </row>
    <row r="7">
      <c r="B7" s="4" t="inlineStr">
        <is>
          <t>https://acaa-usa.org/publications/production-use-reports/</t>
        </is>
      </c>
    </row>
    <row r="8">
      <c r="B8" s="3" t="inlineStr">
        <is>
          <t>Fly ash used in concrete: 14.6 million metric tons in 2024 (11.9 Mt in 2023). CCPs used in blended cement / as raw feed to clinker production: 5.3 Mt in 2024 (overlap risk with the concrete figure flagged - see Notes). [DIRECT]</t>
        </is>
      </c>
    </row>
    <row r="10">
      <c r="B10" s="2" t="inlineStr">
        <is>
          <t>Iron and steel slag supply (GGBFS - ground granulated blast-furnace slag)</t>
        </is>
      </c>
    </row>
    <row r="11">
      <c r="B11" s="3" t="inlineStr">
        <is>
          <t>USGS</t>
        </is>
      </c>
    </row>
    <row r="12">
      <c r="B12" s="3" t="inlineStr">
        <is>
          <t>Mineral Commodity Summaries 2026 - Iron and Steel Slag</t>
        </is>
      </c>
    </row>
    <row r="13">
      <c r="B13" s="3" t="n">
        <v>2026</v>
      </c>
    </row>
    <row r="14">
      <c r="B14" s="4" t="inlineStr">
        <is>
          <t>https://pubs.usgs.gov/periodicals/mcs2026/mcs2026-iron-and-steel-slag.pdf</t>
        </is>
      </c>
    </row>
    <row r="15">
      <c r="B15" s="3" t="inlineStr">
        <is>
          <t>Total slag sales approximately 16 million metric tons (2025). GGBFS (the cement-grade fraction) is reported as under 30% of total slag tonnage, implying roughly under 4.8 Mt; the US GGBFS supply is heavily import-dependent. Figure read via reader proxy from a partial extract - treat as indicative. [SNIPPET]</t>
        </is>
      </c>
    </row>
    <row r="17">
      <c r="B17" s="2" t="inlineStr">
        <is>
          <t>Natural pozzolan supply (volcanic ash, calcined clay, etc.)</t>
        </is>
      </c>
    </row>
    <row r="18">
      <c r="B18" s="3" t="inlineStr">
        <is>
          <t>NPA (National Precast/Pozzolan association context) via secondary reporting</t>
        </is>
      </c>
    </row>
    <row r="19">
      <c r="B19" s="3" t="inlineStr">
        <is>
          <t>Industry capacity estimates, secondary sourcing</t>
        </is>
      </c>
    </row>
    <row r="20">
      <c r="B20" s="3" t="n">
        <v>2025</v>
      </c>
    </row>
    <row r="21">
      <c r="B21" s="4" t="inlineStr">
        <is>
          <t>https://www.flyash.info/</t>
        </is>
      </c>
    </row>
    <row r="22">
      <c r="B22" s="3" t="inlineStr">
        <is>
          <t>Approximately 1-2 million metric tons per year of natural pozzolan capacity reported via secondary (non-primary) sourcing; no single authoritative NPA production report was retrieved. [SNIPPET]</t>
        </is>
      </c>
    </row>
    <row r="25">
      <c r="A25" s="1" t="inlineStr">
        <is>
          <t>Notes:</t>
        </is>
      </c>
    </row>
    <row r="26">
      <c r="A26" s="1" t="inlineStr">
        <is>
          <t>DRAFT status</t>
        </is>
      </c>
      <c r="B26" s="3" t="inlineStr">
        <is>
          <t>This is an input for staff review, not a finished or approved EI position; treat as a starting point pending team sign-off. Verify all cited figures against the primary ACAA/USGS sources before use in any work product.</t>
        </is>
      </c>
    </row>
    <row r="27">
      <c r="A27" s="1" t="inlineStr">
        <is>
          <t>Current-supply build-up (2025 anchor, ~22 Mt)</t>
        </is>
      </c>
      <c r="B27" s="3" t="inlineStr">
        <is>
          <t>22,000,000 metric tons/year = 14,600,000 (fly ash used in concrete, ACAA 2024) + 4,000,000 (GGBFS, EI judgment within the USGS &lt;4.8 Mt implied ceiling, rounded down for import-dependency risk) + 1,500,000 (natural pozzolans, midpoint of the 1-2 Mt SNIPPET-tier range) + 1,900,000 (a partial draw on the ACAA 5.3 Mt CCPs-to-blended-cement/clinker-feed stream, NOT the full figure, to avoid double-counting tonnage already reflected in the 14.6 Mt concrete-fly-ash figure - see Overlap risk below). See the Derivation tab for the itemized build-up.</t>
        </is>
      </c>
    </row>
    <row r="28">
      <c r="A28" s="1" t="inlineStr">
        <is>
          <t>Overlap risk</t>
        </is>
      </c>
      <c r="B28" s="3" t="inlineStr">
        <is>
          <t>The ACAA 5.3 Mt "CCPs to blended cement / clinker feed" figure likely double-counts some tonnage already captured in the 14.6 Mt "fly ash used in concrete" figure (both draw from the same fly ash supply, used at different points - as a concrete admixture vs. as a cement-plant raw material). Rather than adding the full 5.3 Mt, this workbook takes a partial (1.9 Mt) draw as an EI judgment plug to reach the round ~22 Mt current-supply anchor; this is flagged as the least-certain element of the build-up.</t>
        </is>
      </c>
    </row>
    <row r="29">
      <c r="A29" s="1" t="inlineStr">
        <is>
          <t>BAU trajectory</t>
        </is>
      </c>
      <c r="B29" s="3" t="inlineStr">
        <is>
          <t>Structurally DECLINING: fly ash supply falls with ongoing US coal-plant retirements (partially offset by pond/impoundment ash harvesting); GGBFS supply falls with blast-furnace closures and rides on imports. DRAFT trajectory: linear decline from 22,000,000 (2025) to 15,000,000 (2050), held flat at 22,000,000 for 2021-2024 (no year-by-year historical SCM-supply series was sourced).</t>
        </is>
      </c>
    </row>
    <row r="30">
      <c r="A30" s="1" t="inlineStr">
        <is>
          <t>Non-binding at defaults</t>
        </is>
      </c>
      <c r="B30" s="3" t="inlineStr">
        <is>
          <t>This ceiling does not constrain the BAU Clinker to Cement Ratio (BCtCR) trajectory - limestone/Type IL substitution is not SCM-supply-limited. MASCM is reserved for a future SCM-blending policy lever and is non-binding at default (BAU) blending levels; it would only bind under an aggressive SCM-substitution policy scenario.</t>
        </is>
      </c>
    </row>
    <row r="31">
      <c r="A31" s="1" t="inlineStr">
        <is>
          <t>Provenance</t>
        </is>
      </c>
      <c r="B31" s="3" t="inlineStr">
        <is>
          <t>Written by Claude Code (Fable/Sonnet agent session), cement industry breakout, worktree cement-industry-breakout-f901fc, 2026-08-26. Reviewed by: (pending).</t>
        </is>
      </c>
    </row>
  </sheetData>
  <hyperlinks>
    <hyperlink xmlns:r="http://schemas.openxmlformats.org/officeDocument/2006/relationships" ref="B7" r:id="rId1"/>
    <hyperlink xmlns:r="http://schemas.openxmlformats.org/officeDocument/2006/relationships" ref="B14" r:id="rId2"/>
    <hyperlink xmlns:r="http://schemas.openxmlformats.org/officeDocument/2006/relationships" ref="B21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SCM (supplementary cementitious material) supply components, most recent reported year</t>
        </is>
      </c>
    </row>
    <row r="2">
      <c r="A2" s="1" t="inlineStr">
        <is>
          <t>Component</t>
        </is>
      </c>
      <c r="B2" s="1" t="inlineStr">
        <is>
          <t>Value (Mt)</t>
        </is>
      </c>
      <c r="C2" s="1" t="inlineStr">
        <is>
          <t>Source</t>
        </is>
      </c>
      <c r="D2" s="1" t="inlineStr">
        <is>
          <t>Note</t>
        </is>
      </c>
    </row>
    <row r="3">
      <c r="A3" t="inlineStr">
        <is>
          <t>Fly ash used in concrete (2024)</t>
        </is>
      </c>
      <c r="B3" t="n">
        <v>14.6</v>
      </c>
      <c r="C3" t="inlineStr">
        <is>
          <t>ACAA 2024 Survey</t>
        </is>
      </c>
      <c r="D3" t="inlineStr">
        <is>
          <t>DIRECT</t>
        </is>
      </c>
    </row>
    <row r="4">
      <c r="A4" t="inlineStr">
        <is>
          <t>Fly ash used in concrete (2023, for trend)</t>
        </is>
      </c>
      <c r="B4" t="n">
        <v>11.9</v>
      </c>
      <c r="C4" t="inlineStr">
        <is>
          <t>ACAA 2024 Survey</t>
        </is>
      </c>
      <c r="D4" t="inlineStr">
        <is>
          <t>DIRECT</t>
        </is>
      </c>
    </row>
    <row r="5">
      <c r="A5" t="inlineStr">
        <is>
          <t>CCPs to blended cement / clinker feed (2024)</t>
        </is>
      </c>
      <c r="B5" t="n">
        <v>5.3</v>
      </c>
      <c r="C5" t="inlineStr">
        <is>
          <t>ACAA 2024 Survey</t>
        </is>
      </c>
      <c r="D5" t="inlineStr">
        <is>
          <t>DIRECT; overlap risk vs. row above - see About Notes</t>
        </is>
      </c>
    </row>
    <row r="6">
      <c r="A6" t="inlineStr">
        <is>
          <t>Total slag sales (2025)</t>
        </is>
      </c>
      <c r="B6" t="n">
        <v>16</v>
      </c>
      <c r="C6" t="inlineStr">
        <is>
          <t>USGS MCS2026 Iron and Steel Slag</t>
        </is>
      </c>
      <c r="D6" t="inlineStr">
        <is>
          <t>SNIPPET</t>
        </is>
      </c>
    </row>
    <row r="7">
      <c r="A7" t="inlineStr">
        <is>
          <t>GGBFS share of total slag tonnage (fraction)</t>
        </is>
      </c>
      <c r="B7" t="n">
        <v>0.3</v>
      </c>
      <c r="C7" t="inlineStr">
        <is>
          <t>USGS MCS2026 Iron and Steel Slag</t>
        </is>
      </c>
      <c r="D7" t="inlineStr">
        <is>
          <t>SNIPPET; reported as an upper bound ("under 30%")</t>
        </is>
      </c>
    </row>
    <row r="8">
      <c r="A8" t="inlineStr">
        <is>
          <t>Natural pozzolan capacity, low end</t>
        </is>
      </c>
      <c r="B8" t="n">
        <v>1</v>
      </c>
      <c r="C8" t="inlineStr">
        <is>
          <t>Secondary reporting</t>
        </is>
      </c>
      <c r="D8" t="inlineStr">
        <is>
          <t>SNIPPET</t>
        </is>
      </c>
    </row>
    <row r="9">
      <c r="A9" t="inlineStr">
        <is>
          <t>Natural pozzolan capacity, high end</t>
        </is>
      </c>
      <c r="B9" t="n">
        <v>2</v>
      </c>
      <c r="C9" t="inlineStr">
        <is>
          <t>Secondary reporting</t>
        </is>
      </c>
      <c r="D9" t="inlineStr">
        <is>
          <t>SNIPPET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Current-supply (2025) build-up, EI judgment on component apportionment - see About Notes</t>
        </is>
      </c>
    </row>
    <row r="2">
      <c r="A2" s="1" t="inlineStr">
        <is>
          <t>Component</t>
        </is>
      </c>
      <c r="B2" s="1" t="inlineStr">
        <is>
          <t>Value (metric tons/year)</t>
        </is>
      </c>
      <c r="C2" s="1" t="inlineStr">
        <is>
          <t>Formula basis</t>
        </is>
      </c>
    </row>
    <row r="3">
      <c r="A3" t="inlineStr">
        <is>
          <t>Fly ash used in concrete</t>
        </is>
      </c>
      <c r="B3">
        <f>'SCM Supply Components'!B3*1000000</f>
        <v/>
      </c>
    </row>
    <row r="4">
      <c r="A4" t="inlineStr">
        <is>
          <t>GGBFS (EI judgment, within USGS &lt;30% ceiling)</t>
        </is>
      </c>
      <c r="B4" t="n">
        <v>4000000</v>
      </c>
      <c r="C4" t="inlineStr">
        <is>
          <t>EI judgment; see USGS-implied ceiling below (row 5) for comparison</t>
        </is>
      </c>
    </row>
    <row r="5">
      <c r="A5" t="inlineStr">
        <is>
          <t xml:space="preserve">  (for reference: USGS-implied GGBFS ceiling)</t>
        </is>
      </c>
      <c r="B5">
        <f>'SCM Supply Components'!B6*'SCM Supply Components'!B7*1000000</f>
        <v/>
      </c>
    </row>
    <row r="6">
      <c r="A6" t="inlineStr">
        <is>
          <t>Natural pozzolans (midpoint of range)</t>
        </is>
      </c>
      <c r="B6">
        <f>AVERAGE('SCM Supply Components'!B8:B9)*1000000</f>
        <v/>
      </c>
    </row>
    <row r="7">
      <c r="A7" t="inlineStr">
        <is>
          <t>Partial draw on CCPs-to-blended-cement/clinker-feed stream (EI judgment plug)</t>
        </is>
      </c>
      <c r="B7" t="n">
        <v>1900000</v>
      </c>
    </row>
    <row r="8">
      <c r="A8" s="1" t="inlineStr">
        <is>
          <t>Current-supply anchor total (2025)</t>
        </is>
      </c>
      <c r="B8">
        <f>SUM(B3:B4,B6:B7)</f>
        <v/>
      </c>
    </row>
    <row r="10">
      <c r="A10" s="1" t="inlineStr">
        <is>
          <t>2050 judgment target</t>
        </is>
      </c>
      <c r="B10" t="n">
        <v>15000000</v>
      </c>
    </row>
    <row r="11">
      <c r="A11" s="1" t="inlineStr">
        <is>
          <t>Anchor year</t>
        </is>
      </c>
      <c r="B11" t="n">
        <v>2025</v>
      </c>
    </row>
    <row r="12">
      <c r="A12" s="1" t="inlineStr">
        <is>
          <t>Horizon end year</t>
        </is>
      </c>
      <c r="B12" t="n">
        <v>2050</v>
      </c>
    </row>
    <row r="14">
      <c r="A14" s="1" t="inlineStr">
        <is>
          <t>BAU trajectory by year (flat 2021-2025 at anchor, linear decline to 2050 target)</t>
        </is>
      </c>
    </row>
    <row r="15">
      <c r="B15" s="1" t="n">
        <v>2021</v>
      </c>
      <c r="C15" s="1" t="n">
        <v>2022</v>
      </c>
      <c r="D15" s="1" t="n">
        <v>2023</v>
      </c>
      <c r="E15" s="1" t="n">
        <v>2024</v>
      </c>
      <c r="F15" s="1" t="n">
        <v>2025</v>
      </c>
      <c r="G15" s="1" t="n">
        <v>2026</v>
      </c>
      <c r="H15" s="1" t="n">
        <v>2027</v>
      </c>
      <c r="I15" s="1" t="n">
        <v>2028</v>
      </c>
      <c r="J15" s="1" t="n">
        <v>2029</v>
      </c>
      <c r="K15" s="1" t="n">
        <v>2030</v>
      </c>
      <c r="L15" s="1" t="n">
        <v>2031</v>
      </c>
      <c r="M15" s="1" t="n">
        <v>2032</v>
      </c>
      <c r="N15" s="1" t="n">
        <v>2033</v>
      </c>
      <c r="O15" s="1" t="n">
        <v>2034</v>
      </c>
      <c r="P15" s="1" t="n">
        <v>2035</v>
      </c>
      <c r="Q15" s="1" t="n">
        <v>2036</v>
      </c>
      <c r="R15" s="1" t="n">
        <v>2037</v>
      </c>
      <c r="S15" s="1" t="n">
        <v>2038</v>
      </c>
      <c r="T15" s="1" t="n">
        <v>2039</v>
      </c>
      <c r="U15" s="1" t="n">
        <v>2040</v>
      </c>
      <c r="V15" s="1" t="n">
        <v>2041</v>
      </c>
      <c r="W15" s="1" t="n">
        <v>2042</v>
      </c>
      <c r="X15" s="1" t="n">
        <v>2043</v>
      </c>
      <c r="Y15" s="1" t="n">
        <v>2044</v>
      </c>
      <c r="Z15" s="1" t="n">
        <v>2045</v>
      </c>
      <c r="AA15" s="1" t="n">
        <v>2046</v>
      </c>
      <c r="AB15" s="1" t="n">
        <v>2047</v>
      </c>
      <c r="AC15" s="1" t="n">
        <v>2048</v>
      </c>
      <c r="AD15" s="1" t="n">
        <v>2049</v>
      </c>
      <c r="AE15" s="1" t="n">
        <v>2050</v>
      </c>
    </row>
    <row r="16">
      <c r="A16" t="inlineStr">
        <is>
          <t>Maximum Annual SCM Supply for Cement</t>
        </is>
      </c>
      <c r="B16">
        <f>$B$8</f>
        <v/>
      </c>
      <c r="C16">
        <f>$B$8</f>
        <v/>
      </c>
      <c r="D16">
        <f>$B$8</f>
        <v/>
      </c>
      <c r="E16">
        <f>$B$8</f>
        <v/>
      </c>
      <c r="F16">
        <f>$B$8</f>
        <v/>
      </c>
      <c r="G16">
        <f>ROUND($B$8+($B$10-$B$8)*MAX(0,2026-$B$11)/($B$12-$B$11),0)</f>
        <v/>
      </c>
      <c r="H16">
        <f>ROUND($B$8+($B$10-$B$8)*MAX(0,2027-$B$11)/($B$12-$B$11),0)</f>
        <v/>
      </c>
      <c r="I16">
        <f>ROUND($B$8+($B$10-$B$8)*MAX(0,2028-$B$11)/($B$12-$B$11),0)</f>
        <v/>
      </c>
      <c r="J16">
        <f>ROUND($B$8+($B$10-$B$8)*MAX(0,2029-$B$11)/($B$12-$B$11),0)</f>
        <v/>
      </c>
      <c r="K16">
        <f>ROUND($B$8+($B$10-$B$8)*MAX(0,2030-$B$11)/($B$12-$B$11),0)</f>
        <v/>
      </c>
      <c r="L16">
        <f>ROUND($B$8+($B$10-$B$8)*MAX(0,2031-$B$11)/($B$12-$B$11),0)</f>
        <v/>
      </c>
      <c r="M16">
        <f>ROUND($B$8+($B$10-$B$8)*MAX(0,2032-$B$11)/($B$12-$B$11),0)</f>
        <v/>
      </c>
      <c r="N16">
        <f>ROUND($B$8+($B$10-$B$8)*MAX(0,2033-$B$11)/($B$12-$B$11),0)</f>
        <v/>
      </c>
      <c r="O16">
        <f>ROUND($B$8+($B$10-$B$8)*MAX(0,2034-$B$11)/($B$12-$B$11),0)</f>
        <v/>
      </c>
      <c r="P16">
        <f>ROUND($B$8+($B$10-$B$8)*MAX(0,2035-$B$11)/($B$12-$B$11),0)</f>
        <v/>
      </c>
      <c r="Q16">
        <f>ROUND($B$8+($B$10-$B$8)*MAX(0,2036-$B$11)/($B$12-$B$11),0)</f>
        <v/>
      </c>
      <c r="R16">
        <f>ROUND($B$8+($B$10-$B$8)*MAX(0,2037-$B$11)/($B$12-$B$11),0)</f>
        <v/>
      </c>
      <c r="S16">
        <f>ROUND($B$8+($B$10-$B$8)*MAX(0,2038-$B$11)/($B$12-$B$11),0)</f>
        <v/>
      </c>
      <c r="T16">
        <f>ROUND($B$8+($B$10-$B$8)*MAX(0,2039-$B$11)/($B$12-$B$11),0)</f>
        <v/>
      </c>
      <c r="U16">
        <f>ROUND($B$8+($B$10-$B$8)*MAX(0,2040-$B$11)/($B$12-$B$11),0)</f>
        <v/>
      </c>
      <c r="V16">
        <f>ROUND($B$8+($B$10-$B$8)*MAX(0,2041-$B$11)/($B$12-$B$11),0)</f>
        <v/>
      </c>
      <c r="W16">
        <f>ROUND($B$8+($B$10-$B$8)*MAX(0,2042-$B$11)/($B$12-$B$11),0)</f>
        <v/>
      </c>
      <c r="X16">
        <f>ROUND($B$8+($B$10-$B$8)*MAX(0,2043-$B$11)/($B$12-$B$11),0)</f>
        <v/>
      </c>
      <c r="Y16">
        <f>ROUND($B$8+($B$10-$B$8)*MAX(0,2044-$B$11)/($B$12-$B$11),0)</f>
        <v/>
      </c>
      <c r="Z16">
        <f>ROUND($B$8+($B$10-$B$8)*MAX(0,2045-$B$11)/($B$12-$B$11),0)</f>
        <v/>
      </c>
      <c r="AA16">
        <f>ROUND($B$8+($B$10-$B$8)*MAX(0,2046-$B$11)/($B$12-$B$11),0)</f>
        <v/>
      </c>
      <c r="AB16">
        <f>ROUND($B$8+($B$10-$B$8)*MAX(0,2047-$B$11)/($B$12-$B$11),0)</f>
        <v/>
      </c>
      <c r="AC16">
        <f>ROUND($B$8+($B$10-$B$8)*MAX(0,2048-$B$11)/($B$12-$B$11),0)</f>
        <v/>
      </c>
      <c r="AD16">
        <f>ROUND($B$8+($B$10-$B$8)*MAX(0,2049-$B$11)/($B$12-$B$11),0)</f>
        <v/>
      </c>
      <c r="AE16">
        <f>ROUND($B$8+($B$10-$B$8)*MAX(0,2050-$B$11)/($B$12-$B$11),0)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Cross-check: 'MASCM' export-tab literal values vs. Derivation formula results</t>
        </is>
      </c>
    </row>
    <row r="3">
      <c r="B3" s="1" t="n">
        <v>2021</v>
      </c>
      <c r="C3" s="1" t="n">
        <v>2022</v>
      </c>
      <c r="D3" s="1" t="n">
        <v>2023</v>
      </c>
      <c r="E3" s="1" t="n">
        <v>2024</v>
      </c>
      <c r="F3" s="1" t="n">
        <v>2025</v>
      </c>
      <c r="G3" s="1" t="n">
        <v>2026</v>
      </c>
      <c r="H3" s="1" t="n">
        <v>2027</v>
      </c>
      <c r="I3" s="1" t="n">
        <v>2028</v>
      </c>
      <c r="J3" s="1" t="n">
        <v>2029</v>
      </c>
      <c r="K3" s="1" t="n">
        <v>2030</v>
      </c>
      <c r="L3" s="1" t="n">
        <v>2031</v>
      </c>
      <c r="M3" s="1" t="n">
        <v>2032</v>
      </c>
      <c r="N3" s="1" t="n">
        <v>2033</v>
      </c>
      <c r="O3" s="1" t="n">
        <v>2034</v>
      </c>
      <c r="P3" s="1" t="n">
        <v>2035</v>
      </c>
      <c r="Q3" s="1" t="n">
        <v>2036</v>
      </c>
      <c r="R3" s="1" t="n">
        <v>2037</v>
      </c>
      <c r="S3" s="1" t="n">
        <v>2038</v>
      </c>
      <c r="T3" s="1" t="n">
        <v>2039</v>
      </c>
      <c r="U3" s="1" t="n">
        <v>2040</v>
      </c>
      <c r="V3" s="1" t="n">
        <v>2041</v>
      </c>
      <c r="W3" s="1" t="n">
        <v>2042</v>
      </c>
      <c r="X3" s="1" t="n">
        <v>2043</v>
      </c>
      <c r="Y3" s="1" t="n">
        <v>2044</v>
      </c>
      <c r="Z3" s="1" t="n">
        <v>2045</v>
      </c>
      <c r="AA3" s="1" t="n">
        <v>2046</v>
      </c>
      <c r="AB3" s="1" t="n">
        <v>2047</v>
      </c>
      <c r="AC3" s="1" t="n">
        <v>2048</v>
      </c>
      <c r="AD3" s="1" t="n">
        <v>2049</v>
      </c>
      <c r="AE3" s="1" t="n">
        <v>2050</v>
      </c>
    </row>
    <row r="4">
      <c r="A4" t="inlineStr">
        <is>
          <t>Export literal</t>
        </is>
      </c>
      <c r="B4" t="n">
        <v>22000000</v>
      </c>
      <c r="C4" t="n">
        <v>22000000</v>
      </c>
      <c r="D4" t="n">
        <v>22000000</v>
      </c>
      <c r="E4" t="n">
        <v>22000000</v>
      </c>
      <c r="F4" t="n">
        <v>22000000</v>
      </c>
      <c r="G4" t="n">
        <v>21720000</v>
      </c>
      <c r="H4" t="n">
        <v>21440000</v>
      </c>
      <c r="I4" t="n">
        <v>21160000</v>
      </c>
      <c r="J4" t="n">
        <v>20880000</v>
      </c>
      <c r="K4" t="n">
        <v>20600000</v>
      </c>
      <c r="L4" t="n">
        <v>20320000</v>
      </c>
      <c r="M4" t="n">
        <v>20040000</v>
      </c>
      <c r="N4" t="n">
        <v>19760000</v>
      </c>
      <c r="O4" t="n">
        <v>19480000</v>
      </c>
      <c r="P4" t="n">
        <v>19200000</v>
      </c>
      <c r="Q4" t="n">
        <v>18920000</v>
      </c>
      <c r="R4" t="n">
        <v>18640000</v>
      </c>
      <c r="S4" t="n">
        <v>18360000</v>
      </c>
      <c r="T4" t="n">
        <v>18080000</v>
      </c>
      <c r="U4" t="n">
        <v>17800000</v>
      </c>
      <c r="V4" t="n">
        <v>17520000</v>
      </c>
      <c r="W4" t="n">
        <v>17240000</v>
      </c>
      <c r="X4" t="n">
        <v>16960000</v>
      </c>
      <c r="Y4" t="n">
        <v>16680000</v>
      </c>
      <c r="Z4" t="n">
        <v>16400000</v>
      </c>
      <c r="AA4" t="n">
        <v>16120000</v>
      </c>
      <c r="AB4" t="n">
        <v>15840000</v>
      </c>
      <c r="AC4" t="n">
        <v>15560000</v>
      </c>
      <c r="AD4" t="n">
        <v>15280000</v>
      </c>
      <c r="AE4" t="n">
        <v>15000000</v>
      </c>
    </row>
    <row r="5">
      <c r="A5" t="inlineStr">
        <is>
          <t>Derivation formula</t>
        </is>
      </c>
      <c r="B5">
        <f>Derivation!B16</f>
        <v/>
      </c>
      <c r="C5">
        <f>Derivation!C16</f>
        <v/>
      </c>
      <c r="D5">
        <f>Derivation!D16</f>
        <v/>
      </c>
      <c r="E5">
        <f>Derivation!E16</f>
        <v/>
      </c>
      <c r="F5">
        <f>Derivation!F16</f>
        <v/>
      </c>
      <c r="G5">
        <f>Derivation!G16</f>
        <v/>
      </c>
      <c r="H5">
        <f>Derivation!H16</f>
        <v/>
      </c>
      <c r="I5">
        <f>Derivation!I16</f>
        <v/>
      </c>
      <c r="J5">
        <f>Derivation!J16</f>
        <v/>
      </c>
      <c r="K5">
        <f>Derivation!K16</f>
        <v/>
      </c>
      <c r="L5">
        <f>Derivation!L16</f>
        <v/>
      </c>
      <c r="M5">
        <f>Derivation!M16</f>
        <v/>
      </c>
      <c r="N5">
        <f>Derivation!N16</f>
        <v/>
      </c>
      <c r="O5">
        <f>Derivation!O16</f>
        <v/>
      </c>
      <c r="P5">
        <f>Derivation!P16</f>
        <v/>
      </c>
      <c r="Q5">
        <f>Derivation!Q16</f>
        <v/>
      </c>
      <c r="R5">
        <f>Derivation!R16</f>
        <v/>
      </c>
      <c r="S5">
        <f>Derivation!S16</f>
        <v/>
      </c>
      <c r="T5">
        <f>Derivation!T16</f>
        <v/>
      </c>
      <c r="U5">
        <f>Derivation!U16</f>
        <v/>
      </c>
      <c r="V5">
        <f>Derivation!V16</f>
        <v/>
      </c>
      <c r="W5">
        <f>Derivation!W16</f>
        <v/>
      </c>
      <c r="X5">
        <f>Derivation!X16</f>
        <v/>
      </c>
      <c r="Y5">
        <f>Derivation!Y16</f>
        <v/>
      </c>
      <c r="Z5">
        <f>Derivation!Z16</f>
        <v/>
      </c>
      <c r="AA5">
        <f>Derivation!AA16</f>
        <v/>
      </c>
      <c r="AB5">
        <f>Derivation!AB16</f>
        <v/>
      </c>
      <c r="AC5">
        <f>Derivation!AC16</f>
        <v/>
      </c>
      <c r="AD5">
        <f>Derivation!AD16</f>
        <v/>
      </c>
      <c r="AE5">
        <f>Derivation!AE16</f>
        <v/>
      </c>
    </row>
    <row r="6">
      <c r="A6" t="inlineStr">
        <is>
          <t>ABS(Export - Derivation)</t>
        </is>
      </c>
      <c r="B6">
        <f>ABS(B4-B5)</f>
        <v/>
      </c>
      <c r="C6">
        <f>ABS(C4-C5)</f>
        <v/>
      </c>
      <c r="D6">
        <f>ABS(D4-D5)</f>
        <v/>
      </c>
      <c r="E6">
        <f>ABS(E4-E5)</f>
        <v/>
      </c>
      <c r="F6">
        <f>ABS(F4-F5)</f>
        <v/>
      </c>
      <c r="G6">
        <f>ABS(G4-G5)</f>
        <v/>
      </c>
      <c r="H6">
        <f>ABS(H4-H5)</f>
        <v/>
      </c>
      <c r="I6">
        <f>ABS(I4-I5)</f>
        <v/>
      </c>
      <c r="J6">
        <f>ABS(J4-J5)</f>
        <v/>
      </c>
      <c r="K6">
        <f>ABS(K4-K5)</f>
        <v/>
      </c>
      <c r="L6">
        <f>ABS(L4-L5)</f>
        <v/>
      </c>
      <c r="M6">
        <f>ABS(M4-M5)</f>
        <v/>
      </c>
      <c r="N6">
        <f>ABS(N4-N5)</f>
        <v/>
      </c>
      <c r="O6">
        <f>ABS(O4-O5)</f>
        <v/>
      </c>
      <c r="P6">
        <f>ABS(P4-P5)</f>
        <v/>
      </c>
      <c r="Q6">
        <f>ABS(Q4-Q5)</f>
        <v/>
      </c>
      <c r="R6">
        <f>ABS(R4-R5)</f>
        <v/>
      </c>
      <c r="S6">
        <f>ABS(S4-S5)</f>
        <v/>
      </c>
      <c r="T6">
        <f>ABS(T4-T5)</f>
        <v/>
      </c>
      <c r="U6">
        <f>ABS(U4-U5)</f>
        <v/>
      </c>
      <c r="V6">
        <f>ABS(V4-V5)</f>
        <v/>
      </c>
      <c r="W6">
        <f>ABS(W4-W5)</f>
        <v/>
      </c>
      <c r="X6">
        <f>ABS(X4-X5)</f>
        <v/>
      </c>
      <c r="Y6">
        <f>ABS(Y4-Y5)</f>
        <v/>
      </c>
      <c r="Z6">
        <f>ABS(Z4-Z5)</f>
        <v/>
      </c>
      <c r="AA6">
        <f>ABS(AA4-AA5)</f>
        <v/>
      </c>
      <c r="AB6">
        <f>ABS(AB4-AB5)</f>
        <v/>
      </c>
      <c r="AC6">
        <f>ABS(AC4-AC5)</f>
        <v/>
      </c>
      <c r="AD6">
        <f>ABS(AD4-AD5)</f>
        <v/>
      </c>
      <c r="AE6">
        <f>ABS(AE4-AE5)</f>
        <v/>
      </c>
    </row>
    <row r="8">
      <c r="A8" s="1" t="inlineStr">
        <is>
          <t>Max abs diff</t>
        </is>
      </c>
      <c r="B8">
        <f>MAX(B6:AE6)</f>
        <v/>
      </c>
    </row>
    <row r="9">
      <c r="A9" s="1" t="inlineStr">
        <is>
          <t>Result</t>
        </is>
      </c>
      <c r="B9">
        <f>IF(B8&lt;1e-06,"PASS","FAIL")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metric tons/year (Phase 4 build-up: ~22 MMT current from ACAA fly ash + USGS GGBFS + pozzolans, declining to 15 by 2050 - see generator comments)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Maximum Annual SCM Supply for Cement</t>
        </is>
      </c>
      <c r="B2" t="n">
        <v>22000000</v>
      </c>
      <c r="C2" t="n">
        <v>22000000</v>
      </c>
      <c r="D2" t="n">
        <v>22000000</v>
      </c>
      <c r="E2" t="n">
        <v>22000000</v>
      </c>
      <c r="F2" t="n">
        <v>22000000</v>
      </c>
      <c r="G2" t="n">
        <v>21720000</v>
      </c>
      <c r="H2" t="n">
        <v>21440000</v>
      </c>
      <c r="I2" t="n">
        <v>21160000</v>
      </c>
      <c r="J2" t="n">
        <v>20880000</v>
      </c>
      <c r="K2" t="n">
        <v>20600000</v>
      </c>
      <c r="L2" t="n">
        <v>20320000</v>
      </c>
      <c r="M2" t="n">
        <v>20040000</v>
      </c>
      <c r="N2" t="n">
        <v>19760000</v>
      </c>
      <c r="O2" t="n">
        <v>19480000</v>
      </c>
      <c r="P2" t="n">
        <v>19200000</v>
      </c>
      <c r="Q2" t="n">
        <v>18920000</v>
      </c>
      <c r="R2" t="n">
        <v>18640000</v>
      </c>
      <c r="S2" t="n">
        <v>18360000</v>
      </c>
      <c r="T2" t="n">
        <v>18080000</v>
      </c>
      <c r="U2" t="n">
        <v>17800000</v>
      </c>
      <c r="V2" t="n">
        <v>17520000</v>
      </c>
      <c r="W2" t="n">
        <v>17240000</v>
      </c>
      <c r="X2" t="n">
        <v>16960000</v>
      </c>
      <c r="Y2" t="n">
        <v>16680000</v>
      </c>
      <c r="Z2" t="n">
        <v>16400000</v>
      </c>
      <c r="AA2" t="n">
        <v>16120000</v>
      </c>
      <c r="AB2" t="n">
        <v>15840000</v>
      </c>
      <c r="AC2" t="n">
        <v>15560000</v>
      </c>
      <c r="AD2" t="n">
        <v>15280000</v>
      </c>
      <c r="AE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2026-08-26T11:49:57Z</dcterms:created>
  <dcterms:modified xsi:type="dcterms:W3CDTF">2026-08-26T11:49:57Z</dcterms:modified>
</cp:coreProperties>
</file>