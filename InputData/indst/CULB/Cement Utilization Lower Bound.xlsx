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egions" sheetId="2" state="visible" r:id="rId2"/>
    <sheet name="Regional anchors master" sheetId="3" state="visible" r:id="rId3"/>
    <sheet name="Derivation" sheetId="4" state="visible" r:id="rId4"/>
    <sheet name="Checks" sheetId="5" state="visible" r:id="rId5"/>
    <sheet name="CUL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sgs.gov/centers/national-minerals-information-center/cement-statistics-and-information" TargetMode="External" Id="rId1" /><Relationship Type="http://schemas.openxmlformats.org/officeDocument/2006/relationships/hyperlink" Target="https://gccassociation.org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CULB Cement Utilization Lower Bound</t>
        </is>
      </c>
    </row>
    <row r="2"/>
    <row r="3">
      <c r="A3" s="1" t="inlineStr">
        <is>
          <t>Sources:</t>
        </is>
      </c>
      <c r="B3" s="2" t="inlineStr">
        <is>
          <t>US lower bound of the clinker-basis utilization envelope</t>
        </is>
      </c>
    </row>
    <row r="4">
      <c r="B4" s="3" t="inlineStr">
        <is>
          <t>USGS</t>
        </is>
      </c>
    </row>
    <row r="5">
      <c r="B5" s="3" t="inlineStr">
        <is>
          <t>Minerals Yearbook, Cement chapter, Table 5 (apparent annual capacity and utilization)</t>
        </is>
      </c>
    </row>
    <row r="6">
      <c r="B6" s="3" t="n">
        <v>2017</v>
      </c>
    </row>
    <row r="7">
      <c r="B7" s="4" t="inlineStr">
        <is>
          <t>https://www.usgs.gov/centers/national-minerals-information-center/cement-statistics-and-information</t>
        </is>
      </c>
    </row>
    <row r="8">
      <c r="B8" s="3" t="inlineStr">
        <is>
          <t>US 0.49 = 2009 financial-crisis trough; clinker basis (USGS apparent annual capacity). No USGS utilization table after 2017 - PCA follow-up needed.</t>
        </is>
      </c>
    </row>
    <row r="9"/>
    <row r="10">
      <c r="B10" s="2" t="inlineStr">
        <is>
          <t>Other regions (staging research, 2026-08-28)</t>
        </is>
      </c>
    </row>
    <row r="11">
      <c r="B11" s="3" t="inlineStr">
        <is>
          <t>National associations via trade press (see the master table's source column)</t>
        </is>
      </c>
    </row>
    <row r="12">
      <c r="B12" s="3" t="inlineStr">
        <is>
          <t>Cement_Utilization_Regional_Anchors/regional_anchors_master.csv</t>
        </is>
      </c>
    </row>
    <row r="13">
      <c r="B13" s="3" t="n">
        <v>2026</v>
      </c>
    </row>
    <row r="14">
      <c r="B14" s="4" t="inlineStr">
        <is>
          <t>https://gccassociation.org/</t>
        </is>
      </c>
    </row>
    <row r="15">
      <c r="B15" s="3" t="inlineStr">
        <is>
          <t>Confidence flags HIGH to NONE per region; PROXY = US-analog placeholder with no observed value. See the 'Regional anchors master' tab.</t>
        </is>
      </c>
    </row>
    <row r="16"/>
    <row r="17"/>
    <row r="18">
      <c r="A18" s="1" t="inlineStr">
        <is>
          <t>Notes:</t>
        </is>
      </c>
    </row>
    <row r="19">
      <c r="A19" s="1" t="inlineStr">
        <is>
          <t>DRAFT status</t>
        </is>
      </c>
      <c r="B19" s="3" t="inlineStr">
        <is>
          <t>This is an input for staff review, not a finished or approved EI position; treat as a starting point pending team sign-off. Verify all cited figures against the primary sources before use.</t>
        </is>
      </c>
    </row>
    <row r="20">
      <c r="A20" s="1" t="inlineStr">
        <is>
          <t>Definition</t>
        </is>
      </c>
      <c r="B20" s="3" t="inlineStr">
        <is>
          <t>The lower bound of the region's historical clinker-capacity utilization envelope. Cement Fleet Tightness = (utilization - CULB) / (CUUB - CULB), clamped to 0..1, drives the replacement blend weight (CRBWvT) and the congestion adder (CTOAvT). Envelope definition 1 (extreme historical trough/peak) per the staging README; flagged for team review.</t>
        </is>
      </c>
    </row>
    <row r="21">
      <c r="A21" s="1" t="inlineStr">
        <is>
          <t>Region selector</t>
        </is>
      </c>
      <c r="B21" s="3" t="inlineStr">
        <is>
          <t>Regions!B1 picks the row. Export literal is the US value; re-export after switching. PROXY rows are placeholders.</t>
        </is>
      </c>
    </row>
    <row r="22">
      <c r="A22" s="1" t="inlineStr">
        <is>
          <t>Design memo</t>
        </is>
      </c>
      <c r="B22" s="3" t="inlineStr">
        <is>
          <t>Design memo: Cement_Utilization_Tightness_Design.md (cement-industry-breakout-f901fc worktree root); anchors staging package: Cement_Utilization_Regional_Anchors/ (same root).</t>
        </is>
      </c>
    </row>
    <row r="23">
      <c r="A23" s="1" t="inlineStr">
        <is>
          <t>Provenance</t>
        </is>
      </c>
      <c r="B23" s="3" t="inlineStr">
        <is>
          <t>Built by Claude Code (Fable 5.1 session), cement section-2 review, worktree cement-calculation-flow-89da5b, 2026-09-29. Reviewed by: (pending).</t>
        </is>
      </c>
    </row>
    <row r="24">
      <c r="A24" s="1" t="inlineStr">
        <is>
          <t>Regional rows loaded 2026-10-01</t>
        </is>
      </c>
      <c r="B24" s="3" t="inlineStr">
        <is>
          <t>Non-US rows of the Regions tab loaded from Cement_Regional_Data_Draft.md (cement-calculation-flow-89da5b worktree root), passes 1 and 2; pass 2 (primary sources) wins on conflict and the conflict is kept in the row note. Flags: DIRECT = read in the primary document; SNIPPET = secondary/trade-press summary or an unopened primary; JUDGMENT = own arithmetic or estimate (written as a visible formula where computed); blank = TO FILL. Supersedes any placeholder description in the Sources block above. The US row, Derivation and export tab are unchanged. Verify every non-US value against its cited primary source before use. Loader: Cement_Regional_Rows_Loading/load_regional_rows.py.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30" customWidth="1" min="5" max="5"/>
    <col width="40" customWidth="1" min="6" max="6"/>
    <col width="90" customWidth="1" min="7" max="7"/>
  </cols>
  <sheetData>
    <row r="1">
      <c r="A1" s="1" t="inlineStr">
        <is>
          <t>Selected region (drop-down):</t>
        </is>
      </c>
      <c r="B1" s="5" t="inlineStr">
        <is>
          <t>United States</t>
        </is>
      </c>
    </row>
    <row r="2">
      <c r="A2" s="3" t="inlineStr">
        <is>
          <t>Change B1 to switch the Derivation to another region's row; the export tab holds literal values, so re-export the CSV after switching. Blank = TO FILL.</t>
        </is>
      </c>
    </row>
    <row r="4">
      <c r="A4" s="6" t="inlineStr">
        <is>
          <t>Region</t>
        </is>
      </c>
      <c r="B4" s="6" t="inlineStr">
        <is>
          <t>Cement Utilization Lower Bound</t>
        </is>
      </c>
      <c r="C4" s="6" t="inlineStr">
        <is>
          <t>Year</t>
        </is>
      </c>
      <c r="D4" s="6" t="inlineStr">
        <is>
          <t>Confidence</t>
        </is>
      </c>
      <c r="E4" s="6" t="inlineStr">
        <is>
          <t>Basis</t>
        </is>
      </c>
      <c r="F4" s="6" t="inlineStr">
        <is>
          <t>Primary source</t>
        </is>
      </c>
      <c r="G4" s="6" t="inlineStr">
        <is>
          <t>Notes</t>
        </is>
      </c>
    </row>
    <row r="5">
      <c r="A5" t="inlineStr">
        <is>
          <t>United States</t>
        </is>
      </c>
      <c r="B5" t="n">
        <v>0.49</v>
      </c>
      <c r="C5" t="inlineStr">
        <is>
          <t>2009</t>
        </is>
      </c>
      <c r="D5" t="inlineStr">
        <is>
          <t>HIGH</t>
        </is>
      </c>
      <c r="E5" t="inlineStr">
        <is>
          <t>clinker (USGS apparent annual capacity)</t>
        </is>
      </c>
      <c r="F5" t="inlineStr">
        <is>
          <t>USGS Minerals Yearbook Cement ch. Table 5</t>
        </is>
      </c>
      <c r="G5" t="inlineStr">
        <is>
          <t>2009 trough=financial crisis; 0.85=USGS 'full practicable capacity'; grinding-basis twin runs ~3-4 pts lower; no USGS utilization table after 2017 - PCA follow-up needed; SYCCU 0.69 (USGS 2025) sits mid-band</t>
        </is>
      </c>
    </row>
    <row r="6">
      <c r="A6" t="inlineStr">
        <is>
          <t>China</t>
        </is>
      </c>
      <c r="B6" t="n">
        <v>0.5</v>
      </c>
      <c r="C6" t="inlineStr">
        <is>
          <t>2024</t>
        </is>
      </c>
      <c r="D6" t="inlineStr">
        <is>
          <t>LOW-MED</t>
        </is>
      </c>
      <c r="E6" t="inlineStr">
        <is>
          <t>clinker (CCA; registered capacity)</t>
        </is>
      </c>
      <c r="F6" t="inlineStr">
        <is>
          <t>China Cement Association via Global Cement/CemNet</t>
        </is>
      </c>
      <c r="G6" t="inlineStr">
        <is>
          <t>2024 trough=property collapse + chronic overcapacity; NO verified historical peak - 0.85 is a PROXY pending CCA/NBS archives; clinker vs cement rates differ; registered-vs-operable gap (32.5 ban, capacity swaps) | PASS 2 (2026-10-01): CCA capacity 1,810 Mt + 53% utilization 2024 (SNIPPET, Global Cement) supports the 0.50 trough; still unclear if clinker or cement basis. GEM 2026 operating clinker capacity 1,636.9 Mt (DIRECT, GEM article); clinker output not found, so utilization on the GEM base is unknown.</t>
        </is>
      </c>
    </row>
    <row r="7">
      <c r="A7" t="inlineStr">
        <is>
          <t>India</t>
        </is>
      </c>
      <c r="B7" t="n">
        <v>0.5600000000000001</v>
      </c>
      <c r="C7" t="inlineStr">
        <is>
          <t>2021</t>
        </is>
      </c>
      <c r="D7" t="inlineStr">
        <is>
          <t>MEDIUM</t>
        </is>
      </c>
      <c r="E7" t="inlineStr">
        <is>
          <t>cement (CMA installed; CMA covers ~70% of capacity)</t>
        </is>
      </c>
      <c r="F7" t="inlineStr">
        <is>
          <t>CMA via ICRA/CRISIL press</t>
        </is>
      </c>
      <c r="G7" t="inlineStr">
        <is>
          <t>FY2021 COVID trough; 0.88=Aug-2007 CMA point cited in a 2008 article (weak); recent 0.71-0.75 range | PASS 2 (2026-10-01): GEM 2026 clinker capacity 402.5 Mt (DIRECT, GEM article); implied clinker utilization ~0.77 (= 0.73 x 427 / 402.5, JUDGMENT) - inside the band, but the band is cement basis (CMA).</t>
        </is>
      </c>
    </row>
    <row r="8">
      <c r="A8" t="inlineStr">
        <is>
          <t>EU-27</t>
        </is>
      </c>
      <c r="B8" t="n">
        <v>0.5</v>
      </c>
      <c r="C8" t="inlineStr">
        <is>
          <t>2013</t>
        </is>
      </c>
      <c r="D8" t="inlineStr">
        <is>
          <t>LOW-MED</t>
        </is>
      </c>
      <c r="E8" t="inlineStr">
        <is>
          <t>clinker (OneStone CCF2Up; cement-basis twin 0.653)</t>
        </is>
      </c>
      <c r="F8" t="inlineStr">
        <is>
          <t>OneStone via ZKG; Cembureau to verify</t>
        </is>
      </c>
      <c r="G8" t="inlineStr">
        <is>
          <t>trough inferred from ~200% capacity-to-consumption reports 2013-14 (UNVERIFIED); no pre-2008 peak found - 0.85 PROXY; grinding capacity exceeds clinker capacity (import-fed mills)</t>
        </is>
      </c>
    </row>
    <row r="9">
      <c r="A9" t="inlineStr">
        <is>
          <t>Japan</t>
        </is>
      </c>
      <c r="B9" t="n">
        <v>0.5</v>
      </c>
      <c r="C9" t="inlineStr">
        <is>
          <t>PROXY</t>
        </is>
      </c>
      <c r="D9" t="inlineStr">
        <is>
          <t>NONE</t>
        </is>
      </c>
      <c r="E9" t="inlineStr">
        <is>
          <t>clinker (JCA kiln operation ratio)</t>
        </is>
      </c>
      <c r="F9" t="inlineStr">
        <is>
          <t>JCA jcassoc.or.jp/cement/2eng/e_02c.html (image-only - manual read)</t>
        </is>
      </c>
      <c r="G9" t="inlineStr">
        <is>
          <t>JCA publishes the exact needed series as an image; secular demand decline since 1990 (86-&gt;~30Mt) with stepwise capacity rationalization; staged band is PROXY until the JCA chart is read</t>
        </is>
      </c>
    </row>
    <row r="10">
      <c r="A10" t="inlineStr">
        <is>
          <t>Brazil</t>
        </is>
      </c>
      <c r="B10" t="n">
        <v>0.54</v>
      </c>
      <c r="C10" t="inlineStr">
        <is>
          <t>2018</t>
        </is>
      </c>
      <c r="D10" t="inlineStr">
        <is>
          <t>HIGH</t>
        </is>
      </c>
      <c r="E10" t="inlineStr">
        <is>
          <t>cement (SNIC installed capacity)</t>
        </is>
      </c>
      <c r="F10" t="inlineStr">
        <is>
          <t>SNIC Relatorio Anual 2023 Grafico 7</t>
        </is>
      </c>
      <c r="G10" t="inlineStr">
        <is>
          <t>explicit 2007-2023 series; trough=2015-18 domestic recession not 2008-09; 2023 value ambiguous in extraction (0.67-0.76) - use 2022 | PASS 2 (2026-10-01): SNIC cement capacity 94 Mt/yr (DIRECT); chart prints 0.76 for 2023 vs 66.5/94 = 0.71 (JUDGMENT) - check chart definition; clinker basis ~47/61 = 0.77 (JUDGMENT, USGS capacity).</t>
        </is>
      </c>
    </row>
    <row r="11">
      <c r="A11" t="inlineStr">
        <is>
          <t>Mexico</t>
        </is>
      </c>
      <c r="B11" t="n">
        <v>0.49</v>
      </c>
      <c r="C11" t="inlineStr">
        <is>
          <t>PROXY</t>
        </is>
      </c>
      <c r="D11" t="inlineStr">
        <is>
          <t>LOW</t>
        </is>
      </c>
      <c r="E11" t="inlineStr">
        <is>
          <t>unknown (CANACEM capacity vintage unclear)</t>
        </is>
      </c>
      <c r="F11" t="inlineStr">
        <is>
          <t>CANACEM Informe Estadistico / INEGI EMIM to obtain</t>
        </is>
      </c>
      <c r="G11" t="inlineStr">
        <is>
          <t>NO utilization series found; staged band is a US-analog PROXY; CANACEM 39.6Mt capacity vs 51.5Mt 2021 production are different vintages - do not combine | PASS 2 (2026-10-01): one-point check only - implied clinker ~33 Mt (0.75 x 44, 2016 ratio, JUDGMENT) / USGS clinker capacity 42 = ~0.79; utilization series still TO FILL.</t>
        </is>
      </c>
    </row>
    <row r="12">
      <c r="A12" t="inlineStr">
        <is>
          <t>Canada</t>
        </is>
      </c>
      <c r="B12" t="n">
        <v>0.5</v>
      </c>
      <c r="C12" t="inlineStr">
        <is>
          <t>PROXY</t>
        </is>
      </c>
      <c r="D12" t="inlineStr">
        <is>
          <t>LOW</t>
        </is>
      </c>
      <c r="E12" t="inlineStr">
        <is>
          <t>cement (integrated-plant capacity)</t>
        </is>
      </c>
      <c r="F12" t="inlineStr">
        <is>
          <t>Global Cement May-2017 citing StatCan; CAC to verify</t>
        </is>
      </c>
      <c r="G12" t="inlineStr">
        <is>
          <t>only one matched-year point (2016); production trough 2009 documented but no same-year capacity denominator; band values are US-analog PROXIES</t>
        </is>
      </c>
    </row>
    <row r="13">
      <c r="A13" t="inlineStr">
        <is>
          <t>Indonesia</t>
        </is>
      </c>
      <c r="B13" t="n">
        <v>0.54</v>
      </c>
      <c r="C13" t="inlineStr">
        <is>
          <t>2022</t>
        </is>
      </c>
      <c r="D13" t="inlineStr">
        <is>
          <t>MEDIUM</t>
        </is>
      </c>
      <c r="E13" t="inlineStr">
        <is>
          <t>cement (ASI installed incl. idle licensed lines)</t>
        </is>
      </c>
      <c r="F13" t="inlineStr">
        <is>
          <t>ASI via dataindonesia.id / CemNet (Indocement)</t>
        </is>
      </c>
      <c r="G13" t="inlineStr">
        <is>
          <t>0.929 peak 2012 well-attested; recent estimates 0.56 vs 0.65 disagree (installed vs operable denominator); post-2015 capacity glut | PASS 2 (2026-10-01): ASI projects 0.65 for 2025 (SNIPPET, Global Cement); clinker basis 57.3 / 83 (USGS capacity) = 0.69 (JUDGMENT).</t>
        </is>
      </c>
    </row>
    <row r="14">
      <c r="A14" t="inlineStr">
        <is>
          <t>Australia</t>
        </is>
      </c>
      <c r="B14" t="n">
        <v>0.55</v>
      </c>
      <c r="C14" t="inlineStr">
        <is>
          <t>PROXY</t>
        </is>
      </c>
      <c r="D14" t="inlineStr">
        <is>
          <t>LOW</t>
        </is>
      </c>
      <c r="E14" t="inlineStr">
        <is>
          <t>clinker (CIF integrated kilns; derived arithmetic)</t>
        </is>
      </c>
      <c r="F14" t="inlineStr">
        <is>
          <t>CIF cement.org.au; VDZ decarbonisation report to verify</t>
        </is>
      </c>
      <c r="G14" t="inlineStr">
        <is>
          <t>no published rate; 0.76 = 5.26Mt production / ~6.88Mt summed nameplate (own arithmetic, vintages differ); kilns run 'full or not at all' (CIF) and clinker imports &gt;40% of demand - the utilization margin may act via import share here</t>
        </is>
      </c>
    </row>
  </sheetData>
  <dataValidations count="1">
    <dataValidation sqref="B1" showDropDown="0" showInputMessage="0" showErrorMessage="0" allowBlank="0" type="list">
      <formula1>=$A$5:$A$14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0" customWidth="1" min="11" max="11"/>
  </cols>
  <sheetData>
    <row r="1">
      <c r="A1" t="inlineStr">
        <is>
          <t>regional_anchors_master.csv (staging package, 2026-08-28) pasted verbatim. Every figure was gathered by web research from secondary citations of primary sources - verify against the primary document before use.</t>
        </is>
      </c>
    </row>
    <row r="3">
      <c r="A3" t="inlineStr">
        <is>
          <t>region</t>
        </is>
      </c>
      <c r="B3" t="inlineStr">
        <is>
          <t>CULB</t>
        </is>
      </c>
      <c r="C3" t="inlineStr">
        <is>
          <t>CULB_year</t>
        </is>
      </c>
      <c r="D3" t="inlineStr">
        <is>
          <t>CUUB</t>
        </is>
      </c>
      <c r="E3" t="inlineStr">
        <is>
          <t>CUUB_year</t>
        </is>
      </c>
      <c r="F3" t="inlineStr">
        <is>
          <t>util_recent</t>
        </is>
      </c>
      <c r="G3" t="inlineStr">
        <is>
          <t>util_recent_year</t>
        </is>
      </c>
      <c r="H3" t="inlineStr">
        <is>
          <t>basis</t>
        </is>
      </c>
      <c r="I3" t="inlineStr">
        <is>
          <t>confidence</t>
        </is>
      </c>
      <c r="J3" t="inlineStr">
        <is>
          <t>primary_source</t>
        </is>
      </c>
      <c r="K3" t="inlineStr">
        <is>
          <t>notes</t>
        </is>
      </c>
    </row>
    <row r="4">
      <c r="A4" t="inlineStr">
        <is>
          <t>US</t>
        </is>
      </c>
      <c r="B4" t="n">
        <v>0.49</v>
      </c>
      <c r="C4" t="n">
        <v>2009</v>
      </c>
      <c r="D4" t="n">
        <v>0.85</v>
      </c>
      <c r="E4" t="n">
        <v>2005</v>
      </c>
      <c r="F4" t="n">
        <v>0.74</v>
      </c>
      <c r="G4" t="n">
        <v>2017</v>
      </c>
      <c r="H4" t="inlineStr">
        <is>
          <t>clinker (USGS apparent annual capacity)</t>
        </is>
      </c>
      <c r="I4" t="inlineStr">
        <is>
          <t>HIGH</t>
        </is>
      </c>
      <c r="J4" t="inlineStr">
        <is>
          <t>USGS Minerals Yearbook Cement ch. Table 5</t>
        </is>
      </c>
      <c r="K4" t="inlineStr">
        <is>
          <t>2009 trough=financial crisis; 0.85=USGS 'full practicable capacity'; grinding-basis twin runs ~3-4 pts lower; no USGS utilization table after 2017 - PCA follow-up needed; SYCCU 0.69 (USGS 2025) sits mid-band</t>
        </is>
      </c>
    </row>
    <row r="5">
      <c r="A5" t="inlineStr">
        <is>
          <t>Brazil</t>
        </is>
      </c>
      <c r="B5" t="n">
        <v>0.54</v>
      </c>
      <c r="C5" t="n">
        <v>2018</v>
      </c>
      <c r="D5" t="n">
        <v>0.85</v>
      </c>
      <c r="E5" t="n">
        <v>2010</v>
      </c>
      <c r="F5" t="n">
        <v>0.77</v>
      </c>
      <c r="G5" t="n">
        <v>2022</v>
      </c>
      <c r="H5" t="inlineStr">
        <is>
          <t>cement (SNIC installed capacity)</t>
        </is>
      </c>
      <c r="I5" t="inlineStr">
        <is>
          <t>HIGH</t>
        </is>
      </c>
      <c r="J5" t="inlineStr">
        <is>
          <t>SNIC Relatorio Anual 2023 Grafico 7</t>
        </is>
      </c>
      <c r="K5" t="inlineStr">
        <is>
          <t>explicit 2007-2023 series; trough=2015-18 domestic recession not 2008-09; 2023 value ambiguous in extraction (0.67-0.76) - use 2022</t>
        </is>
      </c>
    </row>
    <row r="6">
      <c r="A6" t="inlineStr">
        <is>
          <t>India</t>
        </is>
      </c>
      <c r="B6" t="n">
        <v>0.5600000000000001</v>
      </c>
      <c r="C6" t="n">
        <v>2021</v>
      </c>
      <c r="D6" t="n">
        <v>0.88</v>
      </c>
      <c r="E6" t="n">
        <v>2007</v>
      </c>
      <c r="F6" t="n">
        <v>0.73</v>
      </c>
      <c r="G6" t="n">
        <v>2025</v>
      </c>
      <c r="H6" t="inlineStr">
        <is>
          <t>cement (CMA installed; CMA covers ~70% of capacity)</t>
        </is>
      </c>
      <c r="I6" t="inlineStr">
        <is>
          <t>MEDIUM</t>
        </is>
      </c>
      <c r="J6" t="inlineStr">
        <is>
          <t>CMA via ICRA/CRISIL press</t>
        </is>
      </c>
      <c r="K6" t="inlineStr">
        <is>
          <t>FY2021 COVID trough; 0.88=Aug-2007 CMA point cited in a 2008 article (weak); recent 0.71-0.75 range</t>
        </is>
      </c>
    </row>
    <row r="7">
      <c r="A7" t="inlineStr">
        <is>
          <t>Indonesia</t>
        </is>
      </c>
      <c r="B7" t="n">
        <v>0.54</v>
      </c>
      <c r="C7" t="n">
        <v>2022</v>
      </c>
      <c r="D7" t="n">
        <v>0.93</v>
      </c>
      <c r="E7" t="n">
        <v>2012</v>
      </c>
      <c r="F7" t="n">
        <v>0.5600000000000001</v>
      </c>
      <c r="G7" t="n">
        <v>2024</v>
      </c>
      <c r="H7" t="inlineStr">
        <is>
          <t>cement (ASI installed incl. idle licensed lines)</t>
        </is>
      </c>
      <c r="I7" t="inlineStr">
        <is>
          <t>MEDIUM</t>
        </is>
      </c>
      <c r="J7" t="inlineStr">
        <is>
          <t>ASI via dataindonesia.id / CemNet (Indocement)</t>
        </is>
      </c>
      <c r="K7" t="inlineStr">
        <is>
          <t>0.929 peak 2012 well-attested; recent estimates 0.56 vs 0.65 disagree (installed vs operable denominator); post-2015 capacity glut</t>
        </is>
      </c>
    </row>
    <row r="8">
      <c r="A8" t="inlineStr">
        <is>
          <t>China</t>
        </is>
      </c>
      <c r="B8" t="n">
        <v>0.5</v>
      </c>
      <c r="C8" t="n">
        <v>2024</v>
      </c>
      <c r="D8" t="n">
        <v>0.85</v>
      </c>
      <c r="E8" t="inlineStr">
        <is>
          <t>PROXY</t>
        </is>
      </c>
      <c r="F8" t="n">
        <v>0.53</v>
      </c>
      <c r="G8" t="n">
        <v>2024</v>
      </c>
      <c r="H8" t="inlineStr">
        <is>
          <t>clinker (CCA; registered capacity)</t>
        </is>
      </c>
      <c r="I8" t="inlineStr">
        <is>
          <t>LOW-MED</t>
        </is>
      </c>
      <c r="J8" t="inlineStr">
        <is>
          <t>China Cement Association via Global Cement/CemNet</t>
        </is>
      </c>
      <c r="K8" t="inlineStr">
        <is>
          <t>2024 trough=property collapse + chronic overcapacity; NO verified historical peak - 0.85 is a PROXY pending CCA/NBS archives; clinker vs cement rates differ; registered-vs-operable gap (32.5 ban, capacity swaps)</t>
        </is>
      </c>
    </row>
    <row r="9">
      <c r="A9" t="inlineStr">
        <is>
          <t>EU</t>
        </is>
      </c>
      <c r="B9" t="n">
        <v>0.5</v>
      </c>
      <c r="C9" t="n">
        <v>2013</v>
      </c>
      <c r="D9" t="n">
        <v>0.85</v>
      </c>
      <c r="E9" t="inlineStr">
        <is>
          <t>PROXY</t>
        </is>
      </c>
      <c r="F9" t="n">
        <v>0.71</v>
      </c>
      <c r="G9" t="n">
        <v>2021</v>
      </c>
      <c r="H9" t="inlineStr">
        <is>
          <t>clinker (OneStone CCF2Up; cement-basis twin 0.653)</t>
        </is>
      </c>
      <c r="I9" t="inlineStr">
        <is>
          <t>LOW-MED</t>
        </is>
      </c>
      <c r="J9" t="inlineStr">
        <is>
          <t>OneStone via ZKG; Cembureau to verify</t>
        </is>
      </c>
      <c r="K9" t="inlineStr">
        <is>
          <t>trough inferred from ~200% capacity-to-consumption reports 2013-14 (UNVERIFIED); no pre-2008 peak found - 0.85 PROXY; grinding capacity exceeds clinker capacity (import-fed mills)</t>
        </is>
      </c>
    </row>
    <row r="10">
      <c r="A10" t="inlineStr">
        <is>
          <t>Canada</t>
        </is>
      </c>
      <c r="B10" t="n">
        <v>0.5</v>
      </c>
      <c r="C10" t="inlineStr">
        <is>
          <t>PROXY</t>
        </is>
      </c>
      <c r="D10" t="n">
        <v>0.85</v>
      </c>
      <c r="E10" t="inlineStr">
        <is>
          <t>PROXY</t>
        </is>
      </c>
      <c r="F10" t="n">
        <v>0.73</v>
      </c>
      <c r="G10" t="n">
        <v>2016</v>
      </c>
      <c r="H10" t="inlineStr">
        <is>
          <t>cement (integrated-plant capacity)</t>
        </is>
      </c>
      <c r="I10" t="inlineStr">
        <is>
          <t>LOW</t>
        </is>
      </c>
      <c r="J10" t="inlineStr">
        <is>
          <t>Global Cement May-2017 citing StatCan; CAC to verify</t>
        </is>
      </c>
      <c r="K10" t="inlineStr">
        <is>
          <t>only one matched-year point (2016); production trough 2009 documented but no same-year capacity denominator; band values are US-analog PROXIES</t>
        </is>
      </c>
    </row>
    <row r="11">
      <c r="A11" t="inlineStr">
        <is>
          <t>Mexico</t>
        </is>
      </c>
      <c r="B11" t="n">
        <v>0.49</v>
      </c>
      <c r="C11" t="inlineStr">
        <is>
          <t>PROXY</t>
        </is>
      </c>
      <c r="D11" t="n">
        <v>0.85</v>
      </c>
      <c r="E11" t="inlineStr">
        <is>
          <t>PROXY</t>
        </is>
      </c>
      <c r="H11" t="inlineStr">
        <is>
          <t>unknown (CANACEM capacity vintage unclear)</t>
        </is>
      </c>
      <c r="I11" t="inlineStr">
        <is>
          <t>LOW</t>
        </is>
      </c>
      <c r="J11" t="inlineStr">
        <is>
          <t>CANACEM Informe Estadistico / INEGI EMIM to obtain</t>
        </is>
      </c>
      <c r="K11" t="inlineStr">
        <is>
          <t>NO utilization series found; staged band is a US-analog PROXY; CANACEM 39.6Mt capacity vs 51.5Mt 2021 production are different vintages - do not combine</t>
        </is>
      </c>
    </row>
    <row r="12">
      <c r="A12" t="inlineStr">
        <is>
          <t>Japan</t>
        </is>
      </c>
      <c r="B12" t="n">
        <v>0.5</v>
      </c>
      <c r="C12" t="inlineStr">
        <is>
          <t>PROXY</t>
        </is>
      </c>
      <c r="D12" t="n">
        <v>0.85</v>
      </c>
      <c r="E12" t="inlineStr">
        <is>
          <t>PROXY</t>
        </is>
      </c>
      <c r="H12" t="inlineStr">
        <is>
          <t>clinker (JCA kiln operation ratio)</t>
        </is>
      </c>
      <c r="I12" t="inlineStr">
        <is>
          <t>NONE</t>
        </is>
      </c>
      <c r="J12" t="inlineStr">
        <is>
          <t>JCA jcassoc.or.jp/cement/2eng/e_02c.html (image-only - manual read)</t>
        </is>
      </c>
      <c r="K12" t="inlineStr">
        <is>
          <t>JCA publishes the exact needed series as an image; secular demand decline since 1990 (86-&gt;~30Mt) with stepwise capacity rationalization; staged band is PROXY until the JCA chart is read</t>
        </is>
      </c>
    </row>
    <row r="13">
      <c r="A13" t="inlineStr">
        <is>
          <t>Australia</t>
        </is>
      </c>
      <c r="B13" t="n">
        <v>0.55</v>
      </c>
      <c r="C13" t="inlineStr">
        <is>
          <t>PROXY</t>
        </is>
      </c>
      <c r="D13" t="n">
        <v>0.9</v>
      </c>
      <c r="E13" t="inlineStr">
        <is>
          <t>PROXY</t>
        </is>
      </c>
      <c r="F13" t="n">
        <v>0.76</v>
      </c>
      <c r="G13" t="n">
        <v>2021</v>
      </c>
      <c r="H13" t="inlineStr">
        <is>
          <t>clinker (CIF integrated kilns; derived arithmetic)</t>
        </is>
      </c>
      <c r="I13" t="inlineStr">
        <is>
          <t>LOW</t>
        </is>
      </c>
      <c r="J13" t="inlineStr">
        <is>
          <t>CIF cement.org.au; VDZ decarbonisation report to verify</t>
        </is>
      </c>
      <c r="K13" t="inlineStr">
        <is>
          <t>no published rate; 0.76 = 5.26Mt production / ~6.88Mt summed nameplate (own arithmetic, vintages differ); kilns run 'full or not at all' (CIF) and clinker imports &gt;40% of demand - the utilization margin may act via import share here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Selected region</t>
        </is>
      </c>
      <c r="B1">
        <f>Regions!B1</f>
        <v/>
      </c>
    </row>
    <row r="2">
      <c r="A2" t="inlineStr">
        <is>
          <t>Cement Utilization Lower Bound</t>
        </is>
      </c>
      <c r="B2">
        <f>INDEX(Regions!$B$5:$B$14,MATCH(Regions!$B$1,Regions!$A$5:$A$14,0))</f>
        <v/>
      </c>
    </row>
    <row r="3">
      <c r="A3" t="inlineStr">
        <is>
          <t>Year / confidence</t>
        </is>
      </c>
      <c r="B3">
        <f>INDEX(Regions!$C$5:$C$14,MATCH(Regions!$B$1,Regions!$A$5:$A$14,0))&amp;" / "&amp;INDEX(Regions!$D$5:$D$14,MATCH(Regions!$B$1,Regions!$A$5:$A$14,0))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Cross-check: 'CULB' export literal vs Derivation</t>
        </is>
      </c>
    </row>
    <row r="3">
      <c r="A3" t="inlineStr">
        <is>
          <t>Export literal</t>
        </is>
      </c>
      <c r="B3" t="n">
        <v>0.49</v>
      </c>
    </row>
    <row r="4">
      <c r="A4" t="inlineStr">
        <is>
          <t>Derivation</t>
        </is>
      </c>
      <c r="B4">
        <f>Derivation!B2</f>
        <v/>
      </c>
    </row>
    <row r="5">
      <c r="A5" t="inlineStr">
        <is>
          <t>ABS diff</t>
        </is>
      </c>
      <c r="B5">
        <f>ABS(B3-B4)</f>
        <v/>
      </c>
    </row>
    <row r="6">
      <c r="A6" t="inlineStr">
        <is>
          <t>Result</t>
        </is>
      </c>
      <c r="B6">
        <f>IF(B5&lt;1e-06,"PASS","FAIL")</f>
        <v/>
      </c>
    </row>
    <row r="7">
      <c r="A7" t="inlineStr">
        <is>
          <t>Range 0.3..0.95</t>
        </is>
      </c>
      <c r="B7">
        <f>IF(AND(B3&gt;0.3,B3&lt;0.95),"PASS","FAIL")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dimensionless (US 0.49 = 2009 clinker-basis utilization trough, USGS Minerals Yearbook 2009 Cement ch. Table 5; staged from Cement_Utilization_Regional_Anchors 2026-08-28, HIGH confidence - verify vs primary before release; regional anchors for 9 other regions staged in that package)</t>
        </is>
      </c>
      <c r="B1" t="inlineStr">
        <is>
          <t>Utilization Lower Bound</t>
        </is>
      </c>
    </row>
    <row r="2">
      <c r="A2" t="inlineStr">
        <is>
          <t>Cement Utilization Lower Bound</t>
        </is>
      </c>
      <c r="B2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2026-09-29T18:40:22Z</dcterms:created>
  <dcterms:modified xsi:type="dcterms:W3CDTF">2026-10-01T20:23:34Z</dcterms:modified>
</cp:coreProperties>
</file>