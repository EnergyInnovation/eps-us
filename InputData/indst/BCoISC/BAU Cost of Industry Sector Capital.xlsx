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BCoISC\"/>
    </mc:Choice>
  </mc:AlternateContent>
  <xr:revisionPtr revIDLastSave="0" documentId="13_ncr:1_{7933CDE8-D7C9-4BD7-B3C3-CB6565BCCC71}" xr6:coauthVersionLast="47" xr6:coauthVersionMax="47" xr10:uidLastSave="{00000000-0000-0000-0000-000000000000}"/>
  <bookViews>
    <workbookView xWindow="-120" yWindow="-120" windowWidth="29040" windowHeight="17520" tabRatio="644" activeTab="3" xr2:uid="{C8F9D547-902B-4E49-8BA2-E23B0A2DC1A9}"/>
  </bookViews>
  <sheets>
    <sheet name="About" sheetId="1" r:id="rId1"/>
    <sheet name="NYU Data" sheetId="7" r:id="rId2"/>
    <sheet name="EPS &lt;&gt; NYU Industry CoC Map" sheetId="8" r:id="rId3"/>
    <sheet name="Pretax WACC Build" sheetId="11" r:id="rId4"/>
    <sheet name="EPS &lt;&gt; NYU Industry CoD Map" sheetId="10" r:id="rId5"/>
    <sheet name="BCoISC-WACCbI" sheetId="3" r:id="rId6"/>
    <sheet name="BCoISC-FIRbI" sheetId="9" r:id="rId7"/>
    <sheet name="RPfE (not exported)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8" l="1"/>
  <c r="H27" i="8"/>
  <c r="I26" i="8"/>
  <c r="H26" i="8"/>
  <c r="I25" i="8"/>
  <c r="H25" i="8"/>
  <c r="I24" i="8"/>
  <c r="H24" i="8"/>
  <c r="I23" i="8"/>
  <c r="H23" i="8"/>
  <c r="I22" i="8"/>
  <c r="I21" i="8"/>
  <c r="H21" i="8"/>
  <c r="I20" i="8"/>
  <c r="I19" i="8"/>
  <c r="I18" i="8"/>
  <c r="H18" i="8"/>
  <c r="I17" i="8"/>
  <c r="H17" i="8"/>
  <c r="I16" i="8"/>
  <c r="H16" i="8"/>
  <c r="I15" i="8"/>
  <c r="H15" i="8"/>
  <c r="I14" i="8"/>
  <c r="H14" i="8"/>
  <c r="I13" i="8"/>
  <c r="H13" i="8"/>
  <c r="I11" i="8"/>
  <c r="H11" i="8"/>
  <c r="I10" i="8"/>
  <c r="I9" i="8"/>
  <c r="H9" i="8"/>
  <c r="I8" i="8"/>
  <c r="H8" i="8"/>
  <c r="I6" i="8"/>
  <c r="H6" i="8"/>
  <c r="I5" i="8"/>
  <c r="H5" i="8"/>
  <c r="I4" i="8"/>
  <c r="H4" i="8"/>
  <c r="I3" i="8"/>
  <c r="H3" i="8"/>
  <c r="J85" i="11"/>
  <c r="J7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K84" i="11" s="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K62" i="11" s="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K40" i="11" s="1"/>
  <c r="G27" i="8" s="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K18" i="11" s="1"/>
  <c r="G17" i="11"/>
  <c r="G16" i="11"/>
  <c r="G15" i="11"/>
  <c r="G14" i="11"/>
  <c r="G13" i="11"/>
  <c r="G12" i="11"/>
  <c r="G11" i="11"/>
  <c r="F105" i="11"/>
  <c r="J105" i="11" s="1"/>
  <c r="F104" i="11"/>
  <c r="J104" i="11" s="1"/>
  <c r="F103" i="11"/>
  <c r="J103" i="11" s="1"/>
  <c r="F102" i="11"/>
  <c r="J102" i="11" s="1"/>
  <c r="F101" i="11"/>
  <c r="F100" i="11"/>
  <c r="F99" i="11"/>
  <c r="F98" i="11"/>
  <c r="F97" i="11"/>
  <c r="F96" i="11"/>
  <c r="J96" i="11" s="1"/>
  <c r="F95" i="11"/>
  <c r="J95" i="11" s="1"/>
  <c r="F94" i="11"/>
  <c r="F93" i="11"/>
  <c r="J93" i="11" s="1"/>
  <c r="F92" i="11"/>
  <c r="J92" i="11" s="1"/>
  <c r="F91" i="11"/>
  <c r="J91" i="11" s="1"/>
  <c r="F90" i="11"/>
  <c r="J90" i="11" s="1"/>
  <c r="K90" i="11" s="1"/>
  <c r="F89" i="11"/>
  <c r="F88" i="11"/>
  <c r="J88" i="11" s="1"/>
  <c r="F87" i="11"/>
  <c r="J87" i="11" s="1"/>
  <c r="F86" i="11"/>
  <c r="F85" i="11"/>
  <c r="F84" i="11"/>
  <c r="J84" i="11" s="1"/>
  <c r="F83" i="11"/>
  <c r="J83" i="11" s="1"/>
  <c r="F82" i="11"/>
  <c r="J82" i="11" s="1"/>
  <c r="F81" i="11"/>
  <c r="J81" i="11" s="1"/>
  <c r="F80" i="11"/>
  <c r="J80" i="11" s="1"/>
  <c r="F79" i="11"/>
  <c r="F78" i="11"/>
  <c r="F77" i="11"/>
  <c r="F76" i="11"/>
  <c r="F75" i="11"/>
  <c r="J75" i="11" s="1"/>
  <c r="F74" i="11"/>
  <c r="J74" i="11" s="1"/>
  <c r="F73" i="11"/>
  <c r="J73" i="11" s="1"/>
  <c r="F72" i="11"/>
  <c r="F71" i="11"/>
  <c r="J71" i="11" s="1"/>
  <c r="F70" i="11"/>
  <c r="J70" i="11" s="1"/>
  <c r="F69" i="11"/>
  <c r="J69" i="11" s="1"/>
  <c r="F68" i="11"/>
  <c r="J68" i="11" s="1"/>
  <c r="K68" i="11" s="1"/>
  <c r="F67" i="11"/>
  <c r="J67" i="11" s="1"/>
  <c r="F66" i="11"/>
  <c r="J66" i="11" s="1"/>
  <c r="F65" i="11"/>
  <c r="J65" i="11" s="1"/>
  <c r="F64" i="11"/>
  <c r="F63" i="11"/>
  <c r="J63" i="11" s="1"/>
  <c r="F62" i="11"/>
  <c r="J62" i="11" s="1"/>
  <c r="F61" i="11"/>
  <c r="J61" i="11" s="1"/>
  <c r="F60" i="11"/>
  <c r="J60" i="11" s="1"/>
  <c r="F59" i="11"/>
  <c r="J59" i="11" s="1"/>
  <c r="F58" i="11"/>
  <c r="J58" i="11" s="1"/>
  <c r="F57" i="11"/>
  <c r="F56" i="11"/>
  <c r="F55" i="11"/>
  <c r="F54" i="11"/>
  <c r="J54" i="11" s="1"/>
  <c r="F53" i="11"/>
  <c r="J53" i="11" s="1"/>
  <c r="F52" i="11"/>
  <c r="J52" i="11" s="1"/>
  <c r="F51" i="11"/>
  <c r="J51" i="11" s="1"/>
  <c r="F50" i="11"/>
  <c r="J50" i="11" s="1"/>
  <c r="F49" i="11"/>
  <c r="J49" i="11" s="1"/>
  <c r="F48" i="11"/>
  <c r="J48" i="11" s="1"/>
  <c r="F47" i="11"/>
  <c r="J47" i="11" s="1"/>
  <c r="F46" i="11"/>
  <c r="F45" i="11"/>
  <c r="F44" i="11"/>
  <c r="F43" i="11"/>
  <c r="J43" i="11" s="1"/>
  <c r="F42" i="11"/>
  <c r="F41" i="11"/>
  <c r="J41" i="11" s="1"/>
  <c r="F40" i="11"/>
  <c r="J40" i="11" s="1"/>
  <c r="F39" i="11"/>
  <c r="J39" i="11" s="1"/>
  <c r="F38" i="11"/>
  <c r="J38" i="11" s="1"/>
  <c r="F37" i="11"/>
  <c r="J37" i="11" s="1"/>
  <c r="F36" i="11"/>
  <c r="J36" i="11" s="1"/>
  <c r="F35" i="11"/>
  <c r="F34" i="11"/>
  <c r="F33" i="11"/>
  <c r="F32" i="11"/>
  <c r="J32" i="11" s="1"/>
  <c r="F31" i="11"/>
  <c r="J31" i="11" s="1"/>
  <c r="F30" i="11"/>
  <c r="J30" i="11" s="1"/>
  <c r="F29" i="11"/>
  <c r="J29" i="11" s="1"/>
  <c r="F28" i="11"/>
  <c r="J28" i="11" s="1"/>
  <c r="F27" i="11"/>
  <c r="J27" i="11" s="1"/>
  <c r="F26" i="11"/>
  <c r="J26" i="11" s="1"/>
  <c r="F25" i="11"/>
  <c r="J25" i="11" s="1"/>
  <c r="F24" i="11"/>
  <c r="J24" i="11" s="1"/>
  <c r="F23" i="11"/>
  <c r="F22" i="11"/>
  <c r="F21" i="11"/>
  <c r="J21" i="11" s="1"/>
  <c r="F20" i="11"/>
  <c r="F19" i="11"/>
  <c r="J19" i="11" s="1"/>
  <c r="F18" i="11"/>
  <c r="J18" i="11" s="1"/>
  <c r="F17" i="11"/>
  <c r="J17" i="11" s="1"/>
  <c r="F16" i="11"/>
  <c r="J16" i="11" s="1"/>
  <c r="F15" i="11"/>
  <c r="J15" i="11" s="1"/>
  <c r="F14" i="11"/>
  <c r="J14" i="11" s="1"/>
  <c r="F13" i="11"/>
  <c r="F12" i="11"/>
  <c r="F11" i="11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6" i="10"/>
  <c r="I5" i="10"/>
  <c r="I4" i="10"/>
  <c r="I3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6" i="10"/>
  <c r="H5" i="10"/>
  <c r="H4" i="10"/>
  <c r="H3" i="10"/>
  <c r="G8" i="10"/>
  <c r="G3" i="10"/>
  <c r="H7" i="10"/>
  <c r="G20" i="10"/>
  <c r="G24" i="10"/>
  <c r="G5" i="10"/>
  <c r="G13" i="10"/>
  <c r="G26" i="10"/>
  <c r="G11" i="10"/>
  <c r="G19" i="10"/>
  <c r="G15" i="10"/>
  <c r="G12" i="10"/>
  <c r="K14" i="11" l="1"/>
  <c r="G8" i="8" s="1"/>
  <c r="K36" i="11"/>
  <c r="K58" i="11"/>
  <c r="K80" i="11"/>
  <c r="K102" i="11"/>
  <c r="H22" i="8" s="1"/>
  <c r="J45" i="11"/>
  <c r="K45" i="11" s="1"/>
  <c r="G7" i="8" s="1"/>
  <c r="K31" i="11"/>
  <c r="K53" i="11"/>
  <c r="K75" i="11"/>
  <c r="K32" i="11"/>
  <c r="K54" i="11"/>
  <c r="K76" i="11"/>
  <c r="K81" i="11"/>
  <c r="K66" i="11"/>
  <c r="G25" i="8" s="1"/>
  <c r="J46" i="11"/>
  <c r="K46" i="11" s="1"/>
  <c r="H7" i="8" s="1"/>
  <c r="K104" i="11"/>
  <c r="G26" i="8" s="1"/>
  <c r="K15" i="11"/>
  <c r="J89" i="11"/>
  <c r="K89" i="11" s="1"/>
  <c r="K16" i="11"/>
  <c r="K82" i="11"/>
  <c r="K17" i="11"/>
  <c r="K39" i="11"/>
  <c r="H19" i="8" s="1"/>
  <c r="K61" i="11"/>
  <c r="K83" i="11"/>
  <c r="K105" i="11"/>
  <c r="J97" i="11"/>
  <c r="K97" i="11" s="1"/>
  <c r="K88" i="11"/>
  <c r="K67" i="11"/>
  <c r="K59" i="11"/>
  <c r="K38" i="11"/>
  <c r="G19" i="8" s="1"/>
  <c r="J22" i="11"/>
  <c r="K22" i="11" s="1"/>
  <c r="J98" i="11"/>
  <c r="K98" i="11" s="1"/>
  <c r="J44" i="11"/>
  <c r="K44" i="11" s="1"/>
  <c r="K37" i="11"/>
  <c r="H20" i="8" s="1"/>
  <c r="K60" i="11"/>
  <c r="K19" i="11"/>
  <c r="K41" i="11"/>
  <c r="K63" i="11"/>
  <c r="K85" i="11"/>
  <c r="J23" i="11"/>
  <c r="K23" i="11" s="1"/>
  <c r="K24" i="11"/>
  <c r="K103" i="11"/>
  <c r="G18" i="8"/>
  <c r="G17" i="8"/>
  <c r="G6" i="8"/>
  <c r="K65" i="11"/>
  <c r="G5" i="8" s="1"/>
  <c r="G24" i="8"/>
  <c r="G21" i="8"/>
  <c r="K21" i="11"/>
  <c r="K12" i="11"/>
  <c r="K25" i="11"/>
  <c r="K47" i="11"/>
  <c r="G20" i="8" s="1"/>
  <c r="K69" i="11"/>
  <c r="K91" i="11"/>
  <c r="J33" i="11"/>
  <c r="K33" i="11" s="1"/>
  <c r="J77" i="11"/>
  <c r="K77" i="11" s="1"/>
  <c r="K26" i="11"/>
  <c r="G12" i="8" s="1"/>
  <c r="K70" i="11"/>
  <c r="J12" i="11"/>
  <c r="J34" i="11"/>
  <c r="K34" i="11" s="1"/>
  <c r="J56" i="11"/>
  <c r="K56" i="11" s="1"/>
  <c r="J78" i="11"/>
  <c r="K78" i="11" s="1"/>
  <c r="J100" i="11"/>
  <c r="K100" i="11" s="1"/>
  <c r="G22" i="8" s="1"/>
  <c r="K27" i="11"/>
  <c r="H12" i="8" s="1"/>
  <c r="K49" i="11"/>
  <c r="K71" i="11"/>
  <c r="K93" i="11"/>
  <c r="J72" i="11"/>
  <c r="K72" i="11" s="1"/>
  <c r="H10" i="8" s="1"/>
  <c r="J94" i="11"/>
  <c r="K94" i="11" s="1"/>
  <c r="K43" i="11"/>
  <c r="G3" i="8" s="1"/>
  <c r="K87" i="11"/>
  <c r="G13" i="8" s="1"/>
  <c r="J11" i="11"/>
  <c r="K11" i="11" s="1"/>
  <c r="J55" i="11"/>
  <c r="K55" i="11" s="1"/>
  <c r="J99" i="11"/>
  <c r="K99" i="11" s="1"/>
  <c r="I7" i="8" s="1"/>
  <c r="K48" i="11"/>
  <c r="K92" i="11"/>
  <c r="J13" i="11"/>
  <c r="K13" i="11" s="1"/>
  <c r="J35" i="11"/>
  <c r="K35" i="11" s="1"/>
  <c r="J57" i="11"/>
  <c r="K57" i="11" s="1"/>
  <c r="J79" i="11"/>
  <c r="K79" i="11" s="1"/>
  <c r="J101" i="11"/>
  <c r="K101" i="11" s="1"/>
  <c r="G23" i="8" s="1"/>
  <c r="K28" i="11"/>
  <c r="I12" i="8" s="1"/>
  <c r="K50" i="11"/>
  <c r="K29" i="11"/>
  <c r="G4" i="8" s="1"/>
  <c r="K51" i="11"/>
  <c r="K73" i="11"/>
  <c r="K95" i="11"/>
  <c r="G16" i="8" s="1"/>
  <c r="K30" i="11"/>
  <c r="K52" i="11"/>
  <c r="K74" i="11"/>
  <c r="K96" i="11"/>
  <c r="J20" i="11"/>
  <c r="K20" i="11" s="1"/>
  <c r="J42" i="11"/>
  <c r="K42" i="11" s="1"/>
  <c r="J64" i="11"/>
  <c r="K64" i="11" s="1"/>
  <c r="G11" i="8" s="1"/>
  <c r="J86" i="11"/>
  <c r="K86" i="11" s="1"/>
  <c r="G10" i="10"/>
  <c r="K10" i="10" s="1"/>
  <c r="B9" i="9" s="1"/>
  <c r="G14" i="10"/>
  <c r="K14" i="10" s="1"/>
  <c r="B13" i="9" s="1"/>
  <c r="G23" i="10"/>
  <c r="K23" i="10" s="1"/>
  <c r="B22" i="9" s="1"/>
  <c r="G18" i="10"/>
  <c r="K18" i="10" s="1"/>
  <c r="B17" i="9" s="1"/>
  <c r="G9" i="10"/>
  <c r="K9" i="10" s="1"/>
  <c r="B8" i="9" s="1"/>
  <c r="G7" i="10"/>
  <c r="K26" i="10"/>
  <c r="B25" i="9" s="1"/>
  <c r="K24" i="10"/>
  <c r="B23" i="9" s="1"/>
  <c r="K3" i="10"/>
  <c r="B2" i="9" s="1"/>
  <c r="K8" i="10"/>
  <c r="B7" i="9" s="1"/>
  <c r="G17" i="10"/>
  <c r="K17" i="10" s="1"/>
  <c r="B16" i="9" s="1"/>
  <c r="G21" i="10"/>
  <c r="K21" i="10" s="1"/>
  <c r="B20" i="9" s="1"/>
  <c r="G22" i="10"/>
  <c r="K22" i="10" s="1"/>
  <c r="B21" i="9" s="1"/>
  <c r="K5" i="10"/>
  <c r="B4" i="9" s="1"/>
  <c r="G25" i="10"/>
  <c r="K25" i="10" s="1"/>
  <c r="B24" i="9" s="1"/>
  <c r="G27" i="10"/>
  <c r="K27" i="10" s="1"/>
  <c r="B26" i="9" s="1"/>
  <c r="G6" i="10"/>
  <c r="K6" i="10" s="1"/>
  <c r="B5" i="9" s="1"/>
  <c r="G4" i="10"/>
  <c r="K4" i="10" s="1"/>
  <c r="B3" i="9" s="1"/>
  <c r="I7" i="10"/>
  <c r="G16" i="10"/>
  <c r="K16" i="10" s="1"/>
  <c r="B15" i="9" s="1"/>
  <c r="K12" i="10"/>
  <c r="B11" i="9" s="1"/>
  <c r="K13" i="10"/>
  <c r="B12" i="9" s="1"/>
  <c r="K19" i="10"/>
  <c r="B18" i="9" s="1"/>
  <c r="K20" i="10"/>
  <c r="B19" i="9" s="1"/>
  <c r="K15" i="10"/>
  <c r="B14" i="9" s="1"/>
  <c r="K11" i="10"/>
  <c r="B10" i="9" s="1"/>
  <c r="G15" i="8" l="1"/>
  <c r="G14" i="8"/>
  <c r="G10" i="8"/>
  <c r="G9" i="8"/>
  <c r="K7" i="10"/>
  <c r="B6" i="9" s="1"/>
  <c r="B2" i="4"/>
  <c r="K19" i="8"/>
  <c r="B18" i="3" s="1"/>
  <c r="K18" i="8"/>
  <c r="B17" i="3" s="1"/>
  <c r="K12" i="8"/>
  <c r="B11" i="3" s="1"/>
  <c r="K5" i="8"/>
  <c r="B4" i="3" s="1"/>
  <c r="K3" i="8"/>
  <c r="B2" i="3" s="1"/>
  <c r="K8" i="8" l="1"/>
  <c r="B7" i="3" s="1"/>
  <c r="K11" i="8"/>
  <c r="B10" i="3" s="1"/>
  <c r="K20" i="8"/>
  <c r="B19" i="3" s="1"/>
  <c r="K25" i="8"/>
  <c r="B24" i="3" s="1"/>
  <c r="K17" i="8"/>
  <c r="B16" i="3" s="1"/>
  <c r="K7" i="8"/>
  <c r="B6" i="3" s="1"/>
  <c r="K4" i="8"/>
  <c r="B3" i="3" s="1"/>
  <c r="K14" i="8"/>
  <c r="B13" i="3" s="1"/>
  <c r="K27" i="8"/>
  <c r="B26" i="3" s="1"/>
  <c r="K10" i="8"/>
  <c r="B9" i="3" s="1"/>
  <c r="K26" i="8"/>
  <c r="B25" i="3" s="1"/>
  <c r="K13" i="8"/>
  <c r="B12" i="3" s="1"/>
  <c r="K24" i="8"/>
  <c r="B23" i="3" s="1"/>
  <c r="K21" i="8"/>
  <c r="B20" i="3" s="1"/>
  <c r="K22" i="8"/>
  <c r="B21" i="3" s="1"/>
  <c r="K6" i="8"/>
  <c r="B5" i="3" s="1"/>
  <c r="K15" i="8"/>
  <c r="B14" i="3" s="1"/>
  <c r="K23" i="8"/>
  <c r="B22" i="3" s="1"/>
  <c r="K16" i="8"/>
  <c r="B15" i="3" s="1"/>
  <c r="K9" i="8"/>
  <c r="B8" i="3" s="1"/>
</calcChain>
</file>

<file path=xl/sharedStrings.xml><?xml version="1.0" encoding="utf-8"?>
<sst xmlns="http://schemas.openxmlformats.org/spreadsheetml/2006/main" count="484" uniqueCount="232">
  <si>
    <t>Source:</t>
  </si>
  <si>
    <t>Notes</t>
  </si>
  <si>
    <t>For debt-based financing, it should be the interest rate on the debt.</t>
  </si>
  <si>
    <t>For equity-based financing, it should be the share of equity in the project given to the financier.</t>
  </si>
  <si>
    <t>Unit: dimensionless (% of project cost)</t>
  </si>
  <si>
    <t>Since the EPS works in real (inflation-adjusted) currency units, and interest rates are set by</t>
  </si>
  <si>
    <t>banks and financial firms in nominal terms (factoring in their expectations of future inflation),</t>
  </si>
  <si>
    <t>we need to adjust published interest rates by subtracting out the share that represents</t>
  </si>
  <si>
    <t>inflation (i.e., the payment they demand just to keep up with inflation).</t>
  </si>
  <si>
    <t>Inflation Adjustment</t>
  </si>
  <si>
    <t>Date updated:</t>
  </si>
  <si>
    <t>YouTube Video explaining estimation choices and process.</t>
  </si>
  <si>
    <t>Created by:</t>
  </si>
  <si>
    <t>Aswath Damodaran, adamodar@stern.nyu.edu</t>
  </si>
  <si>
    <t>Notes on how cost of capital is estimated for firms in US dollars and how to convert that into a cost of capital in a different currency</t>
  </si>
  <si>
    <t>What is this data?</t>
  </si>
  <si>
    <t>Cost of equity and capital (updateable)</t>
  </si>
  <si>
    <t>US companies</t>
  </si>
  <si>
    <t>Home Page:</t>
  </si>
  <si>
    <t>http://www.damodaran.com</t>
  </si>
  <si>
    <t>Data website:</t>
  </si>
  <si>
    <t>https://pages.stern.nyu.edu/~adamodar/New_Home_Page/data.html</t>
  </si>
  <si>
    <t>Companies in each industry:</t>
  </si>
  <si>
    <t>https://pages.stern.nyu.edu/~adamodar/pc/datasets/indname.xls</t>
  </si>
  <si>
    <t>Variable definitions:</t>
  </si>
  <si>
    <t>https://pages.stern.nyu.edu/~adamodar/New_Home_Page/datafile/variable.htm</t>
  </si>
  <si>
    <t>To update this spreadsheet, enter the following</t>
  </si>
  <si>
    <t>Cost of Debt Lookup Table (based on std dev in stock prices)</t>
  </si>
  <si>
    <t>Long Term Treasury bond rate =</t>
  </si>
  <si>
    <t>Standard Deviation</t>
  </si>
  <si>
    <t>Basis Spread</t>
  </si>
  <si>
    <t>Risk Premium to Use for Equity =</t>
  </si>
  <si>
    <t>Global Default Spread to add to cost of debt =</t>
  </si>
  <si>
    <t>Do you want to use the marginal tax rate for cost of debt?</t>
  </si>
  <si>
    <t>Yes</t>
  </si>
  <si>
    <t>If yes, enter the marginal tax rate to use</t>
  </si>
  <si>
    <t>These costs of capital are in US$. To convert to a different currency, please enter</t>
  </si>
  <si>
    <t>Expected inflation rate in local currency =</t>
  </si>
  <si>
    <t>Expected inflation rate in US $ =</t>
  </si>
  <si>
    <t>Industry Name</t>
  </si>
  <si>
    <t>Number of Firms</t>
  </si>
  <si>
    <t>Beta</t>
  </si>
  <si>
    <t>Cost of Equity</t>
  </si>
  <si>
    <t>E/(D+E)</t>
  </si>
  <si>
    <t>Std Dev in Stock</t>
  </si>
  <si>
    <t>Cost of Debt</t>
  </si>
  <si>
    <t>Tax Rate</t>
  </si>
  <si>
    <t>After-tax Cost of Debt</t>
  </si>
  <si>
    <t>D/(D+E)</t>
  </si>
  <si>
    <t>Cost of Capital</t>
  </si>
  <si>
    <t>Cost of Capital (Local Currency)</t>
  </si>
  <si>
    <t>Advertising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</si>
  <si>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</si>
  <si>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</si>
  <si>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</si>
  <si>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</si>
  <si>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</si>
  <si>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</si>
  <si>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</si>
  <si>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</si>
  <si>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</si>
  <si>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</si>
  <si>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</si>
  <si>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</si>
  <si>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</si>
  <si>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</si>
  <si>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</si>
  <si>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</si>
  <si>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</si>
  <si>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</si>
  <si>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</si>
  <si>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</si>
  <si>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</si>
  <si>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</si>
  <si>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</si>
  <si>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</si>
  <si>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</si>
  <si>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</si>
  <si>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</si>
  <si>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</si>
  <si>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</si>
  <si>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</si>
  <si>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</si>
  <si>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</si>
  <si>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</si>
  <si>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</si>
  <si>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</si>
  <si>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</si>
  <si>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</si>
  <si>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</si>
  <si>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</si>
  <si>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</si>
  <si>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</si>
  <si>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</si>
  <si>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</si>
  <si>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</si>
  <si>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</si>
  <si>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</si>
  <si>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</si>
  <si>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</si>
  <si>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</si>
  <si>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</si>
  <si>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</si>
  <si>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</si>
  <si>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</si>
  <si>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</si>
  <si>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</si>
  <si>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</si>
  <si>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</si>
  <si>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</si>
  <si>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</si>
  <si>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</si>
  <si>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</si>
  <si>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</si>
  <si>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</si>
  <si>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</si>
  <si>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</si>
  <si>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</si>
  <si>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</si>
  <si>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</si>
  <si>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</si>
  <si>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</si>
  <si>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</si>
  <si>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</si>
  <si>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</si>
  <si>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(REITs)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</si>
  <si>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</si>
  <si>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</si>
  <si>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</si>
  <si>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</si>
  <si>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</si>
  <si>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</si>
  <si>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</si>
  <si>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</si>
  <si>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</si>
  <si>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</si>
  <si>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</si>
  <si>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</si>
  <si>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</si>
  <si>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</si>
  <si>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</si>
  <si>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</si>
  <si>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</si>
  <si>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</si>
  <si>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</si>
  <si>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>Total Market</t>
  </si>
  <si>
    <t>Total Market (without financials)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</si>
  <si>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</si>
  <si>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</si>
  <si>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</si>
  <si>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</si>
  <si>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</si>
  <si>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</si>
  <si>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</si>
  <si>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</si>
  <si>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</si>
  <si>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</si>
  <si>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</si>
  <si>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</si>
  <si>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</si>
  <si>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</si>
  <si>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</si>
  <si>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</si>
  <si>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</si>
  <si>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</si>
  <si>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</si>
  <si>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</si>
  <si>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</si>
  <si>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</si>
  <si>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</si>
  <si>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</si>
  <si>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</si>
  <si>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EPS Industry Category</t>
  </si>
  <si>
    <t>NYU Industry 1</t>
  </si>
  <si>
    <t>NYU Industry 2</t>
  </si>
  <si>
    <t>NYU Industry 3</t>
  </si>
  <si>
    <t>WACC 1</t>
  </si>
  <si>
    <t>WACC 2</t>
  </si>
  <si>
    <t>WACC 3</t>
  </si>
  <si>
    <t>Average WACC</t>
  </si>
  <si>
    <t>industry-wide</t>
  </si>
  <si>
    <t>Risk Premium for Equity</t>
  </si>
  <si>
    <t>Weighted Average Cost of Capital</t>
  </si>
  <si>
    <t>Cost of Capital for Industry Sector Projects</t>
  </si>
  <si>
    <t>NYU</t>
  </si>
  <si>
    <t>https://people.stern.nyu.edu/adamodar/New_Home_Page/datafile/wacc.html</t>
  </si>
  <si>
    <t>Aswath Damodaran</t>
  </si>
  <si>
    <t>Projects are often a mixture of debt-based and equity-based financing.  For that reason, we use a</t>
  </si>
  <si>
    <t>weighted average cost of capital.</t>
  </si>
  <si>
    <r>
      <t>r</t>
    </r>
    <r>
      <rPr>
        <vertAlign val="subscript"/>
        <sz val="11"/>
        <color theme="1"/>
        <rFont val="Calibri"/>
        <family val="2"/>
        <scheme val="minor"/>
      </rPr>
      <t>real</t>
    </r>
    <r>
      <rPr>
        <sz val="11"/>
        <color theme="1"/>
        <rFont val="Calibri"/>
        <family val="2"/>
        <scheme val="minor"/>
      </rPr>
      <t xml:space="preserve"> = (1 + r</t>
    </r>
    <r>
      <rPr>
        <vertAlign val="subscript"/>
        <sz val="11"/>
        <color theme="1"/>
        <rFont val="Calibri"/>
        <family val="2"/>
        <scheme val="minor"/>
      </rPr>
      <t>nom</t>
    </r>
    <r>
      <rPr>
        <sz val="11"/>
        <color theme="1"/>
        <rFont val="Calibri"/>
        <family val="2"/>
        <scheme val="minor"/>
      </rPr>
      <t>)/(1 + i) - 1</t>
    </r>
  </si>
  <si>
    <t>BCoISC-WACCbI  Weighted Average Cost of Capital by Industry</t>
  </si>
  <si>
    <t>Weighted Average Cost of Debt</t>
  </si>
  <si>
    <t>BCoISC-FIRbI Financing Interest Rate by Industry</t>
  </si>
  <si>
    <t>We use the nominal WACC/CoD from NYU then adjust it by inflation.</t>
  </si>
  <si>
    <t>This variable expresses the financing cost of capital/debt by industry.</t>
  </si>
  <si>
    <t>Pretax WACC Build - multi-vintage beta average</t>
  </si>
  <si>
    <t>Purpose: EPS discounts PRETAX cash flows (no industry income tax in the fuel choice), so the decision-side WACC must be pretax. Damodaran published Cost of Capital (NYU Data col K) is AFTER-tax.</t>
  </si>
  <si>
    <t>Method: Cost of Equity = risk-free + mean(beta across 4 vintages) x ERP, using the CURRENT Jan-2026 risk-free rate and ERP (NYU Data D9 / D10).</t>
  </si>
  <si>
    <t xml:space="preserve">        Pretax WACC = E/(D+E) x Cost of Equity + D/(D+E) x PRETAX Cost of Debt (NYU Data col G). Leverage is current-vintage.</t>
  </si>
  <si>
    <t>Why average betas: single-vintage regression betas are noisy and mean-revert. Four consecutive vintages show a systematic decline</t>
  </si>
  <si>
    <t xml:space="preserve">        (e.g. Oil/Gas Integrated 0.978 -&gt; 0.671 -&gt; 0.484 -&gt; 0.299) which produced implausible sector WACCs, including one BELOW its own cost of debt.</t>
  </si>
  <si>
    <t xml:space="preserve">        A 4-vintage mean agrees closely with standard Blume/Bloomberg shrinkage (0.67*raw + 0.33*1.0) for every affected sector.</t>
  </si>
  <si>
    <t>Beta sources = col C of each vintage Industry Averages sheet, https://pages.stern.nyu.edu/~adamodar/pc/ :</t>
  </si>
  <si>
    <t xml:space="preserve">        Jan2023 = archives/wacc22.xls | Jan2024 = archives/wacc23.xls | Jan2025 = archives/wacc24.xls | Jan2026 = datasets/wacc.xls (matches NYU Data tab)</t>
  </si>
  <si>
    <t>Beta Jan2023</t>
  </si>
  <si>
    <t>Beta Jan2024</t>
  </si>
  <si>
    <t>Beta Jan2025</t>
  </si>
  <si>
    <t>Beta Jan2026</t>
  </si>
  <si>
    <t>Mean Beta</t>
  </si>
  <si>
    <t>Pretax Cost of Debt</t>
  </si>
  <si>
    <t>Pretax WACC</t>
  </si>
  <si>
    <t>BCoISC-RPfE  Risk Premium for Equity  [REFERENCE ONLY - not exported, not read by EPS.mdl]</t>
  </si>
  <si>
    <t>Tax basis (important - the two exported files are NOT on the same basis by accident)</t>
  </si>
  <si>
    <t>FIRbI = PRETAX cost of debt (Damodaran "Cost of Debt", NYU Data col G). Pretax is correct here: FIRbI drives actual</t>
  </si>
  <si>
    <t xml:space="preserve">   loan repayments, which EPS books as revenue to ISIC 64T66 (financial and insurance activities). A lender receives</t>
  </si>
  <si>
    <t xml:space="preserve">   pretax interest, so the repayment cash flow must be pretax.</t>
  </si>
  <si>
    <t>WACCbI = PRETAX weighted average cost of capital, built on the "Pretax WACC Build" tab. NOT Damodaran col K,</t>
  </si>
  <si>
    <t xml:space="preserve">   which is an AFTER-tax WACC (it uses his after-tax cost of debt). EPS discounts pretax cash flows - the industrial</t>
  </si>
  <si>
    <t xml:space="preserve">   fuel choice models no corporate income tax on fuel, carbon tax, or capital - so a pretax WACC is the consistent</t>
  </si>
  <si>
    <t xml:space="preserve">   decision rate. Using his after-tax WACC understated required return, which both inflated the present value of</t>
  </si>
  <si>
    <t xml:space="preserve">   future fuel savings and understated annualized capital cost.</t>
  </si>
  <si>
    <t>Consequence of the old mismatch: WACCbI minus FIRbI looked implausibly thin (+0.19 to +3.3pp) and was NEGATIVE for</t>
  </si>
  <si>
    <t xml:space="preserve">   rubber and plastic products (1.931% WACC vs 2.723% cost of debt) - impossible on a common basis. All 25 rows now</t>
  </si>
  <si>
    <t xml:space="preserve">   clear their own cost of debt.</t>
  </si>
  <si>
    <t>COUPLING - read before editing WACCbI values:</t>
  </si>
  <si>
    <t>HRPfIEP Hurdle Rate Premium for Industrial Equipment Purchases (InputData/indst/HRPfIEP) is defined as</t>
  </si>
  <si>
    <t xml:space="preserve">   0.20 minus the MEAN of the 25 real WACC values in BCoISC-WACCbI.csv, so that the decision hurdle rate hits a 20%</t>
  </si>
  <si>
    <t xml:space="preserve">   target. Any change to these WACC values requires recomputing HRPfIEP or the target silently drifts.</t>
  </si>
  <si>
    <t>Cost of equity by industry is computed on the "Pretax WACC Build" tab (column J) and is deliberately NOT exported to</t>
  </si>
  <si>
    <t xml:space="preserve">   a CSV, to avoid creating another orphaned input file. It is the intended hook if a future revision splits the</t>
  </si>
  <si>
    <t xml:space="preserve">   financed share (cost of debt) from the unfinanced share (cost of equity).</t>
  </si>
  <si>
    <t xml:space="preserve">   Old mean 0.04483 -&gt; HRPfIEP 0.15520.   New mean 0.05245 -&gt; HRPfIEP 0.147546, exported rounded to 0.1475.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</si>
</sst>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sz val="9"/>
      <name val="Geneva"/>
      <family val="2"/>
      <charset val="1"/>
    </font>
    <font>
      <sz val="9"/>
      <name val="Geneva"/>
      <family val="2"/>
      <charset val="1"/>
    </font>
    <font>
      <sz val="12"/>
      <color rgb="FF000000"/>
      <name val="Calibri"/>
      <family val="2"/>
    </font>
    <font>
      <i/>
      <sz val="9"/>
      <name val="Geneva"/>
      <family val="2"/>
      <charset val="1"/>
    </font>
    <font>
      <b/>
      <sz val="9"/>
      <name val="Geneva"/>
      <family val="2"/>
      <charset val="1"/>
    </font>
    <font>
      <b/>
      <sz val="10"/>
      <name val="Verdana"/>
      <family val="2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CF305"/>
        <bgColor rgb="FF000000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164" fontId="0" fillId="0" borderId="0" xfId="0" applyNumberFormat="1"/>
    <xf numFmtId="0" fontId="6" fillId="4" borderId="1" xfId="3" applyFont="1" applyFill="1" applyBorder="1"/>
    <xf numFmtId="0" fontId="5" fillId="0" borderId="0" xfId="3"/>
    <xf numFmtId="0" fontId="6" fillId="4" borderId="9" xfId="3" applyFont="1" applyFill="1" applyBorder="1"/>
    <xf numFmtId="0" fontId="9" fillId="0" borderId="0" xfId="3" applyFont="1"/>
    <xf numFmtId="0" fontId="6" fillId="4" borderId="17" xfId="3" applyFont="1" applyFill="1" applyBorder="1"/>
    <xf numFmtId="0" fontId="11" fillId="0" borderId="0" xfId="3" applyFont="1"/>
    <xf numFmtId="0" fontId="12" fillId="0" borderId="0" xfId="3" applyFont="1"/>
    <xf numFmtId="0" fontId="12" fillId="0" borderId="15" xfId="3" applyFont="1" applyBorder="1" applyAlignment="1">
      <alignment horizontal="center"/>
    </xf>
    <xf numFmtId="0" fontId="13" fillId="2" borderId="15" xfId="3" applyFont="1" applyFill="1" applyBorder="1" applyAlignment="1">
      <alignment horizontal="center"/>
    </xf>
    <xf numFmtId="0" fontId="13" fillId="2" borderId="15" xfId="3" applyFont="1" applyFill="1" applyBorder="1"/>
    <xf numFmtId="10" fontId="12" fillId="2" borderId="15" xfId="3" applyNumberFormat="1" applyFont="1" applyFill="1" applyBorder="1"/>
    <xf numFmtId="0" fontId="12" fillId="5" borderId="10" xfId="3" applyFont="1" applyFill="1" applyBorder="1" applyAlignment="1">
      <alignment horizontal="center"/>
    </xf>
    <xf numFmtId="9" fontId="12" fillId="5" borderId="25" xfId="3" applyNumberFormat="1" applyFont="1" applyFill="1" applyBorder="1" applyAlignment="1">
      <alignment horizontal="center"/>
    </xf>
    <xf numFmtId="0" fontId="14" fillId="0" borderId="0" xfId="3" applyFont="1"/>
    <xf numFmtId="0" fontId="14" fillId="0" borderId="15" xfId="3" applyFont="1" applyBorder="1"/>
    <xf numFmtId="0" fontId="14" fillId="0" borderId="26" xfId="3" applyFont="1" applyBorder="1" applyAlignment="1">
      <alignment horizontal="center"/>
    </xf>
    <xf numFmtId="0" fontId="14" fillId="0" borderId="15" xfId="3" applyFont="1" applyBorder="1" applyAlignment="1">
      <alignment horizontal="center"/>
    </xf>
    <xf numFmtId="0" fontId="14" fillId="0" borderId="27" xfId="3" applyFont="1" applyBorder="1" applyAlignment="1">
      <alignment horizontal="center"/>
    </xf>
    <xf numFmtId="0" fontId="14" fillId="0" borderId="21" xfId="3" applyFont="1" applyBorder="1" applyAlignment="1">
      <alignment horizontal="center"/>
    </xf>
    <xf numFmtId="0" fontId="12" fillId="0" borderId="15" xfId="3" applyFont="1" applyBorder="1"/>
    <xf numFmtId="2" fontId="12" fillId="0" borderId="15" xfId="3" applyNumberFormat="1" applyFont="1" applyBorder="1"/>
    <xf numFmtId="10" fontId="5" fillId="0" borderId="15" xfId="5" applyNumberFormat="1" applyFont="1" applyBorder="1" applyAlignment="1">
      <alignment horizontal="center"/>
    </xf>
    <xf numFmtId="10" fontId="5" fillId="0" borderId="15" xfId="3" applyNumberFormat="1" applyBorder="1" applyAlignment="1">
      <alignment horizontal="center"/>
    </xf>
    <xf numFmtId="10" fontId="5" fillId="0" borderId="15" xfId="3" applyNumberFormat="1" applyBorder="1"/>
    <xf numFmtId="10" fontId="5" fillId="0" borderId="10" xfId="5" applyNumberFormat="1" applyFont="1" applyBorder="1" applyAlignment="1">
      <alignment horizontal="center"/>
    </xf>
    <xf numFmtId="0" fontId="15" fillId="0" borderId="15" xfId="3" applyFont="1" applyBorder="1"/>
    <xf numFmtId="2" fontId="15" fillId="0" borderId="15" xfId="3" applyNumberFormat="1" applyFont="1" applyBorder="1"/>
    <xf numFmtId="10" fontId="9" fillId="0" borderId="15" xfId="5" applyNumberFormat="1" applyFont="1" applyBorder="1" applyAlignment="1">
      <alignment horizontal="center"/>
    </xf>
    <xf numFmtId="10" fontId="16" fillId="0" borderId="15" xfId="5" applyNumberFormat="1" applyFont="1" applyBorder="1" applyAlignment="1">
      <alignment horizontal="center"/>
    </xf>
    <xf numFmtId="10" fontId="9" fillId="0" borderId="15" xfId="3" applyNumberFormat="1" applyFont="1" applyBorder="1" applyAlignment="1">
      <alignment horizontal="center"/>
    </xf>
    <xf numFmtId="10" fontId="16" fillId="0" borderId="15" xfId="3" applyNumberFormat="1" applyFont="1" applyBorder="1"/>
    <xf numFmtId="10" fontId="9" fillId="0" borderId="10" xfId="5" applyNumberFormat="1" applyFont="1" applyBorder="1" applyAlignment="1">
      <alignment horizontal="center"/>
    </xf>
    <xf numFmtId="10" fontId="9" fillId="0" borderId="5" xfId="5" applyNumberFormat="1" applyFont="1" applyBorder="1" applyAlignment="1">
      <alignment horizontal="center"/>
    </xf>
    <xf numFmtId="10" fontId="9" fillId="0" borderId="5" xfId="3" applyNumberFormat="1" applyFont="1" applyBorder="1" applyAlignment="1">
      <alignment horizontal="center"/>
    </xf>
    <xf numFmtId="10" fontId="9" fillId="0" borderId="28" xfId="5" applyNumberFormat="1" applyFont="1" applyBorder="1" applyAlignment="1">
      <alignment horizontal="center"/>
    </xf>
    <xf numFmtId="9" fontId="0" fillId="0" borderId="0" xfId="1" applyFont="1"/>
    <xf numFmtId="9" fontId="0" fillId="0" borderId="0" xfId="0" applyNumberFormat="1"/>
    <xf numFmtId="10" fontId="12" fillId="5" borderId="15" xfId="0" applyNumberFormat="1" applyFont="1" applyFill="1" applyBorder="1"/>
    <xf numFmtId="10" fontId="12" fillId="5" borderId="21" xfId="0" applyNumberFormat="1" applyFont="1" applyFill="1" applyBorder="1"/>
    <xf numFmtId="10" fontId="12" fillId="2" borderId="15" xfId="0" applyNumberFormat="1" applyFont="1" applyFill="1" applyBorder="1"/>
    <xf numFmtId="10" fontId="13" fillId="2" borderId="15" xfId="0" applyNumberFormat="1" applyFont="1" applyFill="1" applyBorder="1" applyAlignment="1">
      <alignment horizontal="center"/>
    </xf>
    <xf numFmtId="165" fontId="0" fillId="0" borderId="0" xfId="0" applyNumberFormat="1"/>
    <xf numFmtId="0" fontId="8" fillId="4" borderId="18" xfId="4" applyFill="1" applyBorder="1" applyAlignment="1">
      <alignment horizontal="left"/>
    </xf>
    <xf numFmtId="0" fontId="8" fillId="4" borderId="19" xfId="4" applyFill="1" applyBorder="1" applyAlignment="1">
      <alignment horizontal="left"/>
    </xf>
    <xf numFmtId="0" fontId="8" fillId="4" borderId="20" xfId="4" applyFill="1" applyBorder="1" applyAlignment="1">
      <alignment horizontal="left"/>
    </xf>
    <xf numFmtId="15" fontId="7" fillId="4" borderId="2" xfId="0" applyNumberFormat="1" applyFont="1" applyFill="1" applyBorder="1" applyAlignment="1">
      <alignment horizontal="left"/>
    </xf>
    <xf numFmtId="15" fontId="7" fillId="4" borderId="3" xfId="0" applyNumberFormat="1" applyFont="1" applyFill="1" applyBorder="1" applyAlignment="1">
      <alignment horizontal="left"/>
    </xf>
    <xf numFmtId="15" fontId="7" fillId="4" borderId="4" xfId="0" applyNumberFormat="1" applyFont="1" applyFill="1" applyBorder="1" applyAlignment="1">
      <alignment horizontal="left"/>
    </xf>
    <xf numFmtId="0" fontId="8" fillId="3" borderId="5" xfId="4" applyFill="1" applyBorder="1" applyAlignment="1">
      <alignment horizontal="center" vertical="center" wrapText="1"/>
    </xf>
    <xf numFmtId="0" fontId="8" fillId="3" borderId="13" xfId="4" applyFill="1" applyBorder="1" applyAlignment="1">
      <alignment horizontal="center" vertical="center" wrapText="1"/>
    </xf>
    <xf numFmtId="0" fontId="8" fillId="3" borderId="21" xfId="4" applyFill="1" applyBorder="1" applyAlignment="1">
      <alignment horizontal="center" vertical="center" wrapText="1"/>
    </xf>
    <xf numFmtId="0" fontId="9" fillId="0" borderId="6" xfId="3" applyFont="1" applyBorder="1" applyAlignment="1">
      <alignment horizontal="center"/>
    </xf>
    <xf numFmtId="0" fontId="9" fillId="0" borderId="7" xfId="3" applyFont="1" applyBorder="1" applyAlignment="1">
      <alignment horizontal="center"/>
    </xf>
    <xf numFmtId="0" fontId="9" fillId="0" borderId="8" xfId="3" applyFont="1" applyBorder="1" applyAlignment="1">
      <alignment horizontal="center"/>
    </xf>
    <xf numFmtId="0" fontId="8" fillId="4" borderId="10" xfId="4" applyFill="1" applyBorder="1" applyAlignment="1">
      <alignment horizontal="left"/>
    </xf>
    <xf numFmtId="0" fontId="8" fillId="4" borderId="11" xfId="4" applyFill="1" applyBorder="1" applyAlignment="1">
      <alignment horizontal="left"/>
    </xf>
    <xf numFmtId="0" fontId="8" fillId="4" borderId="12" xfId="4" applyFill="1" applyBorder="1" applyAlignment="1">
      <alignment horizontal="left"/>
    </xf>
    <xf numFmtId="0" fontId="5" fillId="0" borderId="14" xfId="3" applyBorder="1" applyAlignment="1">
      <alignment horizontal="left" vertical="top" wrapText="1"/>
    </xf>
    <xf numFmtId="0" fontId="5" fillId="0" borderId="15" xfId="3" applyBorder="1" applyAlignment="1">
      <alignment horizontal="left" vertical="top" wrapText="1"/>
    </xf>
    <xf numFmtId="0" fontId="5" fillId="0" borderId="16" xfId="3" applyBorder="1" applyAlignment="1">
      <alignment horizontal="left" vertical="top" wrapText="1"/>
    </xf>
    <xf numFmtId="0" fontId="5" fillId="0" borderId="22" xfId="3" applyBorder="1" applyAlignment="1">
      <alignment horizontal="left" vertical="top" wrapText="1"/>
    </xf>
    <xf numFmtId="0" fontId="5" fillId="0" borderId="23" xfId="3" applyBorder="1" applyAlignment="1">
      <alignment horizontal="left" vertical="top" wrapText="1"/>
    </xf>
    <xf numFmtId="0" fontId="5" fillId="0" borderId="24" xfId="3" applyBorder="1" applyAlignment="1">
      <alignment horizontal="left" vertical="top" wrapText="1"/>
    </xf>
    <xf numFmtId="0" fontId="10" fillId="4" borderId="10" xfId="3" applyFont="1" applyFill="1" applyBorder="1" applyAlignment="1">
      <alignment horizontal="left"/>
    </xf>
    <xf numFmtId="0" fontId="10" fillId="4" borderId="11" xfId="3" applyFont="1" applyFill="1" applyBorder="1" applyAlignment="1">
      <alignment horizontal="left"/>
    </xf>
    <xf numFmtId="0" fontId="10" fillId="4" borderId="14" xfId="3" applyFont="1" applyFill="1" applyBorder="1" applyAlignment="1">
      <alignment horizontal="left"/>
    </xf>
    <xf numFmtId="0" fontId="10" fillId="4" borderId="12" xfId="3" applyFont="1" applyFill="1" applyBorder="1" applyAlignment="1">
      <alignment horizontal="left"/>
    </xf>
    <xf numFmtId="15" fontId="8" fillId="4" borderId="10" xfId="4" applyNumberFormat="1" applyFill="1" applyBorder="1" applyAlignment="1">
      <alignment horizontal="left"/>
    </xf>
    <xf numFmtId="15" fontId="8" fillId="4" borderId="11" xfId="4" applyNumberFormat="1" applyFill="1" applyBorder="1" applyAlignment="1">
      <alignment horizontal="left"/>
    </xf>
    <xf numFmtId="15" fontId="8" fillId="4" borderId="12" xfId="4" applyNumberFormat="1" applyFill="1" applyBorder="1" applyAlignment="1">
      <alignment horizontal="left"/>
    </xf>
    <xf numFmtId="0" fontId="8" fillId="4" borderId="10" xfId="4" applyFill="1" applyBorder="1"/>
    <xf numFmtId="0" fontId="8" fillId="4" borderId="11" xfId="4" applyFill="1" applyBorder="1"/>
    <xf numFmtId="0" fontId="8" fillId="4" borderId="12" xfId="4" applyFill="1" applyBorder="1"/>
  </cellXfs>
  <cellStyles count="6">
    <cellStyle name="Hyperlink" xfId="2" builtinId="8"/>
    <cellStyle name="Hyperlink 2" xfId="4" xr:uid="{84D97916-2CFC-44D4-BBA9-5F32B30F7C9D}"/>
    <cellStyle name="Normal" xfId="0" builtinId="0"/>
    <cellStyle name="Normal 2" xfId="3" xr:uid="{BDD11194-84F5-4472-8BF1-1CB91A74FE82}"/>
    <cellStyle name="Percent" xfId="1" builtinId="5"/>
    <cellStyle name="Percent 2" xfId="5" xr:uid="{6CFD2FC3-B786-4691-878C-3844B5B19D43}"/>
  </cellStyles>
  <dxfs count="16"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family val="2"/>
        <charset val="1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family val="2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family val="2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4D327-1D37-4E5C-A37C-4384FC41A2E0}" name="Table1" displayName="Table1" ref="A19:L115" totalsRowShown="0" headerRowDxfId="15" dataDxfId="13" headerRowBorderDxfId="14" tableBorderDxfId="12">
  <autoFilter ref="A19:L115" xr:uid="{8F2BC717-EF4E-4898-8D58-81DB27633A7C}"/>
  <tableColumns count="12">
    <tableColumn id="1" xr3:uid="{340A9DA4-E70D-4FE9-8D4B-EF797D824699}" name="Industry Name" dataDxfId="11"/>
    <tableColumn id="2" xr3:uid="{822962DC-50D7-4011-BE69-6FB8ACAFDBC7}" name="Number of Firms" dataDxfId="10"/>
    <tableColumn id="3" xr3:uid="{EC25F588-D29E-439D-82B9-0A798BF166A3}" name="Beta" dataDxfId="9"/>
    <tableColumn id="4" xr3:uid="{AECD7C33-60F8-48D3-9109-214B8671A6AC}" name="Cost of Equity" dataDxfId="8" dataCellStyle="Percent"/>
    <tableColumn id="5" xr3:uid="{BA5A2C9D-F266-48DF-BD70-584CF9F95ABB}" name="E/(D+E)" dataDxfId="7" dataCellStyle="Percent"/>
    <tableColumn id="6" xr3:uid="{A5CF058F-B998-4093-A7BE-9B4E5D97138A}" name="Std Dev in Stock" dataDxfId="6" dataCellStyle="Percent"/>
    <tableColumn id="7" xr3:uid="{06E01EFD-1AB6-4D6E-B29A-D4A6669CF1B6}" name="Cost of Debt" dataDxfId="5"/>
    <tableColumn id="8" xr3:uid="{33E6645D-8ACC-474C-B1D2-ECA865533A2A}" name="Tax Rate" dataDxfId="4"/>
    <tableColumn id="9" xr3:uid="{19BC9B11-2AB9-4AF8-8B5B-0B09BB4C120A}" name="After-tax Cost of Debt" dataDxfId="3" dataCellStyle="Percent"/>
    <tableColumn id="10" xr3:uid="{4EA82BEF-E8F0-49AE-9FE9-755697DF7073}" name="D/(D+E)" dataDxfId="2"/>
    <tableColumn id="11" xr3:uid="{FE4F5FB5-C7F8-4FC7-8D42-F6539BC8E25A}" name="Cost of Capital" dataDxfId="1" dataCellStyle="Percent"/>
    <tableColumn id="12" xr3:uid="{E4612B2E-799D-426D-9A5C-8B4CF1BBBC1E}" name="Cost of Capital (Local Currency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eople.stern.nyu.edu/adamodar/New_Home_Page/datafile/wacc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ern.nyu.edu/~adamodar/New_Home_Page/data.html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://www.damodaran.com/" TargetMode="External"/><Relationship Id="rId1" Type="http://schemas.openxmlformats.org/officeDocument/2006/relationships/hyperlink" Target="mailto:adamodar@stern.nyu.edu?subject=Data%20on%20website" TargetMode="External"/><Relationship Id="rId6" Type="http://schemas.openxmlformats.org/officeDocument/2006/relationships/hyperlink" Target="https://youtu.be/ypvQuufNUrY?si=SV7z5u6uctKF7Uj3" TargetMode="External"/><Relationship Id="rId5" Type="http://schemas.openxmlformats.org/officeDocument/2006/relationships/hyperlink" Target="http://www.stern.nyu.edu/~adamodar/New_Home_Page/datafile/variable.htm" TargetMode="External"/><Relationship Id="rId4" Type="http://schemas.openxmlformats.org/officeDocument/2006/relationships/hyperlink" Target="http://www.stern.nyu.edu/~adamodar/pc/datasets/indname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29E-7DF7-4E6A-B1DA-78D3050B5FAD}">
  <dimension ref="A1:C49"/>
  <sheetViews>
    <sheetView workbookViewId="0">
      <selection activeCell="F21" sqref="F21"/>
    </sheetView>
  </sheetViews>
  <sheetFormatPr defaultRowHeight="15"/>
  <cols>
    <col min="2" max="2" width="87.140625" customWidth="1"/>
  </cols>
  <sheetData>
    <row r="1" spans="1:2">
      <c r="A1" s="1" t="s">
        <v>190</v>
      </c>
    </row>
    <row r="2" spans="1:2">
      <c r="A2" s="1" t="s">
        <v>192</v>
      </c>
    </row>
    <row r="3" spans="1:2">
      <c r="A3" s="1" t="s">
        <v>211</v>
      </c>
    </row>
    <row r="4" spans="1:2">
      <c r="A4" s="1"/>
    </row>
    <row r="5" spans="1:2">
      <c r="A5" s="1" t="s">
        <v>0</v>
      </c>
      <c r="B5" s="8" t="s">
        <v>183</v>
      </c>
    </row>
    <row r="6" spans="1:2">
      <c r="B6" t="s">
        <v>184</v>
      </c>
    </row>
    <row r="7" spans="1:2">
      <c r="B7" s="3">
        <v>2026</v>
      </c>
    </row>
    <row r="8" spans="1:2">
      <c r="B8" t="s">
        <v>16</v>
      </c>
    </row>
    <row r="9" spans="1:2">
      <c r="B9" s="2" t="s">
        <v>185</v>
      </c>
    </row>
    <row r="10" spans="1:2">
      <c r="B10" t="s">
        <v>186</v>
      </c>
    </row>
    <row r="12" spans="1:2">
      <c r="A12" s="1" t="s">
        <v>1</v>
      </c>
    </row>
    <row r="13" spans="1:2">
      <c r="A13" t="s">
        <v>194</v>
      </c>
    </row>
    <row r="14" spans="1:2">
      <c r="A14" t="s">
        <v>2</v>
      </c>
    </row>
    <row r="15" spans="1:2">
      <c r="A15" t="s">
        <v>3</v>
      </c>
    </row>
    <row r="16" spans="1:2">
      <c r="A16" t="s">
        <v>187</v>
      </c>
    </row>
    <row r="17" spans="1:3">
      <c r="A17" t="s">
        <v>188</v>
      </c>
    </row>
    <row r="19" spans="1:3">
      <c r="A19" s="6" t="s">
        <v>9</v>
      </c>
      <c r="B19" s="7"/>
      <c r="C19" s="7"/>
    </row>
    <row r="20" spans="1:3">
      <c r="A20" t="s">
        <v>5</v>
      </c>
    </row>
    <row r="21" spans="1:3">
      <c r="A21" t="s">
        <v>6</v>
      </c>
    </row>
    <row r="22" spans="1:3">
      <c r="A22" t="s">
        <v>7</v>
      </c>
    </row>
    <row r="23" spans="1:3">
      <c r="A23" t="s">
        <v>8</v>
      </c>
    </row>
    <row r="25" spans="1:3">
      <c r="A25" t="s">
        <v>193</v>
      </c>
    </row>
    <row r="26" spans="1:3" ht="18">
      <c r="A26" t="s">
        <v>189</v>
      </c>
    </row>
    <row r="28" spans="1:3">
      <c r="A28" s="1" t="s">
        <v>212</v>
      </c>
    </row>
    <row r="29" spans="1:3">
      <c r="A29" t="s">
        <v>213</v>
      </c>
    </row>
    <row r="30" spans="1:3">
      <c r="A30" t="s">
        <v>214</v>
      </c>
    </row>
    <row r="31" spans="1:3">
      <c r="A31" t="s">
        <v>215</v>
      </c>
    </row>
    <row r="32" spans="1:3">
      <c r="A32" t="s">
        <v>216</v>
      </c>
    </row>
    <row r="33" spans="1:1">
      <c r="A33" t="s">
        <v>217</v>
      </c>
    </row>
    <row r="34" spans="1:1">
      <c r="A34" t="s">
        <v>218</v>
      </c>
    </row>
    <row r="35" spans="1:1">
      <c r="A35" t="s">
        <v>219</v>
      </c>
    </row>
    <row r="36" spans="1:1">
      <c r="A36" t="s">
        <v>220</v>
      </c>
    </row>
    <row r="37" spans="1:1">
      <c r="A37" t="s">
        <v>221</v>
      </c>
    </row>
    <row r="38" spans="1:1">
      <c r="A38" t="s">
        <v>222</v>
      </c>
    </row>
    <row r="39" spans="1:1">
      <c r="A39" t="s">
        <v>223</v>
      </c>
    </row>
    <row r="40" spans="1:1">
      <c r="A40" s="1"/>
    </row>
    <row r="41" spans="1:1">
      <c r="A41" t="s">
        <v>224</v>
      </c>
    </row>
    <row r="42" spans="1:1">
      <c r="A42" t="s">
        <v>225</v>
      </c>
    </row>
    <row r="43" spans="1:1">
      <c r="A43" t="s">
        <v>226</v>
      </c>
    </row>
    <row r="44" spans="1:1">
      <c r="A44" t="s">
        <v>227</v>
      </c>
    </row>
    <row r="45" spans="1:1">
      <c r="A45" t="s">
        <v>231</v>
      </c>
    </row>
    <row r="47" spans="1:1">
      <c r="A47" t="s">
        <v>228</v>
      </c>
    </row>
    <row r="48" spans="1:1">
      <c r="A48" t="s">
        <v>229</v>
      </c>
    </row>
    <row r="49" spans="1:1">
      <c r="A49" t="s">
        <v>230</v>
      </c>
    </row>
  </sheetData>
  <hyperlinks>
    <hyperlink ref="B9" r:id="rId1" xr:uid="{F0479BA3-4FA4-43D6-83F1-9F80A1CC53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4DD3-FFB6-4135-BDD7-213755A1697E}">
  <dimension ref="A1:L115"/>
  <sheetViews>
    <sheetView zoomScale="70" zoomScaleNormal="70" workbookViewId="0">
      <selection activeCell="M31" sqref="M31"/>
    </sheetView>
  </sheetViews>
  <sheetFormatPr defaultRowHeight="15.75"/>
  <cols>
    <col min="1" max="1" width="36.140625" style="11" bestFit="1" customWidth="1"/>
    <col min="2" max="2" width="17.28515625" style="11" customWidth="1"/>
    <col min="3" max="3" width="20.5703125" style="11" bestFit="1" customWidth="1"/>
    <col min="4" max="4" width="37.85546875" style="11" bestFit="1" customWidth="1"/>
    <col min="5" max="5" width="26.85546875" style="11" bestFit="1" customWidth="1"/>
    <col min="6" max="6" width="17.28515625" style="11" customWidth="1"/>
    <col min="7" max="7" width="14.140625" style="11" customWidth="1"/>
    <col min="8" max="8" width="11.5703125" style="11" customWidth="1"/>
    <col min="9" max="9" width="22.140625" style="11" customWidth="1"/>
    <col min="10" max="10" width="11.5703125" style="11" customWidth="1"/>
    <col min="11" max="11" width="22.140625" style="11" bestFit="1" customWidth="1"/>
    <col min="12" max="256" width="11.5703125" style="11" customWidth="1"/>
    <col min="257" max="257" width="36.140625" style="11" bestFit="1" customWidth="1"/>
    <col min="258" max="258" width="17.28515625" style="11" customWidth="1"/>
    <col min="259" max="259" width="20.5703125" style="11" bestFit="1" customWidth="1"/>
    <col min="260" max="260" width="37.85546875" style="11" bestFit="1" customWidth="1"/>
    <col min="261" max="261" width="26.85546875" style="11" bestFit="1" customWidth="1"/>
    <col min="262" max="262" width="17.28515625" style="11" customWidth="1"/>
    <col min="263" max="263" width="14.140625" style="11" customWidth="1"/>
    <col min="264" max="264" width="11.5703125" style="11" customWidth="1"/>
    <col min="265" max="265" width="22.140625" style="11" customWidth="1"/>
    <col min="266" max="266" width="11.5703125" style="11" customWidth="1"/>
    <col min="267" max="267" width="22.140625" style="11" bestFit="1" customWidth="1"/>
    <col min="268" max="512" width="11.5703125" style="11" customWidth="1"/>
    <col min="513" max="513" width="36.140625" style="11" bestFit="1" customWidth="1"/>
    <col min="514" max="514" width="17.28515625" style="11" customWidth="1"/>
    <col min="515" max="515" width="20.5703125" style="11" bestFit="1" customWidth="1"/>
    <col min="516" max="516" width="37.85546875" style="11" bestFit="1" customWidth="1"/>
    <col min="517" max="517" width="26.85546875" style="11" bestFit="1" customWidth="1"/>
    <col min="518" max="518" width="17.28515625" style="11" customWidth="1"/>
    <col min="519" max="519" width="14.140625" style="11" customWidth="1"/>
    <col min="520" max="520" width="11.5703125" style="11" customWidth="1"/>
    <col min="521" max="521" width="22.140625" style="11" customWidth="1"/>
    <col min="522" max="522" width="11.5703125" style="11" customWidth="1"/>
    <col min="523" max="523" width="22.140625" style="11" bestFit="1" customWidth="1"/>
    <col min="524" max="768" width="11.5703125" style="11" customWidth="1"/>
    <col min="769" max="769" width="36.140625" style="11" bestFit="1" customWidth="1"/>
    <col min="770" max="770" width="17.28515625" style="11" customWidth="1"/>
    <col min="771" max="771" width="20.5703125" style="11" bestFit="1" customWidth="1"/>
    <col min="772" max="772" width="37.85546875" style="11" bestFit="1" customWidth="1"/>
    <col min="773" max="773" width="26.85546875" style="11" bestFit="1" customWidth="1"/>
    <col min="774" max="774" width="17.28515625" style="11" customWidth="1"/>
    <col min="775" max="775" width="14.140625" style="11" customWidth="1"/>
    <col min="776" max="776" width="11.5703125" style="11" customWidth="1"/>
    <col min="777" max="777" width="22.140625" style="11" customWidth="1"/>
    <col min="778" max="778" width="11.5703125" style="11" customWidth="1"/>
    <col min="779" max="779" width="22.140625" style="11" bestFit="1" customWidth="1"/>
    <col min="780" max="1024" width="11.5703125" style="11" customWidth="1"/>
    <col min="1025" max="1025" width="36.140625" style="11" bestFit="1" customWidth="1"/>
    <col min="1026" max="1026" width="17.28515625" style="11" customWidth="1"/>
    <col min="1027" max="1027" width="20.5703125" style="11" bestFit="1" customWidth="1"/>
    <col min="1028" max="1028" width="37.85546875" style="11" bestFit="1" customWidth="1"/>
    <col min="1029" max="1029" width="26.85546875" style="11" bestFit="1" customWidth="1"/>
    <col min="1030" max="1030" width="17.28515625" style="11" customWidth="1"/>
    <col min="1031" max="1031" width="14.140625" style="11" customWidth="1"/>
    <col min="1032" max="1032" width="11.5703125" style="11" customWidth="1"/>
    <col min="1033" max="1033" width="22.140625" style="11" customWidth="1"/>
    <col min="1034" max="1034" width="11.5703125" style="11" customWidth="1"/>
    <col min="1035" max="1035" width="22.140625" style="11" bestFit="1" customWidth="1"/>
    <col min="1036" max="1280" width="11.5703125" style="11" customWidth="1"/>
    <col min="1281" max="1281" width="36.140625" style="11" bestFit="1" customWidth="1"/>
    <col min="1282" max="1282" width="17.28515625" style="11" customWidth="1"/>
    <col min="1283" max="1283" width="20.5703125" style="11" bestFit="1" customWidth="1"/>
    <col min="1284" max="1284" width="37.85546875" style="11" bestFit="1" customWidth="1"/>
    <col min="1285" max="1285" width="26.85546875" style="11" bestFit="1" customWidth="1"/>
    <col min="1286" max="1286" width="17.28515625" style="11" customWidth="1"/>
    <col min="1287" max="1287" width="14.140625" style="11" customWidth="1"/>
    <col min="1288" max="1288" width="11.5703125" style="11" customWidth="1"/>
    <col min="1289" max="1289" width="22.140625" style="11" customWidth="1"/>
    <col min="1290" max="1290" width="11.5703125" style="11" customWidth="1"/>
    <col min="1291" max="1291" width="22.140625" style="11" bestFit="1" customWidth="1"/>
    <col min="1292" max="1536" width="11.5703125" style="11" customWidth="1"/>
    <col min="1537" max="1537" width="36.140625" style="11" bestFit="1" customWidth="1"/>
    <col min="1538" max="1538" width="17.28515625" style="11" customWidth="1"/>
    <col min="1539" max="1539" width="20.5703125" style="11" bestFit="1" customWidth="1"/>
    <col min="1540" max="1540" width="37.85546875" style="11" bestFit="1" customWidth="1"/>
    <col min="1541" max="1541" width="26.85546875" style="11" bestFit="1" customWidth="1"/>
    <col min="1542" max="1542" width="17.28515625" style="11" customWidth="1"/>
    <col min="1543" max="1543" width="14.140625" style="11" customWidth="1"/>
    <col min="1544" max="1544" width="11.5703125" style="11" customWidth="1"/>
    <col min="1545" max="1545" width="22.140625" style="11" customWidth="1"/>
    <col min="1546" max="1546" width="11.5703125" style="11" customWidth="1"/>
    <col min="1547" max="1547" width="22.140625" style="11" bestFit="1" customWidth="1"/>
    <col min="1548" max="1792" width="11.5703125" style="11" customWidth="1"/>
    <col min="1793" max="1793" width="36.140625" style="11" bestFit="1" customWidth="1"/>
    <col min="1794" max="1794" width="17.28515625" style="11" customWidth="1"/>
    <col min="1795" max="1795" width="20.5703125" style="11" bestFit="1" customWidth="1"/>
    <col min="1796" max="1796" width="37.85546875" style="11" bestFit="1" customWidth="1"/>
    <col min="1797" max="1797" width="26.85546875" style="11" bestFit="1" customWidth="1"/>
    <col min="1798" max="1798" width="17.28515625" style="11" customWidth="1"/>
    <col min="1799" max="1799" width="14.140625" style="11" customWidth="1"/>
    <col min="1800" max="1800" width="11.5703125" style="11" customWidth="1"/>
    <col min="1801" max="1801" width="22.140625" style="11" customWidth="1"/>
    <col min="1802" max="1802" width="11.5703125" style="11" customWidth="1"/>
    <col min="1803" max="1803" width="22.140625" style="11" bestFit="1" customWidth="1"/>
    <col min="1804" max="2048" width="11.5703125" style="11" customWidth="1"/>
    <col min="2049" max="2049" width="36.140625" style="11" bestFit="1" customWidth="1"/>
    <col min="2050" max="2050" width="17.28515625" style="11" customWidth="1"/>
    <col min="2051" max="2051" width="20.5703125" style="11" bestFit="1" customWidth="1"/>
    <col min="2052" max="2052" width="37.85546875" style="11" bestFit="1" customWidth="1"/>
    <col min="2053" max="2053" width="26.85546875" style="11" bestFit="1" customWidth="1"/>
    <col min="2054" max="2054" width="17.28515625" style="11" customWidth="1"/>
    <col min="2055" max="2055" width="14.140625" style="11" customWidth="1"/>
    <col min="2056" max="2056" width="11.5703125" style="11" customWidth="1"/>
    <col min="2057" max="2057" width="22.140625" style="11" customWidth="1"/>
    <col min="2058" max="2058" width="11.5703125" style="11" customWidth="1"/>
    <col min="2059" max="2059" width="22.140625" style="11" bestFit="1" customWidth="1"/>
    <col min="2060" max="2304" width="11.5703125" style="11" customWidth="1"/>
    <col min="2305" max="2305" width="36.140625" style="11" bestFit="1" customWidth="1"/>
    <col min="2306" max="2306" width="17.28515625" style="11" customWidth="1"/>
    <col min="2307" max="2307" width="20.5703125" style="11" bestFit="1" customWidth="1"/>
    <col min="2308" max="2308" width="37.85546875" style="11" bestFit="1" customWidth="1"/>
    <col min="2309" max="2309" width="26.85546875" style="11" bestFit="1" customWidth="1"/>
    <col min="2310" max="2310" width="17.28515625" style="11" customWidth="1"/>
    <col min="2311" max="2311" width="14.140625" style="11" customWidth="1"/>
    <col min="2312" max="2312" width="11.5703125" style="11" customWidth="1"/>
    <col min="2313" max="2313" width="22.140625" style="11" customWidth="1"/>
    <col min="2314" max="2314" width="11.5703125" style="11" customWidth="1"/>
    <col min="2315" max="2315" width="22.140625" style="11" bestFit="1" customWidth="1"/>
    <col min="2316" max="2560" width="11.5703125" style="11" customWidth="1"/>
    <col min="2561" max="2561" width="36.140625" style="11" bestFit="1" customWidth="1"/>
    <col min="2562" max="2562" width="17.28515625" style="11" customWidth="1"/>
    <col min="2563" max="2563" width="20.5703125" style="11" bestFit="1" customWidth="1"/>
    <col min="2564" max="2564" width="37.85546875" style="11" bestFit="1" customWidth="1"/>
    <col min="2565" max="2565" width="26.85546875" style="11" bestFit="1" customWidth="1"/>
    <col min="2566" max="2566" width="17.28515625" style="11" customWidth="1"/>
    <col min="2567" max="2567" width="14.140625" style="11" customWidth="1"/>
    <col min="2568" max="2568" width="11.5703125" style="11" customWidth="1"/>
    <col min="2569" max="2569" width="22.140625" style="11" customWidth="1"/>
    <col min="2570" max="2570" width="11.5703125" style="11" customWidth="1"/>
    <col min="2571" max="2571" width="22.140625" style="11" bestFit="1" customWidth="1"/>
    <col min="2572" max="2816" width="11.5703125" style="11" customWidth="1"/>
    <col min="2817" max="2817" width="36.140625" style="11" bestFit="1" customWidth="1"/>
    <col min="2818" max="2818" width="17.28515625" style="11" customWidth="1"/>
    <col min="2819" max="2819" width="20.5703125" style="11" bestFit="1" customWidth="1"/>
    <col min="2820" max="2820" width="37.85546875" style="11" bestFit="1" customWidth="1"/>
    <col min="2821" max="2821" width="26.85546875" style="11" bestFit="1" customWidth="1"/>
    <col min="2822" max="2822" width="17.28515625" style="11" customWidth="1"/>
    <col min="2823" max="2823" width="14.140625" style="11" customWidth="1"/>
    <col min="2824" max="2824" width="11.5703125" style="11" customWidth="1"/>
    <col min="2825" max="2825" width="22.140625" style="11" customWidth="1"/>
    <col min="2826" max="2826" width="11.5703125" style="11" customWidth="1"/>
    <col min="2827" max="2827" width="22.140625" style="11" bestFit="1" customWidth="1"/>
    <col min="2828" max="3072" width="11.5703125" style="11" customWidth="1"/>
    <col min="3073" max="3073" width="36.140625" style="11" bestFit="1" customWidth="1"/>
    <col min="3074" max="3074" width="17.28515625" style="11" customWidth="1"/>
    <col min="3075" max="3075" width="20.5703125" style="11" bestFit="1" customWidth="1"/>
    <col min="3076" max="3076" width="37.85546875" style="11" bestFit="1" customWidth="1"/>
    <col min="3077" max="3077" width="26.85546875" style="11" bestFit="1" customWidth="1"/>
    <col min="3078" max="3078" width="17.28515625" style="11" customWidth="1"/>
    <col min="3079" max="3079" width="14.140625" style="11" customWidth="1"/>
    <col min="3080" max="3080" width="11.5703125" style="11" customWidth="1"/>
    <col min="3081" max="3081" width="22.140625" style="11" customWidth="1"/>
    <col min="3082" max="3082" width="11.5703125" style="11" customWidth="1"/>
    <col min="3083" max="3083" width="22.140625" style="11" bestFit="1" customWidth="1"/>
    <col min="3084" max="3328" width="11.5703125" style="11" customWidth="1"/>
    <col min="3329" max="3329" width="36.140625" style="11" bestFit="1" customWidth="1"/>
    <col min="3330" max="3330" width="17.28515625" style="11" customWidth="1"/>
    <col min="3331" max="3331" width="20.5703125" style="11" bestFit="1" customWidth="1"/>
    <col min="3332" max="3332" width="37.85546875" style="11" bestFit="1" customWidth="1"/>
    <col min="3333" max="3333" width="26.85546875" style="11" bestFit="1" customWidth="1"/>
    <col min="3334" max="3334" width="17.28515625" style="11" customWidth="1"/>
    <col min="3335" max="3335" width="14.140625" style="11" customWidth="1"/>
    <col min="3336" max="3336" width="11.5703125" style="11" customWidth="1"/>
    <col min="3337" max="3337" width="22.140625" style="11" customWidth="1"/>
    <col min="3338" max="3338" width="11.5703125" style="11" customWidth="1"/>
    <col min="3339" max="3339" width="22.140625" style="11" bestFit="1" customWidth="1"/>
    <col min="3340" max="3584" width="11.5703125" style="11" customWidth="1"/>
    <col min="3585" max="3585" width="36.140625" style="11" bestFit="1" customWidth="1"/>
    <col min="3586" max="3586" width="17.28515625" style="11" customWidth="1"/>
    <col min="3587" max="3587" width="20.5703125" style="11" bestFit="1" customWidth="1"/>
    <col min="3588" max="3588" width="37.85546875" style="11" bestFit="1" customWidth="1"/>
    <col min="3589" max="3589" width="26.85546875" style="11" bestFit="1" customWidth="1"/>
    <col min="3590" max="3590" width="17.28515625" style="11" customWidth="1"/>
    <col min="3591" max="3591" width="14.140625" style="11" customWidth="1"/>
    <col min="3592" max="3592" width="11.5703125" style="11" customWidth="1"/>
    <col min="3593" max="3593" width="22.140625" style="11" customWidth="1"/>
    <col min="3594" max="3594" width="11.5703125" style="11" customWidth="1"/>
    <col min="3595" max="3595" width="22.140625" style="11" bestFit="1" customWidth="1"/>
    <col min="3596" max="3840" width="11.5703125" style="11" customWidth="1"/>
    <col min="3841" max="3841" width="36.140625" style="11" bestFit="1" customWidth="1"/>
    <col min="3842" max="3842" width="17.28515625" style="11" customWidth="1"/>
    <col min="3843" max="3843" width="20.5703125" style="11" bestFit="1" customWidth="1"/>
    <col min="3844" max="3844" width="37.85546875" style="11" bestFit="1" customWidth="1"/>
    <col min="3845" max="3845" width="26.85546875" style="11" bestFit="1" customWidth="1"/>
    <col min="3846" max="3846" width="17.28515625" style="11" customWidth="1"/>
    <col min="3847" max="3847" width="14.140625" style="11" customWidth="1"/>
    <col min="3848" max="3848" width="11.5703125" style="11" customWidth="1"/>
    <col min="3849" max="3849" width="22.140625" style="11" customWidth="1"/>
    <col min="3850" max="3850" width="11.5703125" style="11" customWidth="1"/>
    <col min="3851" max="3851" width="22.140625" style="11" bestFit="1" customWidth="1"/>
    <col min="3852" max="4096" width="11.5703125" style="11" customWidth="1"/>
    <col min="4097" max="4097" width="36.140625" style="11" bestFit="1" customWidth="1"/>
    <col min="4098" max="4098" width="17.28515625" style="11" customWidth="1"/>
    <col min="4099" max="4099" width="20.5703125" style="11" bestFit="1" customWidth="1"/>
    <col min="4100" max="4100" width="37.85546875" style="11" bestFit="1" customWidth="1"/>
    <col min="4101" max="4101" width="26.85546875" style="11" bestFit="1" customWidth="1"/>
    <col min="4102" max="4102" width="17.28515625" style="11" customWidth="1"/>
    <col min="4103" max="4103" width="14.140625" style="11" customWidth="1"/>
    <col min="4104" max="4104" width="11.5703125" style="11" customWidth="1"/>
    <col min="4105" max="4105" width="22.140625" style="11" customWidth="1"/>
    <col min="4106" max="4106" width="11.5703125" style="11" customWidth="1"/>
    <col min="4107" max="4107" width="22.140625" style="11" bestFit="1" customWidth="1"/>
    <col min="4108" max="4352" width="11.5703125" style="11" customWidth="1"/>
    <col min="4353" max="4353" width="36.140625" style="11" bestFit="1" customWidth="1"/>
    <col min="4354" max="4354" width="17.28515625" style="11" customWidth="1"/>
    <col min="4355" max="4355" width="20.5703125" style="11" bestFit="1" customWidth="1"/>
    <col min="4356" max="4356" width="37.85546875" style="11" bestFit="1" customWidth="1"/>
    <col min="4357" max="4357" width="26.85546875" style="11" bestFit="1" customWidth="1"/>
    <col min="4358" max="4358" width="17.28515625" style="11" customWidth="1"/>
    <col min="4359" max="4359" width="14.140625" style="11" customWidth="1"/>
    <col min="4360" max="4360" width="11.5703125" style="11" customWidth="1"/>
    <col min="4361" max="4361" width="22.140625" style="11" customWidth="1"/>
    <col min="4362" max="4362" width="11.5703125" style="11" customWidth="1"/>
    <col min="4363" max="4363" width="22.140625" style="11" bestFit="1" customWidth="1"/>
    <col min="4364" max="4608" width="11.5703125" style="11" customWidth="1"/>
    <col min="4609" max="4609" width="36.140625" style="11" bestFit="1" customWidth="1"/>
    <col min="4610" max="4610" width="17.28515625" style="11" customWidth="1"/>
    <col min="4611" max="4611" width="20.5703125" style="11" bestFit="1" customWidth="1"/>
    <col min="4612" max="4612" width="37.85546875" style="11" bestFit="1" customWidth="1"/>
    <col min="4613" max="4613" width="26.85546875" style="11" bestFit="1" customWidth="1"/>
    <col min="4614" max="4614" width="17.28515625" style="11" customWidth="1"/>
    <col min="4615" max="4615" width="14.140625" style="11" customWidth="1"/>
    <col min="4616" max="4616" width="11.5703125" style="11" customWidth="1"/>
    <col min="4617" max="4617" width="22.140625" style="11" customWidth="1"/>
    <col min="4618" max="4618" width="11.5703125" style="11" customWidth="1"/>
    <col min="4619" max="4619" width="22.140625" style="11" bestFit="1" customWidth="1"/>
    <col min="4620" max="4864" width="11.5703125" style="11" customWidth="1"/>
    <col min="4865" max="4865" width="36.140625" style="11" bestFit="1" customWidth="1"/>
    <col min="4866" max="4866" width="17.28515625" style="11" customWidth="1"/>
    <col min="4867" max="4867" width="20.5703125" style="11" bestFit="1" customWidth="1"/>
    <col min="4868" max="4868" width="37.85546875" style="11" bestFit="1" customWidth="1"/>
    <col min="4869" max="4869" width="26.85546875" style="11" bestFit="1" customWidth="1"/>
    <col min="4870" max="4870" width="17.28515625" style="11" customWidth="1"/>
    <col min="4871" max="4871" width="14.140625" style="11" customWidth="1"/>
    <col min="4872" max="4872" width="11.5703125" style="11" customWidth="1"/>
    <col min="4873" max="4873" width="22.140625" style="11" customWidth="1"/>
    <col min="4874" max="4874" width="11.5703125" style="11" customWidth="1"/>
    <col min="4875" max="4875" width="22.140625" style="11" bestFit="1" customWidth="1"/>
    <col min="4876" max="5120" width="11.5703125" style="11" customWidth="1"/>
    <col min="5121" max="5121" width="36.140625" style="11" bestFit="1" customWidth="1"/>
    <col min="5122" max="5122" width="17.28515625" style="11" customWidth="1"/>
    <col min="5123" max="5123" width="20.5703125" style="11" bestFit="1" customWidth="1"/>
    <col min="5124" max="5124" width="37.85546875" style="11" bestFit="1" customWidth="1"/>
    <col min="5125" max="5125" width="26.85546875" style="11" bestFit="1" customWidth="1"/>
    <col min="5126" max="5126" width="17.28515625" style="11" customWidth="1"/>
    <col min="5127" max="5127" width="14.140625" style="11" customWidth="1"/>
    <col min="5128" max="5128" width="11.5703125" style="11" customWidth="1"/>
    <col min="5129" max="5129" width="22.140625" style="11" customWidth="1"/>
    <col min="5130" max="5130" width="11.5703125" style="11" customWidth="1"/>
    <col min="5131" max="5131" width="22.140625" style="11" bestFit="1" customWidth="1"/>
    <col min="5132" max="5376" width="11.5703125" style="11" customWidth="1"/>
    <col min="5377" max="5377" width="36.140625" style="11" bestFit="1" customWidth="1"/>
    <col min="5378" max="5378" width="17.28515625" style="11" customWidth="1"/>
    <col min="5379" max="5379" width="20.5703125" style="11" bestFit="1" customWidth="1"/>
    <col min="5380" max="5380" width="37.85546875" style="11" bestFit="1" customWidth="1"/>
    <col min="5381" max="5381" width="26.85546875" style="11" bestFit="1" customWidth="1"/>
    <col min="5382" max="5382" width="17.28515625" style="11" customWidth="1"/>
    <col min="5383" max="5383" width="14.140625" style="11" customWidth="1"/>
    <col min="5384" max="5384" width="11.5703125" style="11" customWidth="1"/>
    <col min="5385" max="5385" width="22.140625" style="11" customWidth="1"/>
    <col min="5386" max="5386" width="11.5703125" style="11" customWidth="1"/>
    <col min="5387" max="5387" width="22.140625" style="11" bestFit="1" customWidth="1"/>
    <col min="5388" max="5632" width="11.5703125" style="11" customWidth="1"/>
    <col min="5633" max="5633" width="36.140625" style="11" bestFit="1" customWidth="1"/>
    <col min="5634" max="5634" width="17.28515625" style="11" customWidth="1"/>
    <col min="5635" max="5635" width="20.5703125" style="11" bestFit="1" customWidth="1"/>
    <col min="5636" max="5636" width="37.85546875" style="11" bestFit="1" customWidth="1"/>
    <col min="5637" max="5637" width="26.85546875" style="11" bestFit="1" customWidth="1"/>
    <col min="5638" max="5638" width="17.28515625" style="11" customWidth="1"/>
    <col min="5639" max="5639" width="14.140625" style="11" customWidth="1"/>
    <col min="5640" max="5640" width="11.5703125" style="11" customWidth="1"/>
    <col min="5641" max="5641" width="22.140625" style="11" customWidth="1"/>
    <col min="5642" max="5642" width="11.5703125" style="11" customWidth="1"/>
    <col min="5643" max="5643" width="22.140625" style="11" bestFit="1" customWidth="1"/>
    <col min="5644" max="5888" width="11.5703125" style="11" customWidth="1"/>
    <col min="5889" max="5889" width="36.140625" style="11" bestFit="1" customWidth="1"/>
    <col min="5890" max="5890" width="17.28515625" style="11" customWidth="1"/>
    <col min="5891" max="5891" width="20.5703125" style="11" bestFit="1" customWidth="1"/>
    <col min="5892" max="5892" width="37.85546875" style="11" bestFit="1" customWidth="1"/>
    <col min="5893" max="5893" width="26.85546875" style="11" bestFit="1" customWidth="1"/>
    <col min="5894" max="5894" width="17.28515625" style="11" customWidth="1"/>
    <col min="5895" max="5895" width="14.140625" style="11" customWidth="1"/>
    <col min="5896" max="5896" width="11.5703125" style="11" customWidth="1"/>
    <col min="5897" max="5897" width="22.140625" style="11" customWidth="1"/>
    <col min="5898" max="5898" width="11.5703125" style="11" customWidth="1"/>
    <col min="5899" max="5899" width="22.140625" style="11" bestFit="1" customWidth="1"/>
    <col min="5900" max="6144" width="11.5703125" style="11" customWidth="1"/>
    <col min="6145" max="6145" width="36.140625" style="11" bestFit="1" customWidth="1"/>
    <col min="6146" max="6146" width="17.28515625" style="11" customWidth="1"/>
    <col min="6147" max="6147" width="20.5703125" style="11" bestFit="1" customWidth="1"/>
    <col min="6148" max="6148" width="37.85546875" style="11" bestFit="1" customWidth="1"/>
    <col min="6149" max="6149" width="26.85546875" style="11" bestFit="1" customWidth="1"/>
    <col min="6150" max="6150" width="17.28515625" style="11" customWidth="1"/>
    <col min="6151" max="6151" width="14.140625" style="11" customWidth="1"/>
    <col min="6152" max="6152" width="11.5703125" style="11" customWidth="1"/>
    <col min="6153" max="6153" width="22.140625" style="11" customWidth="1"/>
    <col min="6154" max="6154" width="11.5703125" style="11" customWidth="1"/>
    <col min="6155" max="6155" width="22.140625" style="11" bestFit="1" customWidth="1"/>
    <col min="6156" max="6400" width="11.5703125" style="11" customWidth="1"/>
    <col min="6401" max="6401" width="36.140625" style="11" bestFit="1" customWidth="1"/>
    <col min="6402" max="6402" width="17.28515625" style="11" customWidth="1"/>
    <col min="6403" max="6403" width="20.5703125" style="11" bestFit="1" customWidth="1"/>
    <col min="6404" max="6404" width="37.85546875" style="11" bestFit="1" customWidth="1"/>
    <col min="6405" max="6405" width="26.85546875" style="11" bestFit="1" customWidth="1"/>
    <col min="6406" max="6406" width="17.28515625" style="11" customWidth="1"/>
    <col min="6407" max="6407" width="14.140625" style="11" customWidth="1"/>
    <col min="6408" max="6408" width="11.5703125" style="11" customWidth="1"/>
    <col min="6409" max="6409" width="22.140625" style="11" customWidth="1"/>
    <col min="6410" max="6410" width="11.5703125" style="11" customWidth="1"/>
    <col min="6411" max="6411" width="22.140625" style="11" bestFit="1" customWidth="1"/>
    <col min="6412" max="6656" width="11.5703125" style="11" customWidth="1"/>
    <col min="6657" max="6657" width="36.140625" style="11" bestFit="1" customWidth="1"/>
    <col min="6658" max="6658" width="17.28515625" style="11" customWidth="1"/>
    <col min="6659" max="6659" width="20.5703125" style="11" bestFit="1" customWidth="1"/>
    <col min="6660" max="6660" width="37.85546875" style="11" bestFit="1" customWidth="1"/>
    <col min="6661" max="6661" width="26.85546875" style="11" bestFit="1" customWidth="1"/>
    <col min="6662" max="6662" width="17.28515625" style="11" customWidth="1"/>
    <col min="6663" max="6663" width="14.140625" style="11" customWidth="1"/>
    <col min="6664" max="6664" width="11.5703125" style="11" customWidth="1"/>
    <col min="6665" max="6665" width="22.140625" style="11" customWidth="1"/>
    <col min="6666" max="6666" width="11.5703125" style="11" customWidth="1"/>
    <col min="6667" max="6667" width="22.140625" style="11" bestFit="1" customWidth="1"/>
    <col min="6668" max="6912" width="11.5703125" style="11" customWidth="1"/>
    <col min="6913" max="6913" width="36.140625" style="11" bestFit="1" customWidth="1"/>
    <col min="6914" max="6914" width="17.28515625" style="11" customWidth="1"/>
    <col min="6915" max="6915" width="20.5703125" style="11" bestFit="1" customWidth="1"/>
    <col min="6916" max="6916" width="37.85546875" style="11" bestFit="1" customWidth="1"/>
    <col min="6917" max="6917" width="26.85546875" style="11" bestFit="1" customWidth="1"/>
    <col min="6918" max="6918" width="17.28515625" style="11" customWidth="1"/>
    <col min="6919" max="6919" width="14.140625" style="11" customWidth="1"/>
    <col min="6920" max="6920" width="11.5703125" style="11" customWidth="1"/>
    <col min="6921" max="6921" width="22.140625" style="11" customWidth="1"/>
    <col min="6922" max="6922" width="11.5703125" style="11" customWidth="1"/>
    <col min="6923" max="6923" width="22.140625" style="11" bestFit="1" customWidth="1"/>
    <col min="6924" max="7168" width="11.5703125" style="11" customWidth="1"/>
    <col min="7169" max="7169" width="36.140625" style="11" bestFit="1" customWidth="1"/>
    <col min="7170" max="7170" width="17.28515625" style="11" customWidth="1"/>
    <col min="7171" max="7171" width="20.5703125" style="11" bestFit="1" customWidth="1"/>
    <col min="7172" max="7172" width="37.85546875" style="11" bestFit="1" customWidth="1"/>
    <col min="7173" max="7173" width="26.85546875" style="11" bestFit="1" customWidth="1"/>
    <col min="7174" max="7174" width="17.28515625" style="11" customWidth="1"/>
    <col min="7175" max="7175" width="14.140625" style="11" customWidth="1"/>
    <col min="7176" max="7176" width="11.5703125" style="11" customWidth="1"/>
    <col min="7177" max="7177" width="22.140625" style="11" customWidth="1"/>
    <col min="7178" max="7178" width="11.5703125" style="11" customWidth="1"/>
    <col min="7179" max="7179" width="22.140625" style="11" bestFit="1" customWidth="1"/>
    <col min="7180" max="7424" width="11.5703125" style="11" customWidth="1"/>
    <col min="7425" max="7425" width="36.140625" style="11" bestFit="1" customWidth="1"/>
    <col min="7426" max="7426" width="17.28515625" style="11" customWidth="1"/>
    <col min="7427" max="7427" width="20.5703125" style="11" bestFit="1" customWidth="1"/>
    <col min="7428" max="7428" width="37.85546875" style="11" bestFit="1" customWidth="1"/>
    <col min="7429" max="7429" width="26.85546875" style="11" bestFit="1" customWidth="1"/>
    <col min="7430" max="7430" width="17.28515625" style="11" customWidth="1"/>
    <col min="7431" max="7431" width="14.140625" style="11" customWidth="1"/>
    <col min="7432" max="7432" width="11.5703125" style="11" customWidth="1"/>
    <col min="7433" max="7433" width="22.140625" style="11" customWidth="1"/>
    <col min="7434" max="7434" width="11.5703125" style="11" customWidth="1"/>
    <col min="7435" max="7435" width="22.140625" style="11" bestFit="1" customWidth="1"/>
    <col min="7436" max="7680" width="11.5703125" style="11" customWidth="1"/>
    <col min="7681" max="7681" width="36.140625" style="11" bestFit="1" customWidth="1"/>
    <col min="7682" max="7682" width="17.28515625" style="11" customWidth="1"/>
    <col min="7683" max="7683" width="20.5703125" style="11" bestFit="1" customWidth="1"/>
    <col min="7684" max="7684" width="37.85546875" style="11" bestFit="1" customWidth="1"/>
    <col min="7685" max="7685" width="26.85546875" style="11" bestFit="1" customWidth="1"/>
    <col min="7686" max="7686" width="17.28515625" style="11" customWidth="1"/>
    <col min="7687" max="7687" width="14.140625" style="11" customWidth="1"/>
    <col min="7688" max="7688" width="11.5703125" style="11" customWidth="1"/>
    <col min="7689" max="7689" width="22.140625" style="11" customWidth="1"/>
    <col min="7690" max="7690" width="11.5703125" style="11" customWidth="1"/>
    <col min="7691" max="7691" width="22.140625" style="11" bestFit="1" customWidth="1"/>
    <col min="7692" max="7936" width="11.5703125" style="11" customWidth="1"/>
    <col min="7937" max="7937" width="36.140625" style="11" bestFit="1" customWidth="1"/>
    <col min="7938" max="7938" width="17.28515625" style="11" customWidth="1"/>
    <col min="7939" max="7939" width="20.5703125" style="11" bestFit="1" customWidth="1"/>
    <col min="7940" max="7940" width="37.85546875" style="11" bestFit="1" customWidth="1"/>
    <col min="7941" max="7941" width="26.85546875" style="11" bestFit="1" customWidth="1"/>
    <col min="7942" max="7942" width="17.28515625" style="11" customWidth="1"/>
    <col min="7943" max="7943" width="14.140625" style="11" customWidth="1"/>
    <col min="7944" max="7944" width="11.5703125" style="11" customWidth="1"/>
    <col min="7945" max="7945" width="22.140625" style="11" customWidth="1"/>
    <col min="7946" max="7946" width="11.5703125" style="11" customWidth="1"/>
    <col min="7947" max="7947" width="22.140625" style="11" bestFit="1" customWidth="1"/>
    <col min="7948" max="8192" width="11.5703125" style="11" customWidth="1"/>
    <col min="8193" max="8193" width="36.140625" style="11" bestFit="1" customWidth="1"/>
    <col min="8194" max="8194" width="17.28515625" style="11" customWidth="1"/>
    <col min="8195" max="8195" width="20.5703125" style="11" bestFit="1" customWidth="1"/>
    <col min="8196" max="8196" width="37.85546875" style="11" bestFit="1" customWidth="1"/>
    <col min="8197" max="8197" width="26.85546875" style="11" bestFit="1" customWidth="1"/>
    <col min="8198" max="8198" width="17.28515625" style="11" customWidth="1"/>
    <col min="8199" max="8199" width="14.140625" style="11" customWidth="1"/>
    <col min="8200" max="8200" width="11.5703125" style="11" customWidth="1"/>
    <col min="8201" max="8201" width="22.140625" style="11" customWidth="1"/>
    <col min="8202" max="8202" width="11.5703125" style="11" customWidth="1"/>
    <col min="8203" max="8203" width="22.140625" style="11" bestFit="1" customWidth="1"/>
    <col min="8204" max="8448" width="11.5703125" style="11" customWidth="1"/>
    <col min="8449" max="8449" width="36.140625" style="11" bestFit="1" customWidth="1"/>
    <col min="8450" max="8450" width="17.28515625" style="11" customWidth="1"/>
    <col min="8451" max="8451" width="20.5703125" style="11" bestFit="1" customWidth="1"/>
    <col min="8452" max="8452" width="37.85546875" style="11" bestFit="1" customWidth="1"/>
    <col min="8453" max="8453" width="26.85546875" style="11" bestFit="1" customWidth="1"/>
    <col min="8454" max="8454" width="17.28515625" style="11" customWidth="1"/>
    <col min="8455" max="8455" width="14.140625" style="11" customWidth="1"/>
    <col min="8456" max="8456" width="11.5703125" style="11" customWidth="1"/>
    <col min="8457" max="8457" width="22.140625" style="11" customWidth="1"/>
    <col min="8458" max="8458" width="11.5703125" style="11" customWidth="1"/>
    <col min="8459" max="8459" width="22.140625" style="11" bestFit="1" customWidth="1"/>
    <col min="8460" max="8704" width="11.5703125" style="11" customWidth="1"/>
    <col min="8705" max="8705" width="36.140625" style="11" bestFit="1" customWidth="1"/>
    <col min="8706" max="8706" width="17.28515625" style="11" customWidth="1"/>
    <col min="8707" max="8707" width="20.5703125" style="11" bestFit="1" customWidth="1"/>
    <col min="8708" max="8708" width="37.85546875" style="11" bestFit="1" customWidth="1"/>
    <col min="8709" max="8709" width="26.85546875" style="11" bestFit="1" customWidth="1"/>
    <col min="8710" max="8710" width="17.28515625" style="11" customWidth="1"/>
    <col min="8711" max="8711" width="14.140625" style="11" customWidth="1"/>
    <col min="8712" max="8712" width="11.5703125" style="11" customWidth="1"/>
    <col min="8713" max="8713" width="22.140625" style="11" customWidth="1"/>
    <col min="8714" max="8714" width="11.5703125" style="11" customWidth="1"/>
    <col min="8715" max="8715" width="22.140625" style="11" bestFit="1" customWidth="1"/>
    <col min="8716" max="8960" width="11.5703125" style="11" customWidth="1"/>
    <col min="8961" max="8961" width="36.140625" style="11" bestFit="1" customWidth="1"/>
    <col min="8962" max="8962" width="17.28515625" style="11" customWidth="1"/>
    <col min="8963" max="8963" width="20.5703125" style="11" bestFit="1" customWidth="1"/>
    <col min="8964" max="8964" width="37.85546875" style="11" bestFit="1" customWidth="1"/>
    <col min="8965" max="8965" width="26.85546875" style="11" bestFit="1" customWidth="1"/>
    <col min="8966" max="8966" width="17.28515625" style="11" customWidth="1"/>
    <col min="8967" max="8967" width="14.140625" style="11" customWidth="1"/>
    <col min="8968" max="8968" width="11.5703125" style="11" customWidth="1"/>
    <col min="8969" max="8969" width="22.140625" style="11" customWidth="1"/>
    <col min="8970" max="8970" width="11.5703125" style="11" customWidth="1"/>
    <col min="8971" max="8971" width="22.140625" style="11" bestFit="1" customWidth="1"/>
    <col min="8972" max="9216" width="11.5703125" style="11" customWidth="1"/>
    <col min="9217" max="9217" width="36.140625" style="11" bestFit="1" customWidth="1"/>
    <col min="9218" max="9218" width="17.28515625" style="11" customWidth="1"/>
    <col min="9219" max="9219" width="20.5703125" style="11" bestFit="1" customWidth="1"/>
    <col min="9220" max="9220" width="37.85546875" style="11" bestFit="1" customWidth="1"/>
    <col min="9221" max="9221" width="26.85546875" style="11" bestFit="1" customWidth="1"/>
    <col min="9222" max="9222" width="17.28515625" style="11" customWidth="1"/>
    <col min="9223" max="9223" width="14.140625" style="11" customWidth="1"/>
    <col min="9224" max="9224" width="11.5703125" style="11" customWidth="1"/>
    <col min="9225" max="9225" width="22.140625" style="11" customWidth="1"/>
    <col min="9226" max="9226" width="11.5703125" style="11" customWidth="1"/>
    <col min="9227" max="9227" width="22.140625" style="11" bestFit="1" customWidth="1"/>
    <col min="9228" max="9472" width="11.5703125" style="11" customWidth="1"/>
    <col min="9473" max="9473" width="36.140625" style="11" bestFit="1" customWidth="1"/>
    <col min="9474" max="9474" width="17.28515625" style="11" customWidth="1"/>
    <col min="9475" max="9475" width="20.5703125" style="11" bestFit="1" customWidth="1"/>
    <col min="9476" max="9476" width="37.85546875" style="11" bestFit="1" customWidth="1"/>
    <col min="9477" max="9477" width="26.85546875" style="11" bestFit="1" customWidth="1"/>
    <col min="9478" max="9478" width="17.28515625" style="11" customWidth="1"/>
    <col min="9479" max="9479" width="14.140625" style="11" customWidth="1"/>
    <col min="9480" max="9480" width="11.5703125" style="11" customWidth="1"/>
    <col min="9481" max="9481" width="22.140625" style="11" customWidth="1"/>
    <col min="9482" max="9482" width="11.5703125" style="11" customWidth="1"/>
    <col min="9483" max="9483" width="22.140625" style="11" bestFit="1" customWidth="1"/>
    <col min="9484" max="9728" width="11.5703125" style="11" customWidth="1"/>
    <col min="9729" max="9729" width="36.140625" style="11" bestFit="1" customWidth="1"/>
    <col min="9730" max="9730" width="17.28515625" style="11" customWidth="1"/>
    <col min="9731" max="9731" width="20.5703125" style="11" bestFit="1" customWidth="1"/>
    <col min="9732" max="9732" width="37.85546875" style="11" bestFit="1" customWidth="1"/>
    <col min="9733" max="9733" width="26.85546875" style="11" bestFit="1" customWidth="1"/>
    <col min="9734" max="9734" width="17.28515625" style="11" customWidth="1"/>
    <col min="9735" max="9735" width="14.140625" style="11" customWidth="1"/>
    <col min="9736" max="9736" width="11.5703125" style="11" customWidth="1"/>
    <col min="9737" max="9737" width="22.140625" style="11" customWidth="1"/>
    <col min="9738" max="9738" width="11.5703125" style="11" customWidth="1"/>
    <col min="9739" max="9739" width="22.140625" style="11" bestFit="1" customWidth="1"/>
    <col min="9740" max="9984" width="11.5703125" style="11" customWidth="1"/>
    <col min="9985" max="9985" width="36.140625" style="11" bestFit="1" customWidth="1"/>
    <col min="9986" max="9986" width="17.28515625" style="11" customWidth="1"/>
    <col min="9987" max="9987" width="20.5703125" style="11" bestFit="1" customWidth="1"/>
    <col min="9988" max="9988" width="37.85546875" style="11" bestFit="1" customWidth="1"/>
    <col min="9989" max="9989" width="26.85546875" style="11" bestFit="1" customWidth="1"/>
    <col min="9990" max="9990" width="17.28515625" style="11" customWidth="1"/>
    <col min="9991" max="9991" width="14.140625" style="11" customWidth="1"/>
    <col min="9992" max="9992" width="11.5703125" style="11" customWidth="1"/>
    <col min="9993" max="9993" width="22.140625" style="11" customWidth="1"/>
    <col min="9994" max="9994" width="11.5703125" style="11" customWidth="1"/>
    <col min="9995" max="9995" width="22.140625" style="11" bestFit="1" customWidth="1"/>
    <col min="9996" max="10240" width="11.5703125" style="11" customWidth="1"/>
    <col min="10241" max="10241" width="36.140625" style="11" bestFit="1" customWidth="1"/>
    <col min="10242" max="10242" width="17.28515625" style="11" customWidth="1"/>
    <col min="10243" max="10243" width="20.5703125" style="11" bestFit="1" customWidth="1"/>
    <col min="10244" max="10244" width="37.85546875" style="11" bestFit="1" customWidth="1"/>
    <col min="10245" max="10245" width="26.85546875" style="11" bestFit="1" customWidth="1"/>
    <col min="10246" max="10246" width="17.28515625" style="11" customWidth="1"/>
    <col min="10247" max="10247" width="14.140625" style="11" customWidth="1"/>
    <col min="10248" max="10248" width="11.5703125" style="11" customWidth="1"/>
    <col min="10249" max="10249" width="22.140625" style="11" customWidth="1"/>
    <col min="10250" max="10250" width="11.5703125" style="11" customWidth="1"/>
    <col min="10251" max="10251" width="22.140625" style="11" bestFit="1" customWidth="1"/>
    <col min="10252" max="10496" width="11.5703125" style="11" customWidth="1"/>
    <col min="10497" max="10497" width="36.140625" style="11" bestFit="1" customWidth="1"/>
    <col min="10498" max="10498" width="17.28515625" style="11" customWidth="1"/>
    <col min="10499" max="10499" width="20.5703125" style="11" bestFit="1" customWidth="1"/>
    <col min="10500" max="10500" width="37.85546875" style="11" bestFit="1" customWidth="1"/>
    <col min="10501" max="10501" width="26.85546875" style="11" bestFit="1" customWidth="1"/>
    <col min="10502" max="10502" width="17.28515625" style="11" customWidth="1"/>
    <col min="10503" max="10503" width="14.140625" style="11" customWidth="1"/>
    <col min="10504" max="10504" width="11.5703125" style="11" customWidth="1"/>
    <col min="10505" max="10505" width="22.140625" style="11" customWidth="1"/>
    <col min="10506" max="10506" width="11.5703125" style="11" customWidth="1"/>
    <col min="10507" max="10507" width="22.140625" style="11" bestFit="1" customWidth="1"/>
    <col min="10508" max="10752" width="11.5703125" style="11" customWidth="1"/>
    <col min="10753" max="10753" width="36.140625" style="11" bestFit="1" customWidth="1"/>
    <col min="10754" max="10754" width="17.28515625" style="11" customWidth="1"/>
    <col min="10755" max="10755" width="20.5703125" style="11" bestFit="1" customWidth="1"/>
    <col min="10756" max="10756" width="37.85546875" style="11" bestFit="1" customWidth="1"/>
    <col min="10757" max="10757" width="26.85546875" style="11" bestFit="1" customWidth="1"/>
    <col min="10758" max="10758" width="17.28515625" style="11" customWidth="1"/>
    <col min="10759" max="10759" width="14.140625" style="11" customWidth="1"/>
    <col min="10760" max="10760" width="11.5703125" style="11" customWidth="1"/>
    <col min="10761" max="10761" width="22.140625" style="11" customWidth="1"/>
    <col min="10762" max="10762" width="11.5703125" style="11" customWidth="1"/>
    <col min="10763" max="10763" width="22.140625" style="11" bestFit="1" customWidth="1"/>
    <col min="10764" max="11008" width="11.5703125" style="11" customWidth="1"/>
    <col min="11009" max="11009" width="36.140625" style="11" bestFit="1" customWidth="1"/>
    <col min="11010" max="11010" width="17.28515625" style="11" customWidth="1"/>
    <col min="11011" max="11011" width="20.5703125" style="11" bestFit="1" customWidth="1"/>
    <col min="11012" max="11012" width="37.85546875" style="11" bestFit="1" customWidth="1"/>
    <col min="11013" max="11013" width="26.85546875" style="11" bestFit="1" customWidth="1"/>
    <col min="11014" max="11014" width="17.28515625" style="11" customWidth="1"/>
    <col min="11015" max="11015" width="14.140625" style="11" customWidth="1"/>
    <col min="11016" max="11016" width="11.5703125" style="11" customWidth="1"/>
    <col min="11017" max="11017" width="22.140625" style="11" customWidth="1"/>
    <col min="11018" max="11018" width="11.5703125" style="11" customWidth="1"/>
    <col min="11019" max="11019" width="22.140625" style="11" bestFit="1" customWidth="1"/>
    <col min="11020" max="11264" width="11.5703125" style="11" customWidth="1"/>
    <col min="11265" max="11265" width="36.140625" style="11" bestFit="1" customWidth="1"/>
    <col min="11266" max="11266" width="17.28515625" style="11" customWidth="1"/>
    <col min="11267" max="11267" width="20.5703125" style="11" bestFit="1" customWidth="1"/>
    <col min="11268" max="11268" width="37.85546875" style="11" bestFit="1" customWidth="1"/>
    <col min="11269" max="11269" width="26.85546875" style="11" bestFit="1" customWidth="1"/>
    <col min="11270" max="11270" width="17.28515625" style="11" customWidth="1"/>
    <col min="11271" max="11271" width="14.140625" style="11" customWidth="1"/>
    <col min="11272" max="11272" width="11.5703125" style="11" customWidth="1"/>
    <col min="11273" max="11273" width="22.140625" style="11" customWidth="1"/>
    <col min="11274" max="11274" width="11.5703125" style="11" customWidth="1"/>
    <col min="11275" max="11275" width="22.140625" style="11" bestFit="1" customWidth="1"/>
    <col min="11276" max="11520" width="11.5703125" style="11" customWidth="1"/>
    <col min="11521" max="11521" width="36.140625" style="11" bestFit="1" customWidth="1"/>
    <col min="11522" max="11522" width="17.28515625" style="11" customWidth="1"/>
    <col min="11523" max="11523" width="20.5703125" style="11" bestFit="1" customWidth="1"/>
    <col min="11524" max="11524" width="37.85546875" style="11" bestFit="1" customWidth="1"/>
    <col min="11525" max="11525" width="26.85546875" style="11" bestFit="1" customWidth="1"/>
    <col min="11526" max="11526" width="17.28515625" style="11" customWidth="1"/>
    <col min="11527" max="11527" width="14.140625" style="11" customWidth="1"/>
    <col min="11528" max="11528" width="11.5703125" style="11" customWidth="1"/>
    <col min="11529" max="11529" width="22.140625" style="11" customWidth="1"/>
    <col min="11530" max="11530" width="11.5703125" style="11" customWidth="1"/>
    <col min="11531" max="11531" width="22.140625" style="11" bestFit="1" customWidth="1"/>
    <col min="11532" max="11776" width="11.5703125" style="11" customWidth="1"/>
    <col min="11777" max="11777" width="36.140625" style="11" bestFit="1" customWidth="1"/>
    <col min="11778" max="11778" width="17.28515625" style="11" customWidth="1"/>
    <col min="11779" max="11779" width="20.5703125" style="11" bestFit="1" customWidth="1"/>
    <col min="11780" max="11780" width="37.85546875" style="11" bestFit="1" customWidth="1"/>
    <col min="11781" max="11781" width="26.85546875" style="11" bestFit="1" customWidth="1"/>
    <col min="11782" max="11782" width="17.28515625" style="11" customWidth="1"/>
    <col min="11783" max="11783" width="14.140625" style="11" customWidth="1"/>
    <col min="11784" max="11784" width="11.5703125" style="11" customWidth="1"/>
    <col min="11785" max="11785" width="22.140625" style="11" customWidth="1"/>
    <col min="11786" max="11786" width="11.5703125" style="11" customWidth="1"/>
    <col min="11787" max="11787" width="22.140625" style="11" bestFit="1" customWidth="1"/>
    <col min="11788" max="12032" width="11.5703125" style="11" customWidth="1"/>
    <col min="12033" max="12033" width="36.140625" style="11" bestFit="1" customWidth="1"/>
    <col min="12034" max="12034" width="17.28515625" style="11" customWidth="1"/>
    <col min="12035" max="12035" width="20.5703125" style="11" bestFit="1" customWidth="1"/>
    <col min="12036" max="12036" width="37.85546875" style="11" bestFit="1" customWidth="1"/>
    <col min="12037" max="12037" width="26.85546875" style="11" bestFit="1" customWidth="1"/>
    <col min="12038" max="12038" width="17.28515625" style="11" customWidth="1"/>
    <col min="12039" max="12039" width="14.140625" style="11" customWidth="1"/>
    <col min="12040" max="12040" width="11.5703125" style="11" customWidth="1"/>
    <col min="12041" max="12041" width="22.140625" style="11" customWidth="1"/>
    <col min="12042" max="12042" width="11.5703125" style="11" customWidth="1"/>
    <col min="12043" max="12043" width="22.140625" style="11" bestFit="1" customWidth="1"/>
    <col min="12044" max="12288" width="11.5703125" style="11" customWidth="1"/>
    <col min="12289" max="12289" width="36.140625" style="11" bestFit="1" customWidth="1"/>
    <col min="12290" max="12290" width="17.28515625" style="11" customWidth="1"/>
    <col min="12291" max="12291" width="20.5703125" style="11" bestFit="1" customWidth="1"/>
    <col min="12292" max="12292" width="37.85546875" style="11" bestFit="1" customWidth="1"/>
    <col min="12293" max="12293" width="26.85546875" style="11" bestFit="1" customWidth="1"/>
    <col min="12294" max="12294" width="17.28515625" style="11" customWidth="1"/>
    <col min="12295" max="12295" width="14.140625" style="11" customWidth="1"/>
    <col min="12296" max="12296" width="11.5703125" style="11" customWidth="1"/>
    <col min="12297" max="12297" width="22.140625" style="11" customWidth="1"/>
    <col min="12298" max="12298" width="11.5703125" style="11" customWidth="1"/>
    <col min="12299" max="12299" width="22.140625" style="11" bestFit="1" customWidth="1"/>
    <col min="12300" max="12544" width="11.5703125" style="11" customWidth="1"/>
    <col min="12545" max="12545" width="36.140625" style="11" bestFit="1" customWidth="1"/>
    <col min="12546" max="12546" width="17.28515625" style="11" customWidth="1"/>
    <col min="12547" max="12547" width="20.5703125" style="11" bestFit="1" customWidth="1"/>
    <col min="12548" max="12548" width="37.85546875" style="11" bestFit="1" customWidth="1"/>
    <col min="12549" max="12549" width="26.85546875" style="11" bestFit="1" customWidth="1"/>
    <col min="12550" max="12550" width="17.28515625" style="11" customWidth="1"/>
    <col min="12551" max="12551" width="14.140625" style="11" customWidth="1"/>
    <col min="12552" max="12552" width="11.5703125" style="11" customWidth="1"/>
    <col min="12553" max="12553" width="22.140625" style="11" customWidth="1"/>
    <col min="12554" max="12554" width="11.5703125" style="11" customWidth="1"/>
    <col min="12555" max="12555" width="22.140625" style="11" bestFit="1" customWidth="1"/>
    <col min="12556" max="12800" width="11.5703125" style="11" customWidth="1"/>
    <col min="12801" max="12801" width="36.140625" style="11" bestFit="1" customWidth="1"/>
    <col min="12802" max="12802" width="17.28515625" style="11" customWidth="1"/>
    <col min="12803" max="12803" width="20.5703125" style="11" bestFit="1" customWidth="1"/>
    <col min="12804" max="12804" width="37.85546875" style="11" bestFit="1" customWidth="1"/>
    <col min="12805" max="12805" width="26.85546875" style="11" bestFit="1" customWidth="1"/>
    <col min="12806" max="12806" width="17.28515625" style="11" customWidth="1"/>
    <col min="12807" max="12807" width="14.140625" style="11" customWidth="1"/>
    <col min="12808" max="12808" width="11.5703125" style="11" customWidth="1"/>
    <col min="12809" max="12809" width="22.140625" style="11" customWidth="1"/>
    <col min="12810" max="12810" width="11.5703125" style="11" customWidth="1"/>
    <col min="12811" max="12811" width="22.140625" style="11" bestFit="1" customWidth="1"/>
    <col min="12812" max="13056" width="11.5703125" style="11" customWidth="1"/>
    <col min="13057" max="13057" width="36.140625" style="11" bestFit="1" customWidth="1"/>
    <col min="13058" max="13058" width="17.28515625" style="11" customWidth="1"/>
    <col min="13059" max="13059" width="20.5703125" style="11" bestFit="1" customWidth="1"/>
    <col min="13060" max="13060" width="37.85546875" style="11" bestFit="1" customWidth="1"/>
    <col min="13061" max="13061" width="26.85546875" style="11" bestFit="1" customWidth="1"/>
    <col min="13062" max="13062" width="17.28515625" style="11" customWidth="1"/>
    <col min="13063" max="13063" width="14.140625" style="11" customWidth="1"/>
    <col min="13064" max="13064" width="11.5703125" style="11" customWidth="1"/>
    <col min="13065" max="13065" width="22.140625" style="11" customWidth="1"/>
    <col min="13066" max="13066" width="11.5703125" style="11" customWidth="1"/>
    <col min="13067" max="13067" width="22.140625" style="11" bestFit="1" customWidth="1"/>
    <col min="13068" max="13312" width="11.5703125" style="11" customWidth="1"/>
    <col min="13313" max="13313" width="36.140625" style="11" bestFit="1" customWidth="1"/>
    <col min="13314" max="13314" width="17.28515625" style="11" customWidth="1"/>
    <col min="13315" max="13315" width="20.5703125" style="11" bestFit="1" customWidth="1"/>
    <col min="13316" max="13316" width="37.85546875" style="11" bestFit="1" customWidth="1"/>
    <col min="13317" max="13317" width="26.85546875" style="11" bestFit="1" customWidth="1"/>
    <col min="13318" max="13318" width="17.28515625" style="11" customWidth="1"/>
    <col min="13319" max="13319" width="14.140625" style="11" customWidth="1"/>
    <col min="13320" max="13320" width="11.5703125" style="11" customWidth="1"/>
    <col min="13321" max="13321" width="22.140625" style="11" customWidth="1"/>
    <col min="13322" max="13322" width="11.5703125" style="11" customWidth="1"/>
    <col min="13323" max="13323" width="22.140625" style="11" bestFit="1" customWidth="1"/>
    <col min="13324" max="13568" width="11.5703125" style="11" customWidth="1"/>
    <col min="13569" max="13569" width="36.140625" style="11" bestFit="1" customWidth="1"/>
    <col min="13570" max="13570" width="17.28515625" style="11" customWidth="1"/>
    <col min="13571" max="13571" width="20.5703125" style="11" bestFit="1" customWidth="1"/>
    <col min="13572" max="13572" width="37.85546875" style="11" bestFit="1" customWidth="1"/>
    <col min="13573" max="13573" width="26.85546875" style="11" bestFit="1" customWidth="1"/>
    <col min="13574" max="13574" width="17.28515625" style="11" customWidth="1"/>
    <col min="13575" max="13575" width="14.140625" style="11" customWidth="1"/>
    <col min="13576" max="13576" width="11.5703125" style="11" customWidth="1"/>
    <col min="13577" max="13577" width="22.140625" style="11" customWidth="1"/>
    <col min="13578" max="13578" width="11.5703125" style="11" customWidth="1"/>
    <col min="13579" max="13579" width="22.140625" style="11" bestFit="1" customWidth="1"/>
    <col min="13580" max="13824" width="11.5703125" style="11" customWidth="1"/>
    <col min="13825" max="13825" width="36.140625" style="11" bestFit="1" customWidth="1"/>
    <col min="13826" max="13826" width="17.28515625" style="11" customWidth="1"/>
    <col min="13827" max="13827" width="20.5703125" style="11" bestFit="1" customWidth="1"/>
    <col min="13828" max="13828" width="37.85546875" style="11" bestFit="1" customWidth="1"/>
    <col min="13829" max="13829" width="26.85546875" style="11" bestFit="1" customWidth="1"/>
    <col min="13830" max="13830" width="17.28515625" style="11" customWidth="1"/>
    <col min="13831" max="13831" width="14.140625" style="11" customWidth="1"/>
    <col min="13832" max="13832" width="11.5703125" style="11" customWidth="1"/>
    <col min="13833" max="13833" width="22.140625" style="11" customWidth="1"/>
    <col min="13834" max="13834" width="11.5703125" style="11" customWidth="1"/>
    <col min="13835" max="13835" width="22.140625" style="11" bestFit="1" customWidth="1"/>
    <col min="13836" max="14080" width="11.5703125" style="11" customWidth="1"/>
    <col min="14081" max="14081" width="36.140625" style="11" bestFit="1" customWidth="1"/>
    <col min="14082" max="14082" width="17.28515625" style="11" customWidth="1"/>
    <col min="14083" max="14083" width="20.5703125" style="11" bestFit="1" customWidth="1"/>
    <col min="14084" max="14084" width="37.85546875" style="11" bestFit="1" customWidth="1"/>
    <col min="14085" max="14085" width="26.85546875" style="11" bestFit="1" customWidth="1"/>
    <col min="14086" max="14086" width="17.28515625" style="11" customWidth="1"/>
    <col min="14087" max="14087" width="14.140625" style="11" customWidth="1"/>
    <col min="14088" max="14088" width="11.5703125" style="11" customWidth="1"/>
    <col min="14089" max="14089" width="22.140625" style="11" customWidth="1"/>
    <col min="14090" max="14090" width="11.5703125" style="11" customWidth="1"/>
    <col min="14091" max="14091" width="22.140625" style="11" bestFit="1" customWidth="1"/>
    <col min="14092" max="14336" width="11.5703125" style="11" customWidth="1"/>
    <col min="14337" max="14337" width="36.140625" style="11" bestFit="1" customWidth="1"/>
    <col min="14338" max="14338" width="17.28515625" style="11" customWidth="1"/>
    <col min="14339" max="14339" width="20.5703125" style="11" bestFit="1" customWidth="1"/>
    <col min="14340" max="14340" width="37.85546875" style="11" bestFit="1" customWidth="1"/>
    <col min="14341" max="14341" width="26.85546875" style="11" bestFit="1" customWidth="1"/>
    <col min="14342" max="14342" width="17.28515625" style="11" customWidth="1"/>
    <col min="14343" max="14343" width="14.140625" style="11" customWidth="1"/>
    <col min="14344" max="14344" width="11.5703125" style="11" customWidth="1"/>
    <col min="14345" max="14345" width="22.140625" style="11" customWidth="1"/>
    <col min="14346" max="14346" width="11.5703125" style="11" customWidth="1"/>
    <col min="14347" max="14347" width="22.140625" style="11" bestFit="1" customWidth="1"/>
    <col min="14348" max="14592" width="11.5703125" style="11" customWidth="1"/>
    <col min="14593" max="14593" width="36.140625" style="11" bestFit="1" customWidth="1"/>
    <col min="14594" max="14594" width="17.28515625" style="11" customWidth="1"/>
    <col min="14595" max="14595" width="20.5703125" style="11" bestFit="1" customWidth="1"/>
    <col min="14596" max="14596" width="37.85546875" style="11" bestFit="1" customWidth="1"/>
    <col min="14597" max="14597" width="26.85546875" style="11" bestFit="1" customWidth="1"/>
    <col min="14598" max="14598" width="17.28515625" style="11" customWidth="1"/>
    <col min="14599" max="14599" width="14.140625" style="11" customWidth="1"/>
    <col min="14600" max="14600" width="11.5703125" style="11" customWidth="1"/>
    <col min="14601" max="14601" width="22.140625" style="11" customWidth="1"/>
    <col min="14602" max="14602" width="11.5703125" style="11" customWidth="1"/>
    <col min="14603" max="14603" width="22.140625" style="11" bestFit="1" customWidth="1"/>
    <col min="14604" max="14848" width="11.5703125" style="11" customWidth="1"/>
    <col min="14849" max="14849" width="36.140625" style="11" bestFit="1" customWidth="1"/>
    <col min="14850" max="14850" width="17.28515625" style="11" customWidth="1"/>
    <col min="14851" max="14851" width="20.5703125" style="11" bestFit="1" customWidth="1"/>
    <col min="14852" max="14852" width="37.85546875" style="11" bestFit="1" customWidth="1"/>
    <col min="14853" max="14853" width="26.85546875" style="11" bestFit="1" customWidth="1"/>
    <col min="14854" max="14854" width="17.28515625" style="11" customWidth="1"/>
    <col min="14855" max="14855" width="14.140625" style="11" customWidth="1"/>
    <col min="14856" max="14856" width="11.5703125" style="11" customWidth="1"/>
    <col min="14857" max="14857" width="22.140625" style="11" customWidth="1"/>
    <col min="14858" max="14858" width="11.5703125" style="11" customWidth="1"/>
    <col min="14859" max="14859" width="22.140625" style="11" bestFit="1" customWidth="1"/>
    <col min="14860" max="15104" width="11.5703125" style="11" customWidth="1"/>
    <col min="15105" max="15105" width="36.140625" style="11" bestFit="1" customWidth="1"/>
    <col min="15106" max="15106" width="17.28515625" style="11" customWidth="1"/>
    <col min="15107" max="15107" width="20.5703125" style="11" bestFit="1" customWidth="1"/>
    <col min="15108" max="15108" width="37.85546875" style="11" bestFit="1" customWidth="1"/>
    <col min="15109" max="15109" width="26.85546875" style="11" bestFit="1" customWidth="1"/>
    <col min="15110" max="15110" width="17.28515625" style="11" customWidth="1"/>
    <col min="15111" max="15111" width="14.140625" style="11" customWidth="1"/>
    <col min="15112" max="15112" width="11.5703125" style="11" customWidth="1"/>
    <col min="15113" max="15113" width="22.140625" style="11" customWidth="1"/>
    <col min="15114" max="15114" width="11.5703125" style="11" customWidth="1"/>
    <col min="15115" max="15115" width="22.140625" style="11" bestFit="1" customWidth="1"/>
    <col min="15116" max="15360" width="11.5703125" style="11" customWidth="1"/>
    <col min="15361" max="15361" width="36.140625" style="11" bestFit="1" customWidth="1"/>
    <col min="15362" max="15362" width="17.28515625" style="11" customWidth="1"/>
    <col min="15363" max="15363" width="20.5703125" style="11" bestFit="1" customWidth="1"/>
    <col min="15364" max="15364" width="37.85546875" style="11" bestFit="1" customWidth="1"/>
    <col min="15365" max="15365" width="26.85546875" style="11" bestFit="1" customWidth="1"/>
    <col min="15366" max="15366" width="17.28515625" style="11" customWidth="1"/>
    <col min="15367" max="15367" width="14.140625" style="11" customWidth="1"/>
    <col min="15368" max="15368" width="11.5703125" style="11" customWidth="1"/>
    <col min="15369" max="15369" width="22.140625" style="11" customWidth="1"/>
    <col min="15370" max="15370" width="11.5703125" style="11" customWidth="1"/>
    <col min="15371" max="15371" width="22.140625" style="11" bestFit="1" customWidth="1"/>
    <col min="15372" max="15616" width="11.5703125" style="11" customWidth="1"/>
    <col min="15617" max="15617" width="36.140625" style="11" bestFit="1" customWidth="1"/>
    <col min="15618" max="15618" width="17.28515625" style="11" customWidth="1"/>
    <col min="15619" max="15619" width="20.5703125" style="11" bestFit="1" customWidth="1"/>
    <col min="15620" max="15620" width="37.85546875" style="11" bestFit="1" customWidth="1"/>
    <col min="15621" max="15621" width="26.85546875" style="11" bestFit="1" customWidth="1"/>
    <col min="15622" max="15622" width="17.28515625" style="11" customWidth="1"/>
    <col min="15623" max="15623" width="14.140625" style="11" customWidth="1"/>
    <col min="15624" max="15624" width="11.5703125" style="11" customWidth="1"/>
    <col min="15625" max="15625" width="22.140625" style="11" customWidth="1"/>
    <col min="15626" max="15626" width="11.5703125" style="11" customWidth="1"/>
    <col min="15627" max="15627" width="22.140625" style="11" bestFit="1" customWidth="1"/>
    <col min="15628" max="15872" width="11.5703125" style="11" customWidth="1"/>
    <col min="15873" max="15873" width="36.140625" style="11" bestFit="1" customWidth="1"/>
    <col min="15874" max="15874" width="17.28515625" style="11" customWidth="1"/>
    <col min="15875" max="15875" width="20.5703125" style="11" bestFit="1" customWidth="1"/>
    <col min="15876" max="15876" width="37.85546875" style="11" bestFit="1" customWidth="1"/>
    <col min="15877" max="15877" width="26.85546875" style="11" bestFit="1" customWidth="1"/>
    <col min="15878" max="15878" width="17.28515625" style="11" customWidth="1"/>
    <col min="15879" max="15879" width="14.140625" style="11" customWidth="1"/>
    <col min="15880" max="15880" width="11.5703125" style="11" customWidth="1"/>
    <col min="15881" max="15881" width="22.140625" style="11" customWidth="1"/>
    <col min="15882" max="15882" width="11.5703125" style="11" customWidth="1"/>
    <col min="15883" max="15883" width="22.140625" style="11" bestFit="1" customWidth="1"/>
    <col min="15884" max="16128" width="11.5703125" style="11" customWidth="1"/>
    <col min="16129" max="16129" width="36.140625" style="11" bestFit="1" customWidth="1"/>
    <col min="16130" max="16130" width="17.28515625" style="11" customWidth="1"/>
    <col min="16131" max="16131" width="20.5703125" style="11" bestFit="1" customWidth="1"/>
    <col min="16132" max="16132" width="37.85546875" style="11" bestFit="1" customWidth="1"/>
    <col min="16133" max="16133" width="26.85546875" style="11" bestFit="1" customWidth="1"/>
    <col min="16134" max="16134" width="17.28515625" style="11" customWidth="1"/>
    <col min="16135" max="16135" width="14.140625" style="11" customWidth="1"/>
    <col min="16136" max="16136" width="11.5703125" style="11" customWidth="1"/>
    <col min="16137" max="16137" width="22.140625" style="11" customWidth="1"/>
    <col min="16138" max="16138" width="11.5703125" style="11" customWidth="1"/>
    <col min="16139" max="16139" width="22.140625" style="11" bestFit="1" customWidth="1"/>
    <col min="16140" max="16384" width="11.5703125" style="11" customWidth="1"/>
  </cols>
  <sheetData>
    <row r="1" spans="1:11">
      <c r="A1" s="10" t="s">
        <v>10</v>
      </c>
      <c r="B1" s="55">
        <v>46027</v>
      </c>
      <c r="C1" s="56"/>
      <c r="D1" s="56"/>
      <c r="E1" s="56"/>
      <c r="F1" s="56"/>
      <c r="G1" s="57"/>
      <c r="H1" s="58" t="s">
        <v>11</v>
      </c>
      <c r="I1" s="61" t="s">
        <v>1</v>
      </c>
      <c r="J1" s="62"/>
      <c r="K1" s="63"/>
    </row>
    <row r="2" spans="1:11" ht="15.95" customHeight="1">
      <c r="A2" s="12" t="s">
        <v>12</v>
      </c>
      <c r="B2" s="64" t="s">
        <v>13</v>
      </c>
      <c r="C2" s="65"/>
      <c r="D2" s="65"/>
      <c r="E2" s="65"/>
      <c r="F2" s="65"/>
      <c r="G2" s="66"/>
      <c r="H2" s="59"/>
      <c r="I2" s="67" t="s">
        <v>14</v>
      </c>
      <c r="J2" s="68"/>
      <c r="K2" s="69"/>
    </row>
    <row r="3" spans="1:11">
      <c r="A3" s="12" t="s">
        <v>15</v>
      </c>
      <c r="B3" s="73" t="s">
        <v>16</v>
      </c>
      <c r="C3" s="74"/>
      <c r="D3" s="74"/>
      <c r="E3" s="75"/>
      <c r="F3" s="73" t="s">
        <v>17</v>
      </c>
      <c r="G3" s="76"/>
      <c r="H3" s="59"/>
      <c r="I3" s="67"/>
      <c r="J3" s="68"/>
      <c r="K3" s="69"/>
    </row>
    <row r="4" spans="1:11">
      <c r="A4" s="12" t="s">
        <v>18</v>
      </c>
      <c r="B4" s="77" t="s">
        <v>19</v>
      </c>
      <c r="C4" s="78"/>
      <c r="D4" s="78"/>
      <c r="E4" s="78"/>
      <c r="F4" s="78"/>
      <c r="G4" s="79"/>
      <c r="H4" s="59"/>
      <c r="I4" s="67"/>
      <c r="J4" s="68"/>
      <c r="K4" s="69"/>
    </row>
    <row r="5" spans="1:11">
      <c r="A5" s="12" t="s">
        <v>20</v>
      </c>
      <c r="B5" s="80" t="s">
        <v>21</v>
      </c>
      <c r="C5" s="81"/>
      <c r="D5" s="81"/>
      <c r="E5" s="81"/>
      <c r="F5" s="81"/>
      <c r="G5" s="82"/>
      <c r="H5" s="59"/>
      <c r="I5" s="67"/>
      <c r="J5" s="68"/>
      <c r="K5" s="69"/>
    </row>
    <row r="6" spans="1:11" s="13" customFormat="1">
      <c r="A6" s="12" t="s">
        <v>22</v>
      </c>
      <c r="B6" s="64" t="s">
        <v>23</v>
      </c>
      <c r="C6" s="65"/>
      <c r="D6" s="65"/>
      <c r="E6" s="65"/>
      <c r="F6" s="65"/>
      <c r="G6" s="66"/>
      <c r="H6" s="59"/>
      <c r="I6" s="67"/>
      <c r="J6" s="68"/>
      <c r="K6" s="69"/>
    </row>
    <row r="7" spans="1:11" ht="16.5" thickBot="1">
      <c r="A7" s="14" t="s">
        <v>24</v>
      </c>
      <c r="B7" s="52" t="s">
        <v>25</v>
      </c>
      <c r="C7" s="53"/>
      <c r="D7" s="53"/>
      <c r="E7" s="53"/>
      <c r="F7" s="53"/>
      <c r="G7" s="54"/>
      <c r="H7" s="60"/>
      <c r="I7" s="70"/>
      <c r="J7" s="71"/>
      <c r="K7" s="72"/>
    </row>
    <row r="8" spans="1:11">
      <c r="A8" s="15" t="s">
        <v>26</v>
      </c>
      <c r="B8" s="15"/>
      <c r="C8" s="15"/>
      <c r="D8" s="15"/>
      <c r="E8" s="16"/>
      <c r="F8" s="16"/>
      <c r="G8" s="16" t="s">
        <v>27</v>
      </c>
      <c r="H8" s="16"/>
      <c r="I8" s="16"/>
      <c r="J8" s="16"/>
      <c r="K8" s="16"/>
    </row>
    <row r="9" spans="1:11">
      <c r="A9" s="16" t="s">
        <v>28</v>
      </c>
      <c r="B9" s="16"/>
      <c r="C9" s="16"/>
      <c r="D9" s="47">
        <v>3.95E-2</v>
      </c>
      <c r="E9" s="16"/>
      <c r="F9" s="16"/>
      <c r="G9" s="17" t="s">
        <v>29</v>
      </c>
      <c r="H9" s="17"/>
      <c r="I9" s="17" t="s">
        <v>30</v>
      </c>
      <c r="J9" s="16"/>
      <c r="K9" s="16"/>
    </row>
    <row r="10" spans="1:11">
      <c r="A10" s="16" t="s">
        <v>31</v>
      </c>
      <c r="B10" s="16"/>
      <c r="C10" s="16"/>
      <c r="D10" s="48">
        <v>4.4600000000000001E-2</v>
      </c>
      <c r="E10" s="16"/>
      <c r="F10" s="16"/>
      <c r="G10" s="18">
        <v>0</v>
      </c>
      <c r="H10" s="19">
        <v>0.3</v>
      </c>
      <c r="I10" s="50">
        <v>5.5060000000000005E-3</v>
      </c>
      <c r="J10" s="16"/>
      <c r="K10" s="16"/>
    </row>
    <row r="11" spans="1:11">
      <c r="A11" s="16" t="s">
        <v>32</v>
      </c>
      <c r="B11" s="16"/>
      <c r="C11" s="16"/>
      <c r="D11" s="49">
        <v>2.3E-3</v>
      </c>
      <c r="E11" s="16"/>
      <c r="F11" s="16"/>
      <c r="G11" s="18">
        <v>0.30001</v>
      </c>
      <c r="H11" s="19">
        <v>0.45</v>
      </c>
      <c r="I11" s="50">
        <v>8.8719999999999997E-3</v>
      </c>
      <c r="J11" s="16"/>
      <c r="K11" s="16"/>
    </row>
    <row r="12" spans="1:11">
      <c r="A12" s="16" t="s">
        <v>33</v>
      </c>
      <c r="B12" s="16"/>
      <c r="C12" s="16"/>
      <c r="D12" s="16"/>
      <c r="E12" s="16"/>
      <c r="F12" s="21" t="s">
        <v>34</v>
      </c>
      <c r="G12" s="18">
        <v>0.45001000000000002</v>
      </c>
      <c r="H12" s="19">
        <v>0.65</v>
      </c>
      <c r="I12" s="50">
        <v>1.1113E-2</v>
      </c>
      <c r="J12" s="16"/>
      <c r="K12" s="16"/>
    </row>
    <row r="13" spans="1:11">
      <c r="A13" s="16" t="s">
        <v>35</v>
      </c>
      <c r="B13" s="16"/>
      <c r="C13" s="16"/>
      <c r="D13" s="16"/>
      <c r="E13" s="16"/>
      <c r="F13" s="22">
        <v>0.25</v>
      </c>
      <c r="G13" s="18">
        <v>0.65000100000000005</v>
      </c>
      <c r="H13" s="19">
        <v>0.8</v>
      </c>
      <c r="I13" s="50">
        <v>1.8394999999999998E-2</v>
      </c>
      <c r="J13" s="16"/>
      <c r="K13" s="16"/>
    </row>
    <row r="14" spans="1:11">
      <c r="A14" s="16"/>
      <c r="B14" s="16"/>
      <c r="C14" s="16"/>
      <c r="D14" s="16"/>
      <c r="E14" s="16"/>
      <c r="F14" s="16"/>
      <c r="G14" s="18">
        <v>0.80000099999999996</v>
      </c>
      <c r="H14" s="19">
        <v>0.9</v>
      </c>
      <c r="I14" s="50">
        <v>3.2098000000000002E-2</v>
      </c>
      <c r="J14" s="16"/>
      <c r="K14" s="16"/>
    </row>
    <row r="15" spans="1:11">
      <c r="A15" s="23" t="s">
        <v>36</v>
      </c>
      <c r="B15" s="16"/>
      <c r="C15" s="16"/>
      <c r="D15" s="16"/>
      <c r="E15" s="16"/>
      <c r="F15" s="16"/>
      <c r="G15" s="18">
        <v>0.90000100000000005</v>
      </c>
      <c r="H15" s="19">
        <v>1</v>
      </c>
      <c r="I15" s="50">
        <v>5.0899E-2</v>
      </c>
      <c r="J15" s="16"/>
      <c r="K15" s="16"/>
    </row>
    <row r="16" spans="1:11">
      <c r="A16" s="16" t="s">
        <v>37</v>
      </c>
      <c r="B16" s="16"/>
      <c r="C16" s="20">
        <v>2.5000000000000001E-2</v>
      </c>
      <c r="D16" s="16"/>
      <c r="E16" s="16"/>
      <c r="F16" s="16"/>
      <c r="G16" s="18">
        <v>1.0000009999999999</v>
      </c>
      <c r="H16" s="19">
        <v>10</v>
      </c>
      <c r="I16" s="50">
        <v>8.8499999999999995E-2</v>
      </c>
      <c r="J16" s="16"/>
      <c r="K16" s="16"/>
    </row>
    <row r="17" spans="1:12">
      <c r="A17" s="16" t="s">
        <v>38</v>
      </c>
      <c r="B17" s="16"/>
      <c r="C17" s="20">
        <v>2.5000000000000001E-2</v>
      </c>
      <c r="D17" s="16"/>
      <c r="E17" s="16"/>
      <c r="F17" s="16"/>
      <c r="G17" s="16"/>
      <c r="H17" s="16"/>
      <c r="I17" s="16"/>
      <c r="J17" s="16"/>
      <c r="K17" s="16"/>
    </row>
    <row r="18" spans="1:1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2">
      <c r="A19" s="24" t="s">
        <v>39</v>
      </c>
      <c r="B19" s="24" t="s">
        <v>40</v>
      </c>
      <c r="C19" s="24" t="s">
        <v>41</v>
      </c>
      <c r="D19" s="25" t="s">
        <v>42</v>
      </c>
      <c r="E19" s="26" t="s">
        <v>43</v>
      </c>
      <c r="F19" s="26" t="s">
        <v>44</v>
      </c>
      <c r="G19" s="25" t="s">
        <v>45</v>
      </c>
      <c r="H19" s="24" t="s">
        <v>46</v>
      </c>
      <c r="I19" s="25" t="s">
        <v>47</v>
      </c>
      <c r="J19" s="25" t="s">
        <v>48</v>
      </c>
      <c r="K19" s="27" t="s">
        <v>49</v>
      </c>
      <c r="L19" s="28" t="s">
        <v>50</v>
      </c>
    </row>
    <row r="20" spans="1:12">
      <c r="A20" s="29" t="s">
        <v>51</v>
      </c>
      <c r="B20" s="29">
        <v>52</v>
      </c>
      <c r="C20" s="30">
        <v>1.210506967409714</v>
      </c>
      <c r="D20" s="31">
        <v>9.3488610746473244E-2</v>
      </c>
      <c r="E20" s="31">
        <v>0.71326642417939357</v>
      </c>
      <c r="F20" s="31">
        <v>0.62914804050487017</v>
      </c>
      <c r="G20" s="32">
        <v>5.2913000000000002E-2</v>
      </c>
      <c r="H20" s="33">
        <v>5.0166601892135954E-2</v>
      </c>
      <c r="I20" s="31">
        <v>3.9684750000000005E-2</v>
      </c>
      <c r="J20" s="32">
        <v>0.28673357582060643</v>
      </c>
      <c r="K20" s="34">
        <v>7.8061237361683022E-2</v>
      </c>
      <c r="L20" s="31">
        <v>7.8061237361683133E-2</v>
      </c>
    </row>
    <row r="21" spans="1:12">
      <c r="A21" s="29" t="s">
        <v>52</v>
      </c>
      <c r="B21" s="29">
        <v>79</v>
      </c>
      <c r="C21" s="30">
        <v>0.945491480030761</v>
      </c>
      <c r="D21" s="31">
        <v>8.166892000937194E-2</v>
      </c>
      <c r="E21" s="31">
        <v>0.86533188033244401</v>
      </c>
      <c r="F21" s="31">
        <v>0.46452299950863785</v>
      </c>
      <c r="G21" s="32">
        <v>5.2913000000000002E-2</v>
      </c>
      <c r="H21" s="33">
        <v>0.1157525444051738</v>
      </c>
      <c r="I21" s="31">
        <v>3.9684750000000005E-2</v>
      </c>
      <c r="J21" s="32">
        <v>0.13466811966755599</v>
      </c>
      <c r="K21" s="34">
        <v>7.601499077840683E-2</v>
      </c>
      <c r="L21" s="31">
        <v>7.6014990778406899E-2</v>
      </c>
    </row>
    <row r="22" spans="1:12">
      <c r="A22" s="29" t="s">
        <v>53</v>
      </c>
      <c r="B22" s="29">
        <v>23</v>
      </c>
      <c r="C22" s="30">
        <v>1.1854651004067109</v>
      </c>
      <c r="D22" s="31">
        <v>9.2371743478139312E-2</v>
      </c>
      <c r="E22" s="31">
        <v>0.5230930742546499</v>
      </c>
      <c r="F22" s="31">
        <v>0.59004326285352304</v>
      </c>
      <c r="G22" s="32">
        <v>5.2913000000000002E-2</v>
      </c>
      <c r="H22" s="33">
        <v>8.2925786036018204E-2</v>
      </c>
      <c r="I22" s="31">
        <v>3.9684750000000005E-2</v>
      </c>
      <c r="J22" s="32">
        <v>0.4769069257453501</v>
      </c>
      <c r="K22" s="34">
        <v>6.7244951391714589E-2</v>
      </c>
      <c r="L22" s="31">
        <v>6.7244951391714602E-2</v>
      </c>
    </row>
    <row r="23" spans="1:12">
      <c r="A23" s="29" t="s">
        <v>54</v>
      </c>
      <c r="B23" s="29">
        <v>35</v>
      </c>
      <c r="C23" s="30">
        <v>0.93587446429798749</v>
      </c>
      <c r="D23" s="31">
        <v>8.1240001107690252E-2</v>
      </c>
      <c r="E23" s="31">
        <v>0.76165943862519259</v>
      </c>
      <c r="F23" s="31">
        <v>0.46263736732369448</v>
      </c>
      <c r="G23" s="32">
        <v>5.2913000000000002E-2</v>
      </c>
      <c r="H23" s="33">
        <v>9.6125002973785845E-2</v>
      </c>
      <c r="I23" s="31">
        <v>3.9684750000000005E-2</v>
      </c>
      <c r="J23" s="32">
        <v>0.23834056137480741</v>
      </c>
      <c r="K23" s="34">
        <v>7.1335699230612268E-2</v>
      </c>
      <c r="L23" s="31">
        <v>7.1335699230612226E-2</v>
      </c>
    </row>
    <row r="24" spans="1:12">
      <c r="A24" s="29" t="s">
        <v>55</v>
      </c>
      <c r="B24" s="29">
        <v>33</v>
      </c>
      <c r="C24" s="30">
        <v>1.4564933048347815</v>
      </c>
      <c r="D24" s="31">
        <v>0.10445960139563126</v>
      </c>
      <c r="E24" s="31">
        <v>0.83545064476896913</v>
      </c>
      <c r="F24" s="31">
        <v>0.61834605423543032</v>
      </c>
      <c r="G24" s="32">
        <v>5.2913000000000002E-2</v>
      </c>
      <c r="H24" s="33">
        <v>3.737150993812953E-2</v>
      </c>
      <c r="I24" s="31">
        <v>3.9684750000000005E-2</v>
      </c>
      <c r="J24" s="32">
        <v>0.16454935523103087</v>
      </c>
      <c r="K24" s="34">
        <v>9.3800941363294296E-2</v>
      </c>
      <c r="L24" s="31">
        <v>9.380094136329431E-2</v>
      </c>
    </row>
    <row r="25" spans="1:12">
      <c r="A25" s="29" t="s">
        <v>56</v>
      </c>
      <c r="B25" s="29">
        <v>35</v>
      </c>
      <c r="C25" s="30">
        <v>1.3394463651948414</v>
      </c>
      <c r="D25" s="31">
        <v>9.923930788768992E-2</v>
      </c>
      <c r="E25" s="31">
        <v>0.70689360734933704</v>
      </c>
      <c r="F25" s="31">
        <v>0.49872040429854986</v>
      </c>
      <c r="G25" s="32">
        <v>5.2913000000000002E-2</v>
      </c>
      <c r="H25" s="33">
        <v>0.14999691449019154</v>
      </c>
      <c r="I25" s="31">
        <v>3.9684750000000005E-2</v>
      </c>
      <c r="J25" s="32">
        <v>0.29310639265066296</v>
      </c>
      <c r="K25" s="34">
        <v>8.1783486259324037E-2</v>
      </c>
      <c r="L25" s="31">
        <v>8.1783486259324079E-2</v>
      </c>
    </row>
    <row r="26" spans="1:12">
      <c r="A26" s="29" t="s">
        <v>57</v>
      </c>
      <c r="B26" s="29">
        <v>15</v>
      </c>
      <c r="C26" s="30">
        <v>0.76104618197253326</v>
      </c>
      <c r="D26" s="31">
        <v>7.3442659715974981E-2</v>
      </c>
      <c r="E26" s="31">
        <v>0.37851594436467451</v>
      </c>
      <c r="F26" s="31">
        <v>0.22738717670540012</v>
      </c>
      <c r="G26" s="32">
        <v>4.7306000000000001E-2</v>
      </c>
      <c r="H26" s="33">
        <v>0.1843478364577707</v>
      </c>
      <c r="I26" s="31">
        <v>3.5479499999999997E-2</v>
      </c>
      <c r="J26" s="32">
        <v>0.62148405563532549</v>
      </c>
      <c r="K26" s="34">
        <v>4.9849161250959236E-2</v>
      </c>
      <c r="L26" s="31">
        <v>4.9849161250959284E-2</v>
      </c>
    </row>
    <row r="27" spans="1:12">
      <c r="A27" s="29" t="s">
        <v>58</v>
      </c>
      <c r="B27" s="29">
        <v>568</v>
      </c>
      <c r="C27" s="30">
        <v>0.3984765556409175</v>
      </c>
      <c r="D27" s="31">
        <v>5.7272054381584919E-2</v>
      </c>
      <c r="E27" s="31">
        <v>0.65745228553598767</v>
      </c>
      <c r="F27" s="31">
        <v>0.22682557552961419</v>
      </c>
      <c r="G27" s="32">
        <v>4.7306000000000001E-2</v>
      </c>
      <c r="H27" s="33">
        <v>0.17609708151159398</v>
      </c>
      <c r="I27" s="31">
        <v>3.5479499999999997E-2</v>
      </c>
      <c r="J27" s="32">
        <v>0.34254771446401233</v>
      </c>
      <c r="K27" s="34">
        <v>4.9807064685840313E-2</v>
      </c>
      <c r="L27" s="31">
        <v>4.9807064685840396E-2</v>
      </c>
    </row>
    <row r="28" spans="1:12">
      <c r="A28" s="29" t="s">
        <v>59</v>
      </c>
      <c r="B28" s="29">
        <v>14</v>
      </c>
      <c r="C28" s="30">
        <v>0.81247562771327664</v>
      </c>
      <c r="D28" s="31">
        <v>7.5736412996012137E-2</v>
      </c>
      <c r="E28" s="31">
        <v>0.69764972142048753</v>
      </c>
      <c r="F28" s="31">
        <v>0.55961937245473869</v>
      </c>
      <c r="G28" s="32">
        <v>5.2913000000000002E-2</v>
      </c>
      <c r="H28" s="33">
        <v>0.12349880380286866</v>
      </c>
      <c r="I28" s="31">
        <v>3.9684750000000005E-2</v>
      </c>
      <c r="J28" s="32">
        <v>0.30235027857951247</v>
      </c>
      <c r="K28" s="34">
        <v>6.4836182645913162E-2</v>
      </c>
      <c r="L28" s="31">
        <v>6.4836182645913176E-2</v>
      </c>
    </row>
    <row r="29" spans="1:12">
      <c r="A29" s="29" t="s">
        <v>60</v>
      </c>
      <c r="B29" s="29">
        <v>27</v>
      </c>
      <c r="C29" s="30">
        <v>0.64146870701471792</v>
      </c>
      <c r="D29" s="31">
        <v>6.8109504332856424E-2</v>
      </c>
      <c r="E29" s="31">
        <v>0.82927597261423158</v>
      </c>
      <c r="F29" s="31">
        <v>0.5788689759563741</v>
      </c>
      <c r="G29" s="32">
        <v>5.2913000000000002E-2</v>
      </c>
      <c r="H29" s="33">
        <v>6.84627965508008E-2</v>
      </c>
      <c r="I29" s="31">
        <v>3.9684750000000005E-2</v>
      </c>
      <c r="J29" s="32">
        <v>0.17072402738576842</v>
      </c>
      <c r="K29" s="34">
        <v>6.3256715795700108E-2</v>
      </c>
      <c r="L29" s="31">
        <v>6.3256715795700025E-2</v>
      </c>
    </row>
    <row r="30" spans="1:12">
      <c r="A30" s="29" t="s">
        <v>61</v>
      </c>
      <c r="B30" s="29">
        <v>24</v>
      </c>
      <c r="C30" s="30">
        <v>0.47075204848634544</v>
      </c>
      <c r="D30" s="31">
        <v>6.0495541362491009E-2</v>
      </c>
      <c r="E30" s="31">
        <v>0.53805591362114591</v>
      </c>
      <c r="F30" s="31">
        <v>0.46623069933478634</v>
      </c>
      <c r="G30" s="32">
        <v>5.2913000000000002E-2</v>
      </c>
      <c r="H30" s="33">
        <v>7.7288595287253334E-2</v>
      </c>
      <c r="I30" s="31">
        <v>3.9684750000000005E-2</v>
      </c>
      <c r="J30" s="32">
        <v>0.46194408637885409</v>
      </c>
      <c r="K30" s="34">
        <v>5.0882119359724157E-2</v>
      </c>
      <c r="L30" s="31">
        <v>5.0882119359724198E-2</v>
      </c>
    </row>
    <row r="31" spans="1:12">
      <c r="A31" s="29" t="s">
        <v>62</v>
      </c>
      <c r="B31" s="29">
        <v>32</v>
      </c>
      <c r="C31" s="30">
        <v>1.171457071047836</v>
      </c>
      <c r="D31" s="31">
        <v>9.1746985368733491E-2</v>
      </c>
      <c r="E31" s="31">
        <v>0.42449573823876963</v>
      </c>
      <c r="F31" s="31">
        <v>0.366085597210624</v>
      </c>
      <c r="G31" s="32">
        <v>5.0671999999999995E-2</v>
      </c>
      <c r="H31" s="33">
        <v>0.15273177578181318</v>
      </c>
      <c r="I31" s="31">
        <v>3.8003999999999996E-2</v>
      </c>
      <c r="J31" s="32">
        <v>0.57550426176123037</v>
      </c>
      <c r="K31" s="34">
        <v>6.0817668249255913E-2</v>
      </c>
      <c r="L31" s="31">
        <v>6.081766824925583E-2</v>
      </c>
    </row>
    <row r="32" spans="1:12">
      <c r="A32" s="29" t="s">
        <v>63</v>
      </c>
      <c r="B32" s="29">
        <v>41</v>
      </c>
      <c r="C32" s="30">
        <v>1.1115321733442423</v>
      </c>
      <c r="D32" s="31">
        <v>8.9074334931153215E-2</v>
      </c>
      <c r="E32" s="31">
        <v>0.79366147706163681</v>
      </c>
      <c r="F32" s="31">
        <v>0.35282100910190417</v>
      </c>
      <c r="G32" s="32">
        <v>5.0671999999999995E-2</v>
      </c>
      <c r="H32" s="33">
        <v>0.18021139787810209</v>
      </c>
      <c r="I32" s="31">
        <v>3.8003999999999996E-2</v>
      </c>
      <c r="J32" s="32">
        <v>0.20633852293836319</v>
      </c>
      <c r="K32" s="34">
        <v>7.8536557455491568E-2</v>
      </c>
      <c r="L32" s="31">
        <v>7.8536557455491485E-2</v>
      </c>
    </row>
    <row r="33" spans="1:12">
      <c r="A33" s="29" t="s">
        <v>64</v>
      </c>
      <c r="B33" s="29">
        <v>155</v>
      </c>
      <c r="C33" s="30">
        <v>0.88797853352427447</v>
      </c>
      <c r="D33" s="31">
        <v>7.9103842595182633E-2</v>
      </c>
      <c r="E33" s="31">
        <v>0.83530953528892349</v>
      </c>
      <c r="F33" s="31">
        <v>0.41106991639716206</v>
      </c>
      <c r="G33" s="32">
        <v>5.0671999999999995E-2</v>
      </c>
      <c r="H33" s="33">
        <v>0.10382630217002471</v>
      </c>
      <c r="I33" s="31">
        <v>3.8003999999999996E-2</v>
      </c>
      <c r="J33" s="32">
        <v>0.16469046471107651</v>
      </c>
      <c r="K33" s="34">
        <v>7.2335090418629899E-2</v>
      </c>
      <c r="L33" s="31">
        <v>7.2335090418629955E-2</v>
      </c>
    </row>
    <row r="34" spans="1:12">
      <c r="A34" s="29" t="s">
        <v>65</v>
      </c>
      <c r="B34" s="29">
        <v>9</v>
      </c>
      <c r="C34" s="30">
        <v>0.74074440817775966</v>
      </c>
      <c r="D34" s="31">
        <v>7.2537200604728083E-2</v>
      </c>
      <c r="E34" s="31">
        <v>0.40495756914925196</v>
      </c>
      <c r="F34" s="31">
        <v>0.44040713789280422</v>
      </c>
      <c r="G34" s="32">
        <v>5.0671999999999995E-2</v>
      </c>
      <c r="H34" s="33">
        <v>0.10643042905457614</v>
      </c>
      <c r="I34" s="31">
        <v>3.8003999999999996E-2</v>
      </c>
      <c r="J34" s="32">
        <v>0.59504243085074804</v>
      </c>
      <c r="K34" s="34">
        <v>5.1988480971834158E-2</v>
      </c>
      <c r="L34" s="31">
        <v>5.1988480971834061E-2</v>
      </c>
    </row>
    <row r="35" spans="1:12">
      <c r="A35" s="29" t="s">
        <v>66</v>
      </c>
      <c r="B35" s="29">
        <v>29</v>
      </c>
      <c r="C35" s="30">
        <v>1.0122471500989898</v>
      </c>
      <c r="D35" s="31">
        <v>8.4646222894414952E-2</v>
      </c>
      <c r="E35" s="31">
        <v>0.50162029462192392</v>
      </c>
      <c r="F35" s="31">
        <v>0.45809706926083432</v>
      </c>
      <c r="G35" s="32">
        <v>5.2913000000000002E-2</v>
      </c>
      <c r="H35" s="33">
        <v>7.683856093152415E-2</v>
      </c>
      <c r="I35" s="31">
        <v>3.9684750000000005E-2</v>
      </c>
      <c r="J35" s="32">
        <v>0.49837970537807608</v>
      </c>
      <c r="K35" s="34">
        <v>6.2238337279932075E-2</v>
      </c>
      <c r="L35" s="31">
        <v>6.2238337279931999E-2</v>
      </c>
    </row>
    <row r="36" spans="1:12">
      <c r="A36" s="29" t="s">
        <v>67</v>
      </c>
      <c r="B36" s="29">
        <v>4</v>
      </c>
      <c r="C36" s="30">
        <v>0.85070285625625963</v>
      </c>
      <c r="D36" s="31">
        <v>7.7441347389029178E-2</v>
      </c>
      <c r="E36" s="31">
        <v>0.36217451038972182</v>
      </c>
      <c r="F36" s="31">
        <v>0.39035200238396089</v>
      </c>
      <c r="G36" s="32">
        <v>5.0671999999999995E-2</v>
      </c>
      <c r="H36" s="33">
        <v>0</v>
      </c>
      <c r="I36" s="31">
        <v>3.8003999999999996E-2</v>
      </c>
      <c r="J36" s="32">
        <v>0.63782548961027818</v>
      </c>
      <c r="K36" s="34">
        <v>5.2287201981691012E-2</v>
      </c>
      <c r="L36" s="31">
        <v>5.2287201981691123E-2</v>
      </c>
    </row>
    <row r="37" spans="1:12">
      <c r="A37" s="29" t="s">
        <v>68</v>
      </c>
      <c r="B37" s="29">
        <v>59</v>
      </c>
      <c r="C37" s="30">
        <v>0.96978288177757488</v>
      </c>
      <c r="D37" s="31">
        <v>8.2752316527279851E-2</v>
      </c>
      <c r="E37" s="31">
        <v>0.76992392360340145</v>
      </c>
      <c r="F37" s="31">
        <v>0.42305160954750315</v>
      </c>
      <c r="G37" s="32">
        <v>5.0671999999999995E-2</v>
      </c>
      <c r="H37" s="33">
        <v>0.13675158334443216</v>
      </c>
      <c r="I37" s="31">
        <v>3.8003999999999996E-2</v>
      </c>
      <c r="J37" s="32">
        <v>0.23007607639659855</v>
      </c>
      <c r="K37" s="34">
        <v>7.2456799435330232E-2</v>
      </c>
      <c r="L37" s="31">
        <v>7.2456799435330232E-2</v>
      </c>
    </row>
    <row r="38" spans="1:12">
      <c r="A38" s="29" t="s">
        <v>69</v>
      </c>
      <c r="B38" s="29">
        <v>16</v>
      </c>
      <c r="C38" s="30">
        <v>1.0709931914897641</v>
      </c>
      <c r="D38" s="31">
        <v>8.7266296340443472E-2</v>
      </c>
      <c r="E38" s="31">
        <v>0.93333222184603304</v>
      </c>
      <c r="F38" s="31">
        <v>0.64314909122165775</v>
      </c>
      <c r="G38" s="32">
        <v>5.2913000000000002E-2</v>
      </c>
      <c r="H38" s="33">
        <v>3.125E-2</v>
      </c>
      <c r="I38" s="31">
        <v>3.9684750000000005E-2</v>
      </c>
      <c r="J38" s="32">
        <v>6.6667778153966961E-2</v>
      </c>
      <c r="K38" s="34">
        <v>8.4094140364796094E-2</v>
      </c>
      <c r="L38" s="31">
        <v>8.4094140364796122E-2</v>
      </c>
    </row>
    <row r="39" spans="1:12">
      <c r="A39" s="29" t="s">
        <v>70</v>
      </c>
      <c r="B39" s="29">
        <v>64</v>
      </c>
      <c r="C39" s="30">
        <v>1.0878559034733686</v>
      </c>
      <c r="D39" s="31">
        <v>8.8018373294912244E-2</v>
      </c>
      <c r="E39" s="31">
        <v>0.79935972823036783</v>
      </c>
      <c r="F39" s="31">
        <v>0.5342530314325552</v>
      </c>
      <c r="G39" s="32">
        <v>5.2913000000000002E-2</v>
      </c>
      <c r="H39" s="33">
        <v>0.10526994226576537</v>
      </c>
      <c r="I39" s="31">
        <v>3.9684750000000005E-2</v>
      </c>
      <c r="J39" s="32">
        <v>0.20064027176963217</v>
      </c>
      <c r="K39" s="34">
        <v>7.8320701981410029E-2</v>
      </c>
      <c r="L39" s="31">
        <v>7.8320701981410057E-2</v>
      </c>
    </row>
    <row r="40" spans="1:12">
      <c r="A40" s="29" t="s">
        <v>71</v>
      </c>
      <c r="B40" s="29">
        <v>36</v>
      </c>
      <c r="C40" s="30">
        <v>1.3503292085851684</v>
      </c>
      <c r="D40" s="31">
        <v>9.9724682702898512E-2</v>
      </c>
      <c r="E40" s="31">
        <v>0.95579689621950636</v>
      </c>
      <c r="F40" s="31">
        <v>0.54576795171788506</v>
      </c>
      <c r="G40" s="32">
        <v>5.2913000000000002E-2</v>
      </c>
      <c r="H40" s="33">
        <v>5.9113530776421647E-2</v>
      </c>
      <c r="I40" s="31">
        <v>3.9684750000000005E-2</v>
      </c>
      <c r="J40" s="32">
        <v>4.4203103780493636E-2</v>
      </c>
      <c r="K40" s="34">
        <v>9.7070731326658444E-2</v>
      </c>
      <c r="L40" s="31">
        <v>9.7070731326658333E-2</v>
      </c>
    </row>
    <row r="41" spans="1:12">
      <c r="A41" s="29" t="s">
        <v>72</v>
      </c>
      <c r="B41" s="29">
        <v>40</v>
      </c>
      <c r="C41" s="30">
        <v>1.1503560568511637</v>
      </c>
      <c r="D41" s="31">
        <v>9.0805880135561901E-2</v>
      </c>
      <c r="E41" s="31">
        <v>0.85018145475128581</v>
      </c>
      <c r="F41" s="31">
        <v>0.35513321135865794</v>
      </c>
      <c r="G41" s="32">
        <v>5.0671999999999995E-2</v>
      </c>
      <c r="H41" s="33">
        <v>0.16038852383860958</v>
      </c>
      <c r="I41" s="31">
        <v>3.8003999999999996E-2</v>
      </c>
      <c r="J41" s="32">
        <v>0.14981854524871419</v>
      </c>
      <c r="K41" s="34">
        <v>8.2895179267255037E-2</v>
      </c>
      <c r="L41" s="31">
        <v>8.2895179267254981E-2</v>
      </c>
    </row>
    <row r="42" spans="1:12">
      <c r="A42" s="29" t="s">
        <v>73</v>
      </c>
      <c r="B42" s="29">
        <v>20</v>
      </c>
      <c r="C42" s="30">
        <v>0.8809551761105191</v>
      </c>
      <c r="D42" s="31">
        <v>7.8790600854529158E-2</v>
      </c>
      <c r="E42" s="31">
        <v>0.86540598442853023</v>
      </c>
      <c r="F42" s="31">
        <v>0.28411723582549719</v>
      </c>
      <c r="G42" s="32">
        <v>4.7306000000000001E-2</v>
      </c>
      <c r="H42" s="33">
        <v>2.7560457880077771E-2</v>
      </c>
      <c r="I42" s="31">
        <v>3.5479499999999997E-2</v>
      </c>
      <c r="J42" s="32">
        <v>0.13459401557146977</v>
      </c>
      <c r="K42" s="34">
        <v>7.2961185871697157E-2</v>
      </c>
      <c r="L42" s="31">
        <v>7.2961185871697198E-2</v>
      </c>
    </row>
    <row r="43" spans="1:12">
      <c r="A43" s="29" t="s">
        <v>74</v>
      </c>
      <c r="B43" s="29">
        <v>496</v>
      </c>
      <c r="C43" s="30">
        <v>1.1352650325488571</v>
      </c>
      <c r="D43" s="31">
        <v>9.013282045167903E-2</v>
      </c>
      <c r="E43" s="31">
        <v>0.88464406300874721</v>
      </c>
      <c r="F43" s="31">
        <v>0.75679798038806467</v>
      </c>
      <c r="G43" s="32">
        <v>6.0194999999999999E-2</v>
      </c>
      <c r="H43" s="33">
        <v>1.0795122386082115E-2</v>
      </c>
      <c r="I43" s="31">
        <v>4.5146249999999999E-2</v>
      </c>
      <c r="J43" s="32">
        <v>0.11535593699125279</v>
      </c>
      <c r="K43" s="34">
        <v>8.4943352465202585E-2</v>
      </c>
      <c r="L43" s="31">
        <v>8.4943352465202571E-2</v>
      </c>
    </row>
    <row r="44" spans="1:12">
      <c r="A44" s="29" t="s">
        <v>75</v>
      </c>
      <c r="B44" s="29">
        <v>228</v>
      </c>
      <c r="C44" s="30">
        <v>0.9828330980612211</v>
      </c>
      <c r="D44" s="31">
        <v>8.3334356173530466E-2</v>
      </c>
      <c r="E44" s="31">
        <v>0.87307973621673463</v>
      </c>
      <c r="F44" s="31">
        <v>0.76644924406460357</v>
      </c>
      <c r="G44" s="32">
        <v>6.0194999999999999E-2</v>
      </c>
      <c r="H44" s="33">
        <v>2.9938702770438724E-2</v>
      </c>
      <c r="I44" s="31">
        <v>4.5146249999999999E-2</v>
      </c>
      <c r="J44" s="32">
        <v>0.12692026378326537</v>
      </c>
      <c r="K44" s="34">
        <v>7.8487511664602633E-2</v>
      </c>
      <c r="L44" s="31">
        <v>7.848751166460266E-2</v>
      </c>
    </row>
    <row r="45" spans="1:12">
      <c r="A45" s="29" t="s">
        <v>76</v>
      </c>
      <c r="B45" s="29">
        <v>32</v>
      </c>
      <c r="C45" s="30">
        <v>0.78090558886125716</v>
      </c>
      <c r="D45" s="31">
        <v>7.4328389263212072E-2</v>
      </c>
      <c r="E45" s="31">
        <v>0.803996597945147</v>
      </c>
      <c r="F45" s="31">
        <v>0.47237751135732181</v>
      </c>
      <c r="G45" s="32">
        <v>5.2913000000000002E-2</v>
      </c>
      <c r="H45" s="33">
        <v>0.15540367121320292</v>
      </c>
      <c r="I45" s="31">
        <v>3.9684750000000005E-2</v>
      </c>
      <c r="J45" s="32">
        <v>0.196003402054853</v>
      </c>
      <c r="K45" s="34">
        <v>6.7538118108061429E-2</v>
      </c>
      <c r="L45" s="31">
        <v>6.7538118108061429E-2</v>
      </c>
    </row>
    <row r="46" spans="1:12">
      <c r="A46" s="29" t="s">
        <v>77</v>
      </c>
      <c r="B46" s="29">
        <v>112</v>
      </c>
      <c r="C46" s="30">
        <v>1.2511238546074688</v>
      </c>
      <c r="D46" s="31">
        <v>9.5300123915493112E-2</v>
      </c>
      <c r="E46" s="31">
        <v>0.89283140312053133</v>
      </c>
      <c r="F46" s="31">
        <v>0.72713880161746813</v>
      </c>
      <c r="G46" s="32">
        <v>6.0194999999999999E-2</v>
      </c>
      <c r="H46" s="33">
        <v>4.8160938724098754E-2</v>
      </c>
      <c r="I46" s="31">
        <v>4.5146249999999999E-2</v>
      </c>
      <c r="J46" s="32">
        <v>0.10716859687946867</v>
      </c>
      <c r="K46" s="34">
        <v>8.9925203619899932E-2</v>
      </c>
      <c r="L46" s="31">
        <v>8.9925203619899863E-2</v>
      </c>
    </row>
    <row r="47" spans="1:12">
      <c r="A47" s="29" t="s">
        <v>78</v>
      </c>
      <c r="B47" s="29">
        <v>8</v>
      </c>
      <c r="C47" s="30">
        <v>0.86597801848158107</v>
      </c>
      <c r="D47" s="31">
        <v>7.8122619624278522E-2</v>
      </c>
      <c r="E47" s="31">
        <v>0.94514104725576553</v>
      </c>
      <c r="F47" s="31">
        <v>0.7018361349746528</v>
      </c>
      <c r="G47" s="32">
        <v>6.0194999999999999E-2</v>
      </c>
      <c r="H47" s="33">
        <v>0</v>
      </c>
      <c r="I47" s="31">
        <v>4.5146249999999999E-2</v>
      </c>
      <c r="J47" s="32">
        <v>5.4858952744234468E-2</v>
      </c>
      <c r="K47" s="34">
        <v>7.6313570521383822E-2</v>
      </c>
      <c r="L47" s="31">
        <v>7.6313570521383767E-2</v>
      </c>
    </row>
    <row r="48" spans="1:12">
      <c r="A48" s="29" t="s">
        <v>79</v>
      </c>
      <c r="B48" s="29">
        <v>114</v>
      </c>
      <c r="C48" s="30">
        <v>0.97147713079879416</v>
      </c>
      <c r="D48" s="31">
        <v>8.2827880033626219E-2</v>
      </c>
      <c r="E48" s="31">
        <v>0.90080541162666683</v>
      </c>
      <c r="F48" s="31">
        <v>0.51838785247489882</v>
      </c>
      <c r="G48" s="32">
        <v>5.2913000000000002E-2</v>
      </c>
      <c r="H48" s="33">
        <v>8.036356729856782E-2</v>
      </c>
      <c r="I48" s="31">
        <v>3.9684750000000005E-2</v>
      </c>
      <c r="J48" s="32">
        <v>9.919458837333317E-2</v>
      </c>
      <c r="K48" s="34">
        <v>7.8548315008803479E-2</v>
      </c>
      <c r="L48" s="31">
        <v>7.8548315008803549E-2</v>
      </c>
    </row>
    <row r="49" spans="1:12">
      <c r="A49" s="29" t="s">
        <v>80</v>
      </c>
      <c r="B49" s="29">
        <v>48</v>
      </c>
      <c r="C49" s="30">
        <v>1.2099722611351151</v>
      </c>
      <c r="D49" s="31">
        <v>9.3464762846626137E-2</v>
      </c>
      <c r="E49" s="31">
        <v>0.87710469220614817</v>
      </c>
      <c r="F49" s="31">
        <v>0.45923646317133821</v>
      </c>
      <c r="G49" s="32">
        <v>5.2913000000000002E-2</v>
      </c>
      <c r="H49" s="33">
        <v>0.1363531807406391</v>
      </c>
      <c r="I49" s="31">
        <v>3.9684750000000005E-2</v>
      </c>
      <c r="J49" s="32">
        <v>0.12289530779385183</v>
      </c>
      <c r="K49" s="34">
        <v>8.6855451614682708E-2</v>
      </c>
      <c r="L49" s="31">
        <v>8.6855451614682666E-2</v>
      </c>
    </row>
    <row r="50" spans="1:12">
      <c r="A50" s="29" t="s">
        <v>81</v>
      </c>
      <c r="B50" s="29">
        <v>92</v>
      </c>
      <c r="C50" s="30">
        <v>0.82516963726524373</v>
      </c>
      <c r="D50" s="31">
        <v>7.6302565822029877E-2</v>
      </c>
      <c r="E50" s="31">
        <v>0.86270959003227576</v>
      </c>
      <c r="F50" s="31">
        <v>0.48706590208810535</v>
      </c>
      <c r="G50" s="32">
        <v>5.2913000000000002E-2</v>
      </c>
      <c r="H50" s="33">
        <v>3.3043556811928033E-2</v>
      </c>
      <c r="I50" s="31">
        <v>3.9684750000000005E-2</v>
      </c>
      <c r="J50" s="32">
        <v>0.13729040996772424</v>
      </c>
      <c r="K50" s="34">
        <v>7.1275290875700767E-2</v>
      </c>
      <c r="L50" s="31">
        <v>7.1275290875700836E-2</v>
      </c>
    </row>
    <row r="51" spans="1:12">
      <c r="A51" s="29" t="s">
        <v>82</v>
      </c>
      <c r="B51" s="29">
        <v>53</v>
      </c>
      <c r="C51" s="30">
        <v>0.94548129823775851</v>
      </c>
      <c r="D51" s="31">
        <v>8.166846590140403E-2</v>
      </c>
      <c r="E51" s="31">
        <v>0.82340128768470366</v>
      </c>
      <c r="F51" s="31">
        <v>0.54912717099735286</v>
      </c>
      <c r="G51" s="32">
        <v>5.2913000000000002E-2</v>
      </c>
      <c r="H51" s="33">
        <v>4.2678317016084981E-2</v>
      </c>
      <c r="I51" s="31">
        <v>3.9684750000000005E-2</v>
      </c>
      <c r="J51" s="32">
        <v>0.17659871231529634</v>
      </c>
      <c r="K51" s="34">
        <v>7.4254195735004858E-2</v>
      </c>
      <c r="L51" s="31">
        <v>7.4254195735004913E-2</v>
      </c>
    </row>
    <row r="52" spans="1:12">
      <c r="A52" s="29" t="s">
        <v>83</v>
      </c>
      <c r="B52" s="29">
        <v>35</v>
      </c>
      <c r="C52" s="30">
        <v>1.1291737409456368</v>
      </c>
      <c r="D52" s="31">
        <v>8.9861148846175409E-2</v>
      </c>
      <c r="E52" s="31">
        <v>0.65855113028384804</v>
      </c>
      <c r="F52" s="31">
        <v>0.50793815806648301</v>
      </c>
      <c r="G52" s="32">
        <v>5.2913000000000002E-2</v>
      </c>
      <c r="H52" s="33">
        <v>6.2943992578771757E-2</v>
      </c>
      <c r="I52" s="31">
        <v>3.9684750000000005E-2</v>
      </c>
      <c r="J52" s="32">
        <v>0.34144886971615196</v>
      </c>
      <c r="K52" s="34">
        <v>7.2728474173721983E-2</v>
      </c>
      <c r="L52" s="31">
        <v>7.2728474173721969E-2</v>
      </c>
    </row>
    <row r="53" spans="1:12">
      <c r="A53" s="29" t="s">
        <v>84</v>
      </c>
      <c r="B53" s="29">
        <v>176</v>
      </c>
      <c r="C53" s="30">
        <v>0.96971324274449078</v>
      </c>
      <c r="D53" s="31">
        <v>8.2749210626404293E-2</v>
      </c>
      <c r="E53" s="31">
        <v>0.2687233190210403</v>
      </c>
      <c r="F53" s="31">
        <v>0.42469192147740364</v>
      </c>
      <c r="G53" s="32">
        <v>5.0671999999999995E-2</v>
      </c>
      <c r="H53" s="33">
        <v>0.12056567700542625</v>
      </c>
      <c r="I53" s="31">
        <v>3.8003999999999996E-2</v>
      </c>
      <c r="J53" s="32">
        <v>0.7312766809789597</v>
      </c>
      <c r="K53" s="34">
        <v>5.002808150982288E-2</v>
      </c>
      <c r="L53" s="31">
        <v>5.0028081509822853E-2</v>
      </c>
    </row>
    <row r="54" spans="1:12">
      <c r="A54" s="29" t="s">
        <v>85</v>
      </c>
      <c r="B54" s="29">
        <v>78</v>
      </c>
      <c r="C54" s="30">
        <v>0.60745303780035831</v>
      </c>
      <c r="D54" s="31">
        <v>6.6592405485895984E-2</v>
      </c>
      <c r="E54" s="31">
        <v>0.69573029958954236</v>
      </c>
      <c r="F54" s="31">
        <v>0.4346763943257051</v>
      </c>
      <c r="G54" s="32">
        <v>5.0671999999999995E-2</v>
      </c>
      <c r="H54" s="33">
        <v>0.10372593278493082</v>
      </c>
      <c r="I54" s="31">
        <v>3.8003999999999996E-2</v>
      </c>
      <c r="J54" s="32">
        <v>0.30426970041045764</v>
      </c>
      <c r="K54" s="34">
        <v>5.7893819913489727E-2</v>
      </c>
      <c r="L54" s="31">
        <v>5.7893819913489741E-2</v>
      </c>
    </row>
    <row r="55" spans="1:12">
      <c r="A55" s="29" t="s">
        <v>86</v>
      </c>
      <c r="B55" s="29">
        <v>13</v>
      </c>
      <c r="C55" s="30">
        <v>0.86664163865866495</v>
      </c>
      <c r="D55" s="31">
        <v>7.8152217084176467E-2</v>
      </c>
      <c r="E55" s="31">
        <v>0.68041767533092656</v>
      </c>
      <c r="F55" s="31">
        <v>0.33978224154359921</v>
      </c>
      <c r="G55" s="32">
        <v>5.0671999999999995E-2</v>
      </c>
      <c r="H55" s="33">
        <v>9.1528406680066177E-2</v>
      </c>
      <c r="I55" s="31">
        <v>3.8003999999999996E-2</v>
      </c>
      <c r="J55" s="32">
        <v>0.31958232466907344</v>
      </c>
      <c r="K55" s="34">
        <v>6.5321556537096731E-2</v>
      </c>
      <c r="L55" s="31">
        <v>6.5321556537096814E-2</v>
      </c>
    </row>
    <row r="56" spans="1:12">
      <c r="A56" s="29" t="s">
        <v>87</v>
      </c>
      <c r="B56" s="29">
        <v>27</v>
      </c>
      <c r="C56" s="30">
        <v>0.82315847400170816</v>
      </c>
      <c r="D56" s="31">
        <v>7.6212867940476187E-2</v>
      </c>
      <c r="E56" s="31">
        <v>0.70257590887206756</v>
      </c>
      <c r="F56" s="31">
        <v>0.51509862739811807</v>
      </c>
      <c r="G56" s="32">
        <v>5.2913000000000002E-2</v>
      </c>
      <c r="H56" s="33">
        <v>0.11382525542555506</v>
      </c>
      <c r="I56" s="31">
        <v>3.9684750000000005E-2</v>
      </c>
      <c r="J56" s="32">
        <v>0.29742409112793244</v>
      </c>
      <c r="K56" s="34">
        <v>6.5348525661416135E-2</v>
      </c>
      <c r="L56" s="31">
        <v>6.5348525661416135E-2</v>
      </c>
    </row>
    <row r="57" spans="1:12">
      <c r="A57" s="29" t="s">
        <v>88</v>
      </c>
      <c r="B57" s="29">
        <v>15</v>
      </c>
      <c r="C57" s="30">
        <v>0.8563295187054536</v>
      </c>
      <c r="D57" s="31">
        <v>7.7692296534263239E-2</v>
      </c>
      <c r="E57" s="31">
        <v>0.46924210179760639</v>
      </c>
      <c r="F57" s="31">
        <v>0.6514340075377375</v>
      </c>
      <c r="G57" s="32">
        <v>6.0194999999999999E-2</v>
      </c>
      <c r="H57" s="33">
        <v>0</v>
      </c>
      <c r="I57" s="31">
        <v>4.5146249999999999E-2</v>
      </c>
      <c r="J57" s="32">
        <v>0.53075789820239361</v>
      </c>
      <c r="K57" s="34">
        <v>6.0418225280940388E-2</v>
      </c>
      <c r="L57" s="31">
        <v>6.041822528094043E-2</v>
      </c>
    </row>
    <row r="58" spans="1:12">
      <c r="A58" s="29" t="s">
        <v>89</v>
      </c>
      <c r="B58" s="29">
        <v>204</v>
      </c>
      <c r="C58" s="30">
        <v>0.9085611350704943</v>
      </c>
      <c r="D58" s="31">
        <v>8.0021826624144046E-2</v>
      </c>
      <c r="E58" s="31">
        <v>0.88664148204560789</v>
      </c>
      <c r="F58" s="31">
        <v>0.61790589954129371</v>
      </c>
      <c r="G58" s="32">
        <v>5.2913000000000002E-2</v>
      </c>
      <c r="H58" s="33">
        <v>4.8453372827770576E-2</v>
      </c>
      <c r="I58" s="31">
        <v>3.9684750000000005E-2</v>
      </c>
      <c r="J58" s="32">
        <v>0.11335851795439211</v>
      </c>
      <c r="K58" s="34">
        <v>7.5449275399418328E-2</v>
      </c>
      <c r="L58" s="31">
        <v>7.5449275399418259E-2</v>
      </c>
    </row>
    <row r="59" spans="1:12">
      <c r="A59" s="29" t="s">
        <v>90</v>
      </c>
      <c r="B59" s="29">
        <v>104</v>
      </c>
      <c r="C59" s="30">
        <v>0.87195388733993329</v>
      </c>
      <c r="D59" s="31">
        <v>7.8389143375361028E-2</v>
      </c>
      <c r="E59" s="31">
        <v>0.73841435881638406</v>
      </c>
      <c r="F59" s="31">
        <v>0.47240032307194035</v>
      </c>
      <c r="G59" s="32">
        <v>5.2913000000000002E-2</v>
      </c>
      <c r="H59" s="33">
        <v>9.7996461685067357E-2</v>
      </c>
      <c r="I59" s="31">
        <v>3.9684750000000005E-2</v>
      </c>
      <c r="J59" s="32">
        <v>0.26158564118361594</v>
      </c>
      <c r="K59" s="34">
        <v>6.8264629817644321E-2</v>
      </c>
      <c r="L59" s="31">
        <v>6.8264629817644362E-2</v>
      </c>
    </row>
    <row r="60" spans="1:12">
      <c r="A60" s="29" t="s">
        <v>91</v>
      </c>
      <c r="B60" s="29">
        <v>115</v>
      </c>
      <c r="C60" s="30">
        <v>1.1083338991481437</v>
      </c>
      <c r="D60" s="31">
        <v>8.8931691902007212E-2</v>
      </c>
      <c r="E60" s="31">
        <v>0.86399549964940126</v>
      </c>
      <c r="F60" s="31">
        <v>0.63780021224444727</v>
      </c>
      <c r="G60" s="32">
        <v>5.2913000000000002E-2</v>
      </c>
      <c r="H60" s="33">
        <v>6.3818813171101649E-2</v>
      </c>
      <c r="I60" s="31">
        <v>3.9684750000000005E-2</v>
      </c>
      <c r="J60" s="32">
        <v>0.13600450035059874</v>
      </c>
      <c r="K60" s="34">
        <v>8.2233886174829754E-2</v>
      </c>
      <c r="L60" s="31">
        <v>8.223388617482974E-2</v>
      </c>
    </row>
    <row r="61" spans="1:12">
      <c r="A61" s="29" t="s">
        <v>92</v>
      </c>
      <c r="B61" s="29">
        <v>30</v>
      </c>
      <c r="C61" s="30">
        <v>0.91061781327488456</v>
      </c>
      <c r="D61" s="31">
        <v>8.0113554472059853E-2</v>
      </c>
      <c r="E61" s="31">
        <v>0.82410235304763335</v>
      </c>
      <c r="F61" s="31">
        <v>0.32794046675316896</v>
      </c>
      <c r="G61" s="32">
        <v>5.0671999999999995E-2</v>
      </c>
      <c r="H61" s="33">
        <v>0.16989203344780976</v>
      </c>
      <c r="I61" s="31">
        <v>3.8003999999999996E-2</v>
      </c>
      <c r="J61" s="32">
        <v>0.17589764695236665</v>
      </c>
      <c r="K61" s="34">
        <v>7.2706582926212016E-2</v>
      </c>
      <c r="L61" s="31">
        <v>7.2706582926211905E-2</v>
      </c>
    </row>
    <row r="62" spans="1:12">
      <c r="A62" s="29" t="s">
        <v>93</v>
      </c>
      <c r="B62" s="29">
        <v>31</v>
      </c>
      <c r="C62" s="30">
        <v>0.79967833140276245</v>
      </c>
      <c r="D62" s="31">
        <v>7.5165653580563208E-2</v>
      </c>
      <c r="E62" s="31">
        <v>0.62531115482012134</v>
      </c>
      <c r="F62" s="31">
        <v>0.56456947375556776</v>
      </c>
      <c r="G62" s="32">
        <v>5.2913000000000002E-2</v>
      </c>
      <c r="H62" s="33">
        <v>0.11347796258733156</v>
      </c>
      <c r="I62" s="31">
        <v>3.9684750000000005E-2</v>
      </c>
      <c r="J62" s="32">
        <v>0.37468884517987866</v>
      </c>
      <c r="K62" s="34">
        <v>6.187135479202336E-2</v>
      </c>
      <c r="L62" s="31">
        <v>6.1871354792023325E-2</v>
      </c>
    </row>
    <row r="63" spans="1:12">
      <c r="A63" s="29" t="s">
        <v>94</v>
      </c>
      <c r="B63" s="29">
        <v>63</v>
      </c>
      <c r="C63" s="30">
        <v>1.0803675683074194</v>
      </c>
      <c r="D63" s="31">
        <v>8.7684393546510905E-2</v>
      </c>
      <c r="E63" s="31">
        <v>0.71556246801374979</v>
      </c>
      <c r="F63" s="31">
        <v>0.39653351969812761</v>
      </c>
      <c r="G63" s="32">
        <v>5.0671999999999995E-2</v>
      </c>
      <c r="H63" s="33">
        <v>8.308178299623932E-2</v>
      </c>
      <c r="I63" s="31">
        <v>3.8003999999999996E-2</v>
      </c>
      <c r="J63" s="32">
        <v>0.28443753198625021</v>
      </c>
      <c r="K63" s="34">
        <v>7.3553425018035717E-2</v>
      </c>
      <c r="L63" s="31">
        <v>7.3553425018035634E-2</v>
      </c>
    </row>
    <row r="64" spans="1:12">
      <c r="A64" s="29" t="s">
        <v>95</v>
      </c>
      <c r="B64" s="29">
        <v>110</v>
      </c>
      <c r="C64" s="30">
        <v>0.81551582513241538</v>
      </c>
      <c r="D64" s="31">
        <v>7.5872005800905723E-2</v>
      </c>
      <c r="E64" s="31">
        <v>0.84639870791279104</v>
      </c>
      <c r="F64" s="31">
        <v>0.55463786398065251</v>
      </c>
      <c r="G64" s="32">
        <v>5.2913000000000002E-2</v>
      </c>
      <c r="H64" s="33">
        <v>6.5004366081606119E-2</v>
      </c>
      <c r="I64" s="31">
        <v>3.9684750000000005E-2</v>
      </c>
      <c r="J64" s="32">
        <v>0.15360129208720896</v>
      </c>
      <c r="K64" s="34">
        <v>7.0313596552796245E-2</v>
      </c>
      <c r="L64" s="31">
        <v>7.0313596552796342E-2</v>
      </c>
    </row>
    <row r="65" spans="1:12">
      <c r="A65" s="29" t="s">
        <v>96</v>
      </c>
      <c r="B65" s="29">
        <v>15</v>
      </c>
      <c r="C65" s="30">
        <v>0.92056732348508041</v>
      </c>
      <c r="D65" s="31">
        <v>8.0557302627434588E-2</v>
      </c>
      <c r="E65" s="31">
        <v>0.75092072801834941</v>
      </c>
      <c r="F65" s="31">
        <v>0.32375244548022786</v>
      </c>
      <c r="G65" s="32">
        <v>5.0671999999999995E-2</v>
      </c>
      <c r="H65" s="33">
        <v>0.18162842926123732</v>
      </c>
      <c r="I65" s="31">
        <v>3.8003999999999996E-2</v>
      </c>
      <c r="J65" s="32">
        <v>0.24907927198165059</v>
      </c>
      <c r="K65" s="34">
        <v>6.9958156988578324E-2</v>
      </c>
      <c r="L65" s="31">
        <v>6.9958156988578324E-2</v>
      </c>
    </row>
    <row r="66" spans="1:12">
      <c r="A66" s="29" t="s">
        <v>97</v>
      </c>
      <c r="B66" s="29">
        <v>21</v>
      </c>
      <c r="C66" s="30">
        <v>0.67197504224081062</v>
      </c>
      <c r="D66" s="31">
        <v>6.9470086883940158E-2</v>
      </c>
      <c r="E66" s="31">
        <v>0.79600333990423344</v>
      </c>
      <c r="F66" s="31">
        <v>0.46070163153831001</v>
      </c>
      <c r="G66" s="32">
        <v>5.2913000000000002E-2</v>
      </c>
      <c r="H66" s="33">
        <v>0.12768801589234566</v>
      </c>
      <c r="I66" s="31">
        <v>3.9684750000000005E-2</v>
      </c>
      <c r="J66" s="32">
        <v>0.20399666009576656</v>
      </c>
      <c r="K66" s="34">
        <v>6.3393977639789129E-2</v>
      </c>
      <c r="L66" s="31">
        <v>6.3393977639789156E-2</v>
      </c>
    </row>
    <row r="67" spans="1:12">
      <c r="A67" s="29" t="s">
        <v>98</v>
      </c>
      <c r="B67" s="29">
        <v>20</v>
      </c>
      <c r="C67" s="30">
        <v>0.64449309251802667</v>
      </c>
      <c r="D67" s="31">
        <v>6.8244391926303993E-2</v>
      </c>
      <c r="E67" s="31">
        <v>0.59580596298176169</v>
      </c>
      <c r="F67" s="31">
        <v>0.35151934226314591</v>
      </c>
      <c r="G67" s="32">
        <v>5.0671999999999995E-2</v>
      </c>
      <c r="H67" s="33">
        <v>0.15186017647763664</v>
      </c>
      <c r="I67" s="31">
        <v>3.8003999999999996E-2</v>
      </c>
      <c r="J67" s="32">
        <v>0.40419403701823831</v>
      </c>
      <c r="K67" s="34">
        <v>5.6021405832597446E-2</v>
      </c>
      <c r="L67" s="31">
        <v>5.6021405832597404E-2</v>
      </c>
    </row>
    <row r="68" spans="1:12">
      <c r="A68" s="29" t="s">
        <v>99</v>
      </c>
      <c r="B68" s="29">
        <v>57</v>
      </c>
      <c r="C68" s="30">
        <v>0.48411001512890489</v>
      </c>
      <c r="D68" s="31">
        <v>6.1091306674749157E-2</v>
      </c>
      <c r="E68" s="31">
        <v>0.87085797110051288</v>
      </c>
      <c r="F68" s="31">
        <v>0.28696879528535113</v>
      </c>
      <c r="G68" s="32">
        <v>4.7306000000000001E-2</v>
      </c>
      <c r="H68" s="33">
        <v>0.1836669176395358</v>
      </c>
      <c r="I68" s="31">
        <v>3.5479499999999997E-2</v>
      </c>
      <c r="J68" s="32">
        <v>0.12914202889948712</v>
      </c>
      <c r="K68" s="34">
        <v>5.7783745996990626E-2</v>
      </c>
      <c r="L68" s="31">
        <v>5.7783745996990543E-2</v>
      </c>
    </row>
    <row r="69" spans="1:12">
      <c r="A69" s="29" t="s">
        <v>100</v>
      </c>
      <c r="B69" s="29">
        <v>283</v>
      </c>
      <c r="C69" s="30">
        <v>0.65958175126639418</v>
      </c>
      <c r="D69" s="31">
        <v>6.8917346106481175E-2</v>
      </c>
      <c r="E69" s="31">
        <v>0.75364660406139838</v>
      </c>
      <c r="F69" s="31">
        <v>0.30042257283097029</v>
      </c>
      <c r="G69" s="32">
        <v>5.0671999999999995E-2</v>
      </c>
      <c r="H69" s="33">
        <v>3.5349236198337609E-2</v>
      </c>
      <c r="I69" s="31">
        <v>3.8003999999999996E-2</v>
      </c>
      <c r="J69" s="32">
        <v>0.24635339593860162</v>
      </c>
      <c r="K69" s="34">
        <v>6.1301738313324187E-2</v>
      </c>
      <c r="L69" s="31">
        <v>6.1301738313324083E-2</v>
      </c>
    </row>
    <row r="70" spans="1:12">
      <c r="A70" s="29" t="s">
        <v>101</v>
      </c>
      <c r="B70" s="29">
        <v>105</v>
      </c>
      <c r="C70" s="30">
        <v>0.96362079034943848</v>
      </c>
      <c r="D70" s="31">
        <v>8.2477487249584952E-2</v>
      </c>
      <c r="E70" s="31">
        <v>0.87189810166984505</v>
      </c>
      <c r="F70" s="31">
        <v>0.45034116660736356</v>
      </c>
      <c r="G70" s="32">
        <v>5.2913000000000002E-2</v>
      </c>
      <c r="H70" s="33">
        <v>0.13373442732400442</v>
      </c>
      <c r="I70" s="31">
        <v>3.9684750000000005E-2</v>
      </c>
      <c r="J70" s="32">
        <v>0.12810189833015495</v>
      </c>
      <c r="K70" s="34">
        <v>7.6995656373169588E-2</v>
      </c>
      <c r="L70" s="31">
        <v>7.6995656373169519E-2</v>
      </c>
    </row>
    <row r="71" spans="1:12">
      <c r="A71" s="29" t="s">
        <v>102</v>
      </c>
      <c r="B71" s="29">
        <v>73</v>
      </c>
      <c r="C71" s="30">
        <v>1.0430314762308461</v>
      </c>
      <c r="D71" s="31">
        <v>8.6019203839895739E-2</v>
      </c>
      <c r="E71" s="31">
        <v>0.90102654716927866</v>
      </c>
      <c r="F71" s="31">
        <v>0.77560259574683255</v>
      </c>
      <c r="G71" s="32">
        <v>6.0194999999999999E-2</v>
      </c>
      <c r="H71" s="33">
        <v>2.5164142951938681E-2</v>
      </c>
      <c r="I71" s="31">
        <v>4.5146249999999999E-2</v>
      </c>
      <c r="J71" s="32">
        <v>9.8973452830721342E-2</v>
      </c>
      <c r="K71" s="34">
        <v>8.1973866470970574E-2</v>
      </c>
      <c r="L71" s="31">
        <v>8.1973866470970602E-2</v>
      </c>
    </row>
    <row r="72" spans="1:12">
      <c r="A72" s="29" t="s">
        <v>103</v>
      </c>
      <c r="B72" s="29">
        <v>14</v>
      </c>
      <c r="C72" s="30">
        <v>1.3343750386217481</v>
      </c>
      <c r="D72" s="31">
        <v>9.9013126722529959E-2</v>
      </c>
      <c r="E72" s="31">
        <v>0.67520815630511344</v>
      </c>
      <c r="F72" s="31">
        <v>0.39607566964650021</v>
      </c>
      <c r="G72" s="32">
        <v>5.0671999999999995E-2</v>
      </c>
      <c r="H72" s="33">
        <v>0.12297383351664745</v>
      </c>
      <c r="I72" s="31">
        <v>3.8003999999999996E-2</v>
      </c>
      <c r="J72" s="32">
        <v>0.32479184369488656</v>
      </c>
      <c r="K72" s="34">
        <v>7.919785997210449E-2</v>
      </c>
      <c r="L72" s="31">
        <v>7.9197859972104379E-2</v>
      </c>
    </row>
    <row r="73" spans="1:12">
      <c r="A73" s="29" t="s">
        <v>104</v>
      </c>
      <c r="B73" s="29">
        <v>4</v>
      </c>
      <c r="C73" s="30">
        <v>0.29938197964399788</v>
      </c>
      <c r="D73" s="31">
        <v>5.2852436292122308E-2</v>
      </c>
      <c r="E73" s="31">
        <v>0.87838725930586903</v>
      </c>
      <c r="F73" s="31">
        <v>0.20268279045885779</v>
      </c>
      <c r="G73" s="32">
        <v>4.7306000000000001E-2</v>
      </c>
      <c r="H73" s="33">
        <v>0.28240955297053821</v>
      </c>
      <c r="I73" s="31">
        <v>3.5479499999999997E-2</v>
      </c>
      <c r="J73" s="32">
        <v>0.12161274069413097</v>
      </c>
      <c r="K73" s="34">
        <v>5.0739665895732783E-2</v>
      </c>
      <c r="L73" s="31">
        <v>5.0739665895732866E-2</v>
      </c>
    </row>
    <row r="74" spans="1:12">
      <c r="A74" s="29" t="s">
        <v>105</v>
      </c>
      <c r="B74" s="29">
        <v>142</v>
      </c>
      <c r="C74" s="30">
        <v>0.72140595546977004</v>
      </c>
      <c r="D74" s="31">
        <v>7.1674705613951742E-2</v>
      </c>
      <c r="E74" s="31">
        <v>0.72680954826276589</v>
      </c>
      <c r="F74" s="31">
        <v>0.42219200974609405</v>
      </c>
      <c r="G74" s="32">
        <v>5.0671999999999995E-2</v>
      </c>
      <c r="H74" s="33">
        <v>6.6644789961707876E-2</v>
      </c>
      <c r="I74" s="31">
        <v>3.8003999999999996E-2</v>
      </c>
      <c r="J74" s="32">
        <v>0.27319045173723411</v>
      </c>
      <c r="K74" s="34">
        <v>6.2476190336964839E-2</v>
      </c>
      <c r="L74" s="31">
        <v>6.2476190336964832E-2</v>
      </c>
    </row>
    <row r="75" spans="1:12">
      <c r="A75" s="29" t="s">
        <v>106</v>
      </c>
      <c r="B75" s="29">
        <v>23</v>
      </c>
      <c r="C75" s="30">
        <v>0.66922245171448991</v>
      </c>
      <c r="D75" s="31">
        <v>6.9347321346466248E-2</v>
      </c>
      <c r="E75" s="31">
        <v>0.63080682460107163</v>
      </c>
      <c r="F75" s="31">
        <v>0.42240372453265573</v>
      </c>
      <c r="G75" s="32">
        <v>5.0671999999999995E-2</v>
      </c>
      <c r="H75" s="33">
        <v>9.1661858808321117E-2</v>
      </c>
      <c r="I75" s="31">
        <v>3.8003999999999996E-2</v>
      </c>
      <c r="J75" s="32">
        <v>0.36919317539892837</v>
      </c>
      <c r="K75" s="34">
        <v>5.7775581011015355E-2</v>
      </c>
      <c r="L75" s="31">
        <v>5.7775581011015431E-2</v>
      </c>
    </row>
    <row r="76" spans="1:12">
      <c r="A76" s="29" t="s">
        <v>107</v>
      </c>
      <c r="B76" s="29">
        <v>97</v>
      </c>
      <c r="C76" s="30">
        <v>0.9512418716285248</v>
      </c>
      <c r="D76" s="31">
        <v>8.1925387474632211E-2</v>
      </c>
      <c r="E76" s="31">
        <v>0.72801067139535347</v>
      </c>
      <c r="F76" s="31">
        <v>0.4831643535406242</v>
      </c>
      <c r="G76" s="32">
        <v>5.2913000000000002E-2</v>
      </c>
      <c r="H76" s="33">
        <v>8.7463671860479361E-2</v>
      </c>
      <c r="I76" s="31">
        <v>3.9684750000000005E-2</v>
      </c>
      <c r="J76" s="32">
        <v>0.27198932860464653</v>
      </c>
      <c r="K76" s="34">
        <v>7.0436384848074726E-2</v>
      </c>
      <c r="L76" s="31">
        <v>7.0436384848074685E-2</v>
      </c>
    </row>
    <row r="77" spans="1:12">
      <c r="A77" s="29" t="s">
        <v>108</v>
      </c>
      <c r="B77" s="29">
        <v>19</v>
      </c>
      <c r="C77" s="30">
        <v>1.0219297750432532</v>
      </c>
      <c r="D77" s="31">
        <v>8.50780679669291E-2</v>
      </c>
      <c r="E77" s="31">
        <v>0.64470545590217365</v>
      </c>
      <c r="F77" s="31">
        <v>0.25447909143998576</v>
      </c>
      <c r="G77" s="32">
        <v>4.7306000000000001E-2</v>
      </c>
      <c r="H77" s="33">
        <v>0.15570258713374871</v>
      </c>
      <c r="I77" s="31">
        <v>3.5479499999999997E-2</v>
      </c>
      <c r="J77" s="32">
        <v>0.35529454409782635</v>
      </c>
      <c r="K77" s="34">
        <v>6.7455967373213965E-2</v>
      </c>
      <c r="L77" s="31">
        <v>6.7455967373214021E-2</v>
      </c>
    </row>
    <row r="78" spans="1:12">
      <c r="A78" s="29" t="s">
        <v>109</v>
      </c>
      <c r="B78" s="29">
        <v>6</v>
      </c>
      <c r="C78" s="30">
        <v>0.95797843096936519</v>
      </c>
      <c r="D78" s="31">
        <v>8.2225838021233691E-2</v>
      </c>
      <c r="E78" s="31">
        <v>0.6959514879510198</v>
      </c>
      <c r="F78" s="31">
        <v>0.56944502382492834</v>
      </c>
      <c r="G78" s="32">
        <v>5.2913000000000002E-2</v>
      </c>
      <c r="H78" s="33">
        <v>8.5985111334551237E-2</v>
      </c>
      <c r="I78" s="31">
        <v>3.9684750000000005E-2</v>
      </c>
      <c r="J78" s="32">
        <v>0.3040485120489802</v>
      </c>
      <c r="K78" s="34">
        <v>6.9291283507432896E-2</v>
      </c>
      <c r="L78" s="31">
        <v>6.9291283507432855E-2</v>
      </c>
    </row>
    <row r="79" spans="1:12">
      <c r="A79" s="29" t="s">
        <v>110</v>
      </c>
      <c r="B79" s="29">
        <v>46</v>
      </c>
      <c r="C79" s="30">
        <v>0.48243267131702228</v>
      </c>
      <c r="D79" s="31">
        <v>6.1016497140739194E-2</v>
      </c>
      <c r="E79" s="31">
        <v>0.57422207892503341</v>
      </c>
      <c r="F79" s="31">
        <v>0.25379988697855693</v>
      </c>
      <c r="G79" s="32">
        <v>4.7306000000000001E-2</v>
      </c>
      <c r="H79" s="33">
        <v>0.12748334654668436</v>
      </c>
      <c r="I79" s="31">
        <v>3.5479499999999997E-2</v>
      </c>
      <c r="J79" s="32">
        <v>0.42577792107496659</v>
      </c>
      <c r="K79" s="34">
        <v>5.0143407587657896E-2</v>
      </c>
      <c r="L79" s="31">
        <v>5.0143407587657896E-2</v>
      </c>
    </row>
    <row r="80" spans="1:12">
      <c r="A80" s="29" t="s">
        <v>111</v>
      </c>
      <c r="B80" s="29">
        <v>56</v>
      </c>
      <c r="C80" s="30">
        <v>0.83656065122919421</v>
      </c>
      <c r="D80" s="31">
        <v>7.6810605044822067E-2</v>
      </c>
      <c r="E80" s="31">
        <v>0.93213059887545091</v>
      </c>
      <c r="F80" s="31">
        <v>0.69947203546018366</v>
      </c>
      <c r="G80" s="32">
        <v>6.0194999999999999E-2</v>
      </c>
      <c r="H80" s="33">
        <v>5.9748129575308742E-2</v>
      </c>
      <c r="I80" s="31">
        <v>4.5146249999999999E-2</v>
      </c>
      <c r="J80" s="32">
        <v>6.7869401124549089E-2</v>
      </c>
      <c r="K80" s="34">
        <v>7.4661564230934896E-2</v>
      </c>
      <c r="L80" s="31">
        <v>7.4661564230934951E-2</v>
      </c>
    </row>
    <row r="81" spans="1:12">
      <c r="A81" s="29" t="s">
        <v>112</v>
      </c>
      <c r="B81" s="29">
        <v>19</v>
      </c>
      <c r="C81" s="30">
        <v>0.56300717660154098</v>
      </c>
      <c r="D81" s="31">
        <v>6.4610120076428731E-2</v>
      </c>
      <c r="E81" s="31">
        <v>0.80684283536273349</v>
      </c>
      <c r="F81" s="31">
        <v>0.35925309700015134</v>
      </c>
      <c r="G81" s="32">
        <v>5.0671999999999995E-2</v>
      </c>
      <c r="H81" s="33">
        <v>0.10205812286876828</v>
      </c>
      <c r="I81" s="31">
        <v>3.8003999999999996E-2</v>
      </c>
      <c r="J81" s="32">
        <v>0.19315716463726651</v>
      </c>
      <c r="K81" s="34">
        <v>5.9470957360467105E-2</v>
      </c>
      <c r="L81" s="31">
        <v>5.9470957360467036E-2</v>
      </c>
    </row>
    <row r="82" spans="1:12">
      <c r="A82" s="29" t="s">
        <v>113</v>
      </c>
      <c r="B82" s="29">
        <v>190</v>
      </c>
      <c r="C82" s="30">
        <v>0.64179846357629644</v>
      </c>
      <c r="D82" s="31">
        <v>6.8124211475502822E-2</v>
      </c>
      <c r="E82" s="31">
        <v>0.54211415599544854</v>
      </c>
      <c r="F82" s="31">
        <v>0.26369287026892851</v>
      </c>
      <c r="G82" s="32">
        <v>4.7306000000000001E-2</v>
      </c>
      <c r="H82" s="33">
        <v>1.5813825852742349E-2</v>
      </c>
      <c r="I82" s="31">
        <v>3.5479499999999997E-2</v>
      </c>
      <c r="J82" s="32">
        <v>0.45788584400455146</v>
      </c>
      <c r="K82" s="34">
        <v>5.3176660209257147E-2</v>
      </c>
      <c r="L82" s="31">
        <v>5.3176660209257154E-2</v>
      </c>
    </row>
    <row r="83" spans="1:12">
      <c r="A83" s="29" t="s">
        <v>114</v>
      </c>
      <c r="B83" s="29">
        <v>14</v>
      </c>
      <c r="C83" s="30">
        <v>0.84356606159748782</v>
      </c>
      <c r="D83" s="31">
        <v>7.7123046347247953E-2</v>
      </c>
      <c r="E83" s="31">
        <v>0.4954680163706453</v>
      </c>
      <c r="F83" s="31">
        <v>0.52102337389340736</v>
      </c>
      <c r="G83" s="32">
        <v>5.2913000000000002E-2</v>
      </c>
      <c r="H83" s="33">
        <v>4.9070015115785251E-2</v>
      </c>
      <c r="I83" s="31">
        <v>3.9684750000000005E-2</v>
      </c>
      <c r="J83" s="32">
        <v>0.5045319836293547</v>
      </c>
      <c r="K83" s="34">
        <v>5.8234228427467324E-2</v>
      </c>
      <c r="L83" s="31">
        <v>5.8234228427467283E-2</v>
      </c>
    </row>
    <row r="84" spans="1:12">
      <c r="A84" s="29" t="s">
        <v>115</v>
      </c>
      <c r="B84" s="29">
        <v>12</v>
      </c>
      <c r="C84" s="30">
        <v>0.80998647694573955</v>
      </c>
      <c r="D84" s="31">
        <v>7.5625396871779993E-2</v>
      </c>
      <c r="E84" s="31">
        <v>0.65121044647557569</v>
      </c>
      <c r="F84" s="31">
        <v>0.31209535325023385</v>
      </c>
      <c r="G84" s="32">
        <v>5.0671999999999995E-2</v>
      </c>
      <c r="H84" s="33">
        <v>4.6482967477014005E-2</v>
      </c>
      <c r="I84" s="31">
        <v>3.8003999999999996E-2</v>
      </c>
      <c r="J84" s="32">
        <v>0.34878955352442431</v>
      </c>
      <c r="K84" s="34">
        <v>6.2503446653906669E-2</v>
      </c>
      <c r="L84" s="31">
        <v>6.2503446653906725E-2</v>
      </c>
    </row>
    <row r="85" spans="1:12">
      <c r="A85" s="29" t="s">
        <v>116</v>
      </c>
      <c r="B85" s="29">
        <v>54</v>
      </c>
      <c r="C85" s="30">
        <v>0.96549740666104511</v>
      </c>
      <c r="D85" s="31">
        <v>8.2561184337082621E-2</v>
      </c>
      <c r="E85" s="31">
        <v>0.80229597034020494</v>
      </c>
      <c r="F85" s="31">
        <v>0.50559625569073496</v>
      </c>
      <c r="G85" s="32">
        <v>5.2913000000000002E-2</v>
      </c>
      <c r="H85" s="33">
        <v>8.6974402714819363E-2</v>
      </c>
      <c r="I85" s="31">
        <v>3.9684750000000005E-2</v>
      </c>
      <c r="J85" s="32">
        <v>0.19770402965979506</v>
      </c>
      <c r="K85" s="34">
        <v>7.4084340491197775E-2</v>
      </c>
      <c r="L85" s="31">
        <v>7.408434049119772E-2</v>
      </c>
    </row>
    <row r="86" spans="1:12">
      <c r="A86" s="29" t="s">
        <v>117</v>
      </c>
      <c r="B86" s="29">
        <v>49</v>
      </c>
      <c r="C86" s="30">
        <v>1.0234727002249695</v>
      </c>
      <c r="D86" s="31">
        <v>8.5146882430033641E-2</v>
      </c>
      <c r="E86" s="31">
        <v>0.61353257079825152</v>
      </c>
      <c r="F86" s="31">
        <v>0.48308130338584487</v>
      </c>
      <c r="G86" s="32">
        <v>5.2913000000000002E-2</v>
      </c>
      <c r="H86" s="33">
        <v>0.11454512843876968</v>
      </c>
      <c r="I86" s="31">
        <v>3.9684750000000005E-2</v>
      </c>
      <c r="J86" s="32">
        <v>0.38646742920174848</v>
      </c>
      <c r="K86" s="34">
        <v>6.75772489837691E-2</v>
      </c>
      <c r="L86" s="31">
        <v>6.7577248983769156E-2</v>
      </c>
    </row>
    <row r="87" spans="1:12">
      <c r="A87" s="29" t="s">
        <v>118</v>
      </c>
      <c r="B87" s="29">
        <v>1</v>
      </c>
      <c r="C87" s="30">
        <v>0.58133232239552346</v>
      </c>
      <c r="D87" s="31">
        <v>6.542742157884035E-2</v>
      </c>
      <c r="E87" s="31">
        <v>0.69702329435031385</v>
      </c>
      <c r="F87" s="31">
        <v>0.1921142517209114</v>
      </c>
      <c r="G87" s="32">
        <v>4.7306000000000001E-2</v>
      </c>
      <c r="H87" s="33">
        <v>0.3035856573705179</v>
      </c>
      <c r="I87" s="31">
        <v>3.5479499999999997E-2</v>
      </c>
      <c r="J87" s="32">
        <v>0.30297670564968615</v>
      </c>
      <c r="K87" s="34">
        <v>5.635389895782815E-2</v>
      </c>
      <c r="L87" s="31">
        <v>5.6353898957828052E-2</v>
      </c>
    </row>
    <row r="88" spans="1:12">
      <c r="A88" s="29" t="s">
        <v>119</v>
      </c>
      <c r="B88" s="29">
        <v>64</v>
      </c>
      <c r="C88" s="30">
        <v>0.92408731478032569</v>
      </c>
      <c r="D88" s="31">
        <v>8.0714294239202525E-2</v>
      </c>
      <c r="E88" s="31">
        <v>0.78604107236352705</v>
      </c>
      <c r="F88" s="31">
        <v>0.411494619604859</v>
      </c>
      <c r="G88" s="32">
        <v>5.0671999999999995E-2</v>
      </c>
      <c r="H88" s="33">
        <v>9.9160126806228682E-2</v>
      </c>
      <c r="I88" s="31">
        <v>3.8003999999999996E-2</v>
      </c>
      <c r="J88" s="32">
        <v>0.21395892763647295</v>
      </c>
      <c r="K88" s="34">
        <v>7.1576045484744527E-2</v>
      </c>
      <c r="L88" s="31">
        <v>7.1576045484744499E-2</v>
      </c>
    </row>
    <row r="89" spans="1:12">
      <c r="A89" s="29" t="s">
        <v>120</v>
      </c>
      <c r="B89" s="29">
        <v>34</v>
      </c>
      <c r="C89" s="30">
        <v>0.93601519568329949</v>
      </c>
      <c r="D89" s="31">
        <v>8.1246277727475155E-2</v>
      </c>
      <c r="E89" s="31">
        <v>0.68796896276521902</v>
      </c>
      <c r="F89" s="31">
        <v>0.44582095697030294</v>
      </c>
      <c r="G89" s="32">
        <v>5.0671999999999995E-2</v>
      </c>
      <c r="H89" s="33">
        <v>0.10773098945749512</v>
      </c>
      <c r="I89" s="31">
        <v>3.8003999999999996E-2</v>
      </c>
      <c r="J89" s="32">
        <v>0.31203103723478098</v>
      </c>
      <c r="K89" s="34">
        <v>6.7753344955776618E-2</v>
      </c>
      <c r="L89" s="31">
        <v>6.7753344955776562E-2</v>
      </c>
    </row>
    <row r="90" spans="1:12">
      <c r="A90" s="29" t="s">
        <v>121</v>
      </c>
      <c r="B90" s="29">
        <v>14</v>
      </c>
      <c r="C90" s="30">
        <v>1.5353094340291733</v>
      </c>
      <c r="D90" s="31">
        <v>0.10797480075770113</v>
      </c>
      <c r="E90" s="31">
        <v>0.81110093418688756</v>
      </c>
      <c r="F90" s="31">
        <v>0.45883505690255144</v>
      </c>
      <c r="G90" s="32">
        <v>5.2913000000000002E-2</v>
      </c>
      <c r="H90" s="33">
        <v>0.11839851054454309</v>
      </c>
      <c r="I90" s="31">
        <v>3.9684750000000005E-2</v>
      </c>
      <c r="J90" s="32">
        <v>0.18889906581311244</v>
      </c>
      <c r="K90" s="34">
        <v>9.5074873965241363E-2</v>
      </c>
      <c r="L90" s="31">
        <v>9.5074873965241391E-2</v>
      </c>
    </row>
    <row r="91" spans="1:12">
      <c r="A91" s="29" t="s">
        <v>122</v>
      </c>
      <c r="B91" s="29">
        <v>62</v>
      </c>
      <c r="C91" s="30">
        <v>0.94843381457270293</v>
      </c>
      <c r="D91" s="31">
        <v>8.1800148129942546E-2</v>
      </c>
      <c r="E91" s="31">
        <v>0.77980999195158307</v>
      </c>
      <c r="F91" s="31">
        <v>0.39292351639796591</v>
      </c>
      <c r="G91" s="32">
        <v>5.0671999999999995E-2</v>
      </c>
      <c r="H91" s="33">
        <v>0.14586482228388625</v>
      </c>
      <c r="I91" s="31">
        <v>3.8003999999999996E-2</v>
      </c>
      <c r="J91" s="32">
        <v>0.22019000804841693</v>
      </c>
      <c r="K91" s="34">
        <v>7.2156673920720837E-2</v>
      </c>
      <c r="L91" s="31">
        <v>7.2156673920720893E-2</v>
      </c>
    </row>
    <row r="92" spans="1:12">
      <c r="A92" s="29" t="s">
        <v>123</v>
      </c>
      <c r="B92" s="29">
        <v>23</v>
      </c>
      <c r="C92" s="30">
        <v>0.80524053959128561</v>
      </c>
      <c r="D92" s="31">
        <v>7.5413728065771346E-2</v>
      </c>
      <c r="E92" s="31">
        <v>0.92640899521910824</v>
      </c>
      <c r="F92" s="31">
        <v>0.43342745933177196</v>
      </c>
      <c r="G92" s="32">
        <v>5.0671999999999995E-2</v>
      </c>
      <c r="H92" s="33">
        <v>0.19099933477629175</v>
      </c>
      <c r="I92" s="31">
        <v>3.8003999999999996E-2</v>
      </c>
      <c r="J92" s="32">
        <v>7.3591004780891756E-2</v>
      </c>
      <c r="K92" s="34">
        <v>7.2660708588831294E-2</v>
      </c>
      <c r="L92" s="31">
        <v>7.2660708588831335E-2</v>
      </c>
    </row>
    <row r="93" spans="1:12">
      <c r="A93" s="29" t="s">
        <v>124</v>
      </c>
      <c r="B93" s="29">
        <v>15</v>
      </c>
      <c r="C93" s="30">
        <v>1.1183037944931133</v>
      </c>
      <c r="D93" s="31">
        <v>8.937634923439286E-2</v>
      </c>
      <c r="E93" s="31">
        <v>0.658110474673126</v>
      </c>
      <c r="F93" s="31">
        <v>0.49422948358524749</v>
      </c>
      <c r="G93" s="32">
        <v>5.2913000000000002E-2</v>
      </c>
      <c r="H93" s="33">
        <v>0.12221523285745305</v>
      </c>
      <c r="I93" s="31">
        <v>3.9684750000000005E-2</v>
      </c>
      <c r="J93" s="32">
        <v>0.341889525326874</v>
      </c>
      <c r="K93" s="34">
        <v>7.2387311959413031E-2</v>
      </c>
      <c r="L93" s="31">
        <v>7.2387311959412948E-2</v>
      </c>
    </row>
    <row r="94" spans="1:12">
      <c r="A94" s="29" t="s">
        <v>125</v>
      </c>
      <c r="B94" s="29">
        <v>26</v>
      </c>
      <c r="C94" s="30">
        <v>0.62073902174481399</v>
      </c>
      <c r="D94" s="31">
        <v>6.7184960369818705E-2</v>
      </c>
      <c r="E94" s="31">
        <v>0.6393051931486502</v>
      </c>
      <c r="F94" s="31">
        <v>0.18768911101930999</v>
      </c>
      <c r="G94" s="32">
        <v>4.7306000000000001E-2</v>
      </c>
      <c r="H94" s="33">
        <v>1.6032624227080367E-2</v>
      </c>
      <c r="I94" s="31">
        <v>3.5479499999999997E-2</v>
      </c>
      <c r="J94" s="32">
        <v>0.3606948068513498</v>
      </c>
      <c r="K94" s="34">
        <v>5.5748965465593825E-2</v>
      </c>
      <c r="L94" s="31">
        <v>5.5748965465593825E-2</v>
      </c>
    </row>
    <row r="95" spans="1:12">
      <c r="A95" s="29" t="s">
        <v>126</v>
      </c>
      <c r="B95" s="29">
        <v>94</v>
      </c>
      <c r="C95" s="30">
        <v>1.0893996802924664</v>
      </c>
      <c r="D95" s="31">
        <v>8.8087225741043995E-2</v>
      </c>
      <c r="E95" s="31">
        <v>0.83499651515131101</v>
      </c>
      <c r="F95" s="31">
        <v>0.53245167475582067</v>
      </c>
      <c r="G95" s="32">
        <v>5.2913000000000002E-2</v>
      </c>
      <c r="H95" s="33">
        <v>0.10067307943310284</v>
      </c>
      <c r="I95" s="31">
        <v>3.9684750000000005E-2</v>
      </c>
      <c r="J95" s="32">
        <v>0.16500348484868899</v>
      </c>
      <c r="K95" s="34">
        <v>8.0100648568467603E-2</v>
      </c>
      <c r="L95" s="31">
        <v>8.0100648568467658E-2</v>
      </c>
    </row>
    <row r="96" spans="1:12">
      <c r="A96" s="29" t="s">
        <v>127</v>
      </c>
      <c r="B96" s="29">
        <v>3</v>
      </c>
      <c r="C96" s="30">
        <v>0.52943015741353394</v>
      </c>
      <c r="D96" s="31">
        <v>6.3112585020643611E-2</v>
      </c>
      <c r="E96" s="31">
        <v>0.21811565703705116</v>
      </c>
      <c r="F96" s="31">
        <v>0.50767160367361974</v>
      </c>
      <c r="G96" s="32">
        <v>5.2913000000000002E-2</v>
      </c>
      <c r="H96" s="33">
        <v>0</v>
      </c>
      <c r="I96" s="31">
        <v>3.9684750000000005E-2</v>
      </c>
      <c r="J96" s="32">
        <v>0.78188434296294884</v>
      </c>
      <c r="K96" s="34">
        <v>4.479472762848332E-2</v>
      </c>
      <c r="L96" s="31">
        <v>4.4794727628483244E-2</v>
      </c>
    </row>
    <row r="97" spans="1:12">
      <c r="A97" s="29" t="s">
        <v>128</v>
      </c>
      <c r="B97" s="29">
        <v>66</v>
      </c>
      <c r="C97" s="30">
        <v>1.5181994029054893</v>
      </c>
      <c r="D97" s="31">
        <v>0.10721169336958483</v>
      </c>
      <c r="E97" s="31">
        <v>0.97474337819546364</v>
      </c>
      <c r="F97" s="31">
        <v>0.55827208180103249</v>
      </c>
      <c r="G97" s="32">
        <v>5.2913000000000002E-2</v>
      </c>
      <c r="H97" s="33">
        <v>5.1063708730215367E-2</v>
      </c>
      <c r="I97" s="31">
        <v>3.9684750000000005E-2</v>
      </c>
      <c r="J97" s="32">
        <v>2.5256621804536361E-2</v>
      </c>
      <c r="K97" s="34">
        <v>0.10550619089928288</v>
      </c>
      <c r="L97" s="31">
        <v>0.10550619089928293</v>
      </c>
    </row>
    <row r="98" spans="1:12">
      <c r="A98" s="29" t="s">
        <v>129</v>
      </c>
      <c r="B98" s="29">
        <v>31</v>
      </c>
      <c r="C98" s="30">
        <v>1.3972234247394333</v>
      </c>
      <c r="D98" s="31">
        <v>0.10181616474337873</v>
      </c>
      <c r="E98" s="31">
        <v>0.9536409808998203</v>
      </c>
      <c r="F98" s="31">
        <v>0.50077408619264041</v>
      </c>
      <c r="G98" s="32">
        <v>5.2913000000000002E-2</v>
      </c>
      <c r="H98" s="33">
        <v>9.9620953538418003E-2</v>
      </c>
      <c r="I98" s="31">
        <v>3.9684750000000005E-2</v>
      </c>
      <c r="J98" s="32">
        <v>4.6359019100179699E-2</v>
      </c>
      <c r="K98" s="34">
        <v>9.8935813300569247E-2</v>
      </c>
      <c r="L98" s="31">
        <v>9.8935813300569331E-2</v>
      </c>
    </row>
    <row r="99" spans="1:12">
      <c r="A99" s="29" t="s">
        <v>130</v>
      </c>
      <c r="B99" s="29">
        <v>8</v>
      </c>
      <c r="C99" s="30">
        <v>0.7529325380371511</v>
      </c>
      <c r="D99" s="31">
        <v>7.308079119645694E-2</v>
      </c>
      <c r="E99" s="31">
        <v>0.81599216268354535</v>
      </c>
      <c r="F99" s="31">
        <v>0.50086763268384904</v>
      </c>
      <c r="G99" s="32">
        <v>5.2913000000000002E-2</v>
      </c>
      <c r="H99" s="33">
        <v>5.2561473759605716E-2</v>
      </c>
      <c r="I99" s="31">
        <v>3.9684750000000005E-2</v>
      </c>
      <c r="J99" s="32">
        <v>0.18400783731645465</v>
      </c>
      <c r="K99" s="34">
        <v>6.6935657880965671E-2</v>
      </c>
      <c r="L99" s="31">
        <v>6.6935657880965671E-2</v>
      </c>
    </row>
    <row r="100" spans="1:12">
      <c r="A100" s="29" t="s">
        <v>131</v>
      </c>
      <c r="B100" s="29">
        <v>11</v>
      </c>
      <c r="C100" s="30">
        <v>1.0173183278612625</v>
      </c>
      <c r="D100" s="31">
        <v>8.4872397422612308E-2</v>
      </c>
      <c r="E100" s="31">
        <v>0.89329798160715879</v>
      </c>
      <c r="F100" s="31">
        <v>0.50082762060196895</v>
      </c>
      <c r="G100" s="32">
        <v>5.2913000000000002E-2</v>
      </c>
      <c r="H100" s="33">
        <v>0.11861173771031724</v>
      </c>
      <c r="I100" s="31">
        <v>3.9684750000000005E-2</v>
      </c>
      <c r="J100" s="32">
        <v>0.10670201839284121</v>
      </c>
      <c r="K100" s="34">
        <v>8.0050784236195494E-2</v>
      </c>
      <c r="L100" s="31">
        <v>8.0050784236195494E-2</v>
      </c>
    </row>
    <row r="101" spans="1:12">
      <c r="A101" s="29" t="s">
        <v>132</v>
      </c>
      <c r="B101" s="29">
        <v>77</v>
      </c>
      <c r="C101" s="30">
        <v>1.0283112480847569</v>
      </c>
      <c r="D101" s="31">
        <v>8.5362681664580164E-2</v>
      </c>
      <c r="E101" s="31">
        <v>0.97996356872272972</v>
      </c>
      <c r="F101" s="31">
        <v>0.57061843706583615</v>
      </c>
      <c r="G101" s="32">
        <v>5.2913000000000002E-2</v>
      </c>
      <c r="H101" s="33">
        <v>5.2864014056402453E-2</v>
      </c>
      <c r="I101" s="31">
        <v>3.9684750000000005E-2</v>
      </c>
      <c r="J101" s="32">
        <v>2.0036431277270284E-2</v>
      </c>
      <c r="K101" s="34">
        <v>8.4447458925894961E-2</v>
      </c>
      <c r="L101" s="31">
        <v>8.4447458925895003E-2</v>
      </c>
    </row>
    <row r="102" spans="1:12">
      <c r="A102" s="29" t="s">
        <v>133</v>
      </c>
      <c r="B102" s="29">
        <v>29</v>
      </c>
      <c r="C102" s="30">
        <v>1.6886761161660595</v>
      </c>
      <c r="D102" s="31">
        <v>0.11481495478100626</v>
      </c>
      <c r="E102" s="31">
        <v>0.89048058261622209</v>
      </c>
      <c r="F102" s="31">
        <v>0.52612315182151104</v>
      </c>
      <c r="G102" s="32">
        <v>5.2913000000000002E-2</v>
      </c>
      <c r="H102" s="33">
        <v>3.0543662116475068E-2</v>
      </c>
      <c r="I102" s="31">
        <v>3.9684750000000005E-2</v>
      </c>
      <c r="J102" s="32">
        <v>0.10951941738377791</v>
      </c>
      <c r="K102" s="34">
        <v>0.10658673852546652</v>
      </c>
      <c r="L102" s="31">
        <v>0.10658673852546663</v>
      </c>
    </row>
    <row r="103" spans="1:12">
      <c r="A103" s="29" t="s">
        <v>134</v>
      </c>
      <c r="B103" s="29">
        <v>309</v>
      </c>
      <c r="C103" s="30">
        <v>1.2766481780781751</v>
      </c>
      <c r="D103" s="31">
        <v>9.6438508742286613E-2</v>
      </c>
      <c r="E103" s="31">
        <v>0.94717481124203029</v>
      </c>
      <c r="F103" s="31">
        <v>0.5678932632947824</v>
      </c>
      <c r="G103" s="32">
        <v>5.2913000000000002E-2</v>
      </c>
      <c r="H103" s="33">
        <v>5.5097928027861807E-2</v>
      </c>
      <c r="I103" s="31">
        <v>3.9684750000000005E-2</v>
      </c>
      <c r="J103" s="32">
        <v>5.282518875796971E-2</v>
      </c>
      <c r="K103" s="34">
        <v>9.3440480724001046E-2</v>
      </c>
      <c r="L103" s="31">
        <v>9.3440480724001018E-2</v>
      </c>
    </row>
    <row r="104" spans="1:12">
      <c r="A104" s="29" t="s">
        <v>135</v>
      </c>
      <c r="B104" s="29">
        <v>19</v>
      </c>
      <c r="C104" s="30">
        <v>1.062846247426205</v>
      </c>
      <c r="D104" s="31">
        <v>8.6902942635208744E-2</v>
      </c>
      <c r="E104" s="31">
        <v>0.80963186390660424</v>
      </c>
      <c r="F104" s="31">
        <v>0.38509854793902265</v>
      </c>
      <c r="G104" s="32">
        <v>5.0671999999999995E-2</v>
      </c>
      <c r="H104" s="33">
        <v>9.2759917534797329E-2</v>
      </c>
      <c r="I104" s="31">
        <v>3.8003999999999996E-2</v>
      </c>
      <c r="J104" s="32">
        <v>0.19036813609339576</v>
      </c>
      <c r="K104" s="34">
        <v>7.7594142068806174E-2</v>
      </c>
      <c r="L104" s="31">
        <v>7.7594142068806216E-2</v>
      </c>
    </row>
    <row r="105" spans="1:12">
      <c r="A105" s="29" t="s">
        <v>136</v>
      </c>
      <c r="B105" s="29">
        <v>12</v>
      </c>
      <c r="C105" s="30">
        <v>0.53813527366401381</v>
      </c>
      <c r="D105" s="31">
        <v>6.3500833205415025E-2</v>
      </c>
      <c r="E105" s="31">
        <v>0.65812552349234665</v>
      </c>
      <c r="F105" s="31">
        <v>0.40180999688678365</v>
      </c>
      <c r="G105" s="32">
        <v>5.0671999999999995E-2</v>
      </c>
      <c r="H105" s="33">
        <v>4.0231082870544208E-2</v>
      </c>
      <c r="I105" s="31">
        <v>3.8003999999999996E-2</v>
      </c>
      <c r="J105" s="32">
        <v>0.34187447650765335</v>
      </c>
      <c r="K105" s="34">
        <v>5.4784116700710803E-2</v>
      </c>
      <c r="L105" s="31">
        <v>5.4784116700710817E-2</v>
      </c>
    </row>
    <row r="106" spans="1:12">
      <c r="A106" s="29" t="s">
        <v>137</v>
      </c>
      <c r="B106" s="29">
        <v>57</v>
      </c>
      <c r="C106" s="30">
        <v>0.92321957538773824</v>
      </c>
      <c r="D106" s="31">
        <v>8.0675593062293133E-2</v>
      </c>
      <c r="E106" s="31">
        <v>0.91556018666934091</v>
      </c>
      <c r="F106" s="31">
        <v>0.55263054617352825</v>
      </c>
      <c r="G106" s="32">
        <v>5.2913000000000002E-2</v>
      </c>
      <c r="H106" s="33">
        <v>7.0628636467128039E-2</v>
      </c>
      <c r="I106" s="31">
        <v>3.9684750000000005E-2</v>
      </c>
      <c r="J106" s="32">
        <v>8.4439813330659086E-2</v>
      </c>
      <c r="K106" s="34">
        <v>7.721433392584677E-2</v>
      </c>
      <c r="L106" s="31">
        <v>7.7214333925846868E-2</v>
      </c>
    </row>
    <row r="107" spans="1:12">
      <c r="A107" s="29" t="s">
        <v>138</v>
      </c>
      <c r="B107" s="29">
        <v>39</v>
      </c>
      <c r="C107" s="30">
        <v>0.62872015187456243</v>
      </c>
      <c r="D107" s="31">
        <v>6.7540918773605491E-2</v>
      </c>
      <c r="E107" s="31">
        <v>0.5100396006745912</v>
      </c>
      <c r="F107" s="31">
        <v>0.60287759924808859</v>
      </c>
      <c r="G107" s="32">
        <v>5.2913000000000002E-2</v>
      </c>
      <c r="H107" s="33">
        <v>3.4002984466728295E-2</v>
      </c>
      <c r="I107" s="31">
        <v>3.9684750000000005E-2</v>
      </c>
      <c r="J107" s="32">
        <v>0.4899603993254088</v>
      </c>
      <c r="K107" s="34">
        <v>5.3892499197613762E-2</v>
      </c>
      <c r="L107" s="31">
        <v>5.3892499197613741E-2</v>
      </c>
    </row>
    <row r="108" spans="1:12">
      <c r="A108" s="29" t="s">
        <v>139</v>
      </c>
      <c r="B108" s="29">
        <v>10</v>
      </c>
      <c r="C108" s="30">
        <v>0.79431457970152297</v>
      </c>
      <c r="D108" s="31">
        <v>7.4926430254687926E-2</v>
      </c>
      <c r="E108" s="31">
        <v>0.81321637444562511</v>
      </c>
      <c r="F108" s="31">
        <v>0.65957987223902104</v>
      </c>
      <c r="G108" s="32">
        <v>6.0194999999999999E-2</v>
      </c>
      <c r="H108" s="33">
        <v>0.1476725198349122</v>
      </c>
      <c r="I108" s="31">
        <v>4.5146249999999999E-2</v>
      </c>
      <c r="J108" s="32">
        <v>0.18678362555437489</v>
      </c>
      <c r="K108" s="34">
        <v>6.9363980217054505E-2</v>
      </c>
      <c r="L108" s="31">
        <v>6.9363980217054477E-2</v>
      </c>
    </row>
    <row r="109" spans="1:12">
      <c r="A109" s="29" t="s">
        <v>140</v>
      </c>
      <c r="B109" s="29">
        <v>19</v>
      </c>
      <c r="C109" s="30">
        <v>0.85992192679131285</v>
      </c>
      <c r="D109" s="31">
        <v>7.7852517934892562E-2</v>
      </c>
      <c r="E109" s="31">
        <v>0.73287154939615018</v>
      </c>
      <c r="F109" s="31">
        <v>0.381329406156173</v>
      </c>
      <c r="G109" s="32">
        <v>5.0671999999999995E-2</v>
      </c>
      <c r="H109" s="33">
        <v>8.5384574079637232E-2</v>
      </c>
      <c r="I109" s="31">
        <v>3.8003999999999996E-2</v>
      </c>
      <c r="J109" s="32">
        <v>0.26712845060384982</v>
      </c>
      <c r="K109" s="34">
        <v>6.7207845080084982E-2</v>
      </c>
      <c r="L109" s="31">
        <v>6.7207845080085038E-2</v>
      </c>
    </row>
    <row r="110" spans="1:12">
      <c r="A110" s="29" t="s">
        <v>141</v>
      </c>
      <c r="B110" s="29">
        <v>4</v>
      </c>
      <c r="C110" s="30">
        <v>0.97514574851548541</v>
      </c>
      <c r="D110" s="31">
        <v>8.2991500383790648E-2</v>
      </c>
      <c r="E110" s="31">
        <v>0.78252427065158103</v>
      </c>
      <c r="F110" s="31">
        <v>0.23898485836689182</v>
      </c>
      <c r="G110" s="32">
        <v>4.7306000000000001E-2</v>
      </c>
      <c r="H110" s="33">
        <v>0.16983557424101936</v>
      </c>
      <c r="I110" s="31">
        <v>3.5479499999999997E-2</v>
      </c>
      <c r="J110" s="32">
        <v>0.21747572934841897</v>
      </c>
      <c r="K110" s="34">
        <v>7.2658793447523407E-2</v>
      </c>
      <c r="L110" s="31">
        <v>7.2658793447523351E-2</v>
      </c>
    </row>
    <row r="111" spans="1:12">
      <c r="A111" s="29" t="s">
        <v>142</v>
      </c>
      <c r="B111" s="29">
        <v>26</v>
      </c>
      <c r="C111" s="30">
        <v>1.0113489285521289</v>
      </c>
      <c r="D111" s="31">
        <v>8.4606162213424957E-2</v>
      </c>
      <c r="E111" s="31">
        <v>0.79852019226992521</v>
      </c>
      <c r="F111" s="31">
        <v>0.35290917410983413</v>
      </c>
      <c r="G111" s="32">
        <v>5.0671999999999995E-2</v>
      </c>
      <c r="H111" s="33">
        <v>0.12598448805395965</v>
      </c>
      <c r="I111" s="31">
        <v>3.8003999999999996E-2</v>
      </c>
      <c r="J111" s="32">
        <v>0.20147980773007479</v>
      </c>
      <c r="K111" s="34">
        <v>7.5216767530858333E-2</v>
      </c>
      <c r="L111" s="31">
        <v>7.5216767530858375E-2</v>
      </c>
    </row>
    <row r="112" spans="1:12">
      <c r="A112" s="29" t="s">
        <v>143</v>
      </c>
      <c r="B112" s="29">
        <v>14</v>
      </c>
      <c r="C112" s="30">
        <v>0.23943492788992651</v>
      </c>
      <c r="D112" s="31">
        <v>5.0178797783890727E-2</v>
      </c>
      <c r="E112" s="31">
        <v>0.55101188178185656</v>
      </c>
      <c r="F112" s="31">
        <v>0.14962031044448046</v>
      </c>
      <c r="G112" s="32">
        <v>4.7306000000000001E-2</v>
      </c>
      <c r="H112" s="33">
        <v>0.12765942282237325</v>
      </c>
      <c r="I112" s="31">
        <v>3.5479499999999997E-2</v>
      </c>
      <c r="J112" s="32">
        <v>0.44898811821814344</v>
      </c>
      <c r="K112" s="34">
        <v>4.3578987732773501E-2</v>
      </c>
      <c r="L112" s="31">
        <v>4.3578987732773466E-2</v>
      </c>
    </row>
    <row r="113" spans="1:12">
      <c r="A113" s="29" t="s">
        <v>144</v>
      </c>
      <c r="B113" s="29">
        <v>14</v>
      </c>
      <c r="C113" s="30">
        <v>0.4126827948416138</v>
      </c>
      <c r="D113" s="31">
        <v>5.7905652649935975E-2</v>
      </c>
      <c r="E113" s="31">
        <v>0.61591735519626356</v>
      </c>
      <c r="F113" s="31">
        <v>0.29598509122604388</v>
      </c>
      <c r="G113" s="32">
        <v>4.7306000000000001E-2</v>
      </c>
      <c r="H113" s="33">
        <v>0.11191995155470791</v>
      </c>
      <c r="I113" s="31">
        <v>3.5479499999999997E-2</v>
      </c>
      <c r="J113" s="32">
        <v>0.38408264480373644</v>
      </c>
      <c r="K113" s="34">
        <v>4.9292156627376238E-2</v>
      </c>
      <c r="L113" s="31">
        <v>4.9292156627376293E-2</v>
      </c>
    </row>
    <row r="114" spans="1:12" s="13" customFormat="1">
      <c r="A114" s="35" t="s">
        <v>145</v>
      </c>
      <c r="B114" s="35">
        <v>5994</v>
      </c>
      <c r="C114" s="36">
        <v>0.91211093665534659</v>
      </c>
      <c r="D114" s="37">
        <v>8.0180147774828459E-2</v>
      </c>
      <c r="E114" s="38">
        <v>0.73980229704024358</v>
      </c>
      <c r="F114" s="38">
        <v>0.48066562851919736</v>
      </c>
      <c r="G114" s="39">
        <v>5.2913000000000002E-2</v>
      </c>
      <c r="H114" s="40">
        <v>8.3017359036770655E-2</v>
      </c>
      <c r="I114" s="37">
        <v>3.9684750000000005E-2</v>
      </c>
      <c r="J114" s="39">
        <v>0.26019770295975642</v>
      </c>
      <c r="K114" s="41">
        <v>6.9643338293376461E-2</v>
      </c>
      <c r="L114" s="38">
        <v>6.9643338293376544E-2</v>
      </c>
    </row>
    <row r="115" spans="1:12" s="13" customFormat="1">
      <c r="A115" s="35" t="s">
        <v>146</v>
      </c>
      <c r="B115" s="35">
        <v>4822</v>
      </c>
      <c r="C115" s="36">
        <v>0.99129597195640873</v>
      </c>
      <c r="D115" s="42">
        <v>8.3711800349255822E-2</v>
      </c>
      <c r="E115" s="38">
        <v>0.85260238432454682</v>
      </c>
      <c r="F115" s="38">
        <v>0.52764819472250257</v>
      </c>
      <c r="G115" s="43">
        <v>5.2913000000000002E-2</v>
      </c>
      <c r="H115" s="40">
        <v>7.1032603531751004E-2</v>
      </c>
      <c r="I115" s="42">
        <v>3.9684750000000005E-2</v>
      </c>
      <c r="J115" s="43">
        <v>0.14739761567545318</v>
      </c>
      <c r="K115" s="44">
        <v>7.7222318102552381E-2</v>
      </c>
      <c r="L115" s="38">
        <v>7.7222318102552423E-2</v>
      </c>
    </row>
  </sheetData>
  <mergeCells count="11">
    <mergeCell ref="B7:G7"/>
    <mergeCell ref="B1:G1"/>
    <mergeCell ref="H1:H7"/>
    <mergeCell ref="I1:K1"/>
    <mergeCell ref="B2:G2"/>
    <mergeCell ref="I2:K7"/>
    <mergeCell ref="B3:E3"/>
    <mergeCell ref="F3:G3"/>
    <mergeCell ref="B4:G4"/>
    <mergeCell ref="B5:G5"/>
    <mergeCell ref="B6:G6"/>
  </mergeCells>
  <hyperlinks>
    <hyperlink ref="B2" r:id="rId1" xr:uid="{A552681A-7CFD-4B3A-97F0-4D605A168916}"/>
    <hyperlink ref="B4" r:id="rId2" xr:uid="{2F083587-3F73-4058-85BC-A35734C72C0E}"/>
    <hyperlink ref="B5" r:id="rId3" display="http://www.stern.nyu.edu/~adamodar/New_Home_Page/data.html" xr:uid="{C511B438-504E-41C3-943B-B1B993B61894}"/>
    <hyperlink ref="B6" r:id="rId4" display="http://www.stern.nyu.edu/~adamodar/pc/datasets/indname.xls" xr:uid="{D41E14E9-C967-41EB-AD07-9981AD01EB4C}"/>
    <hyperlink ref="B7" r:id="rId5" display="http://www.stern.nyu.edu/~adamodar/New_Home_Page/datafile/variable.htm" xr:uid="{07A4FA90-E029-4070-B40B-43D71BCCCF97}"/>
    <hyperlink ref="H1:H7" r:id="rId6" tooltip="https://youtu.be/kZzwtlIAx4U?si=l5t2TNIqrxV9slQ7" display="YouTube Video explaining estimation choices and process." xr:uid="{FDFF0093-A058-4C24-ADC3-257D0469B07A}"/>
  </hyperlinks>
  <pageMargins left="0.75" right="0.75" top="1" bottom="1" header="0.5" footer="0.5"/>
  <pageSetup orientation="portrait" horizontalDpi="4294967292" verticalDpi="4294967292"/>
  <headerFooter alignWithMargins="0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E321-8ED8-4B59-9AF7-0A4171A3FAFA}">
  <dimension ref="B2:K27"/>
  <sheetViews>
    <sheetView workbookViewId="0">
      <selection activeCell="G3" sqref="G3"/>
    </sheetView>
  </sheetViews>
  <sheetFormatPr defaultRowHeight="15"/>
  <cols>
    <col min="2" max="2" width="43.42578125" bestFit="1" customWidth="1"/>
    <col min="3" max="3" width="32.7109375" bestFit="1" customWidth="1"/>
    <col min="4" max="4" width="22.85546875" bestFit="1" customWidth="1"/>
    <col min="5" max="5" width="18.42578125" bestFit="1" customWidth="1"/>
    <col min="11" max="11" width="13.5703125" bestFit="1" customWidth="1"/>
  </cols>
  <sheetData>
    <row r="2" spans="2:11">
      <c r="B2" t="s">
        <v>172</v>
      </c>
      <c r="C2" t="s">
        <v>173</v>
      </c>
      <c r="D2" t="s">
        <v>174</v>
      </c>
      <c r="E2" t="s">
        <v>175</v>
      </c>
      <c r="G2" t="s">
        <v>176</v>
      </c>
      <c r="H2" t="s">
        <v>177</v>
      </c>
      <c r="I2" t="s">
        <v>178</v>
      </c>
      <c r="K2" t="s">
        <v>179</v>
      </c>
    </row>
    <row r="3" spans="2:11">
      <c r="B3" t="s">
        <v>147</v>
      </c>
      <c r="C3" t="s">
        <v>83</v>
      </c>
      <c r="G3" s="45">
        <f>IFERROR(INDEX('Pretax WACC Build'!$K$11:$K$105,MATCH(C3,'Pretax WACC Build'!$A$11:$A$105,0)),"")</f>
        <v>7.5239224225506385E-2</v>
      </c>
      <c r="H3" s="45" t="str">
        <f>IFERROR(INDEX('Pretax WACC Build'!$K$11:$K$105,MATCH(D3,'Pretax WACC Build'!$A$11:$A$105,0)),"")</f>
        <v/>
      </c>
      <c r="I3" s="45" t="str">
        <f>IFERROR(INDEX('Pretax WACC Build'!$K$11:$K$105,MATCH(E3,'Pretax WACC Build'!$A$11:$A$105,0)),"")</f>
        <v/>
      </c>
      <c r="K3" s="46">
        <f>AVERAGE(G3:I3)</f>
        <v>7.5239224225506385E-2</v>
      </c>
    </row>
    <row r="4" spans="2:11">
      <c r="B4" t="s">
        <v>148</v>
      </c>
      <c r="C4" t="s">
        <v>69</v>
      </c>
      <c r="G4" s="45">
        <f>IFERROR(INDEX('Pretax WACC Build'!$K$11:$K$105,MATCH(C4,'Pretax WACC Build'!$A$11:$A$105,0)),"")</f>
        <v>9.2177653727149589E-2</v>
      </c>
      <c r="H4" s="45" t="str">
        <f>IFERROR(INDEX('Pretax WACC Build'!$K$11:$K$105,MATCH(D4,'Pretax WACC Build'!$A$11:$A$105,0)),"")</f>
        <v/>
      </c>
      <c r="I4" s="45" t="str">
        <f>IFERROR(INDEX('Pretax WACC Build'!$K$11:$K$105,MATCH(E4,'Pretax WACC Build'!$A$11:$A$105,0)),"")</f>
        <v/>
      </c>
      <c r="K4" s="46">
        <f t="shared" ref="K4:K27" si="0">AVERAGE(G4:I4)</f>
        <v>9.2177653727149589E-2</v>
      </c>
    </row>
    <row r="5" spans="2:11">
      <c r="B5" t="s">
        <v>149</v>
      </c>
      <c r="C5" t="s">
        <v>105</v>
      </c>
      <c r="G5" s="45">
        <f>IFERROR(INDEX('Pretax WACC Build'!$K$11:$K$105,MATCH(C5,'Pretax WACC Build'!$A$11:$A$105,0)),"")</f>
        <v>7.3222738678316135E-2</v>
      </c>
      <c r="H5" s="45" t="str">
        <f>IFERROR(INDEX('Pretax WACC Build'!$K$11:$K$105,MATCH(D5,'Pretax WACC Build'!$A$11:$A$105,0)),"")</f>
        <v/>
      </c>
      <c r="I5" s="45" t="str">
        <f>IFERROR(INDEX('Pretax WACC Build'!$K$11:$K$105,MATCH(E5,'Pretax WACC Build'!$A$11:$A$105,0)),"")</f>
        <v/>
      </c>
      <c r="K5" s="46">
        <f t="shared" si="0"/>
        <v>7.3222738678316135E-2</v>
      </c>
    </row>
    <row r="6" spans="2:11">
      <c r="B6" t="s">
        <v>150</v>
      </c>
      <c r="C6" t="s">
        <v>102</v>
      </c>
      <c r="G6" s="45">
        <f>IFERROR(INDEX('Pretax WACC Build'!$K$11:$K$105,MATCH(C6,'Pretax WACC Build'!$A$11:$A$105,0)),"")</f>
        <v>8.4926930752977539E-2</v>
      </c>
      <c r="H6" s="45" t="str">
        <f>IFERROR(INDEX('Pretax WACC Build'!$K$11:$K$105,MATCH(D6,'Pretax WACC Build'!$A$11:$A$105,0)),"")</f>
        <v/>
      </c>
      <c r="I6" s="45" t="str">
        <f>IFERROR(INDEX('Pretax WACC Build'!$K$11:$K$105,MATCH(E6,'Pretax WACC Build'!$A$11:$A$105,0)),"")</f>
        <v/>
      </c>
      <c r="K6" s="46">
        <f t="shared" si="0"/>
        <v>8.4926930752977539E-2</v>
      </c>
    </row>
    <row r="7" spans="2:11">
      <c r="B7" t="s">
        <v>151</v>
      </c>
      <c r="C7" t="s">
        <v>85</v>
      </c>
      <c r="D7" t="s">
        <v>86</v>
      </c>
      <c r="E7" t="s">
        <v>139</v>
      </c>
      <c r="G7" s="45">
        <f>IFERROR(INDEX('Pretax WACC Build'!$K$11:$K$105,MATCH(C7,'Pretax WACC Build'!$A$11:$A$105,0)),"")</f>
        <v>6.3106774182182593E-2</v>
      </c>
      <c r="H7" s="45">
        <f>IFERROR(INDEX('Pretax WACC Build'!$K$11:$K$105,MATCH(D7,'Pretax WACC Build'!$A$11:$A$105,0)),"")</f>
        <v>7.0994514165423711E-2</v>
      </c>
      <c r="I7" s="45">
        <f>IFERROR(INDEX('Pretax WACC Build'!$K$11:$K$105,MATCH(E7,'Pretax WACC Build'!$A$11:$A$105,0)),"")</f>
        <v>8.8684446369281078E-2</v>
      </c>
      <c r="K7" s="46">
        <f t="shared" si="0"/>
        <v>7.4261911572295794E-2</v>
      </c>
    </row>
    <row r="8" spans="2:11">
      <c r="B8" t="s">
        <v>152</v>
      </c>
      <c r="C8" t="s">
        <v>54</v>
      </c>
      <c r="G8" s="45">
        <f>IFERROR(INDEX('Pretax WACC Build'!$K$11:$K$105,MATCH(C8,'Pretax WACC Build'!$A$11:$A$105,0)),"")</f>
        <v>8.0453161841801846E-2</v>
      </c>
      <c r="H8" s="45" t="str">
        <f>IFERROR(INDEX('Pretax WACC Build'!$K$11:$K$105,MATCH(D8,'Pretax WACC Build'!$A$11:$A$105,0)),"")</f>
        <v/>
      </c>
      <c r="I8" s="45" t="str">
        <f>IFERROR(INDEX('Pretax WACC Build'!$K$11:$K$105,MATCH(E8,'Pretax WACC Build'!$A$11:$A$105,0)),"")</f>
        <v/>
      </c>
      <c r="K8" s="46">
        <f t="shared" si="0"/>
        <v>8.0453161841801846E-2</v>
      </c>
    </row>
    <row r="9" spans="2:11">
      <c r="B9" t="s">
        <v>153</v>
      </c>
      <c r="C9" t="s">
        <v>109</v>
      </c>
      <c r="G9" s="45">
        <f>IFERROR(INDEX('Pretax WACC Build'!$K$11:$K$105,MATCH(C9,'Pretax WACC Build'!$A$11:$A$105,0)),"")</f>
        <v>8.5100812933388212E-2</v>
      </c>
      <c r="H9" s="45" t="str">
        <f>IFERROR(INDEX('Pretax WACC Build'!$K$11:$K$105,MATCH(D9,'Pretax WACC Build'!$A$11:$A$105,0)),"")</f>
        <v/>
      </c>
      <c r="I9" s="45" t="str">
        <f>IFERROR(INDEX('Pretax WACC Build'!$K$11:$K$105,MATCH(E9,'Pretax WACC Build'!$A$11:$A$105,0)),"")</f>
        <v/>
      </c>
      <c r="K9" s="46">
        <f t="shared" si="0"/>
        <v>8.5100812933388212E-2</v>
      </c>
    </row>
    <row r="10" spans="2:11">
      <c r="B10" t="s">
        <v>154</v>
      </c>
      <c r="C10" t="s">
        <v>109</v>
      </c>
      <c r="D10" t="s">
        <v>112</v>
      </c>
      <c r="G10" s="45">
        <f>IFERROR(INDEX('Pretax WACC Build'!$K$11:$K$105,MATCH(C10,'Pretax WACC Build'!$A$11:$A$105,0)),"")</f>
        <v>8.5100812933388212E-2</v>
      </c>
      <c r="H10" s="45">
        <f>IFERROR(INDEX('Pretax WACC Build'!$K$11:$K$105,MATCH(D10,'Pretax WACC Build'!$A$11:$A$105,0)),"")</f>
        <v>7.1133151457873536E-2</v>
      </c>
      <c r="I10" s="45" t="str">
        <f>IFERROR(INDEX('Pretax WACC Build'!$K$11:$K$105,MATCH(E10,'Pretax WACC Build'!$A$11:$A$105,0)),"")</f>
        <v/>
      </c>
      <c r="K10" s="46">
        <f t="shared" si="0"/>
        <v>7.8116982195630874E-2</v>
      </c>
    </row>
    <row r="11" spans="2:11">
      <c r="B11" t="s">
        <v>155</v>
      </c>
      <c r="C11" t="s">
        <v>104</v>
      </c>
      <c r="G11" s="45">
        <f>IFERROR(INDEX('Pretax WACC Build'!$K$11:$K$105,MATCH(C11,'Pretax WACC Build'!$A$11:$A$105,0)),"")</f>
        <v>6.4260545060686639E-2</v>
      </c>
      <c r="H11" s="45" t="str">
        <f>IFERROR(INDEX('Pretax WACC Build'!$K$11:$K$105,MATCH(D11,'Pretax WACC Build'!$A$11:$A$105,0)),"")</f>
        <v/>
      </c>
      <c r="I11" s="45" t="str">
        <f>IFERROR(INDEX('Pretax WACC Build'!$K$11:$K$105,MATCH(E11,'Pretax WACC Build'!$A$11:$A$105,0)),"")</f>
        <v/>
      </c>
      <c r="K11" s="46">
        <f t="shared" si="0"/>
        <v>6.4260545060686639E-2</v>
      </c>
    </row>
    <row r="12" spans="2:11">
      <c r="B12" t="s">
        <v>156</v>
      </c>
      <c r="C12" t="s">
        <v>66</v>
      </c>
      <c r="D12" t="s">
        <v>67</v>
      </c>
      <c r="E12" t="s">
        <v>68</v>
      </c>
      <c r="G12" s="45">
        <f>IFERROR(INDEX('Pretax WACC Build'!$K$11:$K$105,MATCH(C12,'Pretax WACC Build'!$A$11:$A$105,0)),"")</f>
        <v>7.1372033575764354E-2</v>
      </c>
      <c r="H12" s="45">
        <f>IFERROR(INDEX('Pretax WACC Build'!$K$11:$K$105,MATCH(D12,'Pretax WACC Build'!$A$11:$A$105,0)),"")</f>
        <v>6.4356564660986187E-2</v>
      </c>
      <c r="I12" s="45">
        <f>IFERROR(INDEX('Pretax WACC Build'!$K$11:$K$105,MATCH(E12,'Pretax WACC Build'!$A$11:$A$105,0)),"")</f>
        <v>7.8606773612265535E-2</v>
      </c>
      <c r="K12" s="46">
        <f t="shared" si="0"/>
        <v>7.1445123949672021E-2</v>
      </c>
    </row>
    <row r="13" spans="2:11">
      <c r="B13" t="s">
        <v>157</v>
      </c>
      <c r="C13" t="s">
        <v>127</v>
      </c>
      <c r="G13" s="45">
        <f>IFERROR(INDEX('Pretax WACC Build'!$K$11:$K$105,MATCH(C13,'Pretax WACC Build'!$A$11:$A$105,0)),"")</f>
        <v>5.6522924599543486E-2</v>
      </c>
      <c r="H13" s="45" t="str">
        <f>IFERROR(INDEX('Pretax WACC Build'!$K$11:$K$105,MATCH(D13,'Pretax WACC Build'!$A$11:$A$105,0)),"")</f>
        <v/>
      </c>
      <c r="I13" s="45" t="str">
        <f>IFERROR(INDEX('Pretax WACC Build'!$K$11:$K$105,MATCH(E13,'Pretax WACC Build'!$A$11:$A$105,0)),"")</f>
        <v/>
      </c>
      <c r="K13" s="46">
        <f t="shared" si="0"/>
        <v>5.6522924599543486E-2</v>
      </c>
    </row>
    <row r="14" spans="2:11">
      <c r="B14" t="s">
        <v>158</v>
      </c>
      <c r="C14" t="s">
        <v>63</v>
      </c>
      <c r="G14" s="45">
        <f>IFERROR(INDEX('Pretax WACC Build'!$K$11:$K$105,MATCH(C14,'Pretax WACC Build'!$A$11:$A$105,0)),"")</f>
        <v>8.664026837220512E-2</v>
      </c>
      <c r="H14" s="45" t="str">
        <f>IFERROR(INDEX('Pretax WACC Build'!$K$11:$K$105,MATCH(D14,'Pretax WACC Build'!$A$11:$A$105,0)),"")</f>
        <v/>
      </c>
      <c r="I14" s="45" t="str">
        <f>IFERROR(INDEX('Pretax WACC Build'!$K$11:$K$105,MATCH(E14,'Pretax WACC Build'!$A$11:$A$105,0)),"")</f>
        <v/>
      </c>
      <c r="K14" s="46">
        <f t="shared" si="0"/>
        <v>8.664026837220512E-2</v>
      </c>
    </row>
    <row r="15" spans="2:11">
      <c r="B15" t="s">
        <v>159</v>
      </c>
      <c r="C15" t="s">
        <v>63</v>
      </c>
      <c r="G15" s="45">
        <f>IFERROR(INDEX('Pretax WACC Build'!$K$11:$K$105,MATCH(C15,'Pretax WACC Build'!$A$11:$A$105,0)),"")</f>
        <v>8.664026837220512E-2</v>
      </c>
      <c r="H15" s="45" t="str">
        <f>IFERROR(INDEX('Pretax WACC Build'!$K$11:$K$105,MATCH(D15,'Pretax WACC Build'!$A$11:$A$105,0)),"")</f>
        <v/>
      </c>
      <c r="I15" s="45" t="str">
        <f>IFERROR(INDEX('Pretax WACC Build'!$K$11:$K$105,MATCH(E15,'Pretax WACC Build'!$A$11:$A$105,0)),"")</f>
        <v/>
      </c>
      <c r="K15" s="46">
        <f t="shared" si="0"/>
        <v>8.664026837220512E-2</v>
      </c>
    </row>
    <row r="16" spans="2:11">
      <c r="B16" t="s">
        <v>160</v>
      </c>
      <c r="C16" t="s">
        <v>135</v>
      </c>
      <c r="G16" s="45">
        <f>IFERROR(INDEX('Pretax WACC Build'!$K$11:$K$105,MATCH(C16,'Pretax WACC Build'!$A$11:$A$105,0)),"")</f>
        <v>8.3075906735793029E-2</v>
      </c>
      <c r="H16" s="45" t="str">
        <f>IFERROR(INDEX('Pretax WACC Build'!$K$11:$K$105,MATCH(D16,'Pretax WACC Build'!$A$11:$A$105,0)),"")</f>
        <v/>
      </c>
      <c r="I16" s="45" t="str">
        <f>IFERROR(INDEX('Pretax WACC Build'!$K$11:$K$105,MATCH(E16,'Pretax WACC Build'!$A$11:$A$105,0)),"")</f>
        <v/>
      </c>
      <c r="K16" s="46">
        <f t="shared" si="0"/>
        <v>8.3075906735793029E-2</v>
      </c>
    </row>
    <row r="17" spans="2:11">
      <c r="B17" t="s">
        <v>161</v>
      </c>
      <c r="C17" t="s">
        <v>102</v>
      </c>
      <c r="G17" s="45">
        <f>IFERROR(INDEX('Pretax WACC Build'!$K$11:$K$105,MATCH(C17,'Pretax WACC Build'!$A$11:$A$105,0)),"")</f>
        <v>8.4926930752977539E-2</v>
      </c>
      <c r="H17" s="45" t="str">
        <f>IFERROR(INDEX('Pretax WACC Build'!$K$11:$K$105,MATCH(D17,'Pretax WACC Build'!$A$11:$A$105,0)),"")</f>
        <v/>
      </c>
      <c r="I17" s="45" t="str">
        <f>IFERROR(INDEX('Pretax WACC Build'!$K$11:$K$105,MATCH(E17,'Pretax WACC Build'!$A$11:$A$105,0)),"")</f>
        <v/>
      </c>
      <c r="K17" s="46">
        <f t="shared" si="0"/>
        <v>8.4926930752977539E-2</v>
      </c>
    </row>
    <row r="18" spans="2:11">
      <c r="B18" t="s">
        <v>162</v>
      </c>
      <c r="C18" t="s">
        <v>102</v>
      </c>
      <c r="G18" s="45">
        <f>IFERROR(INDEX('Pretax WACC Build'!$K$11:$K$105,MATCH(C18,'Pretax WACC Build'!$A$11:$A$105,0)),"")</f>
        <v>8.4926930752977539E-2</v>
      </c>
      <c r="H18" s="45" t="str">
        <f>IFERROR(INDEX('Pretax WACC Build'!$K$11:$K$105,MATCH(D18,'Pretax WACC Build'!$A$11:$A$105,0)),"")</f>
        <v/>
      </c>
      <c r="I18" s="45" t="str">
        <f>IFERROR(INDEX('Pretax WACC Build'!$K$11:$K$105,MATCH(E18,'Pretax WACC Build'!$A$11:$A$105,0)),"")</f>
        <v/>
      </c>
      <c r="K18" s="46">
        <f t="shared" si="0"/>
        <v>8.4926930752977539E-2</v>
      </c>
    </row>
    <row r="19" spans="2:11">
      <c r="B19" t="s">
        <v>163</v>
      </c>
      <c r="C19" t="s">
        <v>78</v>
      </c>
      <c r="D19" t="s">
        <v>79</v>
      </c>
      <c r="G19" s="45">
        <f>IFERROR(INDEX('Pretax WACC Build'!$K$11:$K$105,MATCH(C19,'Pretax WACC Build'!$A$11:$A$105,0)),"")</f>
        <v>8.9319311219074549E-2</v>
      </c>
      <c r="H19" s="45">
        <f>IFERROR(INDEX('Pretax WACC Build'!$K$11:$K$105,MATCH(D19,'Pretax WACC Build'!$A$11:$A$105,0)),"")</f>
        <v>8.2662841478072832E-2</v>
      </c>
      <c r="I19" s="45" t="str">
        <f>IFERROR(INDEX('Pretax WACC Build'!$K$11:$K$105,MATCH(E19,'Pretax WACC Build'!$A$11:$A$105,0)),"")</f>
        <v/>
      </c>
      <c r="K19" s="46">
        <f t="shared" si="0"/>
        <v>8.5991076348573697E-2</v>
      </c>
    </row>
    <row r="20" spans="2:11">
      <c r="B20" t="s">
        <v>164</v>
      </c>
      <c r="C20" t="s">
        <v>87</v>
      </c>
      <c r="D20" t="s">
        <v>77</v>
      </c>
      <c r="G20" s="45">
        <f>IFERROR(INDEX('Pretax WACC Build'!$K$11:$K$105,MATCH(C20,'Pretax WACC Build'!$A$11:$A$105,0)),"")</f>
        <v>7.5352251192433772E-2</v>
      </c>
      <c r="H20" s="45">
        <f>IFERROR(INDEX('Pretax WACC Build'!$K$11:$K$105,MATCH(D20,'Pretax WACC Build'!$A$11:$A$105,0)),"")</f>
        <v>9.4993387589159484E-2</v>
      </c>
      <c r="I20" s="45" t="str">
        <f>IFERROR(INDEX('Pretax WACC Build'!$K$11:$K$105,MATCH(E20,'Pretax WACC Build'!$A$11:$A$105,0)),"")</f>
        <v/>
      </c>
      <c r="K20" s="46">
        <f t="shared" si="0"/>
        <v>8.5172819390796628E-2</v>
      </c>
    </row>
    <row r="21" spans="2:11">
      <c r="B21" t="s">
        <v>165</v>
      </c>
      <c r="C21" t="s">
        <v>101</v>
      </c>
      <c r="G21" s="45">
        <f>IFERROR(INDEX('Pretax WACC Build'!$K$11:$K$105,MATCH(C21,'Pretax WACC Build'!$A$11:$A$105,0)),"")</f>
        <v>8.2843828778605869E-2</v>
      </c>
      <c r="H21" s="45" t="str">
        <f>IFERROR(INDEX('Pretax WACC Build'!$K$11:$K$105,MATCH(D21,'Pretax WACC Build'!$A$11:$A$105,0)),"")</f>
        <v/>
      </c>
      <c r="I21" s="45" t="str">
        <f>IFERROR(INDEX('Pretax WACC Build'!$K$11:$K$105,MATCH(E21,'Pretax WACC Build'!$A$11:$A$105,0)),"")</f>
        <v/>
      </c>
      <c r="K21" s="46">
        <f t="shared" si="0"/>
        <v>8.2843828778605869E-2</v>
      </c>
    </row>
    <row r="22" spans="2:11">
      <c r="B22" t="s">
        <v>166</v>
      </c>
      <c r="C22" t="s">
        <v>140</v>
      </c>
      <c r="D22" t="s">
        <v>142</v>
      </c>
      <c r="G22" s="45">
        <f>IFERROR(INDEX('Pretax WACC Build'!$K$11:$K$105,MATCH(C22,'Pretax WACC Build'!$A$11:$A$105,0)),"")</f>
        <v>7.6834298259680647E-2</v>
      </c>
      <c r="H22" s="45">
        <f>IFERROR(INDEX('Pretax WACC Build'!$K$11:$K$105,MATCH(D22,'Pretax WACC Build'!$A$11:$A$105,0)),"")</f>
        <v>8.457403472914074E-2</v>
      </c>
      <c r="I22" s="45" t="str">
        <f>IFERROR(INDEX('Pretax WACC Build'!$K$11:$K$105,MATCH(E22,'Pretax WACC Build'!$A$11:$A$105,0)),"")</f>
        <v/>
      </c>
      <c r="K22" s="46">
        <f t="shared" si="0"/>
        <v>8.0704166494410701E-2</v>
      </c>
    </row>
    <row r="23" spans="2:11">
      <c r="B23" t="s">
        <v>167</v>
      </c>
      <c r="C23" t="s">
        <v>141</v>
      </c>
      <c r="G23" s="45">
        <f>IFERROR(INDEX('Pretax WACC Build'!$K$11:$K$105,MATCH(C23,'Pretax WACC Build'!$A$11:$A$105,0)),"")</f>
        <v>7.6901827551478522E-2</v>
      </c>
      <c r="H23" s="45" t="str">
        <f>IFERROR(INDEX('Pretax WACC Build'!$K$11:$K$105,MATCH(D23,'Pretax WACC Build'!$A$11:$A$105,0)),"")</f>
        <v/>
      </c>
      <c r="I23" s="45" t="str">
        <f>IFERROR(INDEX('Pretax WACC Build'!$K$11:$K$105,MATCH(E23,'Pretax WACC Build'!$A$11:$A$105,0)),"")</f>
        <v/>
      </c>
      <c r="K23" s="46">
        <f t="shared" si="0"/>
        <v>7.6901827551478522E-2</v>
      </c>
    </row>
    <row r="24" spans="2:11">
      <c r="B24" t="s">
        <v>168</v>
      </c>
      <c r="C24" t="s">
        <v>101</v>
      </c>
      <c r="G24" s="45">
        <f>IFERROR(INDEX('Pretax WACC Build'!$K$11:$K$105,MATCH(C24,'Pretax WACC Build'!$A$11:$A$105,0)),"")</f>
        <v>8.2843828778605869E-2</v>
      </c>
      <c r="H24" s="45" t="str">
        <f>IFERROR(INDEX('Pretax WACC Build'!$K$11:$K$105,MATCH(D24,'Pretax WACC Build'!$A$11:$A$105,0)),"")</f>
        <v/>
      </c>
      <c r="I24" s="45" t="str">
        <f>IFERROR(INDEX('Pretax WACC Build'!$K$11:$K$105,MATCH(E24,'Pretax WACC Build'!$A$11:$A$105,0)),"")</f>
        <v/>
      </c>
      <c r="K24" s="46">
        <f t="shared" si="0"/>
        <v>8.2843828778605869E-2</v>
      </c>
    </row>
    <row r="25" spans="2:11">
      <c r="B25" t="s">
        <v>169</v>
      </c>
      <c r="C25" t="s">
        <v>106</v>
      </c>
      <c r="G25" s="45">
        <f>IFERROR(INDEX('Pretax WACC Build'!$K$11:$K$105,MATCH(C25,'Pretax WACC Build'!$A$11:$A$105,0)),"")</f>
        <v>6.6173571523634928E-2</v>
      </c>
      <c r="H25" s="45" t="str">
        <f>IFERROR(INDEX('Pretax WACC Build'!$K$11:$K$105,MATCH(D25,'Pretax WACC Build'!$A$11:$A$105,0)),"")</f>
        <v/>
      </c>
      <c r="I25" s="45" t="str">
        <f>IFERROR(INDEX('Pretax WACC Build'!$K$11:$K$105,MATCH(E25,'Pretax WACC Build'!$A$11:$A$105,0)),"")</f>
        <v/>
      </c>
      <c r="K25" s="46">
        <f t="shared" si="0"/>
        <v>6.6173571523634928E-2</v>
      </c>
    </row>
    <row r="26" spans="2:11">
      <c r="B26" t="s">
        <v>170</v>
      </c>
      <c r="C26" t="s">
        <v>144</v>
      </c>
      <c r="G26" s="45">
        <f>IFERROR(INDEX('Pretax WACC Build'!$K$11:$K$105,MATCH(C26,'Pretax WACC Build'!$A$11:$A$105,0)),"")</f>
        <v>6.2809595857208689E-2</v>
      </c>
      <c r="H26" s="45" t="str">
        <f>IFERROR(INDEX('Pretax WACC Build'!$K$11:$K$105,MATCH(D26,'Pretax WACC Build'!$A$11:$A$105,0)),"")</f>
        <v/>
      </c>
      <c r="I26" s="45" t="str">
        <f>IFERROR(INDEX('Pretax WACC Build'!$K$11:$K$105,MATCH(E26,'Pretax WACC Build'!$A$11:$A$105,0)),"")</f>
        <v/>
      </c>
      <c r="K26" s="46">
        <f t="shared" si="0"/>
        <v>6.2809595857208689E-2</v>
      </c>
    </row>
    <row r="27" spans="2:11">
      <c r="B27" t="s">
        <v>171</v>
      </c>
      <c r="C27" t="s">
        <v>80</v>
      </c>
      <c r="G27" s="45">
        <f>IFERROR(INDEX('Pretax WACC Build'!$K$11:$K$105,MATCH(C27,'Pretax WACC Build'!$A$11:$A$105,0)),"")</f>
        <v>8.3741948700366969E-2</v>
      </c>
      <c r="H27" s="45" t="str">
        <f>IFERROR(INDEX('Pretax WACC Build'!$K$11:$K$105,MATCH(D27,'Pretax WACC Build'!$A$11:$A$105,0)),"")</f>
        <v/>
      </c>
      <c r="I27" s="45" t="str">
        <f>IFERROR(INDEX('Pretax WACC Build'!$K$11:$K$105,MATCH(E27,'Pretax WACC Build'!$A$11:$A$105,0)),"")</f>
        <v/>
      </c>
      <c r="K27" s="46">
        <f t="shared" si="0"/>
        <v>8.3741948700366969E-2</v>
      </c>
    </row>
  </sheetData>
  <phoneticPr fontId="17" type="noConversion"/>
  <conditionalFormatting sqref="G3:I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2893-7CA4-4678-9A8E-1F3D2B8D8E8B}">
  <dimension ref="A1:K105"/>
  <sheetViews>
    <sheetView tabSelected="1" workbookViewId="0"/>
  </sheetViews>
  <sheetFormatPr defaultRowHeight="15"/>
  <sheetData>
    <row r="1" spans="1:11">
      <c r="A1" t="s">
        <v>195</v>
      </c>
    </row>
    <row r="2" spans="1:11">
      <c r="A2" t="s">
        <v>196</v>
      </c>
    </row>
    <row r="3" spans="1:11">
      <c r="A3" t="s">
        <v>197</v>
      </c>
    </row>
    <row r="4" spans="1:11">
      <c r="A4" t="s">
        <v>198</v>
      </c>
    </row>
    <row r="5" spans="1:11">
      <c r="A5" t="s">
        <v>199</v>
      </c>
    </row>
    <row r="6" spans="1:11">
      <c r="A6" t="s">
        <v>200</v>
      </c>
    </row>
    <row r="7" spans="1:11">
      <c r="A7" t="s">
        <v>201</v>
      </c>
    </row>
    <row r="8" spans="1:11">
      <c r="A8" t="s">
        <v>202</v>
      </c>
    </row>
    <row r="9" spans="1:11">
      <c r="A9" t="s">
        <v>203</v>
      </c>
    </row>
    <row r="10" spans="1:11">
      <c r="A10" s="1" t="s">
        <v>39</v>
      </c>
      <c r="B10" s="1" t="s">
        <v>204</v>
      </c>
      <c r="C10" s="1" t="s">
        <v>205</v>
      </c>
      <c r="D10" s="1" t="s">
        <v>206</v>
      </c>
      <c r="E10" s="1" t="s">
        <v>207</v>
      </c>
      <c r="F10" s="1" t="s">
        <v>208</v>
      </c>
      <c r="G10" s="1" t="s">
        <v>43</v>
      </c>
      <c r="H10" s="1" t="s">
        <v>48</v>
      </c>
      <c r="I10" s="1" t="s">
        <v>209</v>
      </c>
      <c r="J10" s="1" t="s">
        <v>42</v>
      </c>
      <c r="K10" s="1" t="s">
        <v>210</v>
      </c>
    </row>
    <row r="11" spans="1:11">
      <c r="A11" t="s">
        <v>51</v>
      </c>
      <c r="B11">
        <v>1.6317379999999999</v>
      </c>
      <c r="C11">
        <v>1.3723259999999999</v>
      </c>
      <c r="D11">
        <v>1.337294</v>
      </c>
      <c r="E11">
        <v>1.210507</v>
      </c>
      <c r="F11">
        <f t="shared" ref="F11:F42" si="0">IF(COUNT(B11:E11)=0,"",AVERAGE(B11:E11))</f>
        <v>1.3879662499999998</v>
      </c>
      <c r="G11">
        <f>IFERROR(INDEX('NYU Data'!$E$20:$E$114,MATCH($A11,'NYU Data'!$A$20:$A$114,0)),"")</f>
        <v>0.71326642417939357</v>
      </c>
      <c r="H11">
        <f>IFERROR(INDEX('NYU Data'!$J$20:$J$114,MATCH($A11,'NYU Data'!$A$20:$A$114,0)),"")</f>
        <v>0.28673357582060643</v>
      </c>
      <c r="I11">
        <f>IFERROR(INDEX('NYU Data'!$G$20:$G$114,MATCH($A11,'NYU Data'!$A$20:$A$114,0)),"")</f>
        <v>5.2913000000000002E-2</v>
      </c>
      <c r="J11">
        <f>IF(F11="","",'NYU Data'!$D$9+F11*'NYU Data'!$D$10)</f>
        <v>0.10140329475</v>
      </c>
      <c r="K11">
        <f t="shared" ref="K11:K42" si="1">IF(OR(F11="",G11=""),"",G11*J11+H11*I11)</f>
        <v>8.7499499143737322E-2</v>
      </c>
    </row>
    <row r="12" spans="1:11">
      <c r="A12" t="s">
        <v>52</v>
      </c>
      <c r="B12">
        <v>1.4141820000000001</v>
      </c>
      <c r="C12">
        <v>1.0764050000000001</v>
      </c>
      <c r="D12">
        <v>0.90155300000000005</v>
      </c>
      <c r="E12">
        <v>0.94549099999999997</v>
      </c>
      <c r="F12">
        <f t="shared" si="0"/>
        <v>1.08440775</v>
      </c>
      <c r="G12">
        <f>IFERROR(INDEX('NYU Data'!$E$20:$E$114,MATCH($A12,'NYU Data'!$A$20:$A$114,0)),"")</f>
        <v>0.86533188033244401</v>
      </c>
      <c r="H12">
        <f>IFERROR(INDEX('NYU Data'!$J$20:$J$114,MATCH($A12,'NYU Data'!$A$20:$A$114,0)),"")</f>
        <v>0.13466811966755599</v>
      </c>
      <c r="I12">
        <f>IFERROR(INDEX('NYU Data'!$G$20:$G$114,MATCH($A12,'NYU Data'!$A$20:$A$114,0)),"")</f>
        <v>5.2913000000000002E-2</v>
      </c>
      <c r="J12">
        <f>IF(F12="","",'NYU Data'!$D$9+F12*'NYU Data'!$D$10)</f>
        <v>8.7864585649999993E-2</v>
      </c>
      <c r="K12">
        <f t="shared" si="1"/>
        <v>8.3157721331114959E-2</v>
      </c>
    </row>
    <row r="13" spans="1:11">
      <c r="A13" t="s">
        <v>53</v>
      </c>
      <c r="B13">
        <v>1.4159649999999999</v>
      </c>
      <c r="C13">
        <v>1.26684</v>
      </c>
      <c r="D13">
        <v>1.2360070000000001</v>
      </c>
      <c r="E13">
        <v>1.185465</v>
      </c>
      <c r="F13">
        <f t="shared" si="0"/>
        <v>1.2760692499999999</v>
      </c>
      <c r="G13">
        <f>IFERROR(INDEX('NYU Data'!$E$20:$E$114,MATCH($A13,'NYU Data'!$A$20:$A$114,0)),"")</f>
        <v>0.5230930742546499</v>
      </c>
      <c r="H13">
        <f>IFERROR(INDEX('NYU Data'!$J$20:$J$114,MATCH($A13,'NYU Data'!$A$20:$A$114,0)),"")</f>
        <v>0.4769069257453501</v>
      </c>
      <c r="I13">
        <f>IFERROR(INDEX('NYU Data'!$G$20:$G$114,MATCH($A13,'NYU Data'!$A$20:$A$114,0)),"")</f>
        <v>5.2913000000000002E-2</v>
      </c>
      <c r="J13">
        <f>IF(F13="","",'NYU Data'!$D$9+F13*'NYU Data'!$D$10)</f>
        <v>9.641268855E-2</v>
      </c>
      <c r="K13">
        <f t="shared" si="1"/>
        <v>7.5667385812739296E-2</v>
      </c>
    </row>
    <row r="14" spans="1:11">
      <c r="A14" t="s">
        <v>54</v>
      </c>
      <c r="B14">
        <v>1.324697</v>
      </c>
      <c r="C14">
        <v>1.1947000000000001</v>
      </c>
      <c r="D14">
        <v>0.990568</v>
      </c>
      <c r="E14">
        <v>0.93587399999999998</v>
      </c>
      <c r="F14">
        <f t="shared" si="0"/>
        <v>1.1114597500000001</v>
      </c>
      <c r="G14">
        <f>IFERROR(INDEX('NYU Data'!$E$20:$E$114,MATCH($A14,'NYU Data'!$A$20:$A$114,0)),"")</f>
        <v>0.76165943862519259</v>
      </c>
      <c r="H14">
        <f>IFERROR(INDEX('NYU Data'!$J$20:$J$114,MATCH($A14,'NYU Data'!$A$20:$A$114,0)),"")</f>
        <v>0.23834056137480741</v>
      </c>
      <c r="I14">
        <f>IFERROR(INDEX('NYU Data'!$G$20:$G$114,MATCH($A14,'NYU Data'!$A$20:$A$114,0)),"")</f>
        <v>5.2913000000000002E-2</v>
      </c>
      <c r="J14">
        <f>IF(F14="","",'NYU Data'!$D$9+F14*'NYU Data'!$D$10)</f>
        <v>8.9071104849999999E-2</v>
      </c>
      <c r="K14">
        <f t="shared" si="1"/>
        <v>8.0453161841801846E-2</v>
      </c>
    </row>
    <row r="15" spans="1:11">
      <c r="A15" t="s">
        <v>55</v>
      </c>
      <c r="B15">
        <v>1.5405979999999999</v>
      </c>
      <c r="C15">
        <v>1.522378</v>
      </c>
      <c r="D15">
        <v>1.615413</v>
      </c>
      <c r="E15">
        <v>1.456493</v>
      </c>
      <c r="F15">
        <f t="shared" si="0"/>
        <v>1.5337205</v>
      </c>
      <c r="G15">
        <f>IFERROR(INDEX('NYU Data'!$E$20:$E$114,MATCH($A15,'NYU Data'!$A$20:$A$114,0)),"")</f>
        <v>0.83545064476896913</v>
      </c>
      <c r="H15">
        <f>IFERROR(INDEX('NYU Data'!$J$20:$J$114,MATCH($A15,'NYU Data'!$A$20:$A$114,0)),"")</f>
        <v>0.16454935523103087</v>
      </c>
      <c r="I15">
        <f>IFERROR(INDEX('NYU Data'!$G$20:$G$114,MATCH($A15,'NYU Data'!$A$20:$A$114,0)),"")</f>
        <v>5.2913000000000002E-2</v>
      </c>
      <c r="J15">
        <f>IF(F15="","",'NYU Data'!$D$9+F15*'NYU Data'!$D$10)</f>
        <v>0.1079039343</v>
      </c>
      <c r="K15">
        <f t="shared" si="1"/>
        <v>9.8855211517383024E-2</v>
      </c>
    </row>
    <row r="16" spans="1:11">
      <c r="A16" t="s">
        <v>56</v>
      </c>
      <c r="B16">
        <v>1.473992</v>
      </c>
      <c r="C16">
        <v>1.344427</v>
      </c>
      <c r="D16">
        <v>1.2251240000000001</v>
      </c>
      <c r="E16">
        <v>1.3394459999999999</v>
      </c>
      <c r="F16">
        <f t="shared" si="0"/>
        <v>1.3457472499999998</v>
      </c>
      <c r="G16">
        <f>IFERROR(INDEX('NYU Data'!$E$20:$E$114,MATCH($A16,'NYU Data'!$A$20:$A$114,0)),"")</f>
        <v>0.70689360734933704</v>
      </c>
      <c r="H16">
        <f>IFERROR(INDEX('NYU Data'!$J$20:$J$114,MATCH($A16,'NYU Data'!$A$20:$A$114,0)),"")</f>
        <v>0.29310639265066296</v>
      </c>
      <c r="I16">
        <f>IFERROR(INDEX('NYU Data'!$G$20:$G$114,MATCH($A16,'NYU Data'!$A$20:$A$114,0)),"")</f>
        <v>5.2913000000000002E-2</v>
      </c>
      <c r="J16">
        <f>IF(F16="","",'NYU Data'!$D$9+F16*'NYU Data'!$D$10)</f>
        <v>9.9520327349999993E-2</v>
      </c>
      <c r="K16">
        <f t="shared" si="1"/>
        <v>8.5859421759352905E-2</v>
      </c>
    </row>
    <row r="17" spans="1:11">
      <c r="A17" t="s">
        <v>57</v>
      </c>
      <c r="B17">
        <v>1.0801019999999999</v>
      </c>
      <c r="C17">
        <v>1.0613760000000001</v>
      </c>
      <c r="D17">
        <v>0.87525299999999995</v>
      </c>
      <c r="E17">
        <v>0.761046</v>
      </c>
      <c r="F17">
        <f t="shared" si="0"/>
        <v>0.94444424999999999</v>
      </c>
      <c r="G17">
        <f>IFERROR(INDEX('NYU Data'!$E$20:$E$114,MATCH($A17,'NYU Data'!$A$20:$A$114,0)),"")</f>
        <v>0.37851594436467451</v>
      </c>
      <c r="H17">
        <f>IFERROR(INDEX('NYU Data'!$J$20:$J$114,MATCH($A17,'NYU Data'!$A$20:$A$114,0)),"")</f>
        <v>0.62148405563532549</v>
      </c>
      <c r="I17">
        <f>IFERROR(INDEX('NYU Data'!$G$20:$G$114,MATCH($A17,'NYU Data'!$A$20:$A$114,0)),"")</f>
        <v>4.7306000000000001E-2</v>
      </c>
      <c r="J17">
        <f>IF(F17="","",'NYU Data'!$D$9+F17*'NYU Data'!$D$10)</f>
        <v>8.1622213550000003E-2</v>
      </c>
      <c r="K17">
        <f t="shared" si="1"/>
        <v>6.0295233978898091E-2</v>
      </c>
    </row>
    <row r="18" spans="1:11">
      <c r="A18" t="s">
        <v>58</v>
      </c>
      <c r="B18">
        <v>0.50487400000000004</v>
      </c>
      <c r="C18">
        <v>0.46115800000000001</v>
      </c>
      <c r="D18">
        <v>0.51926099999999997</v>
      </c>
      <c r="E18">
        <v>0.39847700000000003</v>
      </c>
      <c r="F18">
        <f t="shared" si="0"/>
        <v>0.47094249999999999</v>
      </c>
      <c r="G18">
        <f>IFERROR(INDEX('NYU Data'!$E$20:$E$114,MATCH($A18,'NYU Data'!$A$20:$A$114,0)),"")</f>
        <v>0.65745228553598767</v>
      </c>
      <c r="H18">
        <f>IFERROR(INDEX('NYU Data'!$J$20:$J$114,MATCH($A18,'NYU Data'!$A$20:$A$114,0)),"")</f>
        <v>0.34254771446401233</v>
      </c>
      <c r="I18">
        <f>IFERROR(INDEX('NYU Data'!$G$20:$G$114,MATCH($A18,'NYU Data'!$A$20:$A$114,0)),"")</f>
        <v>4.7306000000000001E-2</v>
      </c>
      <c r="J18">
        <f>IF(F18="","",'NYU Data'!$D$9+F18*'NYU Data'!$D$10)</f>
        <v>6.0504035499999997E-2</v>
      </c>
      <c r="K18">
        <f t="shared" si="1"/>
        <v>5.5983078604060099E-2</v>
      </c>
    </row>
    <row r="19" spans="1:11">
      <c r="A19" t="s">
        <v>59</v>
      </c>
      <c r="B19">
        <v>1.012974</v>
      </c>
      <c r="C19">
        <v>1.1318349999999999</v>
      </c>
      <c r="D19">
        <v>0.61029800000000001</v>
      </c>
      <c r="E19">
        <v>0.81247599999999998</v>
      </c>
      <c r="F19">
        <f t="shared" si="0"/>
        <v>0.89189574999999999</v>
      </c>
      <c r="G19">
        <f>IFERROR(INDEX('NYU Data'!$E$20:$E$114,MATCH($A19,'NYU Data'!$A$20:$A$114,0)),"")</f>
        <v>0.69764972142048753</v>
      </c>
      <c r="H19">
        <f>IFERROR(INDEX('NYU Data'!$J$20:$J$114,MATCH($A19,'NYU Data'!$A$20:$A$114,0)),"")</f>
        <v>0.30235027857951247</v>
      </c>
      <c r="I19">
        <f>IFERROR(INDEX('NYU Data'!$G$20:$G$114,MATCH($A19,'NYU Data'!$A$20:$A$114,0)),"")</f>
        <v>5.2913000000000002E-2</v>
      </c>
      <c r="J19">
        <f>IF(F19="","",'NYU Data'!$D$9+F19*'NYU Data'!$D$10)</f>
        <v>7.9278550449999999E-2</v>
      </c>
      <c r="K19">
        <f t="shared" si="1"/>
        <v>7.1306918926540314E-2</v>
      </c>
    </row>
    <row r="20" spans="1:11">
      <c r="A20" t="s">
        <v>60</v>
      </c>
      <c r="B20">
        <v>1.3034429999999999</v>
      </c>
      <c r="C20">
        <v>0.76414599999999999</v>
      </c>
      <c r="D20">
        <v>0.56776599999999999</v>
      </c>
      <c r="E20">
        <v>0.64146899999999996</v>
      </c>
      <c r="F20">
        <f t="shared" si="0"/>
        <v>0.81920599999999988</v>
      </c>
      <c r="G20">
        <f>IFERROR(INDEX('NYU Data'!$E$20:$E$114,MATCH($A20,'NYU Data'!$A$20:$A$114,0)),"")</f>
        <v>0.82927597261423158</v>
      </c>
      <c r="H20">
        <f>IFERROR(INDEX('NYU Data'!$J$20:$J$114,MATCH($A20,'NYU Data'!$A$20:$A$114,0)),"")</f>
        <v>0.17072402738576842</v>
      </c>
      <c r="I20">
        <f>IFERROR(INDEX('NYU Data'!$G$20:$G$114,MATCH($A20,'NYU Data'!$A$20:$A$114,0)),"")</f>
        <v>5.2913000000000002E-2</v>
      </c>
      <c r="J20">
        <f>IF(F20="","",'NYU Data'!$D$9+F20*'NYU Data'!$D$10)</f>
        <v>7.6036587599999997E-2</v>
      </c>
      <c r="K20">
        <f t="shared" si="1"/>
        <v>7.2088835597320378E-2</v>
      </c>
    </row>
    <row r="21" spans="1:11">
      <c r="A21" t="s">
        <v>61</v>
      </c>
      <c r="B21">
        <v>1.3220590000000001</v>
      </c>
      <c r="C21">
        <v>1.060924</v>
      </c>
      <c r="D21">
        <v>0.91752400000000001</v>
      </c>
      <c r="E21">
        <v>0.470752</v>
      </c>
      <c r="F21">
        <f t="shared" si="0"/>
        <v>0.94281475000000015</v>
      </c>
      <c r="G21">
        <f>IFERROR(INDEX('NYU Data'!$E$20:$E$114,MATCH($A21,'NYU Data'!$A$20:$A$114,0)),"")</f>
        <v>0.53805591362114591</v>
      </c>
      <c r="H21">
        <f>IFERROR(INDEX('NYU Data'!$J$20:$J$114,MATCH($A21,'NYU Data'!$A$20:$A$114,0)),"")</f>
        <v>0.46194408637885409</v>
      </c>
      <c r="I21">
        <f>IFERROR(INDEX('NYU Data'!$G$20:$G$114,MATCH($A21,'NYU Data'!$A$20:$A$114,0)),"")</f>
        <v>5.2913000000000002E-2</v>
      </c>
      <c r="J21">
        <f>IF(F21="","",'NYU Data'!$D$9+F21*'NYU Data'!$D$10)</f>
        <v>8.1549537850000006E-2</v>
      </c>
      <c r="K21">
        <f t="shared" si="1"/>
        <v>6.8321058535828288E-2</v>
      </c>
    </row>
    <row r="22" spans="1:11">
      <c r="A22" t="s">
        <v>62</v>
      </c>
      <c r="B22">
        <v>1.2048080000000001</v>
      </c>
      <c r="C22">
        <v>1.1203259999999999</v>
      </c>
      <c r="D22">
        <v>0.95226699999999997</v>
      </c>
      <c r="E22">
        <v>1.171457</v>
      </c>
      <c r="F22">
        <f t="shared" si="0"/>
        <v>1.1122145000000001</v>
      </c>
      <c r="G22">
        <f>IFERROR(INDEX('NYU Data'!$E$20:$E$114,MATCH($A22,'NYU Data'!$A$20:$A$114,0)),"")</f>
        <v>0.42449573823876963</v>
      </c>
      <c r="H22">
        <f>IFERROR(INDEX('NYU Data'!$J$20:$J$114,MATCH($A22,'NYU Data'!$A$20:$A$114,0)),"")</f>
        <v>0.57550426176123037</v>
      </c>
      <c r="I22">
        <f>IFERROR(INDEX('NYU Data'!$G$20:$G$114,MATCH($A22,'NYU Data'!$A$20:$A$114,0)),"")</f>
        <v>5.0671999999999995E-2</v>
      </c>
      <c r="J22">
        <f>IF(F22="","",'NYU Data'!$D$9+F22*'NYU Data'!$D$10)</f>
        <v>8.9104766700000004E-2</v>
      </c>
      <c r="K22">
        <f t="shared" si="1"/>
        <v>6.6986545672874903E-2</v>
      </c>
    </row>
    <row r="23" spans="1:11">
      <c r="A23" t="s">
        <v>63</v>
      </c>
      <c r="B23">
        <v>1.27728</v>
      </c>
      <c r="C23">
        <v>1.3177989999999999</v>
      </c>
      <c r="D23">
        <v>1.359883</v>
      </c>
      <c r="E23">
        <v>1.111532</v>
      </c>
      <c r="F23">
        <f t="shared" si="0"/>
        <v>1.2666235000000001</v>
      </c>
      <c r="G23">
        <f>IFERROR(INDEX('NYU Data'!$E$20:$E$114,MATCH($A23,'NYU Data'!$A$20:$A$114,0)),"")</f>
        <v>0.79366147706163681</v>
      </c>
      <c r="H23">
        <f>IFERROR(INDEX('NYU Data'!$J$20:$J$114,MATCH($A23,'NYU Data'!$A$20:$A$114,0)),"")</f>
        <v>0.20633852293836319</v>
      </c>
      <c r="I23">
        <f>IFERROR(INDEX('NYU Data'!$G$20:$G$114,MATCH($A23,'NYU Data'!$A$20:$A$114,0)),"")</f>
        <v>5.0671999999999995E-2</v>
      </c>
      <c r="J23">
        <f>IF(F23="","",'NYU Data'!$D$9+F23*'NYU Data'!$D$10)</f>
        <v>9.5991408100000009E-2</v>
      </c>
      <c r="K23">
        <f t="shared" si="1"/>
        <v>8.664026837220512E-2</v>
      </c>
    </row>
    <row r="24" spans="1:11">
      <c r="A24" t="s">
        <v>64</v>
      </c>
      <c r="B24">
        <v>1.17092</v>
      </c>
      <c r="C24">
        <v>1.0221020000000001</v>
      </c>
      <c r="D24">
        <v>1.0038499999999999</v>
      </c>
      <c r="E24">
        <v>0.88797899999999996</v>
      </c>
      <c r="F24">
        <f t="shared" si="0"/>
        <v>1.0212127499999999</v>
      </c>
      <c r="G24">
        <f>IFERROR(INDEX('NYU Data'!$E$20:$E$114,MATCH($A24,'NYU Data'!$A$20:$A$114,0)),"")</f>
        <v>0.83530953528892349</v>
      </c>
      <c r="H24">
        <f>IFERROR(INDEX('NYU Data'!$J$20:$J$114,MATCH($A24,'NYU Data'!$A$20:$A$114,0)),"")</f>
        <v>0.16469046471107651</v>
      </c>
      <c r="I24">
        <f>IFERROR(INDEX('NYU Data'!$G$20:$G$114,MATCH($A24,'NYU Data'!$A$20:$A$114,0)),"")</f>
        <v>5.0671999999999995E-2</v>
      </c>
      <c r="J24">
        <f>IF(F24="","",'NYU Data'!$D$9+F24*'NYU Data'!$D$10)</f>
        <v>8.504608864999999E-2</v>
      </c>
      <c r="K24">
        <f t="shared" si="1"/>
        <v>7.9385004016211749E-2</v>
      </c>
    </row>
    <row r="25" spans="1:11">
      <c r="A25" t="s">
        <v>65</v>
      </c>
      <c r="B25">
        <v>1.2551639999999999</v>
      </c>
      <c r="C25">
        <v>1.2767980000000001</v>
      </c>
      <c r="D25">
        <v>0.960511</v>
      </c>
      <c r="E25">
        <v>0.74074399999999996</v>
      </c>
      <c r="F25">
        <f t="shared" si="0"/>
        <v>1.0583042499999999</v>
      </c>
      <c r="G25">
        <f>IFERROR(INDEX('NYU Data'!$E$20:$E$114,MATCH($A25,'NYU Data'!$A$20:$A$114,0)),"")</f>
        <v>0.40495756914925196</v>
      </c>
      <c r="H25">
        <f>IFERROR(INDEX('NYU Data'!$J$20:$J$114,MATCH($A25,'NYU Data'!$A$20:$A$114,0)),"")</f>
        <v>0.59504243085074804</v>
      </c>
      <c r="I25">
        <f>IFERROR(INDEX('NYU Data'!$G$20:$G$114,MATCH($A25,'NYU Data'!$A$20:$A$114,0)),"")</f>
        <v>5.0671999999999995E-2</v>
      </c>
      <c r="J25">
        <f>IF(F25="","",'NYU Data'!$D$9+F25*'NYU Data'!$D$10)</f>
        <v>8.6700369549999989E-2</v>
      </c>
      <c r="K25">
        <f t="shared" si="1"/>
        <v>6.5261960953378925E-2</v>
      </c>
    </row>
    <row r="26" spans="1:11">
      <c r="A26" t="s">
        <v>66</v>
      </c>
      <c r="B26">
        <v>1.247101</v>
      </c>
      <c r="C26">
        <v>1.0962670000000001</v>
      </c>
      <c r="D26">
        <v>1.1476869999999999</v>
      </c>
      <c r="E26">
        <v>1.0122469999999999</v>
      </c>
      <c r="F26">
        <f t="shared" si="0"/>
        <v>1.1258254999999999</v>
      </c>
      <c r="G26">
        <f>IFERROR(INDEX('NYU Data'!$E$20:$E$114,MATCH($A26,'NYU Data'!$A$20:$A$114,0)),"")</f>
        <v>0.50162029462192392</v>
      </c>
      <c r="H26">
        <f>IFERROR(INDEX('NYU Data'!$J$20:$J$114,MATCH($A26,'NYU Data'!$A$20:$A$114,0)),"")</f>
        <v>0.49837970537807608</v>
      </c>
      <c r="I26">
        <f>IFERROR(INDEX('NYU Data'!$G$20:$G$114,MATCH($A26,'NYU Data'!$A$20:$A$114,0)),"")</f>
        <v>5.2913000000000002E-2</v>
      </c>
      <c r="J26">
        <f>IF(F26="","",'NYU Data'!$D$9+F26*'NYU Data'!$D$10)</f>
        <v>8.9711817299999996E-2</v>
      </c>
      <c r="K26">
        <f t="shared" si="1"/>
        <v>7.1372033575764354E-2</v>
      </c>
    </row>
    <row r="27" spans="1:11">
      <c r="A27" t="s">
        <v>67</v>
      </c>
      <c r="B27">
        <v>1.4125909999999999</v>
      </c>
      <c r="C27">
        <v>1.1332800000000001</v>
      </c>
      <c r="D27">
        <v>0.99413899999999999</v>
      </c>
      <c r="E27">
        <v>0.85070299999999999</v>
      </c>
      <c r="F27">
        <f t="shared" si="0"/>
        <v>1.09767825</v>
      </c>
      <c r="G27">
        <f>IFERROR(INDEX('NYU Data'!$E$20:$E$114,MATCH($A27,'NYU Data'!$A$20:$A$114,0)),"")</f>
        <v>0.36217451038972182</v>
      </c>
      <c r="H27">
        <f>IFERROR(INDEX('NYU Data'!$J$20:$J$114,MATCH($A27,'NYU Data'!$A$20:$A$114,0)),"")</f>
        <v>0.63782548961027818</v>
      </c>
      <c r="I27">
        <f>IFERROR(INDEX('NYU Data'!$G$20:$G$114,MATCH($A27,'NYU Data'!$A$20:$A$114,0)),"")</f>
        <v>5.0671999999999995E-2</v>
      </c>
      <c r="J27">
        <f>IF(F27="","",'NYU Data'!$D$9+F27*'NYU Data'!$D$10)</f>
        <v>8.8456449950000002E-2</v>
      </c>
      <c r="K27">
        <f t="shared" si="1"/>
        <v>6.4356564660986187E-2</v>
      </c>
    </row>
    <row r="28" spans="1:11">
      <c r="A28" t="s">
        <v>68</v>
      </c>
      <c r="B28">
        <v>1.2772950000000001</v>
      </c>
      <c r="C28">
        <v>1.087383</v>
      </c>
      <c r="D28">
        <v>0.92154899999999995</v>
      </c>
      <c r="E28">
        <v>0.96978299999999995</v>
      </c>
      <c r="F28">
        <f t="shared" si="0"/>
        <v>1.0640025</v>
      </c>
      <c r="G28">
        <f>IFERROR(INDEX('NYU Data'!$E$20:$E$114,MATCH($A28,'NYU Data'!$A$20:$A$114,0)),"")</f>
        <v>0.76992392360340145</v>
      </c>
      <c r="H28">
        <f>IFERROR(INDEX('NYU Data'!$J$20:$J$114,MATCH($A28,'NYU Data'!$A$20:$A$114,0)),"")</f>
        <v>0.23007607639659855</v>
      </c>
      <c r="I28">
        <f>IFERROR(INDEX('NYU Data'!$G$20:$G$114,MATCH($A28,'NYU Data'!$A$20:$A$114,0)),"")</f>
        <v>5.0671999999999995E-2</v>
      </c>
      <c r="J28">
        <f>IF(F28="","",'NYU Data'!$D$9+F28*'NYU Data'!$D$10)</f>
        <v>8.6954511499999998E-2</v>
      </c>
      <c r="K28">
        <f t="shared" si="1"/>
        <v>7.8606773612265535E-2</v>
      </c>
    </row>
    <row r="29" spans="1:11">
      <c r="A29" t="s">
        <v>69</v>
      </c>
      <c r="B29">
        <v>1.4521790000000001</v>
      </c>
      <c r="C29">
        <v>1.2707580000000001</v>
      </c>
      <c r="D29">
        <v>1.1820630000000001</v>
      </c>
      <c r="E29">
        <v>1.0709930000000001</v>
      </c>
      <c r="F29">
        <f t="shared" si="0"/>
        <v>1.2439982500000002</v>
      </c>
      <c r="G29">
        <f>IFERROR(INDEX('NYU Data'!$E$20:$E$114,MATCH($A29,'NYU Data'!$A$20:$A$114,0)),"")</f>
        <v>0.93333222184603304</v>
      </c>
      <c r="H29">
        <f>IFERROR(INDEX('NYU Data'!$J$20:$J$114,MATCH($A29,'NYU Data'!$A$20:$A$114,0)),"")</f>
        <v>6.6667778153966961E-2</v>
      </c>
      <c r="I29">
        <f>IFERROR(INDEX('NYU Data'!$G$20:$G$114,MATCH($A29,'NYU Data'!$A$20:$A$114,0)),"")</f>
        <v>5.2913000000000002E-2</v>
      </c>
      <c r="J29">
        <f>IF(F29="","",'NYU Data'!$D$9+F29*'NYU Data'!$D$10)</f>
        <v>9.4982321950000004E-2</v>
      </c>
      <c r="K29">
        <f t="shared" si="1"/>
        <v>9.2177653727149589E-2</v>
      </c>
    </row>
    <row r="30" spans="1:11">
      <c r="A30" t="s">
        <v>70</v>
      </c>
      <c r="B30">
        <v>1.171387</v>
      </c>
      <c r="C30">
        <v>0.99732399999999999</v>
      </c>
      <c r="D30">
        <v>1.234461</v>
      </c>
      <c r="E30">
        <v>1.0878559999999999</v>
      </c>
      <c r="F30">
        <f t="shared" si="0"/>
        <v>1.122757</v>
      </c>
      <c r="G30">
        <f>IFERROR(INDEX('NYU Data'!$E$20:$E$114,MATCH($A30,'NYU Data'!$A$20:$A$114,0)),"")</f>
        <v>0.79935972823036783</v>
      </c>
      <c r="H30">
        <f>IFERROR(INDEX('NYU Data'!$J$20:$J$114,MATCH($A30,'NYU Data'!$A$20:$A$114,0)),"")</f>
        <v>0.20064027176963217</v>
      </c>
      <c r="I30">
        <f>IFERROR(INDEX('NYU Data'!$G$20:$G$114,MATCH($A30,'NYU Data'!$A$20:$A$114,0)),"")</f>
        <v>5.2913000000000002E-2</v>
      </c>
      <c r="J30">
        <f>IF(F30="","",'NYU Data'!$D$9+F30*'NYU Data'!$D$10)</f>
        <v>8.9574962199999997E-2</v>
      </c>
      <c r="K30">
        <f t="shared" si="1"/>
        <v>8.2219096140584022E-2</v>
      </c>
    </row>
    <row r="31" spans="1:11">
      <c r="A31" t="s">
        <v>71</v>
      </c>
      <c r="B31">
        <v>1.291086</v>
      </c>
      <c r="C31">
        <v>1.132922</v>
      </c>
      <c r="D31">
        <v>1.1422460000000001</v>
      </c>
      <c r="E31">
        <v>1.3503289999999999</v>
      </c>
      <c r="F31">
        <f t="shared" si="0"/>
        <v>1.2291457499999998</v>
      </c>
      <c r="G31">
        <f>IFERROR(INDEX('NYU Data'!$E$20:$E$114,MATCH($A31,'NYU Data'!$A$20:$A$114,0)),"")</f>
        <v>0.95579689621950636</v>
      </c>
      <c r="H31">
        <f>IFERROR(INDEX('NYU Data'!$J$20:$J$114,MATCH($A31,'NYU Data'!$A$20:$A$114,0)),"")</f>
        <v>4.4203103780493636E-2</v>
      </c>
      <c r="I31">
        <f>IFERROR(INDEX('NYU Data'!$G$20:$G$114,MATCH($A31,'NYU Data'!$A$20:$A$114,0)),"")</f>
        <v>5.2913000000000002E-2</v>
      </c>
      <c r="J31">
        <f>IF(F31="","",'NYU Data'!$D$9+F31*'NYU Data'!$D$10)</f>
        <v>9.4319900449999994E-2</v>
      </c>
      <c r="K31">
        <f t="shared" si="1"/>
        <v>9.2489586932180068E-2</v>
      </c>
    </row>
    <row r="32" spans="1:11">
      <c r="A32" t="s">
        <v>72</v>
      </c>
      <c r="B32">
        <v>1.2643960000000001</v>
      </c>
      <c r="C32">
        <v>1.1279619999999999</v>
      </c>
      <c r="D32">
        <v>1.2936369999999999</v>
      </c>
      <c r="E32">
        <v>1.1503559999999999</v>
      </c>
      <c r="F32">
        <f t="shared" si="0"/>
        <v>1.2090877499999999</v>
      </c>
      <c r="G32">
        <f>IFERROR(INDEX('NYU Data'!$E$20:$E$114,MATCH($A32,'NYU Data'!$A$20:$A$114,0)),"")</f>
        <v>0.85018145475128581</v>
      </c>
      <c r="H32">
        <f>IFERROR(INDEX('NYU Data'!$J$20:$J$114,MATCH($A32,'NYU Data'!$A$20:$A$114,0)),"")</f>
        <v>0.14981854524871419</v>
      </c>
      <c r="I32">
        <f>IFERROR(INDEX('NYU Data'!$G$20:$G$114,MATCH($A32,'NYU Data'!$A$20:$A$114,0)),"")</f>
        <v>5.0671999999999995E-2</v>
      </c>
      <c r="J32">
        <f>IF(F32="","",'NYU Data'!$D$9+F32*'NYU Data'!$D$10)</f>
        <v>9.3425313649999994E-2</v>
      </c>
      <c r="K32">
        <f t="shared" si="1"/>
        <v>8.7020074394395006E-2</v>
      </c>
    </row>
    <row r="33" spans="1:11">
      <c r="A33" t="s">
        <v>73</v>
      </c>
      <c r="B33">
        <v>1.0382279999999999</v>
      </c>
      <c r="C33">
        <v>1.1948540000000001</v>
      </c>
      <c r="D33">
        <v>1.089996</v>
      </c>
      <c r="E33">
        <v>0.88095500000000004</v>
      </c>
      <c r="F33">
        <f t="shared" si="0"/>
        <v>1.05100825</v>
      </c>
      <c r="G33">
        <f>IFERROR(INDEX('NYU Data'!$E$20:$E$114,MATCH($A33,'NYU Data'!$A$20:$A$114,0)),"")</f>
        <v>0.86540598442853023</v>
      </c>
      <c r="H33">
        <f>IFERROR(INDEX('NYU Data'!$J$20:$J$114,MATCH($A33,'NYU Data'!$A$20:$A$114,0)),"")</f>
        <v>0.13459401557146977</v>
      </c>
      <c r="I33">
        <f>IFERROR(INDEX('NYU Data'!$G$20:$G$114,MATCH($A33,'NYU Data'!$A$20:$A$114,0)),"")</f>
        <v>4.7306000000000001E-2</v>
      </c>
      <c r="J33">
        <f>IF(F33="","",'NYU Data'!$D$9+F33*'NYU Data'!$D$10)</f>
        <v>8.6374967949999992E-2</v>
      </c>
      <c r="K33">
        <f t="shared" si="1"/>
        <v>8.1116518669376428E-2</v>
      </c>
    </row>
    <row r="34" spans="1:11">
      <c r="A34" t="s">
        <v>74</v>
      </c>
      <c r="B34">
        <v>1.2417419999999999</v>
      </c>
      <c r="C34">
        <v>1.1233550000000001</v>
      </c>
      <c r="D34">
        <v>1.2519480000000001</v>
      </c>
      <c r="E34">
        <v>1.135265</v>
      </c>
      <c r="F34">
        <f t="shared" si="0"/>
        <v>1.1880774999999999</v>
      </c>
      <c r="G34">
        <f>IFERROR(INDEX('NYU Data'!$E$20:$E$114,MATCH($A34,'NYU Data'!$A$20:$A$114,0)),"")</f>
        <v>0.88464406300874721</v>
      </c>
      <c r="H34">
        <f>IFERROR(INDEX('NYU Data'!$J$20:$J$114,MATCH($A34,'NYU Data'!$A$20:$A$114,0)),"")</f>
        <v>0.11535593699125279</v>
      </c>
      <c r="I34">
        <f>IFERROR(INDEX('NYU Data'!$G$20:$G$114,MATCH($A34,'NYU Data'!$A$20:$A$114,0)),"")</f>
        <v>6.0194999999999999E-2</v>
      </c>
      <c r="J34">
        <f>IF(F34="","",'NYU Data'!$D$9+F34*'NYU Data'!$D$10)</f>
        <v>9.2488256500000005E-2</v>
      </c>
      <c r="K34">
        <f t="shared" si="1"/>
        <v>8.8763037637943631E-2</v>
      </c>
    </row>
    <row r="35" spans="1:11">
      <c r="A35" t="s">
        <v>75</v>
      </c>
      <c r="B35">
        <v>1.268006</v>
      </c>
      <c r="C35">
        <v>1.0269619999999999</v>
      </c>
      <c r="D35">
        <v>1.0737969999999999</v>
      </c>
      <c r="E35">
        <v>0.98283299999999996</v>
      </c>
      <c r="F35">
        <f t="shared" si="0"/>
        <v>1.0878995</v>
      </c>
      <c r="G35">
        <f>IFERROR(INDEX('NYU Data'!$E$20:$E$114,MATCH($A35,'NYU Data'!$A$20:$A$114,0)),"")</f>
        <v>0.87307973621673463</v>
      </c>
      <c r="H35">
        <f>IFERROR(INDEX('NYU Data'!$J$20:$J$114,MATCH($A35,'NYU Data'!$A$20:$A$114,0)),"")</f>
        <v>0.12692026378326537</v>
      </c>
      <c r="I35">
        <f>IFERROR(INDEX('NYU Data'!$G$20:$G$114,MATCH($A35,'NYU Data'!$A$20:$A$114,0)),"")</f>
        <v>6.0194999999999999E-2</v>
      </c>
      <c r="J35">
        <f>IF(F35="","",'NYU Data'!$D$9+F35*'NYU Data'!$D$10)</f>
        <v>8.8020317700000003E-2</v>
      </c>
      <c r="K35">
        <f t="shared" si="1"/>
        <v>8.4488721037662848E-2</v>
      </c>
    </row>
    <row r="36" spans="1:11">
      <c r="A36" t="s">
        <v>76</v>
      </c>
      <c r="B36">
        <v>1.1008290000000001</v>
      </c>
      <c r="C36">
        <v>1.2251860000000001</v>
      </c>
      <c r="D36">
        <v>0.98317200000000005</v>
      </c>
      <c r="E36">
        <v>0.78090599999999999</v>
      </c>
      <c r="F36">
        <f t="shared" si="0"/>
        <v>1.0225232500000001</v>
      </c>
      <c r="G36">
        <f>IFERROR(INDEX('NYU Data'!$E$20:$E$114,MATCH($A36,'NYU Data'!$A$20:$A$114,0)),"")</f>
        <v>0.803996597945147</v>
      </c>
      <c r="H36">
        <f>IFERROR(INDEX('NYU Data'!$J$20:$J$114,MATCH($A36,'NYU Data'!$A$20:$A$114,0)),"")</f>
        <v>0.196003402054853</v>
      </c>
      <c r="I36">
        <f>IFERROR(INDEX('NYU Data'!$G$20:$G$114,MATCH($A36,'NYU Data'!$A$20:$A$114,0)),"")</f>
        <v>5.2913000000000002E-2</v>
      </c>
      <c r="J36">
        <f>IF(F36="","",'NYU Data'!$D$9+F36*'NYU Data'!$D$10)</f>
        <v>8.5104536950000004E-2</v>
      </c>
      <c r="K36">
        <f t="shared" si="1"/>
        <v>7.8794886190425503E-2</v>
      </c>
    </row>
    <row r="37" spans="1:11">
      <c r="A37" t="s">
        <v>77</v>
      </c>
      <c r="B37">
        <v>1.589669</v>
      </c>
      <c r="C37">
        <v>1.2410540000000001</v>
      </c>
      <c r="D37">
        <v>1.2697510000000001</v>
      </c>
      <c r="E37">
        <v>1.2511239999999999</v>
      </c>
      <c r="F37">
        <f t="shared" si="0"/>
        <v>1.3378995</v>
      </c>
      <c r="G37">
        <f>IFERROR(INDEX('NYU Data'!$E$20:$E$114,MATCH($A37,'NYU Data'!$A$20:$A$114,0)),"")</f>
        <v>0.89283140312053133</v>
      </c>
      <c r="H37">
        <f>IFERROR(INDEX('NYU Data'!$J$20:$J$114,MATCH($A37,'NYU Data'!$A$20:$A$114,0)),"")</f>
        <v>0.10716859687946867</v>
      </c>
      <c r="I37">
        <f>IFERROR(INDEX('NYU Data'!$G$20:$G$114,MATCH($A37,'NYU Data'!$A$20:$A$114,0)),"")</f>
        <v>6.0194999999999999E-2</v>
      </c>
      <c r="J37">
        <f>IF(F37="","",'NYU Data'!$D$9+F37*'NYU Data'!$D$10)</f>
        <v>9.917031770000001E-2</v>
      </c>
      <c r="K37">
        <f t="shared" si="1"/>
        <v>9.4993387589159484E-2</v>
      </c>
    </row>
    <row r="38" spans="1:11">
      <c r="A38" t="s">
        <v>78</v>
      </c>
      <c r="B38">
        <v>1.5389189999999999</v>
      </c>
      <c r="C38">
        <v>1.2951790000000001</v>
      </c>
      <c r="D38">
        <v>0.91963499999999998</v>
      </c>
      <c r="E38">
        <v>0.86597800000000003</v>
      </c>
      <c r="F38">
        <f t="shared" si="0"/>
        <v>1.1549277499999999</v>
      </c>
      <c r="G38">
        <f>IFERROR(INDEX('NYU Data'!$E$20:$E$114,MATCH($A38,'NYU Data'!$A$20:$A$114,0)),"")</f>
        <v>0.94514104725576553</v>
      </c>
      <c r="H38">
        <f>IFERROR(INDEX('NYU Data'!$J$20:$J$114,MATCH($A38,'NYU Data'!$A$20:$A$114,0)),"")</f>
        <v>5.4858952744234468E-2</v>
      </c>
      <c r="I38">
        <f>IFERROR(INDEX('NYU Data'!$G$20:$G$114,MATCH($A38,'NYU Data'!$A$20:$A$114,0)),"")</f>
        <v>6.0194999999999999E-2</v>
      </c>
      <c r="J38">
        <f>IF(F38="","",'NYU Data'!$D$9+F38*'NYU Data'!$D$10)</f>
        <v>9.1009777649999998E-2</v>
      </c>
      <c r="K38">
        <f t="shared" si="1"/>
        <v>8.9319311219074549E-2</v>
      </c>
    </row>
    <row r="39" spans="1:11">
      <c r="A39" t="s">
        <v>79</v>
      </c>
      <c r="B39">
        <v>1.2012529999999999</v>
      </c>
      <c r="C39">
        <v>0.93395499999999998</v>
      </c>
      <c r="D39">
        <v>1.0582320000000001</v>
      </c>
      <c r="E39">
        <v>0.97147700000000003</v>
      </c>
      <c r="F39">
        <f t="shared" si="0"/>
        <v>1.04122925</v>
      </c>
      <c r="G39">
        <f>IFERROR(INDEX('NYU Data'!$E$20:$E$114,MATCH($A39,'NYU Data'!$A$20:$A$114,0)),"")</f>
        <v>0.90080541162666683</v>
      </c>
      <c r="H39">
        <f>IFERROR(INDEX('NYU Data'!$J$20:$J$114,MATCH($A39,'NYU Data'!$A$20:$A$114,0)),"")</f>
        <v>9.919458837333317E-2</v>
      </c>
      <c r="I39">
        <f>IFERROR(INDEX('NYU Data'!$G$20:$G$114,MATCH($A39,'NYU Data'!$A$20:$A$114,0)),"")</f>
        <v>5.2913000000000002E-2</v>
      </c>
      <c r="J39">
        <f>IF(F39="","",'NYU Data'!$D$9+F39*'NYU Data'!$D$10)</f>
        <v>8.5938824550000001E-2</v>
      </c>
      <c r="K39">
        <f t="shared" si="1"/>
        <v>8.2662841478072832E-2</v>
      </c>
    </row>
    <row r="40" spans="1:11">
      <c r="A40" t="s">
        <v>80</v>
      </c>
      <c r="B40">
        <v>1.1967639999999999</v>
      </c>
      <c r="C40">
        <v>0.96064400000000005</v>
      </c>
      <c r="D40">
        <v>0.98791499999999999</v>
      </c>
      <c r="E40">
        <v>1.209972</v>
      </c>
      <c r="F40">
        <f t="shared" si="0"/>
        <v>1.08882375</v>
      </c>
      <c r="G40">
        <f>IFERROR(INDEX('NYU Data'!$E$20:$E$114,MATCH($A40,'NYU Data'!$A$20:$A$114,0)),"")</f>
        <v>0.87710469220614817</v>
      </c>
      <c r="H40">
        <f>IFERROR(INDEX('NYU Data'!$J$20:$J$114,MATCH($A40,'NYU Data'!$A$20:$A$114,0)),"")</f>
        <v>0.12289530779385183</v>
      </c>
      <c r="I40">
        <f>IFERROR(INDEX('NYU Data'!$G$20:$G$114,MATCH($A40,'NYU Data'!$A$20:$A$114,0)),"")</f>
        <v>5.2913000000000002E-2</v>
      </c>
      <c r="J40">
        <f>IF(F40="","",'NYU Data'!$D$9+F40*'NYU Data'!$D$10)</f>
        <v>8.8061539250000001E-2</v>
      </c>
      <c r="K40">
        <f t="shared" si="1"/>
        <v>8.3741948700366969E-2</v>
      </c>
    </row>
    <row r="41" spans="1:11">
      <c r="A41" t="s">
        <v>81</v>
      </c>
      <c r="B41">
        <v>1.4497949999999999</v>
      </c>
      <c r="C41">
        <v>0.99455899999999997</v>
      </c>
      <c r="D41">
        <v>1.0409090000000001</v>
      </c>
      <c r="E41">
        <v>0.82516999999999996</v>
      </c>
      <c r="F41">
        <f t="shared" si="0"/>
        <v>1.0776082499999999</v>
      </c>
      <c r="G41">
        <f>IFERROR(INDEX('NYU Data'!$E$20:$E$114,MATCH($A41,'NYU Data'!$A$20:$A$114,0)),"")</f>
        <v>0.86270959003227576</v>
      </c>
      <c r="H41">
        <f>IFERROR(INDEX('NYU Data'!$J$20:$J$114,MATCH($A41,'NYU Data'!$A$20:$A$114,0)),"")</f>
        <v>0.13729040996772424</v>
      </c>
      <c r="I41">
        <f>IFERROR(INDEX('NYU Data'!$G$20:$G$114,MATCH($A41,'NYU Data'!$A$20:$A$114,0)),"")</f>
        <v>5.2913000000000002E-2</v>
      </c>
      <c r="J41">
        <f>IF(F41="","",'NYU Data'!$D$9+F41*'NYU Data'!$D$10)</f>
        <v>8.756132794999999E-2</v>
      </c>
      <c r="K41">
        <f t="shared" si="1"/>
        <v>8.2804444801048344E-2</v>
      </c>
    </row>
    <row r="42" spans="1:11">
      <c r="A42" t="s">
        <v>82</v>
      </c>
      <c r="B42">
        <v>1.0153449999999999</v>
      </c>
      <c r="C42">
        <v>0.906999</v>
      </c>
      <c r="D42">
        <v>0.92047000000000001</v>
      </c>
      <c r="E42">
        <v>0.94548100000000002</v>
      </c>
      <c r="F42">
        <f t="shared" si="0"/>
        <v>0.94707374999999994</v>
      </c>
      <c r="G42">
        <f>IFERROR(INDEX('NYU Data'!$E$20:$E$114,MATCH($A42,'NYU Data'!$A$20:$A$114,0)),"")</f>
        <v>0.82340128768470366</v>
      </c>
      <c r="H42">
        <f>IFERROR(INDEX('NYU Data'!$J$20:$J$114,MATCH($A42,'NYU Data'!$A$20:$A$114,0)),"")</f>
        <v>0.17659871231529634</v>
      </c>
      <c r="I42">
        <f>IFERROR(INDEX('NYU Data'!$G$20:$G$114,MATCH($A42,'NYU Data'!$A$20:$A$114,0)),"")</f>
        <v>5.2913000000000002E-2</v>
      </c>
      <c r="J42">
        <f>IF(F42="","",'NYU Data'!$D$9+F42*'NYU Data'!$D$10)</f>
        <v>8.1739489249999991E-2</v>
      </c>
      <c r="K42">
        <f t="shared" si="1"/>
        <v>7.6648768367879261E-2</v>
      </c>
    </row>
    <row r="43" spans="1:11">
      <c r="A43" t="s">
        <v>83</v>
      </c>
      <c r="B43">
        <v>1.140314</v>
      </c>
      <c r="C43">
        <v>0.99162499999999998</v>
      </c>
      <c r="D43">
        <v>0.98238800000000004</v>
      </c>
      <c r="E43">
        <v>1.1291739999999999</v>
      </c>
      <c r="F43">
        <f t="shared" ref="F43:F74" si="2">IF(COUNT(B43:E43)=0,"",AVERAGE(B43:E43))</f>
        <v>1.06087525</v>
      </c>
      <c r="G43">
        <f>IFERROR(INDEX('NYU Data'!$E$20:$E$114,MATCH($A43,'NYU Data'!$A$20:$A$114,0)),"")</f>
        <v>0.65855113028384804</v>
      </c>
      <c r="H43">
        <f>IFERROR(INDEX('NYU Data'!$J$20:$J$114,MATCH($A43,'NYU Data'!$A$20:$A$114,0)),"")</f>
        <v>0.34144886971615196</v>
      </c>
      <c r="I43">
        <f>IFERROR(INDEX('NYU Data'!$G$20:$G$114,MATCH($A43,'NYU Data'!$A$20:$A$114,0)),"")</f>
        <v>5.2913000000000002E-2</v>
      </c>
      <c r="J43">
        <f>IF(F43="","",'NYU Data'!$D$9+F43*'NYU Data'!$D$10)</f>
        <v>8.6815036149999997E-2</v>
      </c>
      <c r="K43">
        <f t="shared" ref="K43:K74" si="3">IF(OR(F43="",G43=""),"",G43*J43+H43*I43)</f>
        <v>7.5239224225506385E-2</v>
      </c>
    </row>
    <row r="44" spans="1:11">
      <c r="A44" t="s">
        <v>84</v>
      </c>
      <c r="B44">
        <v>0.88572499999999998</v>
      </c>
      <c r="C44">
        <v>1.143508</v>
      </c>
      <c r="D44">
        <v>1.0734900000000001</v>
      </c>
      <c r="E44">
        <v>0.96971300000000005</v>
      </c>
      <c r="F44">
        <f t="shared" si="2"/>
        <v>1.0181089999999999</v>
      </c>
      <c r="G44">
        <f>IFERROR(INDEX('NYU Data'!$E$20:$E$114,MATCH($A44,'NYU Data'!$A$20:$A$114,0)),"")</f>
        <v>0.2687233190210403</v>
      </c>
      <c r="H44">
        <f>IFERROR(INDEX('NYU Data'!$J$20:$J$114,MATCH($A44,'NYU Data'!$A$20:$A$114,0)),"")</f>
        <v>0.7312766809789597</v>
      </c>
      <c r="I44">
        <f>IFERROR(INDEX('NYU Data'!$G$20:$G$114,MATCH($A44,'NYU Data'!$A$20:$A$114,0)),"")</f>
        <v>5.0671999999999995E-2</v>
      </c>
      <c r="J44">
        <f>IF(F44="","",'NYU Data'!$D$9+F44*'NYU Data'!$D$10)</f>
        <v>8.4907661400000001E-2</v>
      </c>
      <c r="K44">
        <f t="shared" si="3"/>
        <v>5.9871920560288512E-2</v>
      </c>
    </row>
    <row r="45" spans="1:11">
      <c r="A45" t="s">
        <v>85</v>
      </c>
      <c r="B45">
        <v>0.91752</v>
      </c>
      <c r="C45">
        <v>0.60571799999999998</v>
      </c>
      <c r="D45">
        <v>0.47423999999999999</v>
      </c>
      <c r="E45">
        <v>0.60745300000000002</v>
      </c>
      <c r="F45">
        <f t="shared" si="2"/>
        <v>0.65123275000000003</v>
      </c>
      <c r="G45">
        <f>IFERROR(INDEX('NYU Data'!$E$20:$E$114,MATCH($A45,'NYU Data'!$A$20:$A$114,0)),"")</f>
        <v>0.69573029958954236</v>
      </c>
      <c r="H45">
        <f>IFERROR(INDEX('NYU Data'!$J$20:$J$114,MATCH($A45,'NYU Data'!$A$20:$A$114,0)),"")</f>
        <v>0.30426970041045764</v>
      </c>
      <c r="I45">
        <f>IFERROR(INDEX('NYU Data'!$G$20:$G$114,MATCH($A45,'NYU Data'!$A$20:$A$114,0)),"")</f>
        <v>5.0671999999999995E-2</v>
      </c>
      <c r="J45">
        <f>IF(F45="","",'NYU Data'!$D$9+F45*'NYU Data'!$D$10)</f>
        <v>6.8544980650000004E-2</v>
      </c>
      <c r="K45">
        <f t="shared" si="3"/>
        <v>6.3106774182182593E-2</v>
      </c>
    </row>
    <row r="46" spans="1:11">
      <c r="A46" t="s">
        <v>86</v>
      </c>
      <c r="B46">
        <v>1.1237060000000001</v>
      </c>
      <c r="C46">
        <v>0.96571099999999999</v>
      </c>
      <c r="D46">
        <v>0.72463200000000005</v>
      </c>
      <c r="E46">
        <v>0.86664200000000002</v>
      </c>
      <c r="F46">
        <f t="shared" si="2"/>
        <v>0.92017275000000009</v>
      </c>
      <c r="G46">
        <f>IFERROR(INDEX('NYU Data'!$E$20:$E$114,MATCH($A46,'NYU Data'!$A$20:$A$114,0)),"")</f>
        <v>0.68041767533092656</v>
      </c>
      <c r="H46">
        <f>IFERROR(INDEX('NYU Data'!$J$20:$J$114,MATCH($A46,'NYU Data'!$A$20:$A$114,0)),"")</f>
        <v>0.31958232466907344</v>
      </c>
      <c r="I46">
        <f>IFERROR(INDEX('NYU Data'!$G$20:$G$114,MATCH($A46,'NYU Data'!$A$20:$A$114,0)),"")</f>
        <v>5.0671999999999995E-2</v>
      </c>
      <c r="J46">
        <f>IF(F46="","",'NYU Data'!$D$9+F46*'NYU Data'!$D$10)</f>
        <v>8.0539704650000002E-2</v>
      </c>
      <c r="K46">
        <f t="shared" si="3"/>
        <v>7.0994514165423711E-2</v>
      </c>
    </row>
    <row r="47" spans="1:11">
      <c r="A47" t="s">
        <v>87</v>
      </c>
      <c r="B47">
        <v>1.270896</v>
      </c>
      <c r="C47">
        <v>1.1071059999999999</v>
      </c>
      <c r="D47">
        <v>0.86624299999999999</v>
      </c>
      <c r="E47">
        <v>0.82315799999999995</v>
      </c>
      <c r="F47">
        <f t="shared" si="2"/>
        <v>1.0168507499999999</v>
      </c>
      <c r="G47">
        <f>IFERROR(INDEX('NYU Data'!$E$20:$E$114,MATCH($A47,'NYU Data'!$A$20:$A$114,0)),"")</f>
        <v>0.70257590887206756</v>
      </c>
      <c r="H47">
        <f>IFERROR(INDEX('NYU Data'!$J$20:$J$114,MATCH($A47,'NYU Data'!$A$20:$A$114,0)),"")</f>
        <v>0.29742409112793244</v>
      </c>
      <c r="I47">
        <f>IFERROR(INDEX('NYU Data'!$G$20:$G$114,MATCH($A47,'NYU Data'!$A$20:$A$114,0)),"")</f>
        <v>5.2913000000000002E-2</v>
      </c>
      <c r="J47">
        <f>IF(F47="","",'NYU Data'!$D$9+F47*'NYU Data'!$D$10)</f>
        <v>8.4851543449999997E-2</v>
      </c>
      <c r="K47">
        <f t="shared" si="3"/>
        <v>7.5352251192433772E-2</v>
      </c>
    </row>
    <row r="48" spans="1:11">
      <c r="A48" t="s">
        <v>88</v>
      </c>
      <c r="B48">
        <v>1.6007009999999999</v>
      </c>
      <c r="C48">
        <v>1.106708</v>
      </c>
      <c r="D48">
        <v>1.130425</v>
      </c>
      <c r="E48">
        <v>0.85633000000000004</v>
      </c>
      <c r="F48">
        <f t="shared" si="2"/>
        <v>1.1735409999999999</v>
      </c>
      <c r="G48">
        <f>IFERROR(INDEX('NYU Data'!$E$20:$E$114,MATCH($A48,'NYU Data'!$A$20:$A$114,0)),"")</f>
        <v>0.46924210179760639</v>
      </c>
      <c r="H48">
        <f>IFERROR(INDEX('NYU Data'!$J$20:$J$114,MATCH($A48,'NYU Data'!$A$20:$A$114,0)),"")</f>
        <v>0.53075789820239361</v>
      </c>
      <c r="I48">
        <f>IFERROR(INDEX('NYU Data'!$G$20:$G$114,MATCH($A48,'NYU Data'!$A$20:$A$114,0)),"")</f>
        <v>6.0194999999999999E-2</v>
      </c>
      <c r="J48">
        <f>IF(F48="","",'NYU Data'!$D$9+F48*'NYU Data'!$D$10)</f>
        <v>9.1839928600000009E-2</v>
      </c>
      <c r="K48">
        <f t="shared" si="3"/>
        <v>7.5044132807499192E-2</v>
      </c>
    </row>
    <row r="49" spans="1:11">
      <c r="A49" t="s">
        <v>89</v>
      </c>
      <c r="B49">
        <v>1.1623829999999999</v>
      </c>
      <c r="C49">
        <v>1.0620799999999999</v>
      </c>
      <c r="D49">
        <v>1.0145169999999999</v>
      </c>
      <c r="E49">
        <v>0.90856099999999995</v>
      </c>
      <c r="F49">
        <f t="shared" si="2"/>
        <v>1.0368852499999999</v>
      </c>
      <c r="G49">
        <f>IFERROR(INDEX('NYU Data'!$E$20:$E$114,MATCH($A49,'NYU Data'!$A$20:$A$114,0)),"")</f>
        <v>0.88664148204560789</v>
      </c>
      <c r="H49">
        <f>IFERROR(INDEX('NYU Data'!$J$20:$J$114,MATCH($A49,'NYU Data'!$A$20:$A$114,0)),"")</f>
        <v>0.11335851795439211</v>
      </c>
      <c r="I49">
        <f>IFERROR(INDEX('NYU Data'!$G$20:$G$114,MATCH($A49,'NYU Data'!$A$20:$A$114,0)),"")</f>
        <v>5.2913000000000002E-2</v>
      </c>
      <c r="J49">
        <f>IF(F49="","",'NYU Data'!$D$9+F49*'NYU Data'!$D$10)</f>
        <v>8.5745082149999999E-2</v>
      </c>
      <c r="K49">
        <f t="shared" si="3"/>
        <v>8.2023285976119159E-2</v>
      </c>
    </row>
    <row r="50" spans="1:11">
      <c r="A50" t="s">
        <v>90</v>
      </c>
      <c r="B50">
        <v>1.1603650000000001</v>
      </c>
      <c r="C50">
        <v>1.0326230000000001</v>
      </c>
      <c r="D50">
        <v>0.94121299999999997</v>
      </c>
      <c r="E50">
        <v>0.87195400000000001</v>
      </c>
      <c r="F50">
        <f t="shared" si="2"/>
        <v>1.0015387499999999</v>
      </c>
      <c r="G50">
        <f>IFERROR(INDEX('NYU Data'!$E$20:$E$114,MATCH($A50,'NYU Data'!$A$20:$A$114,0)),"")</f>
        <v>0.73841435881638406</v>
      </c>
      <c r="H50">
        <f>IFERROR(INDEX('NYU Data'!$J$20:$J$114,MATCH($A50,'NYU Data'!$A$20:$A$114,0)),"")</f>
        <v>0.26158564118361594</v>
      </c>
      <c r="I50">
        <f>IFERROR(INDEX('NYU Data'!$G$20:$G$114,MATCH($A50,'NYU Data'!$A$20:$A$114,0)),"")</f>
        <v>5.2913000000000002E-2</v>
      </c>
      <c r="J50">
        <f>IF(F50="","",'NYU Data'!$D$9+F50*'NYU Data'!$D$10)</f>
        <v>8.4168628249999988E-2</v>
      </c>
      <c r="K50">
        <f t="shared" si="3"/>
        <v>7.5992604693627008E-2</v>
      </c>
    </row>
    <row r="51" spans="1:11">
      <c r="A51" t="s">
        <v>91</v>
      </c>
      <c r="B51">
        <v>1.471509</v>
      </c>
      <c r="C51">
        <v>1.2747539999999999</v>
      </c>
      <c r="D51">
        <v>1.2229239999999999</v>
      </c>
      <c r="E51">
        <v>1.1083339999999999</v>
      </c>
      <c r="F51">
        <f t="shared" si="2"/>
        <v>1.26938025</v>
      </c>
      <c r="G51">
        <f>IFERROR(INDEX('NYU Data'!$E$20:$E$114,MATCH($A51,'NYU Data'!$A$20:$A$114,0)),"")</f>
        <v>0.86399549964940126</v>
      </c>
      <c r="H51">
        <f>IFERROR(INDEX('NYU Data'!$J$20:$J$114,MATCH($A51,'NYU Data'!$A$20:$A$114,0)),"")</f>
        <v>0.13600450035059874</v>
      </c>
      <c r="I51">
        <f>IFERROR(INDEX('NYU Data'!$G$20:$G$114,MATCH($A51,'NYU Data'!$A$20:$A$114,0)),"")</f>
        <v>5.2913000000000002E-2</v>
      </c>
      <c r="J51">
        <f>IF(F51="","",'NYU Data'!$D$9+F51*'NYU Data'!$D$10)</f>
        <v>9.6114359149999995E-2</v>
      </c>
      <c r="K51">
        <f t="shared" si="3"/>
        <v>9.0238779884337483E-2</v>
      </c>
    </row>
    <row r="52" spans="1:11">
      <c r="A52" t="s">
        <v>92</v>
      </c>
      <c r="B52">
        <v>1.5022070000000001</v>
      </c>
      <c r="C52">
        <v>1.3695349999999999</v>
      </c>
      <c r="D52">
        <v>1.427487</v>
      </c>
      <c r="E52">
        <v>0.91061800000000004</v>
      </c>
      <c r="F52">
        <f t="shared" si="2"/>
        <v>1.3024617500000002</v>
      </c>
      <c r="G52">
        <f>IFERROR(INDEX('NYU Data'!$E$20:$E$114,MATCH($A52,'NYU Data'!$A$20:$A$114,0)),"")</f>
        <v>0.82410235304763335</v>
      </c>
      <c r="H52">
        <f>IFERROR(INDEX('NYU Data'!$J$20:$J$114,MATCH($A52,'NYU Data'!$A$20:$A$114,0)),"")</f>
        <v>0.17589764695236665</v>
      </c>
      <c r="I52">
        <f>IFERROR(INDEX('NYU Data'!$G$20:$G$114,MATCH($A52,'NYU Data'!$A$20:$A$114,0)),"")</f>
        <v>5.0671999999999995E-2</v>
      </c>
      <c r="J52">
        <f>IF(F52="","",'NYU Data'!$D$9+F52*'NYU Data'!$D$10)</f>
        <v>9.7589794050000012E-2</v>
      </c>
      <c r="K52">
        <f t="shared" si="3"/>
        <v>8.9337064476409267E-2</v>
      </c>
    </row>
    <row r="53" spans="1:11">
      <c r="A53" t="s">
        <v>93</v>
      </c>
      <c r="B53">
        <v>1.1740010000000001</v>
      </c>
      <c r="C53">
        <v>0.87957600000000002</v>
      </c>
      <c r="D53">
        <v>0.85708200000000001</v>
      </c>
      <c r="E53">
        <v>0.799678</v>
      </c>
      <c r="F53">
        <f t="shared" si="2"/>
        <v>0.92758425000000011</v>
      </c>
      <c r="G53">
        <f>IFERROR(INDEX('NYU Data'!$E$20:$E$114,MATCH($A53,'NYU Data'!$A$20:$A$114,0)),"")</f>
        <v>0.62531115482012134</v>
      </c>
      <c r="H53">
        <f>IFERROR(INDEX('NYU Data'!$J$20:$J$114,MATCH($A53,'NYU Data'!$A$20:$A$114,0)),"")</f>
        <v>0.37468884517987866</v>
      </c>
      <c r="I53">
        <f>IFERROR(INDEX('NYU Data'!$G$20:$G$114,MATCH($A53,'NYU Data'!$A$20:$A$114,0)),"")</f>
        <v>5.2913000000000002E-2</v>
      </c>
      <c r="J53">
        <f>IF(F53="","",'NYU Data'!$D$9+F53*'NYU Data'!$D$10)</f>
        <v>8.0870257550000005E-2</v>
      </c>
      <c r="K53">
        <f t="shared" si="3"/>
        <v>7.0394985004194055E-2</v>
      </c>
    </row>
    <row r="54" spans="1:11">
      <c r="A54" t="s">
        <v>94</v>
      </c>
      <c r="B54">
        <v>1.4599770000000001</v>
      </c>
      <c r="C54">
        <v>1.3434280000000001</v>
      </c>
      <c r="D54">
        <v>1.1937610000000001</v>
      </c>
      <c r="E54">
        <v>1.080368</v>
      </c>
      <c r="F54">
        <f t="shared" si="2"/>
        <v>1.2693835</v>
      </c>
      <c r="G54">
        <f>IFERROR(INDEX('NYU Data'!$E$20:$E$114,MATCH($A54,'NYU Data'!$A$20:$A$114,0)),"")</f>
        <v>0.71556246801374979</v>
      </c>
      <c r="H54">
        <f>IFERROR(INDEX('NYU Data'!$J$20:$J$114,MATCH($A54,'NYU Data'!$A$20:$A$114,0)),"")</f>
        <v>0.28443753198625021</v>
      </c>
      <c r="I54">
        <f>IFERROR(INDEX('NYU Data'!$G$20:$G$114,MATCH($A54,'NYU Data'!$A$20:$A$114,0)),"")</f>
        <v>5.0671999999999995E-2</v>
      </c>
      <c r="J54">
        <f>IF(F54="","",'NYU Data'!$D$9+F54*'NYU Data'!$D$10)</f>
        <v>9.6114504099999998E-2</v>
      </c>
      <c r="K54">
        <f t="shared" si="3"/>
        <v>8.3188950386520938E-2</v>
      </c>
    </row>
    <row r="55" spans="1:11">
      <c r="A55" t="s">
        <v>95</v>
      </c>
      <c r="B55">
        <v>1.1550009999999999</v>
      </c>
      <c r="C55">
        <v>0.84344399999999997</v>
      </c>
      <c r="D55">
        <v>0.89526499999999998</v>
      </c>
      <c r="E55">
        <v>0.81551600000000002</v>
      </c>
      <c r="F55">
        <f t="shared" si="2"/>
        <v>0.92730649999999992</v>
      </c>
      <c r="G55">
        <f>IFERROR(INDEX('NYU Data'!$E$20:$E$114,MATCH($A55,'NYU Data'!$A$20:$A$114,0)),"")</f>
        <v>0.84639870791279104</v>
      </c>
      <c r="H55">
        <f>IFERROR(INDEX('NYU Data'!$J$20:$J$114,MATCH($A55,'NYU Data'!$A$20:$A$114,0)),"")</f>
        <v>0.15360129208720896</v>
      </c>
      <c r="I55">
        <f>IFERROR(INDEX('NYU Data'!$G$20:$G$114,MATCH($A55,'NYU Data'!$A$20:$A$114,0)),"")</f>
        <v>5.2913000000000002E-2</v>
      </c>
      <c r="J55">
        <f>IF(F55="","",'NYU Data'!$D$9+F55*'NYU Data'!$D$10)</f>
        <v>8.085786989999999E-2</v>
      </c>
      <c r="K55">
        <f t="shared" si="3"/>
        <v>7.656550177615104E-2</v>
      </c>
    </row>
    <row r="56" spans="1:11">
      <c r="A56" t="s">
        <v>96</v>
      </c>
      <c r="B56">
        <v>1.4047130000000001</v>
      </c>
      <c r="C56">
        <v>0.93074299999999999</v>
      </c>
      <c r="D56">
        <v>0.98448899999999995</v>
      </c>
      <c r="E56">
        <v>0.92056700000000002</v>
      </c>
      <c r="F56">
        <f t="shared" si="2"/>
        <v>1.060128</v>
      </c>
      <c r="G56">
        <f>IFERROR(INDEX('NYU Data'!$E$20:$E$114,MATCH($A56,'NYU Data'!$A$20:$A$114,0)),"")</f>
        <v>0.75092072801834941</v>
      </c>
      <c r="H56">
        <f>IFERROR(INDEX('NYU Data'!$J$20:$J$114,MATCH($A56,'NYU Data'!$A$20:$A$114,0)),"")</f>
        <v>0.24907927198165059</v>
      </c>
      <c r="I56">
        <f>IFERROR(INDEX('NYU Data'!$G$20:$G$114,MATCH($A56,'NYU Data'!$A$20:$A$114,0)),"")</f>
        <v>5.0671999999999995E-2</v>
      </c>
      <c r="J56">
        <f>IF(F56="","",'NYU Data'!$D$9+F56*'NYU Data'!$D$10)</f>
        <v>8.6781708799999996E-2</v>
      </c>
      <c r="K56">
        <f t="shared" si="3"/>
        <v>7.7787528820626589E-2</v>
      </c>
    </row>
    <row r="57" spans="1:11">
      <c r="A57" t="s">
        <v>97</v>
      </c>
      <c r="B57">
        <v>1.2277610000000001</v>
      </c>
      <c r="C57">
        <v>1.0331490000000001</v>
      </c>
      <c r="D57">
        <v>0.76036400000000004</v>
      </c>
      <c r="E57">
        <v>0.67197499999999999</v>
      </c>
      <c r="F57">
        <f t="shared" si="2"/>
        <v>0.92331224999999995</v>
      </c>
      <c r="G57">
        <f>IFERROR(INDEX('NYU Data'!$E$20:$E$114,MATCH($A57,'NYU Data'!$A$20:$A$114,0)),"")</f>
        <v>0.79600333990423344</v>
      </c>
      <c r="H57">
        <f>IFERROR(INDEX('NYU Data'!$J$20:$J$114,MATCH($A57,'NYU Data'!$A$20:$A$114,0)),"")</f>
        <v>0.20399666009576656</v>
      </c>
      <c r="I57">
        <f>IFERROR(INDEX('NYU Data'!$G$20:$G$114,MATCH($A57,'NYU Data'!$A$20:$A$114,0)),"")</f>
        <v>5.2913000000000002E-2</v>
      </c>
      <c r="J57">
        <f>IF(F57="","",'NYU Data'!$D$9+F57*'NYU Data'!$D$10)</f>
        <v>8.0679726350000008E-2</v>
      </c>
      <c r="K57">
        <f t="shared" si="3"/>
        <v>7.5015406912806892E-2</v>
      </c>
    </row>
    <row r="58" spans="1:11">
      <c r="A58" t="s">
        <v>98</v>
      </c>
      <c r="B58">
        <v>0.93935400000000002</v>
      </c>
      <c r="C58">
        <v>0.76576100000000002</v>
      </c>
      <c r="D58">
        <v>0.73167199999999999</v>
      </c>
      <c r="E58">
        <v>0.64449299999999998</v>
      </c>
      <c r="F58">
        <f t="shared" si="2"/>
        <v>0.77032000000000012</v>
      </c>
      <c r="G58">
        <f>IFERROR(INDEX('NYU Data'!$E$20:$E$114,MATCH($A58,'NYU Data'!$A$20:$A$114,0)),"")</f>
        <v>0.59580596298176169</v>
      </c>
      <c r="H58">
        <f>IFERROR(INDEX('NYU Data'!$J$20:$J$114,MATCH($A58,'NYU Data'!$A$20:$A$114,0)),"")</f>
        <v>0.40419403701823831</v>
      </c>
      <c r="I58">
        <f>IFERROR(INDEX('NYU Data'!$G$20:$G$114,MATCH($A58,'NYU Data'!$A$20:$A$114,0)),"")</f>
        <v>5.0671999999999995E-2</v>
      </c>
      <c r="J58">
        <f>IF(F58="","",'NYU Data'!$D$9+F58*'NYU Data'!$D$10)</f>
        <v>7.3856272000000001E-2</v>
      </c>
      <c r="K58">
        <f t="shared" si="3"/>
        <v>6.44853275049911E-2</v>
      </c>
    </row>
    <row r="59" spans="1:11">
      <c r="A59" t="s">
        <v>99</v>
      </c>
      <c r="B59">
        <v>0.80330100000000004</v>
      </c>
      <c r="C59">
        <v>0.73875800000000003</v>
      </c>
      <c r="D59">
        <v>0.60566399999999998</v>
      </c>
      <c r="E59">
        <v>0.48410999999999998</v>
      </c>
      <c r="F59">
        <f t="shared" si="2"/>
        <v>0.65795824999999997</v>
      </c>
      <c r="G59">
        <f>IFERROR(INDEX('NYU Data'!$E$20:$E$114,MATCH($A59,'NYU Data'!$A$20:$A$114,0)),"")</f>
        <v>0.87085797110051288</v>
      </c>
      <c r="H59">
        <f>IFERROR(INDEX('NYU Data'!$J$20:$J$114,MATCH($A59,'NYU Data'!$A$20:$A$114,0)),"")</f>
        <v>0.12914202889948712</v>
      </c>
      <c r="I59">
        <f>IFERROR(INDEX('NYU Data'!$G$20:$G$114,MATCH($A59,'NYU Data'!$A$20:$A$114,0)),"")</f>
        <v>4.7306000000000001E-2</v>
      </c>
      <c r="J59">
        <f>IF(F59="","",'NYU Data'!$D$9+F59*'NYU Data'!$D$10)</f>
        <v>6.8844937950000004E-2</v>
      </c>
      <c r="K59">
        <f t="shared" si="3"/>
        <v>6.6063355802796847E-2</v>
      </c>
    </row>
    <row r="60" spans="1:11">
      <c r="A60" t="s">
        <v>100</v>
      </c>
      <c r="B60">
        <v>0.62361299999999997</v>
      </c>
      <c r="C60">
        <v>0.45700499999999999</v>
      </c>
      <c r="D60">
        <v>0.56713599999999997</v>
      </c>
      <c r="E60">
        <v>0.659582</v>
      </c>
      <c r="F60">
        <f t="shared" si="2"/>
        <v>0.57683399999999996</v>
      </c>
      <c r="G60">
        <f>IFERROR(INDEX('NYU Data'!$E$20:$E$114,MATCH($A60,'NYU Data'!$A$20:$A$114,0)),"")</f>
        <v>0.75364660406139838</v>
      </c>
      <c r="H60">
        <f>IFERROR(INDEX('NYU Data'!$J$20:$J$114,MATCH($A60,'NYU Data'!$A$20:$A$114,0)),"")</f>
        <v>0.24635339593860162</v>
      </c>
      <c r="I60">
        <f>IFERROR(INDEX('NYU Data'!$G$20:$G$114,MATCH($A60,'NYU Data'!$A$20:$A$114,0)),"")</f>
        <v>5.0671999999999995E-2</v>
      </c>
      <c r="J60">
        <f>IF(F60="","",'NYU Data'!$D$9+F60*'NYU Data'!$D$10)</f>
        <v>6.5226796399999995E-2</v>
      </c>
      <c r="K60">
        <f t="shared" si="3"/>
        <v>6.1641172879665064E-2</v>
      </c>
    </row>
    <row r="61" spans="1:11">
      <c r="A61" t="s">
        <v>101</v>
      </c>
      <c r="B61">
        <v>1.224817</v>
      </c>
      <c r="C61">
        <v>1.0260560000000001</v>
      </c>
      <c r="D61">
        <v>1.067242</v>
      </c>
      <c r="E61">
        <v>0.96362099999999995</v>
      </c>
      <c r="F61">
        <f t="shared" si="2"/>
        <v>1.0704340000000001</v>
      </c>
      <c r="G61">
        <f>IFERROR(INDEX('NYU Data'!$E$20:$E$114,MATCH($A61,'NYU Data'!$A$20:$A$114,0)),"")</f>
        <v>0.87189810166984505</v>
      </c>
      <c r="H61">
        <f>IFERROR(INDEX('NYU Data'!$J$20:$J$114,MATCH($A61,'NYU Data'!$A$20:$A$114,0)),"")</f>
        <v>0.12810189833015495</v>
      </c>
      <c r="I61">
        <f>IFERROR(INDEX('NYU Data'!$G$20:$G$114,MATCH($A61,'NYU Data'!$A$20:$A$114,0)),"")</f>
        <v>5.2913000000000002E-2</v>
      </c>
      <c r="J61">
        <f>IF(F61="","",'NYU Data'!$D$9+F61*'NYU Data'!$D$10)</f>
        <v>8.7241356399999997E-2</v>
      </c>
      <c r="K61">
        <f t="shared" si="3"/>
        <v>8.2843828778605869E-2</v>
      </c>
    </row>
    <row r="62" spans="1:11">
      <c r="A62" t="s">
        <v>102</v>
      </c>
      <c r="B62">
        <v>1.2900529999999999</v>
      </c>
      <c r="C62">
        <v>0.96247799999999994</v>
      </c>
      <c r="D62">
        <v>1.022251</v>
      </c>
      <c r="E62">
        <v>1.043031</v>
      </c>
      <c r="F62">
        <f t="shared" si="2"/>
        <v>1.07945325</v>
      </c>
      <c r="G62">
        <f>IFERROR(INDEX('NYU Data'!$E$20:$E$114,MATCH($A62,'NYU Data'!$A$20:$A$114,0)),"")</f>
        <v>0.90102654716927866</v>
      </c>
      <c r="H62">
        <f>IFERROR(INDEX('NYU Data'!$J$20:$J$114,MATCH($A62,'NYU Data'!$A$20:$A$114,0)),"")</f>
        <v>9.8973452830721342E-2</v>
      </c>
      <c r="I62">
        <f>IFERROR(INDEX('NYU Data'!$G$20:$G$114,MATCH($A62,'NYU Data'!$A$20:$A$114,0)),"")</f>
        <v>6.0194999999999999E-2</v>
      </c>
      <c r="J62">
        <f>IF(F62="","",'NYU Data'!$D$9+F62*'NYU Data'!$D$10)</f>
        <v>8.7643614950000004E-2</v>
      </c>
      <c r="K62">
        <f t="shared" si="3"/>
        <v>8.4926930752977539E-2</v>
      </c>
    </row>
    <row r="63" spans="1:11">
      <c r="A63" t="s">
        <v>103</v>
      </c>
      <c r="B63">
        <v>1.177095</v>
      </c>
      <c r="C63">
        <v>1.139419</v>
      </c>
      <c r="D63">
        <v>1.200496</v>
      </c>
      <c r="E63">
        <v>1.3343750000000001</v>
      </c>
      <c r="F63">
        <f t="shared" si="2"/>
        <v>1.2128462500000001</v>
      </c>
      <c r="G63">
        <f>IFERROR(INDEX('NYU Data'!$E$20:$E$114,MATCH($A63,'NYU Data'!$A$20:$A$114,0)),"")</f>
        <v>0.67520815630511344</v>
      </c>
      <c r="H63">
        <f>IFERROR(INDEX('NYU Data'!$J$20:$J$114,MATCH($A63,'NYU Data'!$A$20:$A$114,0)),"")</f>
        <v>0.32479184369488656</v>
      </c>
      <c r="I63">
        <f>IFERROR(INDEX('NYU Data'!$G$20:$G$114,MATCH($A63,'NYU Data'!$A$20:$A$114,0)),"")</f>
        <v>5.0671999999999995E-2</v>
      </c>
      <c r="J63">
        <f>IF(F63="","",'NYU Data'!$D$9+F63*'NYU Data'!$D$10)</f>
        <v>9.3592942750000005E-2</v>
      </c>
      <c r="K63">
        <f t="shared" si="3"/>
        <v>7.9652570621104826E-2</v>
      </c>
    </row>
    <row r="64" spans="1:11">
      <c r="A64" t="s">
        <v>104</v>
      </c>
      <c r="B64">
        <v>0.97748599999999997</v>
      </c>
      <c r="C64">
        <v>0.67065200000000003</v>
      </c>
      <c r="D64">
        <v>0.483682</v>
      </c>
      <c r="E64">
        <v>0.29938199999999998</v>
      </c>
      <c r="F64">
        <f t="shared" si="2"/>
        <v>0.60780049999999997</v>
      </c>
      <c r="G64">
        <f>IFERROR(INDEX('NYU Data'!$E$20:$E$114,MATCH($A64,'NYU Data'!$A$20:$A$114,0)),"")</f>
        <v>0.87838725930586903</v>
      </c>
      <c r="H64">
        <f>IFERROR(INDEX('NYU Data'!$J$20:$J$114,MATCH($A64,'NYU Data'!$A$20:$A$114,0)),"")</f>
        <v>0.12161274069413097</v>
      </c>
      <c r="I64">
        <f>IFERROR(INDEX('NYU Data'!$G$20:$G$114,MATCH($A64,'NYU Data'!$A$20:$A$114,0)),"")</f>
        <v>4.7306000000000001E-2</v>
      </c>
      <c r="J64">
        <f>IF(F64="","",'NYU Data'!$D$9+F64*'NYU Data'!$D$10)</f>
        <v>6.6607902299999994E-2</v>
      </c>
      <c r="K64">
        <f t="shared" si="3"/>
        <v>6.4260545060686639E-2</v>
      </c>
    </row>
    <row r="65" spans="1:11">
      <c r="A65" t="s">
        <v>105</v>
      </c>
      <c r="B65">
        <v>1.2574320000000001</v>
      </c>
      <c r="C65">
        <v>0.92989900000000003</v>
      </c>
      <c r="D65">
        <v>0.87592899999999996</v>
      </c>
      <c r="E65">
        <v>0.72140599999999999</v>
      </c>
      <c r="F65">
        <f t="shared" si="2"/>
        <v>0.94616650000000013</v>
      </c>
      <c r="G65">
        <f>IFERROR(INDEX('NYU Data'!$E$20:$E$114,MATCH($A65,'NYU Data'!$A$20:$A$114,0)),"")</f>
        <v>0.72680954826276589</v>
      </c>
      <c r="H65">
        <f>IFERROR(INDEX('NYU Data'!$J$20:$J$114,MATCH($A65,'NYU Data'!$A$20:$A$114,0)),"")</f>
        <v>0.27319045173723411</v>
      </c>
      <c r="I65">
        <f>IFERROR(INDEX('NYU Data'!$G$20:$G$114,MATCH($A65,'NYU Data'!$A$20:$A$114,0)),"")</f>
        <v>5.0671999999999995E-2</v>
      </c>
      <c r="J65">
        <f>IF(F65="","",'NYU Data'!$D$9+F65*'NYU Data'!$D$10)</f>
        <v>8.16990259E-2</v>
      </c>
      <c r="K65">
        <f t="shared" si="3"/>
        <v>7.3222738678316135E-2</v>
      </c>
    </row>
    <row r="66" spans="1:11">
      <c r="A66" t="s">
        <v>106</v>
      </c>
      <c r="B66">
        <v>0.991255</v>
      </c>
      <c r="C66">
        <v>0.79075200000000001</v>
      </c>
      <c r="D66">
        <v>0.75470800000000005</v>
      </c>
      <c r="E66">
        <v>0.66922199999999998</v>
      </c>
      <c r="F66">
        <f t="shared" si="2"/>
        <v>0.80148425000000001</v>
      </c>
      <c r="G66">
        <f>IFERROR(INDEX('NYU Data'!$E$20:$E$114,MATCH($A66,'NYU Data'!$A$20:$A$114,0)),"")</f>
        <v>0.63080682460107163</v>
      </c>
      <c r="H66">
        <f>IFERROR(INDEX('NYU Data'!$J$20:$J$114,MATCH($A66,'NYU Data'!$A$20:$A$114,0)),"")</f>
        <v>0.36919317539892837</v>
      </c>
      <c r="I66">
        <f>IFERROR(INDEX('NYU Data'!$G$20:$G$114,MATCH($A66,'NYU Data'!$A$20:$A$114,0)),"")</f>
        <v>5.0671999999999995E-2</v>
      </c>
      <c r="J66">
        <f>IF(F66="","",'NYU Data'!$D$9+F66*'NYU Data'!$D$10)</f>
        <v>7.5246197550000005E-2</v>
      </c>
      <c r="K66">
        <f t="shared" si="3"/>
        <v>6.6173571523634928E-2</v>
      </c>
    </row>
    <row r="67" spans="1:11">
      <c r="A67" t="s">
        <v>107</v>
      </c>
      <c r="B67">
        <v>1.375159</v>
      </c>
      <c r="C67">
        <v>0.97955000000000003</v>
      </c>
      <c r="D67">
        <v>0.93760100000000002</v>
      </c>
      <c r="E67">
        <v>0.95124200000000003</v>
      </c>
      <c r="F67">
        <f t="shared" si="2"/>
        <v>1.0608880000000001</v>
      </c>
      <c r="G67">
        <f>IFERROR(INDEX('NYU Data'!$E$20:$E$114,MATCH($A67,'NYU Data'!$A$20:$A$114,0)),"")</f>
        <v>0.72801067139535347</v>
      </c>
      <c r="H67">
        <f>IFERROR(INDEX('NYU Data'!$J$20:$J$114,MATCH($A67,'NYU Data'!$A$20:$A$114,0)),"")</f>
        <v>0.27198932860464653</v>
      </c>
      <c r="I67">
        <f>IFERROR(INDEX('NYU Data'!$G$20:$G$114,MATCH($A67,'NYU Data'!$A$20:$A$114,0)),"")</f>
        <v>5.2913000000000002E-2</v>
      </c>
      <c r="J67">
        <f>IF(F67="","",'NYU Data'!$D$9+F67*'NYU Data'!$D$10)</f>
        <v>8.6815604800000001E-2</v>
      </c>
      <c r="K67">
        <f t="shared" si="3"/>
        <v>7.7594458082499346E-2</v>
      </c>
    </row>
    <row r="68" spans="1:11">
      <c r="A68" t="s">
        <v>108</v>
      </c>
      <c r="B68">
        <v>0.95242199999999999</v>
      </c>
      <c r="C68">
        <v>1.132722</v>
      </c>
      <c r="D68">
        <v>0.97636299999999998</v>
      </c>
      <c r="E68">
        <v>1.02193</v>
      </c>
      <c r="F68">
        <f t="shared" si="2"/>
        <v>1.02085925</v>
      </c>
      <c r="G68">
        <f>IFERROR(INDEX('NYU Data'!$E$20:$E$114,MATCH($A68,'NYU Data'!$A$20:$A$114,0)),"")</f>
        <v>0.64470545590217365</v>
      </c>
      <c r="H68">
        <f>IFERROR(INDEX('NYU Data'!$J$20:$J$114,MATCH($A68,'NYU Data'!$A$20:$A$114,0)),"")</f>
        <v>0.35529454409782635</v>
      </c>
      <c r="I68">
        <f>IFERROR(INDEX('NYU Data'!$G$20:$G$114,MATCH($A68,'NYU Data'!$A$20:$A$114,0)),"")</f>
        <v>4.7306000000000001E-2</v>
      </c>
      <c r="J68">
        <f>IF(F68="","",'NYU Data'!$D$9+F68*'NYU Data'!$D$10)</f>
        <v>8.5030322550000009E-2</v>
      </c>
      <c r="K68">
        <f t="shared" si="3"/>
        <v>7.1627076568198403E-2</v>
      </c>
    </row>
    <row r="69" spans="1:11">
      <c r="A69" t="s">
        <v>109</v>
      </c>
      <c r="B69">
        <v>1.3830070000000001</v>
      </c>
      <c r="C69">
        <v>1.938223</v>
      </c>
      <c r="D69">
        <v>1.0717410000000001</v>
      </c>
      <c r="E69">
        <v>0.957978</v>
      </c>
      <c r="F69">
        <f t="shared" si="2"/>
        <v>1.33773725</v>
      </c>
      <c r="G69">
        <f>IFERROR(INDEX('NYU Data'!$E$20:$E$114,MATCH($A69,'NYU Data'!$A$20:$A$114,0)),"")</f>
        <v>0.6959514879510198</v>
      </c>
      <c r="H69">
        <f>IFERROR(INDEX('NYU Data'!$J$20:$J$114,MATCH($A69,'NYU Data'!$A$20:$A$114,0)),"")</f>
        <v>0.3040485120489802</v>
      </c>
      <c r="I69">
        <f>IFERROR(INDEX('NYU Data'!$G$20:$G$114,MATCH($A69,'NYU Data'!$A$20:$A$114,0)),"")</f>
        <v>5.2913000000000002E-2</v>
      </c>
      <c r="J69">
        <f>IF(F69="","",'NYU Data'!$D$9+F69*'NYU Data'!$D$10)</f>
        <v>9.9163081350000001E-2</v>
      </c>
      <c r="K69">
        <f t="shared" si="3"/>
        <v>8.5100812933388212E-2</v>
      </c>
    </row>
    <row r="70" spans="1:11">
      <c r="A70" t="s">
        <v>110</v>
      </c>
      <c r="B70">
        <v>0.72500100000000001</v>
      </c>
      <c r="C70">
        <v>0.65062699999999996</v>
      </c>
      <c r="D70">
        <v>0.54234899999999997</v>
      </c>
      <c r="E70">
        <v>0.482433</v>
      </c>
      <c r="F70">
        <f t="shared" si="2"/>
        <v>0.60010249999999998</v>
      </c>
      <c r="G70">
        <f>IFERROR(INDEX('NYU Data'!$E$20:$E$114,MATCH($A70,'NYU Data'!$A$20:$A$114,0)),"")</f>
        <v>0.57422207892503341</v>
      </c>
      <c r="H70">
        <f>IFERROR(INDEX('NYU Data'!$J$20:$J$114,MATCH($A70,'NYU Data'!$A$20:$A$114,0)),"")</f>
        <v>0.42577792107496659</v>
      </c>
      <c r="I70">
        <f>IFERROR(INDEX('NYU Data'!$G$20:$G$114,MATCH($A70,'NYU Data'!$A$20:$A$114,0)),"")</f>
        <v>4.7306000000000001E-2</v>
      </c>
      <c r="J70">
        <f>IF(F70="","",'NYU Data'!$D$9+F70*'NYU Data'!$D$10)</f>
        <v>6.6264571500000008E-2</v>
      </c>
      <c r="K70">
        <f t="shared" si="3"/>
        <v>5.8192430340178888E-2</v>
      </c>
    </row>
    <row r="71" spans="1:11">
      <c r="A71" t="s">
        <v>111</v>
      </c>
      <c r="B71">
        <v>1.233619</v>
      </c>
      <c r="C71">
        <v>0.86895100000000003</v>
      </c>
      <c r="D71">
        <v>1.228315</v>
      </c>
      <c r="E71">
        <v>0.836561</v>
      </c>
      <c r="F71">
        <f t="shared" si="2"/>
        <v>1.0418615</v>
      </c>
      <c r="G71">
        <f>IFERROR(INDEX('NYU Data'!$E$20:$E$114,MATCH($A71,'NYU Data'!$A$20:$A$114,0)),"")</f>
        <v>0.93213059887545091</v>
      </c>
      <c r="H71">
        <f>IFERROR(INDEX('NYU Data'!$J$20:$J$114,MATCH($A71,'NYU Data'!$A$20:$A$114,0)),"")</f>
        <v>6.7869401124549089E-2</v>
      </c>
      <c r="I71">
        <f>IFERROR(INDEX('NYU Data'!$G$20:$G$114,MATCH($A71,'NYU Data'!$A$20:$A$114,0)),"")</f>
        <v>6.0194999999999999E-2</v>
      </c>
      <c r="J71">
        <f>IF(F71="","",'NYU Data'!$D$9+F71*'NYU Data'!$D$10)</f>
        <v>8.5967022899999995E-2</v>
      </c>
      <c r="K71">
        <f t="shared" si="3"/>
        <v>8.4217891140008841E-2</v>
      </c>
    </row>
    <row r="72" spans="1:11">
      <c r="A72" t="s">
        <v>112</v>
      </c>
      <c r="B72">
        <v>1.1148960000000001</v>
      </c>
      <c r="C72">
        <v>0.96111400000000002</v>
      </c>
      <c r="D72">
        <v>0.63735299999999995</v>
      </c>
      <c r="E72">
        <v>0.56300700000000004</v>
      </c>
      <c r="F72">
        <f t="shared" si="2"/>
        <v>0.8190925</v>
      </c>
      <c r="G72">
        <f>IFERROR(INDEX('NYU Data'!$E$20:$E$114,MATCH($A72,'NYU Data'!$A$20:$A$114,0)),"")</f>
        <v>0.80684283536273349</v>
      </c>
      <c r="H72">
        <f>IFERROR(INDEX('NYU Data'!$J$20:$J$114,MATCH($A72,'NYU Data'!$A$20:$A$114,0)),"")</f>
        <v>0.19315716463726651</v>
      </c>
      <c r="I72">
        <f>IFERROR(INDEX('NYU Data'!$G$20:$G$114,MATCH($A72,'NYU Data'!$A$20:$A$114,0)),"")</f>
        <v>5.0671999999999995E-2</v>
      </c>
      <c r="J72">
        <f>IF(F72="","",'NYU Data'!$D$9+F72*'NYU Data'!$D$10)</f>
        <v>7.6031525500000002E-2</v>
      </c>
      <c r="K72">
        <f t="shared" si="3"/>
        <v>7.1133151457873536E-2</v>
      </c>
    </row>
    <row r="73" spans="1:11">
      <c r="A73" t="s">
        <v>113</v>
      </c>
      <c r="B73">
        <v>1.0633760000000001</v>
      </c>
      <c r="C73">
        <v>1.0315829999999999</v>
      </c>
      <c r="D73">
        <v>0.94722700000000004</v>
      </c>
      <c r="E73">
        <v>0.64179799999999998</v>
      </c>
      <c r="F73">
        <f t="shared" si="2"/>
        <v>0.92099600000000004</v>
      </c>
      <c r="G73">
        <f>IFERROR(INDEX('NYU Data'!$E$20:$E$114,MATCH($A73,'NYU Data'!$A$20:$A$114,0)),"")</f>
        <v>0.54211415599544854</v>
      </c>
      <c r="H73">
        <f>IFERROR(INDEX('NYU Data'!$J$20:$J$114,MATCH($A73,'NYU Data'!$A$20:$A$114,0)),"")</f>
        <v>0.45788584400455146</v>
      </c>
      <c r="I73">
        <f>IFERROR(INDEX('NYU Data'!$G$20:$G$114,MATCH($A73,'NYU Data'!$A$20:$A$114,0)),"")</f>
        <v>4.7306000000000001E-2</v>
      </c>
      <c r="J73">
        <f>IF(F73="","",'NYU Data'!$D$9+F73*'NYU Data'!$D$10)</f>
        <v>8.0576421600000003E-2</v>
      </c>
      <c r="K73">
        <f t="shared" si="3"/>
        <v>6.5342366525296749E-2</v>
      </c>
    </row>
    <row r="74" spans="1:11">
      <c r="A74" t="s">
        <v>114</v>
      </c>
      <c r="B74">
        <v>1.5166919999999999</v>
      </c>
      <c r="C74">
        <v>0.66859400000000002</v>
      </c>
      <c r="D74">
        <v>1.0261880000000001</v>
      </c>
      <c r="E74">
        <v>0.84356600000000004</v>
      </c>
      <c r="F74">
        <f t="shared" si="2"/>
        <v>1.01376</v>
      </c>
      <c r="G74">
        <f>IFERROR(INDEX('NYU Data'!$E$20:$E$114,MATCH($A74,'NYU Data'!$A$20:$A$114,0)),"")</f>
        <v>0.4954680163706453</v>
      </c>
      <c r="H74">
        <f>IFERROR(INDEX('NYU Data'!$J$20:$J$114,MATCH($A74,'NYU Data'!$A$20:$A$114,0)),"")</f>
        <v>0.5045319836293547</v>
      </c>
      <c r="I74">
        <f>IFERROR(INDEX('NYU Data'!$G$20:$G$114,MATCH($A74,'NYU Data'!$A$20:$A$114,0)),"")</f>
        <v>5.2913000000000002E-2</v>
      </c>
      <c r="J74">
        <f>IF(F74="","",'NYU Data'!$D$9+F74*'NYU Data'!$D$10)</f>
        <v>8.4713696000000005E-2</v>
      </c>
      <c r="K74">
        <f t="shared" si="3"/>
        <v>6.8669227766325919E-2</v>
      </c>
    </row>
    <row r="75" spans="1:11">
      <c r="A75" t="s">
        <v>115</v>
      </c>
      <c r="B75">
        <v>0.78980300000000003</v>
      </c>
      <c r="C75">
        <v>0.56357199999999996</v>
      </c>
      <c r="D75">
        <v>0.86419400000000002</v>
      </c>
      <c r="E75">
        <v>0.80998599999999998</v>
      </c>
      <c r="F75">
        <f t="shared" ref="F75:F105" si="4">IF(COUNT(B75:E75)=0,"",AVERAGE(B75:E75))</f>
        <v>0.75688875</v>
      </c>
      <c r="G75">
        <f>IFERROR(INDEX('NYU Data'!$E$20:$E$114,MATCH($A75,'NYU Data'!$A$20:$A$114,0)),"")</f>
        <v>0.65121044647557569</v>
      </c>
      <c r="H75">
        <f>IFERROR(INDEX('NYU Data'!$J$20:$J$114,MATCH($A75,'NYU Data'!$A$20:$A$114,0)),"")</f>
        <v>0.34878955352442431</v>
      </c>
      <c r="I75">
        <f>IFERROR(INDEX('NYU Data'!$G$20:$G$114,MATCH($A75,'NYU Data'!$A$20:$A$114,0)),"")</f>
        <v>5.0671999999999995E-2</v>
      </c>
      <c r="J75">
        <f>IF(F75="","",'NYU Data'!$D$9+F75*'NYU Data'!$D$10)</f>
        <v>7.3257238249999995E-2</v>
      </c>
      <c r="K75">
        <f t="shared" ref="K75:K105" si="5">IF(OR(F75="",G75=""),"",G75*J75+H75*I75)</f>
        <v>6.537974308453974E-2</v>
      </c>
    </row>
    <row r="76" spans="1:11">
      <c r="A76" t="s">
        <v>116</v>
      </c>
      <c r="B76">
        <v>1.3454839999999999</v>
      </c>
      <c r="C76">
        <v>1.0801190000000001</v>
      </c>
      <c r="D76">
        <v>1.0752170000000001</v>
      </c>
      <c r="E76">
        <v>0.96549700000000005</v>
      </c>
      <c r="F76">
        <f t="shared" si="4"/>
        <v>1.11657925</v>
      </c>
      <c r="G76">
        <f>IFERROR(INDEX('NYU Data'!$E$20:$E$114,MATCH($A76,'NYU Data'!$A$20:$A$114,0)),"")</f>
        <v>0.80229597034020494</v>
      </c>
      <c r="H76">
        <f>IFERROR(INDEX('NYU Data'!$J$20:$J$114,MATCH($A76,'NYU Data'!$A$20:$A$114,0)),"")</f>
        <v>0.19770402965979506</v>
      </c>
      <c r="I76">
        <f>IFERROR(INDEX('NYU Data'!$G$20:$G$114,MATCH($A76,'NYU Data'!$A$20:$A$114,0)),"")</f>
        <v>5.2913000000000002E-2</v>
      </c>
      <c r="J76">
        <f>IF(F76="","",'NYU Data'!$D$9+F76*'NYU Data'!$D$10)</f>
        <v>8.9299434550000001E-2</v>
      </c>
      <c r="K76">
        <f t="shared" si="5"/>
        <v>8.2105689814512606E-2</v>
      </c>
    </row>
    <row r="77" spans="1:11">
      <c r="A77" t="s">
        <v>117</v>
      </c>
      <c r="B77">
        <v>1.4179809999999999</v>
      </c>
      <c r="C77">
        <v>1.171287</v>
      </c>
      <c r="D77">
        <v>1.3278970000000001</v>
      </c>
      <c r="E77">
        <v>1.0234730000000001</v>
      </c>
      <c r="F77">
        <f t="shared" si="4"/>
        <v>1.2351595</v>
      </c>
      <c r="G77">
        <f>IFERROR(INDEX('NYU Data'!$E$20:$E$114,MATCH($A77,'NYU Data'!$A$20:$A$114,0)),"")</f>
        <v>0.61353257079825152</v>
      </c>
      <c r="H77">
        <f>IFERROR(INDEX('NYU Data'!$J$20:$J$114,MATCH($A77,'NYU Data'!$A$20:$A$114,0)),"")</f>
        <v>0.38646742920174848</v>
      </c>
      <c r="I77">
        <f>IFERROR(INDEX('NYU Data'!$G$20:$G$114,MATCH($A77,'NYU Data'!$A$20:$A$114,0)),"")</f>
        <v>5.2913000000000002E-2</v>
      </c>
      <c r="J77">
        <f>IF(F77="","",'NYU Data'!$D$9+F77*'NYU Data'!$D$10)</f>
        <v>9.4588113700000004E-2</v>
      </c>
      <c r="K77">
        <f t="shared" si="5"/>
        <v>7.8482039646670443E-2</v>
      </c>
    </row>
    <row r="78" spans="1:11">
      <c r="A78" t="s">
        <v>118</v>
      </c>
      <c r="B78">
        <v>0.82924799999999999</v>
      </c>
      <c r="C78">
        <v>0.65514399999999995</v>
      </c>
      <c r="D78">
        <v>0.53732999999999997</v>
      </c>
      <c r="E78">
        <v>0.58133199999999996</v>
      </c>
      <c r="F78">
        <f t="shared" si="4"/>
        <v>0.65076350000000005</v>
      </c>
      <c r="G78">
        <f>IFERROR(INDEX('NYU Data'!$E$20:$E$114,MATCH($A78,'NYU Data'!$A$20:$A$114,0)),"")</f>
        <v>0.69702329435031385</v>
      </c>
      <c r="H78">
        <f>IFERROR(INDEX('NYU Data'!$J$20:$J$114,MATCH($A78,'NYU Data'!$A$20:$A$114,0)),"")</f>
        <v>0.30297670564968615</v>
      </c>
      <c r="I78">
        <f>IFERROR(INDEX('NYU Data'!$G$20:$G$114,MATCH($A78,'NYU Data'!$A$20:$A$114,0)),"")</f>
        <v>4.7306000000000001E-2</v>
      </c>
      <c r="J78">
        <f>IF(F78="","",'NYU Data'!$D$9+F78*'NYU Data'!$D$10)</f>
        <v>6.852405210000001E-2</v>
      </c>
      <c r="K78">
        <f t="shared" si="5"/>
        <v>6.2095476574438604E-2</v>
      </c>
    </row>
    <row r="79" spans="1:11">
      <c r="A79" t="s">
        <v>119</v>
      </c>
      <c r="B79">
        <v>1.410398</v>
      </c>
      <c r="C79">
        <v>1.194577</v>
      </c>
      <c r="D79">
        <v>1.0090399999999999</v>
      </c>
      <c r="E79">
        <v>0.92408699999999999</v>
      </c>
      <c r="F79">
        <f t="shared" si="4"/>
        <v>1.1345255000000001</v>
      </c>
      <c r="G79">
        <f>IFERROR(INDEX('NYU Data'!$E$20:$E$114,MATCH($A79,'NYU Data'!$A$20:$A$114,0)),"")</f>
        <v>0.78604107236352705</v>
      </c>
      <c r="H79">
        <f>IFERROR(INDEX('NYU Data'!$J$20:$J$114,MATCH($A79,'NYU Data'!$A$20:$A$114,0)),"")</f>
        <v>0.21395892763647295</v>
      </c>
      <c r="I79">
        <f>IFERROR(INDEX('NYU Data'!$G$20:$G$114,MATCH($A79,'NYU Data'!$A$20:$A$114,0)),"")</f>
        <v>5.0671999999999995E-2</v>
      </c>
      <c r="J79">
        <f>IF(F79="","",'NYU Data'!$D$9+F79*'NYU Data'!$D$10)</f>
        <v>9.0099837300000013E-2</v>
      </c>
      <c r="K79">
        <f t="shared" si="5"/>
        <v>8.1663899512266672E-2</v>
      </c>
    </row>
    <row r="80" spans="1:11">
      <c r="A80" t="s">
        <v>120</v>
      </c>
      <c r="B80">
        <v>1.5201929999999999</v>
      </c>
      <c r="C80">
        <v>1.494496</v>
      </c>
      <c r="D80">
        <v>1.3530740000000001</v>
      </c>
      <c r="E80">
        <v>0.93601500000000004</v>
      </c>
      <c r="F80">
        <f t="shared" si="4"/>
        <v>1.3259445000000001</v>
      </c>
      <c r="G80">
        <f>IFERROR(INDEX('NYU Data'!$E$20:$E$114,MATCH($A80,'NYU Data'!$A$20:$A$114,0)),"")</f>
        <v>0.68796896276521902</v>
      </c>
      <c r="H80">
        <f>IFERROR(INDEX('NYU Data'!$J$20:$J$114,MATCH($A80,'NYU Data'!$A$20:$A$114,0)),"")</f>
        <v>0.31203103723478098</v>
      </c>
      <c r="I80">
        <f>IFERROR(INDEX('NYU Data'!$G$20:$G$114,MATCH($A80,'NYU Data'!$A$20:$A$114,0)),"")</f>
        <v>5.0671999999999995E-2</v>
      </c>
      <c r="J80">
        <f>IF(F80="","",'NYU Data'!$D$9+F80*'NYU Data'!$D$10)</f>
        <v>9.8637124699999995E-2</v>
      </c>
      <c r="K80">
        <f t="shared" si="5"/>
        <v>8.3670517088763385E-2</v>
      </c>
    </row>
    <row r="81" spans="1:11">
      <c r="A81" t="s">
        <v>121</v>
      </c>
      <c r="B81">
        <v>1.789172</v>
      </c>
      <c r="C81">
        <v>1.9381790000000001</v>
      </c>
      <c r="D81">
        <v>1.7927740000000001</v>
      </c>
      <c r="E81">
        <v>1.535309</v>
      </c>
      <c r="F81">
        <f t="shared" si="4"/>
        <v>1.7638585</v>
      </c>
      <c r="G81">
        <f>IFERROR(INDEX('NYU Data'!$E$20:$E$114,MATCH($A81,'NYU Data'!$A$20:$A$114,0)),"")</f>
        <v>0.81110093418688756</v>
      </c>
      <c r="H81">
        <f>IFERROR(INDEX('NYU Data'!$J$20:$J$114,MATCH($A81,'NYU Data'!$A$20:$A$114,0)),"")</f>
        <v>0.18889906581311244</v>
      </c>
      <c r="I81">
        <f>IFERROR(INDEX('NYU Data'!$G$20:$G$114,MATCH($A81,'NYU Data'!$A$20:$A$114,0)),"")</f>
        <v>5.2913000000000002E-2</v>
      </c>
      <c r="J81">
        <f>IF(F81="","",'NYU Data'!$D$9+F81*'NYU Data'!$D$10)</f>
        <v>0.11816808910000001</v>
      </c>
      <c r="K81">
        <f t="shared" si="5"/>
        <v>0.1058414637294586</v>
      </c>
    </row>
    <row r="82" spans="1:11">
      <c r="A82" t="s">
        <v>122</v>
      </c>
      <c r="B82">
        <v>1.2752460000000001</v>
      </c>
      <c r="C82">
        <v>1.1060430000000001</v>
      </c>
      <c r="D82">
        <v>1.117156</v>
      </c>
      <c r="E82">
        <v>0.948434</v>
      </c>
      <c r="F82">
        <f t="shared" si="4"/>
        <v>1.11171975</v>
      </c>
      <c r="G82">
        <f>IFERROR(INDEX('NYU Data'!$E$20:$E$114,MATCH($A82,'NYU Data'!$A$20:$A$114,0)),"")</f>
        <v>0.77980999195158307</v>
      </c>
      <c r="H82">
        <f>IFERROR(INDEX('NYU Data'!$J$20:$J$114,MATCH($A82,'NYU Data'!$A$20:$A$114,0)),"")</f>
        <v>0.22019000804841693</v>
      </c>
      <c r="I82">
        <f>IFERROR(INDEX('NYU Data'!$G$20:$G$114,MATCH($A82,'NYU Data'!$A$20:$A$114,0)),"")</f>
        <v>5.0671999999999995E-2</v>
      </c>
      <c r="J82">
        <f>IF(F82="","",'NYU Data'!$D$9+F82*'NYU Data'!$D$10)</f>
        <v>8.9082700850000002E-2</v>
      </c>
      <c r="K82">
        <f t="shared" si="5"/>
        <v>8.0625048320693171E-2</v>
      </c>
    </row>
    <row r="83" spans="1:11">
      <c r="A83" t="s">
        <v>123</v>
      </c>
      <c r="B83">
        <v>1.3632139999999999</v>
      </c>
      <c r="C83">
        <v>1.246677</v>
      </c>
      <c r="D83">
        <v>1.0617719999999999</v>
      </c>
      <c r="E83">
        <v>0.80524099999999998</v>
      </c>
      <c r="F83">
        <f t="shared" si="4"/>
        <v>1.1192260000000001</v>
      </c>
      <c r="G83">
        <f>IFERROR(INDEX('NYU Data'!$E$20:$E$114,MATCH($A83,'NYU Data'!$A$20:$A$114,0)),"")</f>
        <v>0.92640899521910824</v>
      </c>
      <c r="H83">
        <f>IFERROR(INDEX('NYU Data'!$J$20:$J$114,MATCH($A83,'NYU Data'!$A$20:$A$114,0)),"")</f>
        <v>7.3591004780891756E-2</v>
      </c>
      <c r="I83">
        <f>IFERROR(INDEX('NYU Data'!$G$20:$G$114,MATCH($A83,'NYU Data'!$A$20:$A$114,0)),"")</f>
        <v>5.0671999999999995E-2</v>
      </c>
      <c r="J83">
        <f>IF(F83="","",'NYU Data'!$D$9+F83*'NYU Data'!$D$10)</f>
        <v>8.9417479600000002E-2</v>
      </c>
      <c r="K83">
        <f t="shared" si="5"/>
        <v>8.6566160825518448E-2</v>
      </c>
    </row>
    <row r="84" spans="1:11">
      <c r="A84" t="s">
        <v>124</v>
      </c>
      <c r="B84">
        <v>0.66757</v>
      </c>
      <c r="C84">
        <v>0.49360799999999999</v>
      </c>
      <c r="D84">
        <v>0.57940700000000001</v>
      </c>
      <c r="E84">
        <v>1.118304</v>
      </c>
      <c r="F84">
        <f t="shared" si="4"/>
        <v>0.71472225</v>
      </c>
      <c r="G84">
        <f>IFERROR(INDEX('NYU Data'!$E$20:$E$114,MATCH($A84,'NYU Data'!$A$20:$A$114,0)),"")</f>
        <v>0.658110474673126</v>
      </c>
      <c r="H84">
        <f>IFERROR(INDEX('NYU Data'!$J$20:$J$114,MATCH($A84,'NYU Data'!$A$20:$A$114,0)),"")</f>
        <v>0.341889525326874</v>
      </c>
      <c r="I84">
        <f>IFERROR(INDEX('NYU Data'!$G$20:$G$114,MATCH($A84,'NYU Data'!$A$20:$A$114,0)),"")</f>
        <v>5.2913000000000002E-2</v>
      </c>
      <c r="J84">
        <f>IF(F84="","",'NYU Data'!$D$9+F84*'NYU Data'!$D$10)</f>
        <v>7.1376612350000007E-2</v>
      </c>
      <c r="K84">
        <f t="shared" si="5"/>
        <v>6.5064096687839093E-2</v>
      </c>
    </row>
    <row r="85" spans="1:11">
      <c r="A85" t="s">
        <v>125</v>
      </c>
      <c r="C85">
        <v>1.120868</v>
      </c>
      <c r="D85">
        <v>0.94758900000000001</v>
      </c>
      <c r="E85">
        <v>0.62073900000000004</v>
      </c>
      <c r="F85">
        <f t="shared" si="4"/>
        <v>0.89639866666666668</v>
      </c>
      <c r="G85">
        <f>IFERROR(INDEX('NYU Data'!$E$20:$E$114,MATCH($A85,'NYU Data'!$A$20:$A$114,0)),"")</f>
        <v>0.6393051931486502</v>
      </c>
      <c r="H85">
        <f>IFERROR(INDEX('NYU Data'!$J$20:$J$114,MATCH($A85,'NYU Data'!$A$20:$A$114,0)),"")</f>
        <v>0.3606948068513498</v>
      </c>
      <c r="I85">
        <f>IFERROR(INDEX('NYU Data'!$G$20:$G$114,MATCH($A85,'NYU Data'!$A$20:$A$114,0)),"")</f>
        <v>4.7306000000000001E-2</v>
      </c>
      <c r="J85">
        <f>IF(F85="","",'NYU Data'!$D$9+F85*'NYU Data'!$D$10)</f>
        <v>7.9479380533333338E-2</v>
      </c>
      <c r="K85">
        <f t="shared" si="5"/>
        <v>6.7874609256107693E-2</v>
      </c>
    </row>
    <row r="86" spans="1:11">
      <c r="A86" t="s">
        <v>126</v>
      </c>
      <c r="B86">
        <v>1.4752069999999999</v>
      </c>
      <c r="C86">
        <v>1.181406</v>
      </c>
      <c r="D86">
        <v>1.2239629999999999</v>
      </c>
      <c r="E86">
        <v>1.0893999999999999</v>
      </c>
      <c r="F86">
        <f t="shared" si="4"/>
        <v>1.242494</v>
      </c>
      <c r="G86">
        <f>IFERROR(INDEX('NYU Data'!$E$20:$E$114,MATCH($A86,'NYU Data'!$A$20:$A$114,0)),"")</f>
        <v>0.83499651515131101</v>
      </c>
      <c r="H86">
        <f>IFERROR(INDEX('NYU Data'!$J$20:$J$114,MATCH($A86,'NYU Data'!$A$20:$A$114,0)),"")</f>
        <v>0.16500348484868899</v>
      </c>
      <c r="I86">
        <f>IFERROR(INDEX('NYU Data'!$G$20:$G$114,MATCH($A86,'NYU Data'!$A$20:$A$114,0)),"")</f>
        <v>5.2913000000000002E-2</v>
      </c>
      <c r="J86">
        <f>IF(F86="","",'NYU Data'!$D$9+F86*'NYU Data'!$D$10)</f>
        <v>9.4915232399999994E-2</v>
      </c>
      <c r="K86">
        <f t="shared" si="5"/>
        <v>8.7984717682575486E-2</v>
      </c>
    </row>
    <row r="87" spans="1:11">
      <c r="A87" t="s">
        <v>127</v>
      </c>
      <c r="B87">
        <v>0.83801499999999995</v>
      </c>
      <c r="C87">
        <v>0.67452000000000001</v>
      </c>
      <c r="D87">
        <v>0.64534499999999995</v>
      </c>
      <c r="E87">
        <v>0.52942999999999996</v>
      </c>
      <c r="F87">
        <f t="shared" si="4"/>
        <v>0.67182750000000002</v>
      </c>
      <c r="G87">
        <f>IFERROR(INDEX('NYU Data'!$E$20:$E$114,MATCH($A87,'NYU Data'!$A$20:$A$114,0)),"")</f>
        <v>0.21811565703705116</v>
      </c>
      <c r="H87">
        <f>IFERROR(INDEX('NYU Data'!$J$20:$J$114,MATCH($A87,'NYU Data'!$A$20:$A$114,0)),"")</f>
        <v>0.78188434296294884</v>
      </c>
      <c r="I87">
        <f>IFERROR(INDEX('NYU Data'!$G$20:$G$114,MATCH($A87,'NYU Data'!$A$20:$A$114,0)),"")</f>
        <v>5.2913000000000002E-2</v>
      </c>
      <c r="J87">
        <f>IF(F87="","",'NYU Data'!$D$9+F87*'NYU Data'!$D$10)</f>
        <v>6.9463506499999994E-2</v>
      </c>
      <c r="K87">
        <f t="shared" si="5"/>
        <v>5.6522924599543486E-2</v>
      </c>
    </row>
    <row r="88" spans="1:11">
      <c r="A88" t="s">
        <v>128</v>
      </c>
      <c r="B88">
        <v>1.6077459999999999</v>
      </c>
      <c r="C88">
        <v>1.495241</v>
      </c>
      <c r="D88">
        <v>1.4858720000000001</v>
      </c>
      <c r="E88">
        <v>1.5181990000000001</v>
      </c>
      <c r="F88">
        <f t="shared" si="4"/>
        <v>1.5267644999999999</v>
      </c>
      <c r="G88">
        <f>IFERROR(INDEX('NYU Data'!$E$20:$E$114,MATCH($A88,'NYU Data'!$A$20:$A$114,0)),"")</f>
        <v>0.97474337819546364</v>
      </c>
      <c r="H88">
        <f>IFERROR(INDEX('NYU Data'!$J$20:$J$114,MATCH($A88,'NYU Data'!$A$20:$A$114,0)),"")</f>
        <v>2.5256621804536361E-2</v>
      </c>
      <c r="I88">
        <f>IFERROR(INDEX('NYU Data'!$G$20:$G$114,MATCH($A88,'NYU Data'!$A$20:$A$114,0)),"")</f>
        <v>5.2913000000000002E-2</v>
      </c>
      <c r="J88">
        <f>IF(F88="","",'NYU Data'!$D$9+F88*'NYU Data'!$D$10)</f>
        <v>0.10759369669999999</v>
      </c>
      <c r="K88">
        <f t="shared" si="5"/>
        <v>0.10621264702343954</v>
      </c>
    </row>
    <row r="89" spans="1:11">
      <c r="A89" t="s">
        <v>129</v>
      </c>
      <c r="B89">
        <v>1.7571429999999999</v>
      </c>
      <c r="C89">
        <v>1.527982</v>
      </c>
      <c r="D89">
        <v>1.4849760000000001</v>
      </c>
      <c r="E89">
        <v>1.3972230000000001</v>
      </c>
      <c r="F89">
        <f t="shared" si="4"/>
        <v>1.5418310000000002</v>
      </c>
      <c r="G89">
        <f>IFERROR(INDEX('NYU Data'!$E$20:$E$114,MATCH($A89,'NYU Data'!$A$20:$A$114,0)),"")</f>
        <v>0.9536409808998203</v>
      </c>
      <c r="H89">
        <f>IFERROR(INDEX('NYU Data'!$J$20:$J$114,MATCH($A89,'NYU Data'!$A$20:$A$114,0)),"")</f>
        <v>4.6359019100179699E-2</v>
      </c>
      <c r="I89">
        <f>IFERROR(INDEX('NYU Data'!$G$20:$G$114,MATCH($A89,'NYU Data'!$A$20:$A$114,0)),"")</f>
        <v>5.2913000000000002E-2</v>
      </c>
      <c r="J89">
        <f>IF(F89="","",'NYU Data'!$D$9+F89*'NYU Data'!$D$10)</f>
        <v>0.10826566260000001</v>
      </c>
      <c r="K89">
        <f t="shared" si="5"/>
        <v>0.1056995674572808</v>
      </c>
    </row>
    <row r="90" spans="1:11">
      <c r="A90" t="s">
        <v>130</v>
      </c>
      <c r="B90">
        <v>0.94373899999999999</v>
      </c>
      <c r="C90">
        <v>0.810836</v>
      </c>
      <c r="D90">
        <v>0.57845000000000002</v>
      </c>
      <c r="E90">
        <v>0.75293299999999996</v>
      </c>
      <c r="F90">
        <f t="shared" si="4"/>
        <v>0.77148950000000005</v>
      </c>
      <c r="G90">
        <f>IFERROR(INDEX('NYU Data'!$E$20:$E$114,MATCH($A90,'NYU Data'!$A$20:$A$114,0)),"")</f>
        <v>0.81599216268354535</v>
      </c>
      <c r="H90">
        <f>IFERROR(INDEX('NYU Data'!$J$20:$J$114,MATCH($A90,'NYU Data'!$A$20:$A$114,0)),"")</f>
        <v>0.18400783731645465</v>
      </c>
      <c r="I90">
        <f>IFERROR(INDEX('NYU Data'!$G$20:$G$114,MATCH($A90,'NYU Data'!$A$20:$A$114,0)),"")</f>
        <v>5.2913000000000002E-2</v>
      </c>
      <c r="J90">
        <f>IF(F90="","",'NYU Data'!$D$9+F90*'NYU Data'!$D$10)</f>
        <v>7.3908431699999999E-2</v>
      </c>
      <c r="K90">
        <f t="shared" si="5"/>
        <v>7.0045107719357666E-2</v>
      </c>
    </row>
    <row r="91" spans="1:11">
      <c r="A91" t="s">
        <v>131</v>
      </c>
      <c r="B91">
        <v>1.327693</v>
      </c>
      <c r="C91">
        <v>1.291579</v>
      </c>
      <c r="D91">
        <v>1.4242079999999999</v>
      </c>
      <c r="E91">
        <v>1.0173179999999999</v>
      </c>
      <c r="F91">
        <f t="shared" si="4"/>
        <v>1.2651995</v>
      </c>
      <c r="G91">
        <f>IFERROR(INDEX('NYU Data'!$E$20:$E$114,MATCH($A91,'NYU Data'!$A$20:$A$114,0)),"")</f>
        <v>0.89329798160715879</v>
      </c>
      <c r="H91">
        <f>IFERROR(INDEX('NYU Data'!$J$20:$J$114,MATCH($A91,'NYU Data'!$A$20:$A$114,0)),"")</f>
        <v>0.10670201839284121</v>
      </c>
      <c r="I91">
        <f>IFERROR(INDEX('NYU Data'!$G$20:$G$114,MATCH($A91,'NYU Data'!$A$20:$A$114,0)),"")</f>
        <v>5.2913000000000002E-2</v>
      </c>
      <c r="J91">
        <f>IF(F91="","",'NYU Data'!$D$9+F91*'NYU Data'!$D$10)</f>
        <v>9.59278977E-2</v>
      </c>
      <c r="K91">
        <f t="shared" si="5"/>
        <v>9.1338121294448418E-2</v>
      </c>
    </row>
    <row r="92" spans="1:11">
      <c r="A92" t="s">
        <v>132</v>
      </c>
      <c r="B92">
        <v>1.3635759999999999</v>
      </c>
      <c r="C92">
        <v>1.108331</v>
      </c>
      <c r="D92">
        <v>1.182782</v>
      </c>
      <c r="E92">
        <v>1.028311</v>
      </c>
      <c r="F92">
        <f t="shared" si="4"/>
        <v>1.17075</v>
      </c>
      <c r="G92">
        <f>IFERROR(INDEX('NYU Data'!$E$20:$E$114,MATCH($A92,'NYU Data'!$A$20:$A$114,0)),"")</f>
        <v>0.97996356872272972</v>
      </c>
      <c r="H92">
        <f>IFERROR(INDEX('NYU Data'!$J$20:$J$114,MATCH($A92,'NYU Data'!$A$20:$A$114,0)),"")</f>
        <v>2.0036431277270284E-2</v>
      </c>
      <c r="I92">
        <f>IFERROR(INDEX('NYU Data'!$G$20:$G$114,MATCH($A92,'NYU Data'!$A$20:$A$114,0)),"")</f>
        <v>5.2913000000000002E-2</v>
      </c>
      <c r="J92">
        <f>IF(F92="","",'NYU Data'!$D$9+F92*'NYU Data'!$D$10)</f>
        <v>9.1715450000000004E-2</v>
      </c>
      <c r="K92">
        <f t="shared" si="5"/>
        <v>9.0937987377185281E-2</v>
      </c>
    </row>
    <row r="93" spans="1:11">
      <c r="A93" t="s">
        <v>133</v>
      </c>
      <c r="B93">
        <v>1.5513060000000001</v>
      </c>
      <c r="C93">
        <v>1.6160840000000001</v>
      </c>
      <c r="D93">
        <v>1.6870259999999999</v>
      </c>
      <c r="E93">
        <v>1.6886760000000001</v>
      </c>
      <c r="F93">
        <f t="shared" si="4"/>
        <v>1.6357730000000001</v>
      </c>
      <c r="G93">
        <f>IFERROR(INDEX('NYU Data'!$E$20:$E$114,MATCH($A93,'NYU Data'!$A$20:$A$114,0)),"")</f>
        <v>0.89048058261622209</v>
      </c>
      <c r="H93">
        <f>IFERROR(INDEX('NYU Data'!$J$20:$J$114,MATCH($A93,'NYU Data'!$A$20:$A$114,0)),"")</f>
        <v>0.10951941738377791</v>
      </c>
      <c r="I93">
        <f>IFERROR(INDEX('NYU Data'!$G$20:$G$114,MATCH($A93,'NYU Data'!$A$20:$A$114,0)),"")</f>
        <v>5.2913000000000002E-2</v>
      </c>
      <c r="J93">
        <f>IF(F93="","",'NYU Data'!$D$9+F93*'NYU Data'!$D$10)</f>
        <v>0.11245547580000001</v>
      </c>
      <c r="K93">
        <f t="shared" si="5"/>
        <v>0.10593441854079631</v>
      </c>
    </row>
    <row r="94" spans="1:11">
      <c r="A94" t="s">
        <v>134</v>
      </c>
      <c r="B94">
        <v>1.4697709999999999</v>
      </c>
      <c r="C94">
        <v>1.293965</v>
      </c>
      <c r="D94">
        <v>1.2417609999999999</v>
      </c>
      <c r="E94">
        <v>1.276648</v>
      </c>
      <c r="F94">
        <f t="shared" si="4"/>
        <v>1.32053625</v>
      </c>
      <c r="G94">
        <f>IFERROR(INDEX('NYU Data'!$E$20:$E$114,MATCH($A94,'NYU Data'!$A$20:$A$114,0)),"")</f>
        <v>0.94717481124203029</v>
      </c>
      <c r="H94">
        <f>IFERROR(INDEX('NYU Data'!$J$20:$J$114,MATCH($A94,'NYU Data'!$A$20:$A$114,0)),"")</f>
        <v>5.282518875796971E-2</v>
      </c>
      <c r="I94">
        <f>IFERROR(INDEX('NYU Data'!$G$20:$G$114,MATCH($A94,'NYU Data'!$A$20:$A$114,0)),"")</f>
        <v>5.2913000000000002E-2</v>
      </c>
      <c r="J94">
        <f>IF(F94="","",'NYU Data'!$D$9+F94*'NYU Data'!$D$10)</f>
        <v>9.8395916750000006E-2</v>
      </c>
      <c r="K94">
        <f t="shared" si="5"/>
        <v>9.5993273087418229E-2</v>
      </c>
    </row>
    <row r="95" spans="1:11">
      <c r="A95" t="s">
        <v>135</v>
      </c>
      <c r="B95">
        <v>1.342484</v>
      </c>
      <c r="C95">
        <v>1.1263719999999999</v>
      </c>
      <c r="D95">
        <v>1.059779</v>
      </c>
      <c r="E95">
        <v>1.062846</v>
      </c>
      <c r="F95">
        <f t="shared" si="4"/>
        <v>1.14787025</v>
      </c>
      <c r="G95">
        <f>IFERROR(INDEX('NYU Data'!$E$20:$E$114,MATCH($A95,'NYU Data'!$A$20:$A$114,0)),"")</f>
        <v>0.80963186390660424</v>
      </c>
      <c r="H95">
        <f>IFERROR(INDEX('NYU Data'!$J$20:$J$114,MATCH($A95,'NYU Data'!$A$20:$A$114,0)),"")</f>
        <v>0.19036813609339576</v>
      </c>
      <c r="I95">
        <f>IFERROR(INDEX('NYU Data'!$G$20:$G$114,MATCH($A95,'NYU Data'!$A$20:$A$114,0)),"")</f>
        <v>5.0671999999999995E-2</v>
      </c>
      <c r="J95">
        <f>IF(F95="","",'NYU Data'!$D$9+F95*'NYU Data'!$D$10)</f>
        <v>9.0695013150000003E-2</v>
      </c>
      <c r="K95">
        <f t="shared" si="5"/>
        <v>8.3075906735793029E-2</v>
      </c>
    </row>
    <row r="96" spans="1:11">
      <c r="A96" t="s">
        <v>136</v>
      </c>
      <c r="B96">
        <v>1.0309740000000001</v>
      </c>
      <c r="C96">
        <v>1.087361</v>
      </c>
      <c r="D96">
        <v>0.77253899999999998</v>
      </c>
      <c r="E96">
        <v>0.53813500000000003</v>
      </c>
      <c r="F96">
        <f t="shared" si="4"/>
        <v>0.85725225000000005</v>
      </c>
      <c r="G96">
        <f>IFERROR(INDEX('NYU Data'!$E$20:$E$114,MATCH($A96,'NYU Data'!$A$20:$A$114,0)),"")</f>
        <v>0.65812552349234665</v>
      </c>
      <c r="H96">
        <f>IFERROR(INDEX('NYU Data'!$J$20:$J$114,MATCH($A96,'NYU Data'!$A$20:$A$114,0)),"")</f>
        <v>0.34187447650765335</v>
      </c>
      <c r="I96">
        <f>IFERROR(INDEX('NYU Data'!$G$20:$G$114,MATCH($A96,'NYU Data'!$A$20:$A$114,0)),"")</f>
        <v>5.0671999999999995E-2</v>
      </c>
      <c r="J96">
        <f>IF(F96="","",'NYU Data'!$D$9+F96*'NYU Data'!$D$10)</f>
        <v>7.7733450350000011E-2</v>
      </c>
      <c r="K96">
        <f t="shared" si="5"/>
        <v>6.848183117805591E-2</v>
      </c>
    </row>
    <row r="97" spans="1:11">
      <c r="A97" t="s">
        <v>137</v>
      </c>
      <c r="B97">
        <v>1.2331190000000001</v>
      </c>
      <c r="C97">
        <v>1.0805070000000001</v>
      </c>
      <c r="D97">
        <v>0.99961500000000003</v>
      </c>
      <c r="E97">
        <v>0.92322000000000004</v>
      </c>
      <c r="F97">
        <f t="shared" si="4"/>
        <v>1.0591152500000001</v>
      </c>
      <c r="G97">
        <f>IFERROR(INDEX('NYU Data'!$E$20:$E$114,MATCH($A97,'NYU Data'!$A$20:$A$114,0)),"")</f>
        <v>0.91556018666934091</v>
      </c>
      <c r="H97">
        <f>IFERROR(INDEX('NYU Data'!$J$20:$J$114,MATCH($A97,'NYU Data'!$A$20:$A$114,0)),"")</f>
        <v>8.4439813330659086E-2</v>
      </c>
      <c r="I97">
        <f>IFERROR(INDEX('NYU Data'!$G$20:$G$114,MATCH($A97,'NYU Data'!$A$20:$A$114,0)),"")</f>
        <v>5.2913000000000002E-2</v>
      </c>
      <c r="J97">
        <f>IF(F97="","",'NYU Data'!$D$9+F97*'NYU Data'!$D$10)</f>
        <v>8.6736540150000013E-2</v>
      </c>
      <c r="K97">
        <f t="shared" si="5"/>
        <v>8.3880486733551959E-2</v>
      </c>
    </row>
    <row r="98" spans="1:11">
      <c r="A98" t="s">
        <v>138</v>
      </c>
      <c r="B98">
        <v>0.88226800000000005</v>
      </c>
      <c r="C98">
        <v>0.78450500000000001</v>
      </c>
      <c r="D98">
        <v>0.88603900000000002</v>
      </c>
      <c r="E98">
        <v>0.62871999999999995</v>
      </c>
      <c r="F98">
        <f t="shared" si="4"/>
        <v>0.79538300000000006</v>
      </c>
      <c r="G98">
        <f>IFERROR(INDEX('NYU Data'!$E$20:$E$114,MATCH($A98,'NYU Data'!$A$20:$A$114,0)),"")</f>
        <v>0.5100396006745912</v>
      </c>
      <c r="H98">
        <f>IFERROR(INDEX('NYU Data'!$J$20:$J$114,MATCH($A98,'NYU Data'!$A$20:$A$114,0)),"")</f>
        <v>0.4899603993254088</v>
      </c>
      <c r="I98">
        <f>IFERROR(INDEX('NYU Data'!$G$20:$G$114,MATCH($A98,'NYU Data'!$A$20:$A$114,0)),"")</f>
        <v>5.2913000000000002E-2</v>
      </c>
      <c r="J98">
        <f>IF(F98="","",'NYU Data'!$D$9+F98*'NYU Data'!$D$10)</f>
        <v>7.4974081800000009E-2</v>
      </c>
      <c r="K98">
        <f t="shared" si="5"/>
        <v>6.41650253517215E-2</v>
      </c>
    </row>
    <row r="99" spans="1:11">
      <c r="A99" t="s">
        <v>139</v>
      </c>
      <c r="B99">
        <v>2.0004569999999999</v>
      </c>
      <c r="C99">
        <v>1.2232909999999999</v>
      </c>
      <c r="D99">
        <v>0.97996799999999995</v>
      </c>
      <c r="E99">
        <v>0.79431499999999999</v>
      </c>
      <c r="F99">
        <f t="shared" si="4"/>
        <v>1.24950775</v>
      </c>
      <c r="G99">
        <f>IFERROR(INDEX('NYU Data'!$E$20:$E$114,MATCH($A99,'NYU Data'!$A$20:$A$114,0)),"")</f>
        <v>0.81321637444562511</v>
      </c>
      <c r="H99">
        <f>IFERROR(INDEX('NYU Data'!$J$20:$J$114,MATCH($A99,'NYU Data'!$A$20:$A$114,0)),"")</f>
        <v>0.18678362555437489</v>
      </c>
      <c r="I99">
        <f>IFERROR(INDEX('NYU Data'!$G$20:$G$114,MATCH($A99,'NYU Data'!$A$20:$A$114,0)),"")</f>
        <v>6.0194999999999999E-2</v>
      </c>
      <c r="J99">
        <f>IF(F99="","",'NYU Data'!$D$9+F99*'NYU Data'!$D$10)</f>
        <v>9.5228045650000009E-2</v>
      </c>
      <c r="K99">
        <f t="shared" si="5"/>
        <v>8.8684446369281078E-2</v>
      </c>
    </row>
    <row r="100" spans="1:11">
      <c r="A100" t="s">
        <v>140</v>
      </c>
      <c r="B100">
        <v>1.0582659999999999</v>
      </c>
      <c r="C100">
        <v>1.2585310000000001</v>
      </c>
      <c r="D100">
        <v>1.026899</v>
      </c>
      <c r="E100">
        <v>0.85992199999999996</v>
      </c>
      <c r="F100">
        <f t="shared" si="4"/>
        <v>1.0509045000000001</v>
      </c>
      <c r="G100">
        <f>IFERROR(INDEX('NYU Data'!$E$20:$E$114,MATCH($A100,'NYU Data'!$A$20:$A$114,0)),"")</f>
        <v>0.73287154939615018</v>
      </c>
      <c r="H100">
        <f>IFERROR(INDEX('NYU Data'!$J$20:$J$114,MATCH($A100,'NYU Data'!$A$20:$A$114,0)),"")</f>
        <v>0.26712845060384982</v>
      </c>
      <c r="I100">
        <f>IFERROR(INDEX('NYU Data'!$G$20:$G$114,MATCH($A100,'NYU Data'!$A$20:$A$114,0)),"")</f>
        <v>5.0671999999999995E-2</v>
      </c>
      <c r="J100">
        <f>IF(F100="","",'NYU Data'!$D$9+F100*'NYU Data'!$D$10)</f>
        <v>8.6370340700000006E-2</v>
      </c>
      <c r="K100">
        <f t="shared" si="5"/>
        <v>7.6834298259680647E-2</v>
      </c>
    </row>
    <row r="101" spans="1:11">
      <c r="A101" t="s">
        <v>141</v>
      </c>
      <c r="B101">
        <v>1.107831</v>
      </c>
      <c r="C101">
        <v>1.017272</v>
      </c>
      <c r="D101">
        <v>0.99185599999999996</v>
      </c>
      <c r="E101">
        <v>0.97514599999999996</v>
      </c>
      <c r="F101">
        <f t="shared" si="4"/>
        <v>1.02302625</v>
      </c>
      <c r="G101">
        <f>IFERROR(INDEX('NYU Data'!$E$20:$E$114,MATCH($A101,'NYU Data'!$A$20:$A$114,0)),"")</f>
        <v>0.78252427065158103</v>
      </c>
      <c r="H101">
        <f>IFERROR(INDEX('NYU Data'!$J$20:$J$114,MATCH($A101,'NYU Data'!$A$20:$A$114,0)),"")</f>
        <v>0.21747572934841897</v>
      </c>
      <c r="I101">
        <f>IFERROR(INDEX('NYU Data'!$G$20:$G$114,MATCH($A101,'NYU Data'!$A$20:$A$114,0)),"")</f>
        <v>4.7306000000000001E-2</v>
      </c>
      <c r="J101">
        <f>IF(F101="","",'NYU Data'!$D$9+F101*'NYU Data'!$D$10)</f>
        <v>8.5126970750000003E-2</v>
      </c>
      <c r="K101">
        <f t="shared" si="5"/>
        <v>7.6901827551478522E-2</v>
      </c>
    </row>
    <row r="102" spans="1:11">
      <c r="A102" t="s">
        <v>142</v>
      </c>
      <c r="B102">
        <v>1.5451239999999999</v>
      </c>
      <c r="C102">
        <v>1.148407</v>
      </c>
      <c r="D102">
        <v>1.104813</v>
      </c>
      <c r="E102">
        <v>1.0113490000000001</v>
      </c>
      <c r="F102">
        <f t="shared" si="4"/>
        <v>1.2024232500000001</v>
      </c>
      <c r="G102">
        <f>IFERROR(INDEX('NYU Data'!$E$20:$E$114,MATCH($A102,'NYU Data'!$A$20:$A$114,0)),"")</f>
        <v>0.79852019226992521</v>
      </c>
      <c r="H102">
        <f>IFERROR(INDEX('NYU Data'!$J$20:$J$114,MATCH($A102,'NYU Data'!$A$20:$A$114,0)),"")</f>
        <v>0.20147980773007479</v>
      </c>
      <c r="I102">
        <f>IFERROR(INDEX('NYU Data'!$G$20:$G$114,MATCH($A102,'NYU Data'!$A$20:$A$114,0)),"")</f>
        <v>5.0671999999999995E-2</v>
      </c>
      <c r="J102">
        <f>IF(F102="","",'NYU Data'!$D$9+F102*'NYU Data'!$D$10)</f>
        <v>9.3128076949999999E-2</v>
      </c>
      <c r="K102">
        <f t="shared" si="5"/>
        <v>8.457403472914074E-2</v>
      </c>
    </row>
    <row r="103" spans="1:11">
      <c r="A103" t="s">
        <v>143</v>
      </c>
      <c r="B103">
        <v>0.63513900000000001</v>
      </c>
      <c r="C103">
        <v>0.58043199999999995</v>
      </c>
      <c r="D103">
        <v>0.39343800000000001</v>
      </c>
      <c r="E103">
        <v>0.23943500000000001</v>
      </c>
      <c r="F103">
        <f t="shared" si="4"/>
        <v>0.46211099999999999</v>
      </c>
      <c r="G103">
        <f>IFERROR(INDEX('NYU Data'!$E$20:$E$114,MATCH($A103,'NYU Data'!$A$20:$A$114,0)),"")</f>
        <v>0.55101188178185656</v>
      </c>
      <c r="H103">
        <f>IFERROR(INDEX('NYU Data'!$J$20:$J$114,MATCH($A103,'NYU Data'!$A$20:$A$114,0)),"")</f>
        <v>0.44898811821814344</v>
      </c>
      <c r="I103">
        <f>IFERROR(INDEX('NYU Data'!$G$20:$G$114,MATCH($A103,'NYU Data'!$A$20:$A$114,0)),"")</f>
        <v>4.7306000000000001E-2</v>
      </c>
      <c r="J103">
        <f>IF(F103="","",'NYU Data'!$D$9+F103*'NYU Data'!$D$10)</f>
        <v>6.0110150600000002E-2</v>
      </c>
      <c r="K103">
        <f t="shared" si="5"/>
        <v>5.4361239116724289E-2</v>
      </c>
    </row>
    <row r="104" spans="1:11">
      <c r="A104" t="s">
        <v>144</v>
      </c>
      <c r="B104">
        <v>1.152415</v>
      </c>
      <c r="C104">
        <v>0.71396300000000001</v>
      </c>
      <c r="D104">
        <v>0.67856700000000003</v>
      </c>
      <c r="E104">
        <v>0.41268300000000002</v>
      </c>
      <c r="F104">
        <f t="shared" si="4"/>
        <v>0.73940700000000004</v>
      </c>
      <c r="G104">
        <f>IFERROR(INDEX('NYU Data'!$E$20:$E$114,MATCH($A104,'NYU Data'!$A$20:$A$114,0)),"")</f>
        <v>0.61591735519626356</v>
      </c>
      <c r="H104">
        <f>IFERROR(INDEX('NYU Data'!$J$20:$J$114,MATCH($A104,'NYU Data'!$A$20:$A$114,0)),"")</f>
        <v>0.38408264480373644</v>
      </c>
      <c r="I104">
        <f>IFERROR(INDEX('NYU Data'!$G$20:$G$114,MATCH($A104,'NYU Data'!$A$20:$A$114,0)),"")</f>
        <v>4.7306000000000001E-2</v>
      </c>
      <c r="J104">
        <f>IF(F104="","",'NYU Data'!$D$9+F104*'NYU Data'!$D$10)</f>
        <v>7.2477552200000003E-2</v>
      </c>
      <c r="K104">
        <f t="shared" si="5"/>
        <v>6.2809595857208689E-2</v>
      </c>
    </row>
    <row r="105" spans="1:11">
      <c r="A105" t="s">
        <v>145</v>
      </c>
      <c r="B105">
        <v>1.15727</v>
      </c>
      <c r="C105">
        <v>1.0002230000000001</v>
      </c>
      <c r="D105">
        <v>1.00278</v>
      </c>
      <c r="E105">
        <v>0.91211100000000001</v>
      </c>
      <c r="F105">
        <f t="shared" si="4"/>
        <v>1.0180960000000001</v>
      </c>
      <c r="G105">
        <f>IFERROR(INDEX('NYU Data'!$E$20:$E$114,MATCH($A105,'NYU Data'!$A$20:$A$114,0)),"")</f>
        <v>0.73980229704024358</v>
      </c>
      <c r="H105">
        <f>IFERROR(INDEX('NYU Data'!$J$20:$J$114,MATCH($A105,'NYU Data'!$A$20:$A$114,0)),"")</f>
        <v>0.26019770295975642</v>
      </c>
      <c r="I105">
        <f>IFERROR(INDEX('NYU Data'!$G$20:$G$114,MATCH($A105,'NYU Data'!$A$20:$A$114,0)),"")</f>
        <v>5.2913000000000002E-2</v>
      </c>
      <c r="J105">
        <f>IF(F105="","",'NYU Data'!$D$9+F105*'NYU Data'!$D$10)</f>
        <v>8.4907081600000003E-2</v>
      </c>
      <c r="K105">
        <f t="shared" si="5"/>
        <v>7.6582295059373001E-2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F6BF-246E-47B8-A508-66F5039B1799}">
  <dimension ref="B2:K27"/>
  <sheetViews>
    <sheetView workbookViewId="0">
      <selection activeCell="D25" sqref="D25"/>
    </sheetView>
  </sheetViews>
  <sheetFormatPr defaultRowHeight="15"/>
  <cols>
    <col min="2" max="2" width="43.42578125" bestFit="1" customWidth="1"/>
    <col min="3" max="3" width="32.7109375" bestFit="1" customWidth="1"/>
    <col min="4" max="4" width="22.85546875" bestFit="1" customWidth="1"/>
    <col min="5" max="5" width="18.42578125" bestFit="1" customWidth="1"/>
    <col min="11" max="11" width="13.5703125" bestFit="1" customWidth="1"/>
  </cols>
  <sheetData>
    <row r="2" spans="2:11">
      <c r="B2" t="s">
        <v>172</v>
      </c>
      <c r="C2" t="s">
        <v>173</v>
      </c>
      <c r="D2" t="s">
        <v>174</v>
      </c>
      <c r="E2" t="s">
        <v>175</v>
      </c>
      <c r="G2" t="s">
        <v>176</v>
      </c>
      <c r="H2" t="s">
        <v>177</v>
      </c>
      <c r="I2" t="s">
        <v>178</v>
      </c>
      <c r="K2" t="s">
        <v>179</v>
      </c>
    </row>
    <row r="3" spans="2:11">
      <c r="B3" t="s">
        <v>147</v>
      </c>
      <c r="C3" t="s">
        <v>83</v>
      </c>
      <c r="G3" s="45">
        <f>IFERROR(INDEX('NYU Data'!$G$20:$G$114,MATCH(C3,'NYU Data'!$A$20:$A$114,0)),"")</f>
        <v>5.2913000000000002E-2</v>
      </c>
      <c r="H3" s="45" t="str">
        <f>IFERROR(INDEX('NYU Data'!$G$20:$G$114,MATCH(D3,'NYU Data'!$A$20:$A$114,0)),"")</f>
        <v/>
      </c>
      <c r="I3" s="45" t="str">
        <f>IFERROR(INDEX('NYU Data'!$G$20:$G$114,MATCH(E3,'NYU Data'!$A$20:$A$114,0)),"")</f>
        <v/>
      </c>
      <c r="K3" s="46">
        <f>AVERAGE(G3:I3)</f>
        <v>5.2913000000000002E-2</v>
      </c>
    </row>
    <row r="4" spans="2:11">
      <c r="B4" t="s">
        <v>148</v>
      </c>
      <c r="C4" t="s">
        <v>69</v>
      </c>
      <c r="G4" s="45">
        <f>IFERROR(INDEX('NYU Data'!$G$20:$G$114,MATCH(C4,'NYU Data'!$A$20:$A$114,0)),"")</f>
        <v>5.2913000000000002E-2</v>
      </c>
      <c r="H4" s="45" t="str">
        <f>IFERROR(INDEX('NYU Data'!$G$20:$G$114,MATCH(D4,'NYU Data'!$A$20:$A$114,0)),"")</f>
        <v/>
      </c>
      <c r="I4" s="45" t="str">
        <f>IFERROR(INDEX('NYU Data'!$G$20:$G$114,MATCH(E4,'NYU Data'!$A$20:$A$114,0)),"")</f>
        <v/>
      </c>
      <c r="K4" s="46">
        <f t="shared" ref="K4:K27" si="0">AVERAGE(G4:I4)</f>
        <v>5.2913000000000002E-2</v>
      </c>
    </row>
    <row r="5" spans="2:11">
      <c r="B5" t="s">
        <v>149</v>
      </c>
      <c r="C5" t="s">
        <v>105</v>
      </c>
      <c r="G5" s="45">
        <f>IFERROR(INDEX('NYU Data'!$G$20:$G$114,MATCH(C5,'NYU Data'!$A$20:$A$114,0)),"")</f>
        <v>5.0671999999999995E-2</v>
      </c>
      <c r="H5" s="45" t="str">
        <f>IFERROR(INDEX('NYU Data'!$G$20:$G$114,MATCH(D5,'NYU Data'!$A$20:$A$114,0)),"")</f>
        <v/>
      </c>
      <c r="I5" s="45" t="str">
        <f>IFERROR(INDEX('NYU Data'!$G$20:$G$114,MATCH(E5,'NYU Data'!$A$20:$A$114,0)),"")</f>
        <v/>
      </c>
      <c r="K5" s="46">
        <f t="shared" si="0"/>
        <v>5.0671999999999995E-2</v>
      </c>
    </row>
    <row r="6" spans="2:11">
      <c r="B6" t="s">
        <v>150</v>
      </c>
      <c r="C6" t="s">
        <v>102</v>
      </c>
      <c r="G6" s="45">
        <f>IFERROR(INDEX('NYU Data'!$G$20:$G$114,MATCH(C6,'NYU Data'!$A$20:$A$114,0)),"")</f>
        <v>6.0194999999999999E-2</v>
      </c>
      <c r="H6" s="45" t="str">
        <f>IFERROR(INDEX('NYU Data'!$G$20:$G$114,MATCH(D6,'NYU Data'!$A$20:$A$114,0)),"")</f>
        <v/>
      </c>
      <c r="I6" s="45" t="str">
        <f>IFERROR(INDEX('NYU Data'!$G$20:$G$114,MATCH(E6,'NYU Data'!$A$20:$A$114,0)),"")</f>
        <v/>
      </c>
      <c r="K6" s="46">
        <f t="shared" si="0"/>
        <v>6.0194999999999999E-2</v>
      </c>
    </row>
    <row r="7" spans="2:11">
      <c r="B7" t="s">
        <v>151</v>
      </c>
      <c r="C7" t="s">
        <v>85</v>
      </c>
      <c r="D7" t="s">
        <v>86</v>
      </c>
      <c r="E7" t="s">
        <v>139</v>
      </c>
      <c r="G7" s="45">
        <f>IFERROR(INDEX('NYU Data'!$G$20:$G$114,MATCH(C7,'NYU Data'!$A$20:$A$114,0)),"")</f>
        <v>5.0671999999999995E-2</v>
      </c>
      <c r="H7" s="45">
        <f>IFERROR(INDEX('NYU Data'!$G$20:$G$114,MATCH(D7,'NYU Data'!$A$20:$A$114,0)),"")</f>
        <v>5.0671999999999995E-2</v>
      </c>
      <c r="I7" s="45">
        <f>IFERROR(INDEX('NYU Data'!$G$20:$G$114,MATCH(E7,'NYU Data'!$A$20:$A$114,0)),"")</f>
        <v>6.0194999999999999E-2</v>
      </c>
      <c r="K7" s="46">
        <f t="shared" si="0"/>
        <v>5.3846333333333329E-2</v>
      </c>
    </row>
    <row r="8" spans="2:11">
      <c r="B8" t="s">
        <v>152</v>
      </c>
      <c r="C8" t="s">
        <v>54</v>
      </c>
      <c r="G8" s="45">
        <f>IFERROR(INDEX('NYU Data'!$G$20:$G$114,MATCH(C8,'NYU Data'!$A$20:$A$114,0)),"")</f>
        <v>5.2913000000000002E-2</v>
      </c>
      <c r="H8" s="45" t="str">
        <f>IFERROR(INDEX('NYU Data'!$G$20:$G$114,MATCH(D8,'NYU Data'!$A$20:$A$114,0)),"")</f>
        <v/>
      </c>
      <c r="I8" s="45" t="str">
        <f>IFERROR(INDEX('NYU Data'!$G$20:$G$114,MATCH(E8,'NYU Data'!$A$20:$A$114,0)),"")</f>
        <v/>
      </c>
      <c r="K8" s="46">
        <f t="shared" si="0"/>
        <v>5.2913000000000002E-2</v>
      </c>
    </row>
    <row r="9" spans="2:11">
      <c r="B9" t="s">
        <v>153</v>
      </c>
      <c r="C9" t="s">
        <v>109</v>
      </c>
      <c r="G9" s="45">
        <f>IFERROR(INDEX('NYU Data'!$G$20:$G$114,MATCH(C9,'NYU Data'!$A$20:$A$114,0)),"")</f>
        <v>5.2913000000000002E-2</v>
      </c>
      <c r="H9" s="45" t="str">
        <f>IFERROR(INDEX('NYU Data'!$G$20:$G$114,MATCH(D9,'NYU Data'!$A$20:$A$114,0)),"")</f>
        <v/>
      </c>
      <c r="I9" s="45" t="str">
        <f>IFERROR(INDEX('NYU Data'!$G$20:$G$114,MATCH(E9,'NYU Data'!$A$20:$A$114,0)),"")</f>
        <v/>
      </c>
      <c r="K9" s="46">
        <f t="shared" si="0"/>
        <v>5.2913000000000002E-2</v>
      </c>
    </row>
    <row r="10" spans="2:11">
      <c r="B10" t="s">
        <v>154</v>
      </c>
      <c r="C10" t="s">
        <v>109</v>
      </c>
      <c r="D10" t="s">
        <v>112</v>
      </c>
      <c r="G10" s="45">
        <f>IFERROR(INDEX('NYU Data'!$G$20:$G$114,MATCH(C10,'NYU Data'!$A$20:$A$114,0)),"")</f>
        <v>5.2913000000000002E-2</v>
      </c>
      <c r="H10" s="45">
        <f>IFERROR(INDEX('NYU Data'!$G$20:$G$114,MATCH(D10,'NYU Data'!$A$20:$A$114,0)),"")</f>
        <v>5.0671999999999995E-2</v>
      </c>
      <c r="I10" s="45" t="str">
        <f>IFERROR(INDEX('NYU Data'!$G$20:$G$114,MATCH(E10,'NYU Data'!$A$20:$A$114,0)),"")</f>
        <v/>
      </c>
      <c r="K10" s="46">
        <f t="shared" si="0"/>
        <v>5.1792499999999998E-2</v>
      </c>
    </row>
    <row r="11" spans="2:11">
      <c r="B11" t="s">
        <v>155</v>
      </c>
      <c r="C11" t="s">
        <v>104</v>
      </c>
      <c r="G11" s="45">
        <f>IFERROR(INDEX('NYU Data'!$G$20:$G$114,MATCH(C11,'NYU Data'!$A$20:$A$114,0)),"")</f>
        <v>4.7306000000000001E-2</v>
      </c>
      <c r="H11" s="45" t="str">
        <f>IFERROR(INDEX('NYU Data'!$G$20:$G$114,MATCH(D11,'NYU Data'!$A$20:$A$114,0)),"")</f>
        <v/>
      </c>
      <c r="I11" s="45" t="str">
        <f>IFERROR(INDEX('NYU Data'!$G$20:$G$114,MATCH(E11,'NYU Data'!$A$20:$A$114,0)),"")</f>
        <v/>
      </c>
      <c r="K11" s="46">
        <f t="shared" si="0"/>
        <v>4.7306000000000001E-2</v>
      </c>
    </row>
    <row r="12" spans="2:11">
      <c r="B12" t="s">
        <v>156</v>
      </c>
      <c r="C12" t="s">
        <v>66</v>
      </c>
      <c r="D12" t="s">
        <v>67</v>
      </c>
      <c r="E12" t="s">
        <v>68</v>
      </c>
      <c r="G12" s="45">
        <f>IFERROR(INDEX('NYU Data'!$G$20:$G$114,MATCH(C12,'NYU Data'!$A$20:$A$114,0)),"")</f>
        <v>5.2913000000000002E-2</v>
      </c>
      <c r="H12" s="45">
        <f>IFERROR(INDEX('NYU Data'!$G$20:$G$114,MATCH(D12,'NYU Data'!$A$20:$A$114,0)),"")</f>
        <v>5.0671999999999995E-2</v>
      </c>
      <c r="I12" s="45">
        <f>IFERROR(INDEX('NYU Data'!$G$20:$G$114,MATCH(E12,'NYU Data'!$A$20:$A$114,0)),"")</f>
        <v>5.0671999999999995E-2</v>
      </c>
      <c r="K12" s="46">
        <f t="shared" si="0"/>
        <v>5.1418999999999992E-2</v>
      </c>
    </row>
    <row r="13" spans="2:11">
      <c r="B13" t="s">
        <v>157</v>
      </c>
      <c r="C13" t="s">
        <v>127</v>
      </c>
      <c r="G13" s="45">
        <f>IFERROR(INDEX('NYU Data'!$G$20:$G$114,MATCH(C13,'NYU Data'!$A$20:$A$114,0)),"")</f>
        <v>5.2913000000000002E-2</v>
      </c>
      <c r="H13" s="45" t="str">
        <f>IFERROR(INDEX('NYU Data'!$G$20:$G$114,MATCH(D13,'NYU Data'!$A$20:$A$114,0)),"")</f>
        <v/>
      </c>
      <c r="I13" s="45" t="str">
        <f>IFERROR(INDEX('NYU Data'!$G$20:$G$114,MATCH(E13,'NYU Data'!$A$20:$A$114,0)),"")</f>
        <v/>
      </c>
      <c r="K13" s="46">
        <f t="shared" si="0"/>
        <v>5.2913000000000002E-2</v>
      </c>
    </row>
    <row r="14" spans="2:11">
      <c r="B14" t="s">
        <v>158</v>
      </c>
      <c r="C14" t="s">
        <v>63</v>
      </c>
      <c r="G14" s="45">
        <f>IFERROR(INDEX('NYU Data'!$G$20:$G$114,MATCH(C14,'NYU Data'!$A$20:$A$114,0)),"")</f>
        <v>5.0671999999999995E-2</v>
      </c>
      <c r="H14" s="45" t="str">
        <f>IFERROR(INDEX('NYU Data'!$G$20:$G$114,MATCH(D14,'NYU Data'!$A$20:$A$114,0)),"")</f>
        <v/>
      </c>
      <c r="I14" s="45" t="str">
        <f>IFERROR(INDEX('NYU Data'!$G$20:$G$114,MATCH(E14,'NYU Data'!$A$20:$A$114,0)),"")</f>
        <v/>
      </c>
      <c r="K14" s="46">
        <f t="shared" si="0"/>
        <v>5.0671999999999995E-2</v>
      </c>
    </row>
    <row r="15" spans="2:11">
      <c r="B15" t="s">
        <v>159</v>
      </c>
      <c r="C15" t="s">
        <v>63</v>
      </c>
      <c r="G15" s="45">
        <f>IFERROR(INDEX('NYU Data'!$G$20:$G$114,MATCH(C15,'NYU Data'!$A$20:$A$114,0)),"")</f>
        <v>5.0671999999999995E-2</v>
      </c>
      <c r="H15" s="45" t="str">
        <f>IFERROR(INDEX('NYU Data'!$G$20:$G$114,MATCH(D15,'NYU Data'!$A$20:$A$114,0)),"")</f>
        <v/>
      </c>
      <c r="I15" s="45" t="str">
        <f>IFERROR(INDEX('NYU Data'!$G$20:$G$114,MATCH(E15,'NYU Data'!$A$20:$A$114,0)),"")</f>
        <v/>
      </c>
      <c r="K15" s="46">
        <f t="shared" si="0"/>
        <v>5.0671999999999995E-2</v>
      </c>
    </row>
    <row r="16" spans="2:11">
      <c r="B16" t="s">
        <v>160</v>
      </c>
      <c r="C16" t="s">
        <v>135</v>
      </c>
      <c r="G16" s="45">
        <f>IFERROR(INDEX('NYU Data'!$G$20:$G$114,MATCH(C16,'NYU Data'!$A$20:$A$114,0)),"")</f>
        <v>5.0671999999999995E-2</v>
      </c>
      <c r="H16" s="45" t="str">
        <f>IFERROR(INDEX('NYU Data'!$G$20:$G$114,MATCH(D16,'NYU Data'!$A$20:$A$114,0)),"")</f>
        <v/>
      </c>
      <c r="I16" s="45" t="str">
        <f>IFERROR(INDEX('NYU Data'!$G$20:$G$114,MATCH(E16,'NYU Data'!$A$20:$A$114,0)),"")</f>
        <v/>
      </c>
      <c r="K16" s="46">
        <f t="shared" si="0"/>
        <v>5.0671999999999995E-2</v>
      </c>
    </row>
    <row r="17" spans="2:11">
      <c r="B17" t="s">
        <v>161</v>
      </c>
      <c r="C17" t="s">
        <v>102</v>
      </c>
      <c r="G17" s="45">
        <f>IFERROR(INDEX('NYU Data'!$G$20:$G$114,MATCH(C17,'NYU Data'!$A$20:$A$114,0)),"")</f>
        <v>6.0194999999999999E-2</v>
      </c>
      <c r="H17" s="45" t="str">
        <f>IFERROR(INDEX('NYU Data'!$G$20:$G$114,MATCH(D17,'NYU Data'!$A$20:$A$114,0)),"")</f>
        <v/>
      </c>
      <c r="I17" s="45" t="str">
        <f>IFERROR(INDEX('NYU Data'!$G$20:$G$114,MATCH(E17,'NYU Data'!$A$20:$A$114,0)),"")</f>
        <v/>
      </c>
      <c r="K17" s="46">
        <f t="shared" si="0"/>
        <v>6.0194999999999999E-2</v>
      </c>
    </row>
    <row r="18" spans="2:11">
      <c r="B18" t="s">
        <v>162</v>
      </c>
      <c r="C18" t="s">
        <v>102</v>
      </c>
      <c r="G18" s="45">
        <f>IFERROR(INDEX('NYU Data'!$G$20:$G$114,MATCH(C18,'NYU Data'!$A$20:$A$114,0)),"")</f>
        <v>6.0194999999999999E-2</v>
      </c>
      <c r="H18" s="45" t="str">
        <f>IFERROR(INDEX('NYU Data'!$G$20:$G$114,MATCH(D18,'NYU Data'!$A$20:$A$114,0)),"")</f>
        <v/>
      </c>
      <c r="I18" s="45" t="str">
        <f>IFERROR(INDEX('NYU Data'!$G$20:$G$114,MATCH(E18,'NYU Data'!$A$20:$A$114,0)),"")</f>
        <v/>
      </c>
      <c r="K18" s="46">
        <f t="shared" si="0"/>
        <v>6.0194999999999999E-2</v>
      </c>
    </row>
    <row r="19" spans="2:11">
      <c r="B19" t="s">
        <v>163</v>
      </c>
      <c r="C19" t="s">
        <v>78</v>
      </c>
      <c r="D19" t="s">
        <v>79</v>
      </c>
      <c r="G19" s="45">
        <f>IFERROR(INDEX('NYU Data'!$G$20:$G$114,MATCH(C19,'NYU Data'!$A$20:$A$114,0)),"")</f>
        <v>6.0194999999999999E-2</v>
      </c>
      <c r="H19" s="45">
        <f>IFERROR(INDEX('NYU Data'!$G$20:$G$114,MATCH(D19,'NYU Data'!$A$20:$A$114,0)),"")</f>
        <v>5.2913000000000002E-2</v>
      </c>
      <c r="I19" s="45" t="str">
        <f>IFERROR(INDEX('NYU Data'!$G$20:$G$114,MATCH(E19,'NYU Data'!$A$20:$A$114,0)),"")</f>
        <v/>
      </c>
      <c r="K19" s="46">
        <f t="shared" si="0"/>
        <v>5.6554E-2</v>
      </c>
    </row>
    <row r="20" spans="2:11">
      <c r="B20" t="s">
        <v>164</v>
      </c>
      <c r="C20" t="s">
        <v>87</v>
      </c>
      <c r="D20" t="s">
        <v>77</v>
      </c>
      <c r="G20" s="45">
        <f>IFERROR(INDEX('NYU Data'!$G$20:$G$114,MATCH(C20,'NYU Data'!$A$20:$A$114,0)),"")</f>
        <v>5.2913000000000002E-2</v>
      </c>
      <c r="H20" s="45">
        <f>IFERROR(INDEX('NYU Data'!$G$20:$G$114,MATCH(D20,'NYU Data'!$A$20:$A$114,0)),"")</f>
        <v>6.0194999999999999E-2</v>
      </c>
      <c r="I20" s="45" t="str">
        <f>IFERROR(INDEX('NYU Data'!$G$20:$G$114,MATCH(E20,'NYU Data'!$A$20:$A$114,0)),"")</f>
        <v/>
      </c>
      <c r="K20" s="46">
        <f t="shared" si="0"/>
        <v>5.6554E-2</v>
      </c>
    </row>
    <row r="21" spans="2:11">
      <c r="B21" t="s">
        <v>165</v>
      </c>
      <c r="C21" t="s">
        <v>101</v>
      </c>
      <c r="G21" s="45">
        <f>IFERROR(INDEX('NYU Data'!$G$20:$G$114,MATCH(C21,'NYU Data'!$A$20:$A$114,0)),"")</f>
        <v>5.2913000000000002E-2</v>
      </c>
      <c r="H21" s="45" t="str">
        <f>IFERROR(INDEX('NYU Data'!$G$20:$G$114,MATCH(D21,'NYU Data'!$A$20:$A$114,0)),"")</f>
        <v/>
      </c>
      <c r="I21" s="45" t="str">
        <f>IFERROR(INDEX('NYU Data'!$G$20:$G$114,MATCH(E21,'NYU Data'!$A$20:$A$114,0)),"")</f>
        <v/>
      </c>
      <c r="K21" s="46">
        <f t="shared" si="0"/>
        <v>5.2913000000000002E-2</v>
      </c>
    </row>
    <row r="22" spans="2:11">
      <c r="B22" t="s">
        <v>166</v>
      </c>
      <c r="C22" t="s">
        <v>140</v>
      </c>
      <c r="D22" t="s">
        <v>142</v>
      </c>
      <c r="G22" s="45">
        <f>IFERROR(INDEX('NYU Data'!$G$20:$G$114,MATCH(C22,'NYU Data'!$A$20:$A$114,0)),"")</f>
        <v>5.0671999999999995E-2</v>
      </c>
      <c r="H22" s="45">
        <f>IFERROR(INDEX('NYU Data'!$G$20:$G$114,MATCH(D22,'NYU Data'!$A$20:$A$114,0)),"")</f>
        <v>5.0671999999999995E-2</v>
      </c>
      <c r="I22" s="45" t="str">
        <f>IFERROR(INDEX('NYU Data'!$G$20:$G$114,MATCH(E22,'NYU Data'!$A$20:$A$114,0)),"")</f>
        <v/>
      </c>
      <c r="K22" s="46">
        <f t="shared" si="0"/>
        <v>5.0671999999999995E-2</v>
      </c>
    </row>
    <row r="23" spans="2:11">
      <c r="B23" t="s">
        <v>167</v>
      </c>
      <c r="C23" t="s">
        <v>141</v>
      </c>
      <c r="G23" s="45">
        <f>IFERROR(INDEX('NYU Data'!$G$20:$G$114,MATCH(C23,'NYU Data'!$A$20:$A$114,0)),"")</f>
        <v>4.7306000000000001E-2</v>
      </c>
      <c r="H23" s="45" t="str">
        <f>IFERROR(INDEX('NYU Data'!$G$20:$G$114,MATCH(D23,'NYU Data'!$A$20:$A$114,0)),"")</f>
        <v/>
      </c>
      <c r="I23" s="45" t="str">
        <f>IFERROR(INDEX('NYU Data'!$G$20:$G$114,MATCH(E23,'NYU Data'!$A$20:$A$114,0)),"")</f>
        <v/>
      </c>
      <c r="K23" s="46">
        <f t="shared" si="0"/>
        <v>4.7306000000000001E-2</v>
      </c>
    </row>
    <row r="24" spans="2:11">
      <c r="B24" t="s">
        <v>168</v>
      </c>
      <c r="C24" t="s">
        <v>101</v>
      </c>
      <c r="G24" s="45">
        <f>IFERROR(INDEX('NYU Data'!$G$20:$G$114,MATCH(C24,'NYU Data'!$A$20:$A$114,0)),"")</f>
        <v>5.2913000000000002E-2</v>
      </c>
      <c r="H24" s="45" t="str">
        <f>IFERROR(INDEX('NYU Data'!$G$20:$G$114,MATCH(D24,'NYU Data'!$A$20:$A$114,0)),"")</f>
        <v/>
      </c>
      <c r="I24" s="45" t="str">
        <f>IFERROR(INDEX('NYU Data'!$G$20:$G$114,MATCH(E24,'NYU Data'!$A$20:$A$114,0)),"")</f>
        <v/>
      </c>
      <c r="K24" s="46">
        <f t="shared" si="0"/>
        <v>5.2913000000000002E-2</v>
      </c>
    </row>
    <row r="25" spans="2:11">
      <c r="B25" t="s">
        <v>169</v>
      </c>
      <c r="C25" t="s">
        <v>106</v>
      </c>
      <c r="G25" s="45">
        <f>IFERROR(INDEX('NYU Data'!$G$20:$G$114,MATCH(C25,'NYU Data'!$A$20:$A$114,0)),"")</f>
        <v>5.0671999999999995E-2</v>
      </c>
      <c r="H25" s="45" t="str">
        <f>IFERROR(INDEX('NYU Data'!$G$20:$G$114,MATCH(D25,'NYU Data'!$A$20:$A$114,0)),"")</f>
        <v/>
      </c>
      <c r="I25" s="45" t="str">
        <f>IFERROR(INDEX('NYU Data'!$G$20:$G$114,MATCH(E25,'NYU Data'!$A$20:$A$114,0)),"")</f>
        <v/>
      </c>
      <c r="K25" s="46">
        <f t="shared" si="0"/>
        <v>5.0671999999999995E-2</v>
      </c>
    </row>
    <row r="26" spans="2:11">
      <c r="B26" t="s">
        <v>170</v>
      </c>
      <c r="C26" t="s">
        <v>144</v>
      </c>
      <c r="G26" s="45">
        <f>IFERROR(INDEX('NYU Data'!$G$20:$G$114,MATCH(C26,'NYU Data'!$A$20:$A$114,0)),"")</f>
        <v>4.7306000000000001E-2</v>
      </c>
      <c r="H26" s="45" t="str">
        <f>IFERROR(INDEX('NYU Data'!$G$20:$G$114,MATCH(D26,'NYU Data'!$A$20:$A$114,0)),"")</f>
        <v/>
      </c>
      <c r="I26" s="45" t="str">
        <f>IFERROR(INDEX('NYU Data'!$G$20:$G$114,MATCH(E26,'NYU Data'!$A$20:$A$114,0)),"")</f>
        <v/>
      </c>
      <c r="K26" s="46">
        <f t="shared" si="0"/>
        <v>4.7306000000000001E-2</v>
      </c>
    </row>
    <row r="27" spans="2:11">
      <c r="B27" t="s">
        <v>171</v>
      </c>
      <c r="C27" t="s">
        <v>80</v>
      </c>
      <c r="G27" s="45">
        <f>IFERROR(INDEX('NYU Data'!$G$20:$G$114,MATCH(C27,'NYU Data'!$A$20:$A$114,0)),"")</f>
        <v>5.2913000000000002E-2</v>
      </c>
      <c r="H27" s="45" t="str">
        <f>IFERROR(INDEX('NYU Data'!$G$20:$G$114,MATCH(D27,'NYU Data'!$A$20:$A$114,0)),"")</f>
        <v/>
      </c>
      <c r="I27" s="45" t="str">
        <f>IFERROR(INDEX('NYU Data'!$G$20:$G$114,MATCH(E27,'NYU Data'!$A$20:$A$114,0)),"")</f>
        <v/>
      </c>
      <c r="K27" s="46">
        <f t="shared" si="0"/>
        <v>5.2913000000000002E-2</v>
      </c>
    </row>
  </sheetData>
  <conditionalFormatting sqref="G3:I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2C3E-FEFB-4F66-9667-31E7FEED72E5}">
  <sheetPr>
    <tabColor rgb="FF002060"/>
  </sheetPr>
  <dimension ref="A1:AD26"/>
  <sheetViews>
    <sheetView workbookViewId="0">
      <selection activeCell="B26" sqref="B2:B26"/>
    </sheetView>
  </sheetViews>
  <sheetFormatPr defaultRowHeight="15"/>
  <cols>
    <col min="1" max="1" width="38.140625" customWidth="1"/>
    <col min="2" max="2" width="22" customWidth="1"/>
  </cols>
  <sheetData>
    <row r="1" spans="1:30">
      <c r="A1" s="4" t="s">
        <v>4</v>
      </c>
      <c r="B1" s="5" t="s">
        <v>182</v>
      </c>
      <c r="D1" s="5"/>
      <c r="F1" s="5"/>
      <c r="H1" s="5"/>
      <c r="J1" s="5"/>
      <c r="L1" s="5"/>
      <c r="N1" s="5"/>
      <c r="P1" s="5"/>
      <c r="R1" s="5"/>
      <c r="T1" s="5"/>
      <c r="V1" s="5"/>
      <c r="X1" s="5"/>
      <c r="Z1" s="5"/>
      <c r="AB1" s="5"/>
      <c r="AD1" s="5"/>
    </row>
    <row r="2" spans="1:30">
      <c r="A2" t="s">
        <v>147</v>
      </c>
      <c r="B2" s="51">
        <f>(1+'EPS &lt;&gt; NYU Industry CoC Map'!K3)/(1+'NYU Data'!C$17)-1</f>
        <v>4.9013877293177188E-2</v>
      </c>
    </row>
    <row r="3" spans="1:30">
      <c r="A3" t="s">
        <v>148</v>
      </c>
      <c r="B3" s="51">
        <f>(1+'EPS &lt;&gt; NYU Industry CoC Map'!K4)/(1+'NYU Data'!C$17)-1</f>
        <v>6.5539174367950981E-2</v>
      </c>
    </row>
    <row r="4" spans="1:30">
      <c r="A4" t="s">
        <v>149</v>
      </c>
      <c r="B4" s="51">
        <f>(1+'EPS &lt;&gt; NYU Industry CoC Map'!K5)/(1+'NYU Data'!C$17)-1</f>
        <v>4.7046574320308565E-2</v>
      </c>
    </row>
    <row r="5" spans="1:30">
      <c r="A5" t="s">
        <v>150</v>
      </c>
      <c r="B5" s="51">
        <f>(1+'EPS &lt;&gt; NYU Industry CoC Map'!K6)/(1+'NYU Data'!C$17)-1</f>
        <v>5.8465298295587997E-2</v>
      </c>
    </row>
    <row r="6" spans="1:30">
      <c r="A6" t="s">
        <v>151</v>
      </c>
      <c r="B6" s="51">
        <f>(1+'EPS &lt;&gt; NYU Industry CoC Map'!K7)/(1+'NYU Data'!C$17)-1</f>
        <v>4.8060401533947195E-2</v>
      </c>
    </row>
    <row r="7" spans="1:30">
      <c r="A7" t="s">
        <v>152</v>
      </c>
      <c r="B7" s="51">
        <f>(1+'EPS &lt;&gt; NYU Industry CoC Map'!K8)/(1+'NYU Data'!C$17)-1</f>
        <v>5.4100645699318939E-2</v>
      </c>
    </row>
    <row r="8" spans="1:30">
      <c r="A8" t="s">
        <v>153</v>
      </c>
      <c r="B8" s="51">
        <f>(1+'EPS &lt;&gt; NYU Industry CoC Map'!K9)/(1+'NYU Data'!C$17)-1</f>
        <v>5.8634939447208101E-2</v>
      </c>
    </row>
    <row r="9" spans="1:30">
      <c r="A9" t="s">
        <v>154</v>
      </c>
      <c r="B9" s="51">
        <f>(1+'EPS &lt;&gt; NYU Industry CoC Map'!K10)/(1+'NYU Data'!C$17)-1</f>
        <v>5.1821446044518105E-2</v>
      </c>
    </row>
    <row r="10" spans="1:30">
      <c r="A10" t="s">
        <v>155</v>
      </c>
      <c r="B10" s="51">
        <f>(1+'EPS &lt;&gt; NYU Industry CoC Map'!K11)/(1+'NYU Data'!C$17)-1</f>
        <v>3.8302970790913715E-2</v>
      </c>
    </row>
    <row r="11" spans="1:30">
      <c r="A11" t="s">
        <v>156</v>
      </c>
      <c r="B11" s="51">
        <f>(1+'EPS &lt;&gt; NYU Industry CoC Map'!K12)/(1+'NYU Data'!C$17)-1</f>
        <v>4.5312316048460533E-2</v>
      </c>
    </row>
    <row r="12" spans="1:30">
      <c r="A12" t="s">
        <v>157</v>
      </c>
      <c r="B12" s="51">
        <f>(1+'EPS &lt;&gt; NYU Industry CoC Map'!K13)/(1+'NYU Data'!C$17)-1</f>
        <v>3.0754072780042607E-2</v>
      </c>
    </row>
    <row r="13" spans="1:30">
      <c r="A13" t="s">
        <v>158</v>
      </c>
      <c r="B13" s="51">
        <f>(1+'EPS &lt;&gt; NYU Industry CoC Map'!K14)/(1+'NYU Data'!C$17)-1</f>
        <v>6.0136847192395315E-2</v>
      </c>
    </row>
    <row r="14" spans="1:30">
      <c r="A14" t="s">
        <v>159</v>
      </c>
      <c r="B14" s="51">
        <f>(1+'EPS &lt;&gt; NYU Industry CoC Map'!K15)/(1+'NYU Data'!C$17)-1</f>
        <v>6.0136847192395315E-2</v>
      </c>
    </row>
    <row r="15" spans="1:30">
      <c r="A15" t="s">
        <v>160</v>
      </c>
      <c r="B15" s="51">
        <f>(1+'EPS &lt;&gt; NYU Industry CoC Map'!K16)/(1+'NYU Data'!C$17)-1</f>
        <v>5.6659421205651928E-2</v>
      </c>
    </row>
    <row r="16" spans="1:30">
      <c r="A16" t="s">
        <v>161</v>
      </c>
      <c r="B16" s="51">
        <f>(1+'EPS &lt;&gt; NYU Industry CoC Map'!K17)/(1+'NYU Data'!C$17)-1</f>
        <v>5.8465298295587997E-2</v>
      </c>
    </row>
    <row r="17" spans="1:2">
      <c r="A17" t="s">
        <v>162</v>
      </c>
      <c r="B17" s="51">
        <f>(1+'EPS &lt;&gt; NYU Industry CoC Map'!K18)/(1+'NYU Data'!C$17)-1</f>
        <v>5.8465298295587997E-2</v>
      </c>
    </row>
    <row r="18" spans="1:2">
      <c r="A18" t="s">
        <v>163</v>
      </c>
      <c r="B18" s="51">
        <f>(1+'EPS &lt;&gt; NYU Industry CoC Map'!K19)/(1+'NYU Data'!C$17)-1</f>
        <v>5.9503489120559694E-2</v>
      </c>
    </row>
    <row r="19" spans="1:2">
      <c r="A19" t="s">
        <v>164</v>
      </c>
      <c r="B19" s="51">
        <f>(1+'EPS &lt;&gt; NYU Industry CoC Map'!K20)/(1+'NYU Data'!C$17)-1</f>
        <v>5.8705189649557621E-2</v>
      </c>
    </row>
    <row r="20" spans="1:2">
      <c r="A20" t="s">
        <v>165</v>
      </c>
      <c r="B20" s="51">
        <f>(1+'EPS &lt;&gt; NYU Industry CoC Map'!K21)/(1+'NYU Data'!C$17)-1</f>
        <v>5.6433003686444883E-2</v>
      </c>
    </row>
    <row r="21" spans="1:2">
      <c r="A21" t="s">
        <v>166</v>
      </c>
      <c r="B21" s="51">
        <f>(1+'EPS &lt;&gt; NYU Industry CoC Map'!K22)/(1+'NYU Data'!C$17)-1</f>
        <v>5.4345528287229827E-2</v>
      </c>
    </row>
    <row r="22" spans="1:2">
      <c r="A22" t="s">
        <v>167</v>
      </c>
      <c r="B22" s="51">
        <f>(1+'EPS &lt;&gt; NYU Industry CoC Map'!K23)/(1+'NYU Data'!C$17)-1</f>
        <v>5.0635929318515682E-2</v>
      </c>
    </row>
    <row r="23" spans="1:2">
      <c r="A23" t="s">
        <v>168</v>
      </c>
      <c r="B23" s="51">
        <f>(1+'EPS &lt;&gt; NYU Industry CoC Map'!K24)/(1+'NYU Data'!C$17)-1</f>
        <v>5.6433003686444883E-2</v>
      </c>
    </row>
    <row r="24" spans="1:2">
      <c r="A24" t="s">
        <v>169</v>
      </c>
      <c r="B24" s="51">
        <f>(1+'EPS &lt;&gt; NYU Industry CoC Map'!K25)/(1+'NYU Data'!C$17)-1</f>
        <v>4.0169338071839089E-2</v>
      </c>
    </row>
    <row r="25" spans="1:2">
      <c r="A25" t="s">
        <v>170</v>
      </c>
      <c r="B25" s="51">
        <f>(1+'EPS &lt;&gt; NYU Industry CoC Map'!K26)/(1+'NYU Data'!C$17)-1</f>
        <v>3.688741059239864E-2</v>
      </c>
    </row>
    <row r="26" spans="1:2">
      <c r="A26" t="s">
        <v>171</v>
      </c>
      <c r="B26" s="51">
        <f>(1+'EPS &lt;&gt; NYU Industry CoC Map'!K27)/(1+'NYU Data'!C$17)-1</f>
        <v>5.7309218244260496E-2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1585-54ED-4B8E-88D9-FA8A3C4B9460}">
  <sheetPr>
    <tabColor rgb="FF002060"/>
  </sheetPr>
  <dimension ref="A1:AD26"/>
  <sheetViews>
    <sheetView workbookViewId="0">
      <selection activeCell="B11" sqref="B11"/>
    </sheetView>
  </sheetViews>
  <sheetFormatPr defaultRowHeight="15"/>
  <cols>
    <col min="1" max="1" width="38.140625" customWidth="1"/>
    <col min="2" max="2" width="29.28515625" bestFit="1" customWidth="1"/>
  </cols>
  <sheetData>
    <row r="1" spans="1:30">
      <c r="A1" s="4" t="s">
        <v>4</v>
      </c>
      <c r="B1" s="5" t="s">
        <v>191</v>
      </c>
      <c r="D1" s="5"/>
      <c r="F1" s="5"/>
      <c r="H1" s="5"/>
      <c r="J1" s="5"/>
      <c r="L1" s="5"/>
      <c r="N1" s="5"/>
      <c r="P1" s="5"/>
      <c r="R1" s="5"/>
      <c r="T1" s="5"/>
      <c r="V1" s="5"/>
      <c r="X1" s="5"/>
      <c r="Z1" s="5"/>
      <c r="AB1" s="5"/>
      <c r="AD1" s="5"/>
    </row>
    <row r="2" spans="1:30">
      <c r="A2" t="s">
        <v>147</v>
      </c>
      <c r="B2" s="51">
        <f>(1+'EPS &lt;&gt; NYU Industry CoD Map'!K3)/(1+'NYU Data'!C$17)-1</f>
        <v>2.7232195121951186E-2</v>
      </c>
    </row>
    <row r="3" spans="1:30">
      <c r="A3" t="s">
        <v>148</v>
      </c>
      <c r="B3" s="51">
        <f>(1+'EPS &lt;&gt; NYU Industry CoD Map'!K4)/(1+'NYU Data'!C$17)-1</f>
        <v>2.7232195121951186E-2</v>
      </c>
    </row>
    <row r="4" spans="1:30">
      <c r="A4" t="s">
        <v>149</v>
      </c>
      <c r="B4" s="51">
        <f>(1+'EPS &lt;&gt; NYU Industry CoD Map'!K5)/(1+'NYU Data'!C$17)-1</f>
        <v>2.5045853658536732E-2</v>
      </c>
    </row>
    <row r="5" spans="1:30">
      <c r="A5" t="s">
        <v>150</v>
      </c>
      <c r="B5" s="51">
        <f>(1+'EPS &lt;&gt; NYU Industry CoD Map'!K6)/(1+'NYU Data'!C$17)-1</f>
        <v>3.4336585365853711E-2</v>
      </c>
    </row>
    <row r="6" spans="1:30">
      <c r="A6" t="s">
        <v>151</v>
      </c>
      <c r="B6" s="51">
        <f>(1+'EPS &lt;&gt; NYU Industry CoD Map'!K7)/(1+'NYU Data'!C$17)-1</f>
        <v>2.8142764227642392E-2</v>
      </c>
    </row>
    <row r="7" spans="1:30">
      <c r="A7" t="s">
        <v>152</v>
      </c>
      <c r="B7" s="51">
        <f>(1+'EPS &lt;&gt; NYU Industry CoD Map'!K8)/(1+'NYU Data'!C$17)-1</f>
        <v>2.7232195121951186E-2</v>
      </c>
    </row>
    <row r="8" spans="1:30">
      <c r="A8" t="s">
        <v>153</v>
      </c>
      <c r="B8" s="51">
        <f>(1+'EPS &lt;&gt; NYU Industry CoD Map'!K9)/(1+'NYU Data'!C$17)-1</f>
        <v>2.7232195121951186E-2</v>
      </c>
    </row>
    <row r="9" spans="1:30">
      <c r="A9" t="s">
        <v>154</v>
      </c>
      <c r="B9" s="51">
        <f>(1+'EPS &lt;&gt; NYU Industry CoD Map'!K10)/(1+'NYU Data'!C$17)-1</f>
        <v>2.6139024390243959E-2</v>
      </c>
    </row>
    <row r="10" spans="1:30">
      <c r="A10" t="s">
        <v>155</v>
      </c>
      <c r="B10" s="51">
        <f>(1+'EPS &lt;&gt; NYU Industry CoD Map'!K11)/(1+'NYU Data'!C$17)-1</f>
        <v>2.176195121951241E-2</v>
      </c>
    </row>
    <row r="11" spans="1:30">
      <c r="A11" t="s">
        <v>156</v>
      </c>
      <c r="B11" s="51">
        <f>(1+'EPS &lt;&gt; NYU Industry CoD Map'!K12)/(1+'NYU Data'!C$17)-1</f>
        <v>2.5774634146341624E-2</v>
      </c>
    </row>
    <row r="12" spans="1:30">
      <c r="A12" t="s">
        <v>157</v>
      </c>
      <c r="B12" s="51">
        <f>(1+'EPS &lt;&gt; NYU Industry CoD Map'!K13)/(1+'NYU Data'!C$17)-1</f>
        <v>2.7232195121951186E-2</v>
      </c>
    </row>
    <row r="13" spans="1:30">
      <c r="A13" t="s">
        <v>158</v>
      </c>
      <c r="B13" s="51">
        <f>(1+'EPS &lt;&gt; NYU Industry CoD Map'!K14)/(1+'NYU Data'!C$17)-1</f>
        <v>2.5045853658536732E-2</v>
      </c>
    </row>
    <row r="14" spans="1:30">
      <c r="A14" t="s">
        <v>159</v>
      </c>
      <c r="B14" s="51">
        <f>(1+'EPS &lt;&gt; NYU Industry CoD Map'!K15)/(1+'NYU Data'!C$17)-1</f>
        <v>2.5045853658536732E-2</v>
      </c>
    </row>
    <row r="15" spans="1:30">
      <c r="A15" t="s">
        <v>160</v>
      </c>
      <c r="B15" s="51">
        <f>(1+'EPS &lt;&gt; NYU Industry CoD Map'!K16)/(1+'NYU Data'!C$17)-1</f>
        <v>2.5045853658536732E-2</v>
      </c>
    </row>
    <row r="16" spans="1:30">
      <c r="A16" t="s">
        <v>161</v>
      </c>
      <c r="B16" s="51">
        <f>(1+'EPS &lt;&gt; NYU Industry CoD Map'!K17)/(1+'NYU Data'!C$17)-1</f>
        <v>3.4336585365853711E-2</v>
      </c>
    </row>
    <row r="17" spans="1:2">
      <c r="A17" t="s">
        <v>162</v>
      </c>
      <c r="B17" s="51">
        <f>(1+'EPS &lt;&gt; NYU Industry CoD Map'!K18)/(1+'NYU Data'!C$17)-1</f>
        <v>3.4336585365853711E-2</v>
      </c>
    </row>
    <row r="18" spans="1:2">
      <c r="A18" t="s">
        <v>163</v>
      </c>
      <c r="B18" s="51">
        <f>(1+'EPS &lt;&gt; NYU Industry CoD Map'!K19)/(1+'NYU Data'!C$17)-1</f>
        <v>3.0784390243902449E-2</v>
      </c>
    </row>
    <row r="19" spans="1:2">
      <c r="A19" t="s">
        <v>164</v>
      </c>
      <c r="B19" s="51">
        <f>(1+'EPS &lt;&gt; NYU Industry CoD Map'!K20)/(1+'NYU Data'!C$17)-1</f>
        <v>3.0784390243902449E-2</v>
      </c>
    </row>
    <row r="20" spans="1:2">
      <c r="A20" t="s">
        <v>165</v>
      </c>
      <c r="B20" s="51">
        <f>(1+'EPS &lt;&gt; NYU Industry CoD Map'!K21)/(1+'NYU Data'!C$17)-1</f>
        <v>2.7232195121951186E-2</v>
      </c>
    </row>
    <row r="21" spans="1:2">
      <c r="A21" t="s">
        <v>166</v>
      </c>
      <c r="B21" s="51">
        <f>(1+'EPS &lt;&gt; NYU Industry CoD Map'!K22)/(1+'NYU Data'!C$17)-1</f>
        <v>2.5045853658536732E-2</v>
      </c>
    </row>
    <row r="22" spans="1:2">
      <c r="A22" t="s">
        <v>167</v>
      </c>
      <c r="B22" s="51">
        <f>(1+'EPS &lt;&gt; NYU Industry CoD Map'!K23)/(1+'NYU Data'!C$17)-1</f>
        <v>2.176195121951241E-2</v>
      </c>
    </row>
    <row r="23" spans="1:2">
      <c r="A23" t="s">
        <v>168</v>
      </c>
      <c r="B23" s="51">
        <f>(1+'EPS &lt;&gt; NYU Industry CoD Map'!K24)/(1+'NYU Data'!C$17)-1</f>
        <v>2.7232195121951186E-2</v>
      </c>
    </row>
    <row r="24" spans="1:2">
      <c r="A24" t="s">
        <v>169</v>
      </c>
      <c r="B24" s="51">
        <f>(1+'EPS &lt;&gt; NYU Industry CoD Map'!K25)/(1+'NYU Data'!C$17)-1</f>
        <v>2.5045853658536732E-2</v>
      </c>
    </row>
    <row r="25" spans="1:2">
      <c r="A25" t="s">
        <v>170</v>
      </c>
      <c r="B25" s="51">
        <f>(1+'EPS &lt;&gt; NYU Industry CoD Map'!K26)/(1+'NYU Data'!C$17)-1</f>
        <v>2.176195121951241E-2</v>
      </c>
    </row>
    <row r="26" spans="1:2">
      <c r="A26" t="s">
        <v>171</v>
      </c>
      <c r="B26" s="51">
        <f>(1+'EPS &lt;&gt; NYU Industry CoD Map'!K27)/(1+'NYU Data'!C$17)-1</f>
        <v>2.7232195121951186E-2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8480-FC75-4BF5-B02C-3AC172D606B8}">
  <sheetPr>
    <tabColor rgb="FF002060"/>
  </sheetPr>
  <dimension ref="A1:B2"/>
  <sheetViews>
    <sheetView workbookViewId="0">
      <selection activeCell="G38" sqref="G38"/>
    </sheetView>
  </sheetViews>
  <sheetFormatPr defaultRowHeight="15"/>
  <cols>
    <col min="1" max="1" width="38.140625" customWidth="1"/>
    <col min="2" max="2" width="22" customWidth="1"/>
  </cols>
  <sheetData>
    <row r="1" spans="1:2">
      <c r="A1" s="4" t="s">
        <v>4</v>
      </c>
      <c r="B1" s="5" t="s">
        <v>181</v>
      </c>
    </row>
    <row r="2" spans="1:2">
      <c r="A2" t="s">
        <v>180</v>
      </c>
      <c r="B2" s="9">
        <f>'NYU Data'!D10</f>
        <v>4.4600000000000001E-2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NYU Data</vt:lpstr>
      <vt:lpstr>EPS &lt;&gt; NYU Industry CoC Map</vt:lpstr>
      <vt:lpstr>Pretax WACC Build</vt:lpstr>
      <vt:lpstr>EPS &lt;&gt; NYU Industry CoD Map</vt:lpstr>
      <vt:lpstr>BCoISC-WACCbI</vt:lpstr>
      <vt:lpstr>BCoISC-FIRbI</vt:lpstr>
      <vt:lpstr>RPfE (not exported)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2022-09-12T20:10:19Z</dcterms:created>
  <dcterms:modified xsi:type="dcterms:W3CDTF">2026-08-13T18:04:00Z</dcterms:modified>
</cp:coreProperties>
</file>