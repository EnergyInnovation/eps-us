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USGS Clinker Production" sheetId="2" state="visible" r:id="rId2"/>
    <sheet name="Derivation" sheetId="3" state="visible" r:id="rId3"/>
    <sheet name="Checks" sheetId="4" state="visible" r:id="rId4"/>
    <sheet name="SYCPb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s.usgs.gov/periodicals/mcs2026/mcs2026-cement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SYCPbP Start Year Clinker Production by Pathway</t>
        </is>
      </c>
    </row>
    <row r="3">
      <c r="A3" s="1" t="inlineStr">
        <is>
          <t>Sources:</t>
        </is>
      </c>
      <c r="B3" s="2" t="inlineStr">
        <is>
          <t>2025 US domestic clinker production (start-year anchor)</t>
        </is>
      </c>
    </row>
    <row r="4">
      <c r="B4" s="3" t="inlineStr">
        <is>
          <t>USGS National Minerals Information Center</t>
        </is>
      </c>
    </row>
    <row r="5">
      <c r="B5" s="3" t="inlineStr">
        <is>
          <t>Mineral Commodity Summaries 2026 - Cement</t>
        </is>
      </c>
    </row>
    <row r="6">
      <c r="B6" s="3" t="n">
        <v>2026</v>
      </c>
    </row>
    <row r="7">
      <c r="B7" s="4" t="inlineStr">
        <is>
          <t>https://pubs.usgs.gov/periodicals/mcs2026/mcs2026-cement.pdf</t>
        </is>
      </c>
    </row>
    <row r="8">
      <c r="B8" s="3" t="inlineStr">
        <is>
          <t>2025 US clinker production = 69.0 Mt (2021-2025 series: 79.616 / 79.489 / 76.789 / 72.0 / 69.0 Mt; 2024-2025 are USGS estimates). Retrieved via reader proxy 2026-08-25 (direct PDF fetch 403s) - verify against the primary PDF before release. [PROXY]</t>
        </is>
      </c>
    </row>
    <row r="11">
      <c r="A11" s="1" t="inlineStr">
        <is>
          <t>Notes:</t>
        </is>
      </c>
    </row>
    <row r="12">
      <c r="A12" s="1" t="inlineStr">
        <is>
          <t>All-incumbent start-year attribution</t>
        </is>
      </c>
      <c r="B12" s="3" t="inlineStr">
        <is>
          <t>All 69 Mt of 2025 US clinker production is attributed to the dry kiln with precalciner pathway. Dry kiln with precalciner is essentially the entire existing US clinker fleet; CCS, electric-kiln, and alternative-chemistry-cement pathways are all pre-commercial in the US today (see the companion CPSW entry-gate workbook), so their start-year production is 0.</t>
        </is>
      </c>
    </row>
    <row r="13">
      <c r="A13" s="1" t="inlineStr">
        <is>
          <t>Wet/long-dry deviation, absorbed into calibration</t>
        </is>
      </c>
      <c r="B13" s="3" t="inlineStr">
        <is>
          <t>CATF (citing PCA's 2021 Plant Information Summary) reports ~7.3% of 2019 US kiln capacity was wet-process or long-dry kilns without a preheater/precalciner - a small minority not separately modeled here. That capacity is folded into the dry-kiln-with-precalciner start-year total rather than broken out as a fifth pathway; a documented simplification, flagged for team review.</t>
        </is>
      </c>
    </row>
    <row r="14">
      <c r="A14" s="1" t="inlineStr">
        <is>
          <t>DRAFT status</t>
        </is>
      </c>
      <c r="B14" s="3" t="inlineStr">
        <is>
          <t>DRAFT - verify against primary sources before release. This workbook is an input for staff review, not a finished or approved EI position.</t>
        </is>
      </c>
    </row>
    <row r="15">
      <c r="A15" s="1" t="inlineStr">
        <is>
          <t>Provenance</t>
        </is>
      </c>
      <c r="B15" s="3" t="inlineStr">
        <is>
          <t>Written by Claude Code (Fable/Sonnet agent session), cement industry breakout, worktree cement-industry-breakout-f901fc, 2026-08-26. This is a DRAFT input for staff review, not a finished or approved EI position; verify all figures against primary sources before use in any work product. Reviewed by: (pending).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US clinker production (Mt)</t>
        </is>
      </c>
      <c r="C1" s="1" t="inlineStr">
        <is>
          <t>Note</t>
        </is>
      </c>
    </row>
    <row r="2">
      <c r="A2" t="n">
        <v>2021</v>
      </c>
      <c r="B2" t="n">
        <v>79.616</v>
      </c>
      <c r="C2" t="inlineStr"/>
    </row>
    <row r="3">
      <c r="A3" t="n">
        <v>2022</v>
      </c>
      <c r="B3" t="n">
        <v>79.489</v>
      </c>
      <c r="C3" t="inlineStr"/>
    </row>
    <row r="4">
      <c r="A4" t="n">
        <v>2023</v>
      </c>
      <c r="B4" t="n">
        <v>76.789</v>
      </c>
      <c r="C4" t="inlineStr"/>
    </row>
    <row r="5">
      <c r="A5" t="n">
        <v>2024</v>
      </c>
      <c r="B5" t="n">
        <v>72</v>
      </c>
      <c r="C5" t="inlineStr">
        <is>
          <t>USGS estimate</t>
        </is>
      </c>
    </row>
    <row r="6">
      <c r="A6" t="n">
        <v>2025</v>
      </c>
      <c r="B6" t="n">
        <v>69</v>
      </c>
      <c r="C6" t="inlineStr">
        <is>
          <t>USGS estimate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Start-year (2025) clinker production by pathway</t>
        </is>
      </c>
    </row>
    <row r="3">
      <c r="A3" s="1" t="inlineStr">
        <is>
          <t>Pathway</t>
        </is>
      </c>
      <c r="B3" s="1" t="inlineStr">
        <is>
          <t>Start Year Production (t/yr)</t>
        </is>
      </c>
      <c r="C3" s="1" t="inlineStr">
        <is>
          <t>Basis</t>
        </is>
      </c>
    </row>
    <row r="4">
      <c r="A4" t="inlineStr">
        <is>
          <t>dry kiln with precalciner</t>
        </is>
      </c>
      <c r="B4">
        <f>'USGS Clinker Production'!B6*1000000</f>
        <v/>
      </c>
      <c r="C4" t="inlineStr">
        <is>
          <t>2025 USGS clinker production (Mt) x 1,000,000, all attributed to this pathway</t>
        </is>
      </c>
    </row>
    <row r="5">
      <c r="A5" t="inlineStr">
        <is>
          <t>dry kiln with CCS</t>
        </is>
      </c>
      <c r="B5" t="n">
        <v>0</v>
      </c>
      <c r="C5" t="inlineStr">
        <is>
          <t>Pre-commercial in the US in the start year</t>
        </is>
      </c>
    </row>
    <row r="6">
      <c r="A6" t="inlineStr">
        <is>
          <t>electric kiln</t>
        </is>
      </c>
      <c r="B6" t="n">
        <v>0</v>
      </c>
      <c r="C6" t="inlineStr">
        <is>
          <t>Pre-commercial in the US in the start year</t>
        </is>
      </c>
    </row>
    <row r="7">
      <c r="A7" t="inlineStr">
        <is>
          <t>alternative chemistry cement</t>
        </is>
      </c>
      <c r="B7" t="n">
        <v>0</v>
      </c>
      <c r="C7" t="inlineStr">
        <is>
          <t>Pre-commercial in the US in the start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Cross-check: export tab literal vs. Derivation formula result</t>
        </is>
      </c>
    </row>
    <row r="3">
      <c r="A3" s="1" t="inlineStr">
        <is>
          <t>Pathway</t>
        </is>
      </c>
      <c r="B3" s="1" t="inlineStr">
        <is>
          <t>Export tab value</t>
        </is>
      </c>
      <c r="C3" s="1" t="inlineStr">
        <is>
          <t>Derivation value</t>
        </is>
      </c>
      <c r="D3" s="1" t="inlineStr">
        <is>
          <t>Result</t>
        </is>
      </c>
    </row>
    <row r="4">
      <c r="A4" t="inlineStr">
        <is>
          <t>dry kiln with precalciner</t>
        </is>
      </c>
      <c r="B4">
        <f>SYCPbP!B2</f>
        <v/>
      </c>
      <c r="C4">
        <f>Derivation!B4</f>
        <v/>
      </c>
      <c r="D4">
        <f>IF(ABS(B4-C4)&lt;0.5,"PASS","FAIL")</f>
        <v/>
      </c>
    </row>
    <row r="5">
      <c r="A5" t="inlineStr">
        <is>
          <t>dry kiln with CCS</t>
        </is>
      </c>
      <c r="B5">
        <f>SYCPbP!B3</f>
        <v/>
      </c>
      <c r="C5">
        <f>Derivation!B5</f>
        <v/>
      </c>
      <c r="D5">
        <f>IF(ABS(B5-C5)&lt;0.5,"PASS","FAIL")</f>
        <v/>
      </c>
    </row>
    <row r="6">
      <c r="A6" t="inlineStr">
        <is>
          <t>electric kiln</t>
        </is>
      </c>
      <c r="B6">
        <f>SYCPbP!B4</f>
        <v/>
      </c>
      <c r="C6">
        <f>Derivation!B6</f>
        <v/>
      </c>
      <c r="D6">
        <f>IF(ABS(B6-C6)&lt;0.5,"PASS","FAIL")</f>
        <v/>
      </c>
    </row>
    <row r="7">
      <c r="A7" t="inlineStr">
        <is>
          <t>alternative chemistry cement</t>
        </is>
      </c>
      <c r="B7">
        <f>SYCPbP!B5</f>
        <v/>
      </c>
      <c r="C7">
        <f>Derivation!B7</f>
        <v/>
      </c>
      <c r="D7">
        <f>IF(ABS(B7-C7)&lt;0.5,"PASS","FAIL")</f>
        <v/>
      </c>
    </row>
    <row r="9">
      <c r="A9" s="1" t="inlineStr">
        <is>
          <t>Overall</t>
        </is>
      </c>
      <c r="B9">
        <f>IF(COUNTIF(D4:D7,"FAIL")=0,"ALL PASS","CHECK FAILURES ABOVE")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metric tons/year in start year (DRAFT; USGS 2025 clinker production, all attributed to dry kiln with precalciner - verify)</t>
        </is>
      </c>
      <c r="B1" t="inlineStr">
        <is>
          <t>Start Year Production</t>
        </is>
      </c>
    </row>
    <row r="2">
      <c r="A2" t="inlineStr">
        <is>
          <t>dry kiln with precalciner</t>
        </is>
      </c>
      <c r="B2" t="n">
        <v>69000000</v>
      </c>
    </row>
    <row r="3">
      <c r="A3" t="inlineStr">
        <is>
          <t>dry kiln with CCS</t>
        </is>
      </c>
      <c r="B3" t="n">
        <v>0</v>
      </c>
    </row>
    <row r="4">
      <c r="A4" t="inlineStr">
        <is>
          <t>electric kiln</t>
        </is>
      </c>
      <c r="B4" t="n">
        <v>0</v>
      </c>
    </row>
    <row r="5">
      <c r="A5" t="inlineStr">
        <is>
          <t>alternative chemistry cement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2026-08-26T11:48:08Z</dcterms:created>
  <dcterms:modified xsi:type="dcterms:W3CDTF">2026-08-26T11:48:08Z</dcterms:modified>
</cp:coreProperties>
</file>