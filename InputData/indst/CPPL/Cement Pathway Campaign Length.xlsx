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NZA Anchor" sheetId="2" state="visible" r:id="rId2"/>
    <sheet name="Derivation" sheetId="3" state="visible" r:id="rId3"/>
    <sheet name="Checks" sheetId="4" state="visible" r:id="rId4"/>
    <sheet name="CPP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tzeroamerica.princeton.edu/img/Princeton_NZA_Annex_K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CPPL Cement Pathway Campaign Length</t>
        </is>
      </c>
    </row>
    <row r="3">
      <c r="A3" s="1" t="inlineStr">
        <is>
          <t>Sources:</t>
        </is>
      </c>
      <c r="B3" s="2" t="inlineStr">
        <is>
          <t>Kiln overhaul-decision recurrence interval anchor (mean of the distributed recurrence)</t>
        </is>
      </c>
    </row>
    <row r="4">
      <c r="B4" s="3" t="inlineStr">
        <is>
          <t>Princeton University Net-Zero America (NZA) project</t>
        </is>
      </c>
    </row>
    <row r="5">
      <c r="B5" s="3" t="inlineStr">
        <is>
          <t>NZA Annex K, section 6.3</t>
        </is>
      </c>
    </row>
    <row r="6">
      <c r="B6" s="3" t="n">
        <v>2021</v>
      </c>
    </row>
    <row r="7">
      <c r="B7" s="4" t="inlineStr">
        <is>
          <t>https://netzeroamerica.princeton.edu/img/Princeton_NZA_Annex_K.pdf</t>
        </is>
      </c>
    </row>
    <row r="8">
      <c r="B8" s="3" t="inlineStr">
        <is>
          <t>Same 35-year kiln convention used for CPRS's decision-schedule cohorts and CPAL's asset life. Retrieved via reader proxy 2026-08-25. No public source gives a kiln-CAMPAIGN-specific interval distinct from this fleet-retirement-age figure - CPPL is the WEAKEST-SOURCED parameter in the cement breakout module (unlike steel, where GEM's unit-level relining-history data gives SPPL a direct empirical basis). [DIRECT via proxy, for the underlying 35-yr figure only - not a campaign-specific source]</t>
        </is>
      </c>
    </row>
    <row r="11">
      <c r="A11" s="1" t="inlineStr">
        <is>
          <t>Notes:</t>
        </is>
      </c>
    </row>
    <row r="12">
      <c r="A12" s="1" t="inlineStr">
        <is>
          <t>Chosen values</t>
        </is>
      </c>
      <c r="B12" s="3" t="inlineStr">
        <is>
          <t>25 years, uniform across pathways. Used for two purposes: the MEAN of the distributed (third-order delay) overhaul-decision recurrence for both the preexisting and model-run capacity pools (Q4 decision-curve change, 2026-08-26) and the amortization horizon for overhaul capital (CRCC). ECRA-INFORMED BUT UNCONFIRMED: ECRA reports most original kiln equipment is replaced after 20-30 years (snippet-tier source; the full ECRA Technology Papers are member-only). The prior 35/35/35/30 NZA pulse convention is retained as the sensitivity comparator and remains the basis of the CPRS first-decision schedule (documented convention tension - flagged for the team data pass).</t>
        </is>
      </c>
    </row>
    <row r="13">
      <c r="A13" s="1" t="inlineStr">
        <is>
          <t>Weakest-sourced parameter class</t>
        </is>
      </c>
      <c r="B13" s="3" t="inlineStr">
        <is>
          <t>No public source documents an authoritative cement kiln shell/drive/refractory-system OVERHAUL campaign length distinct from the general kiln retirement-age figure. This is a materially weaker sourcing situation than steel's SPPL, which is grounded in GEM's unit-level blast-furnace relining-history table. The 25-yr mean sits in ECRA's 20-30 reinvestment band; pending a kiln-campaign-specific source (e.g. PCA Plant Information Summary, member-only; full ECRA Technology Papers).</t>
        </is>
      </c>
    </row>
    <row r="14">
      <c r="A14" s="1" t="inlineStr">
        <is>
          <t>CPAL vs. CPPL - deliberate separation</t>
        </is>
      </c>
      <c r="B14" s="3" t="inlineStr">
        <is>
          <t>Kept as a separate input file from CPAL for structural consistency with the steel module's CPAL/CPPL (asset-life vs. campaign-length) pattern, even though the values currently coincide for cement - see the CPAL workbook's About tab for the full rationale.</t>
        </is>
      </c>
    </row>
    <row r="15">
      <c r="A15" s="1" t="inlineStr">
        <is>
          <t>DRAFT status</t>
        </is>
      </c>
      <c r="B15" s="3" t="inlineStr">
        <is>
          <t>DRAFT - verify against primary sources before release. This workbook is an input for staff review, not a finished or approved EI position.</t>
        </is>
      </c>
    </row>
    <row r="16">
      <c r="A16" s="1" t="inlineStr">
        <is>
          <t>Q4 decision-curve change</t>
        </is>
      </c>
      <c r="B16" s="3" t="inlineStr">
        <is>
          <t>2026-08-26: the overhaul recurrence became a distributed curve (DELAY3) with CPPL as its MEAN, and model-run capacity now joins the decision pool through the same chain (replacing 1/CPAL decay). CPPL moved 35 -&gt; 25 with that change; run the 35-yr value as a sensitivity against the default.</t>
        </is>
      </c>
    </row>
    <row r="18">
      <c r="A18" t="inlineStr">
        <is>
          <t>Source (chosen value):</t>
        </is>
      </c>
      <c r="B18" t="inlineStr">
        <is>
          <t>European Cement Research Academy (ECRA) - reinvestment-cycle commentary</t>
        </is>
      </c>
    </row>
    <row r="19">
      <c r="B19" t="inlineStr">
        <is>
          <t>'After 20-30 years most of the original equipment has been replaced' - snippet-tier retrieval; full ECRA Technology Papers are member-only, UNCONFIRMED. Basis for the chosen 25-yr MEAN. The NZA 35-yr figure above remains the sensitivity comparator and the CPRS schedule convention. [SNIPPET - verify against the full ECRA source before release]</t>
        </is>
      </c>
    </row>
    <row r="20">
      <c r="A20" t="inlineStr">
        <is>
          <t>Anchor tab note</t>
        </is>
      </c>
      <c r="B20" t="inlineStr">
        <is>
          <t>The 'NZA Anchor' tab now hosts BOTH anchors: B2 = NZA 35 (comparator), B3 = ECRA-informed 25 (chosen mean; the Derivation tab points here).</t>
        </is>
      </c>
    </row>
    <row r="22">
      <c r="A22" t="inlineStr">
        <is>
          <t>Source upgrade (2026-08-27)</t>
        </is>
      </c>
      <c r="B22" t="inlineStr">
        <is>
          <t>Both anchors verified against FULL documents in hand: (1) IEA commentary, Levi/Fernandez Pales/Gul, 20 Jul 2020, 'Aligning investment and innovation in heavy industries to accelerate the transition to net-zero emissions' - 25-year investment cycles for cement kilns ('the story is similar to blast furnaces'), 40-year typical plant lifetimes, 'one or two cycles is most common'; https://www.iea.org/commentaries/aligning-investment-and-innovation-in-heavy-industries-to-accelerate-the-transition-to-net-zero-emissions . (2) ECRA/CSI Technology Papers 2017, p.9 (full 190-page PDF): kiln lifetime 'usually 30 to 50 years'; 'often after 20 or 30 years most of the original equipment has been replaced' - ROLLING piecemeal turnover, which supports the distributed (DELAY3) recurrence form specifically. Neither source gives a discrete kiln-campaign statistic; 25 = the IEA cycle figure. UNCONFIRMED caveat retired; re-verify quotes against the source PDFs before external use.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 (years)</t>
        </is>
      </c>
      <c r="C1" s="1" t="inlineStr">
        <is>
          <t>Basis</t>
        </is>
      </c>
    </row>
    <row r="2">
      <c r="A2" t="inlineStr">
        <is>
          <t>NZA Annex K kiln retirement age (proxy for campaign length)</t>
        </is>
      </c>
      <c r="B2" t="n">
        <v>35</v>
      </c>
      <c r="C2" t="inlineStr">
        <is>
          <t>EIA IDM 30-yr assumption extended by 5 - no campaign-specific source exists</t>
        </is>
      </c>
    </row>
    <row r="3">
      <c r="A3" t="inlineStr">
        <is>
          <t>ECRA reinvestment band (basis for chosen 25-yr mean)</t>
        </is>
      </c>
      <c r="B3" t="n">
        <v>25</v>
      </c>
      <c r="C3" t="inlineStr">
        <is>
          <t>ECRA: most original equipment replaced after 20-30 years; snippet-tier, UNCONFIRMED; chosen mean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Chosen MEAN campaign length per pathway (see About tab notes; Q4 decision-curve change 2026-08-26)</t>
        </is>
      </c>
    </row>
    <row r="3">
      <c r="A3" s="1" t="inlineStr">
        <is>
          <t>Pathway</t>
        </is>
      </c>
      <c r="B3" s="1" t="inlineStr">
        <is>
          <t>Campaign length (yr)</t>
        </is>
      </c>
      <c r="C3" s="1" t="inlineStr">
        <is>
          <t>Basis</t>
        </is>
      </c>
    </row>
    <row r="4">
      <c r="A4" t="inlineStr">
        <is>
          <t>dry kiln with precalciner</t>
        </is>
      </c>
      <c r="B4">
        <f>'NZA Anchor'!B3</f>
        <v/>
      </c>
      <c r="C4" t="inlineStr">
        <is>
          <t>ECRA-informed 20-30 band, mean 25 (UNCONFIRMED; weakest-sourced parameter class)</t>
        </is>
      </c>
    </row>
    <row r="5">
      <c r="A5" t="inlineStr">
        <is>
          <t>dry kiln with CCS</t>
        </is>
      </c>
      <c r="B5">
        <f>'NZA Anchor'!B3</f>
        <v/>
      </c>
      <c r="C5" t="inlineStr">
        <is>
          <t>Mirrors dry kiln with precalciner</t>
        </is>
      </c>
    </row>
    <row r="6">
      <c r="A6" t="inlineStr">
        <is>
          <t>electric kiln</t>
        </is>
      </c>
      <c r="B6">
        <f>'NZA Anchor'!B3</f>
        <v/>
      </c>
      <c r="C6" t="inlineStr">
        <is>
          <t>Mirrors the ECRA-informed anchor</t>
        </is>
      </c>
    </row>
    <row r="7">
      <c r="A7" t="inlineStr">
        <is>
          <t>alternative chemistry cement</t>
        </is>
      </c>
      <c r="B7" t="n">
        <v>25</v>
      </c>
      <c r="C7" t="inlineStr">
        <is>
          <t>Uniform pending data (previously rode its shorter CPAL at 30)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export tab literal vs. Derivation formula/value</t>
        </is>
      </c>
    </row>
    <row r="3">
      <c r="A3" t="inlineStr">
        <is>
          <t>Pathway</t>
        </is>
      </c>
      <c r="B3" t="inlineStr">
        <is>
          <t>Export tab value</t>
        </is>
      </c>
      <c r="C3" t="inlineStr">
        <is>
          <t>Derivation value</t>
        </is>
      </c>
      <c r="D3" t="inlineStr">
        <is>
          <t>Result</t>
        </is>
      </c>
    </row>
    <row r="4">
      <c r="A4" t="inlineStr">
        <is>
          <t>dry kiln with precalciner</t>
        </is>
      </c>
      <c r="B4">
        <f>CPPL!B2</f>
        <v/>
      </c>
      <c r="C4">
        <f>Derivation!B4</f>
        <v/>
      </c>
      <c r="D4">
        <f>IF(ABS(B4-C4)&lt;0.5,"PASS","FAIL")</f>
        <v/>
      </c>
    </row>
    <row r="5">
      <c r="A5" t="inlineStr">
        <is>
          <t>dry kiln with CCS</t>
        </is>
      </c>
      <c r="B5">
        <f>CPPL!B3</f>
        <v/>
      </c>
      <c r="C5">
        <f>Derivation!B5</f>
        <v/>
      </c>
      <c r="D5">
        <f>IF(ABS(B5-C5)&lt;0.5,"PASS","FAIL")</f>
        <v/>
      </c>
    </row>
    <row r="6">
      <c r="A6" t="inlineStr">
        <is>
          <t>electric kiln</t>
        </is>
      </c>
      <c r="B6">
        <f>CPPL!B4</f>
        <v/>
      </c>
      <c r="C6">
        <f>Derivation!B6</f>
        <v/>
      </c>
      <c r="D6">
        <f>IF(ABS(B6-C6)&lt;0.5,"PASS","FAIL")</f>
        <v/>
      </c>
    </row>
    <row r="7">
      <c r="A7" t="inlineStr">
        <is>
          <t>alternative chemistry cement</t>
        </is>
      </c>
      <c r="B7">
        <f>CPPL!B5</f>
        <v/>
      </c>
      <c r="C7">
        <f>Derivation!B7</f>
        <v/>
      </c>
      <c r="D7">
        <f>IF(ABS(B7-C7)&lt;0.5,"PASS","FAIL")</f>
        <v/>
      </c>
    </row>
    <row r="9">
      <c r="A9" s="1" t="inlineStr">
        <is>
          <t>Overall</t>
        </is>
      </c>
      <c r="B9">
        <f>IF(COUNTIF(D4:D7,"FAIL")=0,"ALL PASS","CHECK FAILURES ABOVE")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mean years between kiln overhaul decisions (25 = ECRA-informed 20-30 band midpoint-high, UNCONFIRMED; weakest-sourced parameter - verify before release)</t>
        </is>
      </c>
      <c r="B1" t="inlineStr">
        <is>
          <t>Campaign Length</t>
        </is>
      </c>
    </row>
    <row r="2">
      <c r="A2" t="inlineStr">
        <is>
          <t>dry kiln with precalciner</t>
        </is>
      </c>
      <c r="B2" t="n">
        <v>25</v>
      </c>
    </row>
    <row r="3">
      <c r="A3" t="inlineStr">
        <is>
          <t>dry kiln with CCS</t>
        </is>
      </c>
      <c r="B3" t="n">
        <v>25</v>
      </c>
    </row>
    <row r="4">
      <c r="A4" t="inlineStr">
        <is>
          <t>electric kiln</t>
        </is>
      </c>
      <c r="B4" t="n">
        <v>25</v>
      </c>
    </row>
    <row r="5">
      <c r="A5" t="inlineStr">
        <is>
          <t>alternative chemistry cement</t>
        </is>
      </c>
      <c r="B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2026-08-26T11:48:09Z</dcterms:created>
  <dcterms:modified xsi:type="dcterms:W3CDTF">2026-08-27T12:45:38Z</dcterms:modified>
</cp:coreProperties>
</file>