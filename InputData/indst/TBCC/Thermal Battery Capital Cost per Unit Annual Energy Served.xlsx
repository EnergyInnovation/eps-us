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TBCC\"/>
    </mc:Choice>
  </mc:AlternateContent>
  <xr:revisionPtr revIDLastSave="0" documentId="13_ncr:1_{991AB9E2-1659-4BA4-B0BA-4508650A60B5}" xr6:coauthVersionLast="47" xr6:coauthVersionMax="47" xr10:uidLastSave="{00000000-0000-0000-0000-000000000000}"/>
  <bookViews>
    <workbookView xWindow="-25680" yWindow="3120" windowWidth="21600" windowHeight="12585" xr2:uid="{00000000-000D-0000-FFFF-FFFF00000000}"/>
  </bookViews>
  <sheets>
    <sheet name="About" sheetId="1" r:id="rId1"/>
    <sheet name="TBCC Components" sheetId="2" r:id="rId2"/>
    <sheet name="MECS 2022" sheetId="3" r:id="rId3"/>
    <sheet name="Band Heat 2025" sheetId="4" r:id="rId4"/>
    <sheet name="Band Weights" sheetId="5" r:id="rId5"/>
    <sheet name="Checks" sheetId="6" r:id="rId6"/>
    <sheet name="TB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0" i="5" l="1"/>
  <c r="C37" i="5" s="1"/>
  <c r="T30" i="5"/>
  <c r="C36" i="5" s="1"/>
  <c r="H28" i="5"/>
  <c r="G28" i="5"/>
  <c r="F28" i="5"/>
  <c r="M28" i="5" s="1"/>
  <c r="E28" i="5"/>
  <c r="L28" i="5" s="1"/>
  <c r="D28" i="5"/>
  <c r="K28" i="5" s="1"/>
  <c r="C28" i="5"/>
  <c r="H27" i="5"/>
  <c r="G27" i="5"/>
  <c r="F27" i="5"/>
  <c r="M27" i="5" s="1"/>
  <c r="E27" i="5"/>
  <c r="L27" i="5" s="1"/>
  <c r="D27" i="5"/>
  <c r="K27" i="5" s="1"/>
  <c r="C27" i="5"/>
  <c r="H26" i="5"/>
  <c r="G26" i="5"/>
  <c r="F26" i="5"/>
  <c r="M26" i="5" s="1"/>
  <c r="E26" i="5"/>
  <c r="L26" i="5" s="1"/>
  <c r="D26" i="5"/>
  <c r="K26" i="5" s="1"/>
  <c r="C26" i="5"/>
  <c r="K25" i="5"/>
  <c r="H25" i="5"/>
  <c r="G25" i="5"/>
  <c r="F25" i="5"/>
  <c r="M25" i="5" s="1"/>
  <c r="E25" i="5"/>
  <c r="L25" i="5" s="1"/>
  <c r="D25" i="5"/>
  <c r="H24" i="5"/>
  <c r="G24" i="5"/>
  <c r="F24" i="5"/>
  <c r="M24" i="5" s="1"/>
  <c r="E24" i="5"/>
  <c r="L24" i="5" s="1"/>
  <c r="D24" i="5"/>
  <c r="K24" i="5" s="1"/>
  <c r="H23" i="5"/>
  <c r="G23" i="5"/>
  <c r="F23" i="5"/>
  <c r="M23" i="5" s="1"/>
  <c r="E23" i="5"/>
  <c r="L23" i="5" s="1"/>
  <c r="D23" i="5"/>
  <c r="K23" i="5" s="1"/>
  <c r="M22" i="5"/>
  <c r="H22" i="5"/>
  <c r="G22" i="5"/>
  <c r="F22" i="5"/>
  <c r="E22" i="5"/>
  <c r="L22" i="5" s="1"/>
  <c r="D22" i="5"/>
  <c r="H21" i="5"/>
  <c r="G21" i="5"/>
  <c r="F21" i="5"/>
  <c r="M21" i="5" s="1"/>
  <c r="E21" i="5"/>
  <c r="L21" i="5" s="1"/>
  <c r="D21" i="5"/>
  <c r="K21" i="5" s="1"/>
  <c r="H20" i="5"/>
  <c r="G20" i="5"/>
  <c r="F20" i="5"/>
  <c r="M20" i="5" s="1"/>
  <c r="E20" i="5"/>
  <c r="L20" i="5" s="1"/>
  <c r="D20" i="5"/>
  <c r="K20" i="5" s="1"/>
  <c r="K19" i="5"/>
  <c r="H19" i="5"/>
  <c r="G19" i="5"/>
  <c r="F19" i="5"/>
  <c r="M19" i="5" s="1"/>
  <c r="E19" i="5"/>
  <c r="L19" i="5" s="1"/>
  <c r="D19" i="5"/>
  <c r="H18" i="5"/>
  <c r="G18" i="5"/>
  <c r="F18" i="5"/>
  <c r="M18" i="5" s="1"/>
  <c r="E18" i="5"/>
  <c r="L18" i="5" s="1"/>
  <c r="D18" i="5"/>
  <c r="K18" i="5" s="1"/>
  <c r="H17" i="5"/>
  <c r="G17" i="5"/>
  <c r="F17" i="5"/>
  <c r="M17" i="5" s="1"/>
  <c r="E17" i="5"/>
  <c r="L17" i="5" s="1"/>
  <c r="D17" i="5"/>
  <c r="K17" i="5" s="1"/>
  <c r="L16" i="5"/>
  <c r="H16" i="5"/>
  <c r="G16" i="5"/>
  <c r="F16" i="5"/>
  <c r="I16" i="5" s="1"/>
  <c r="E16" i="5"/>
  <c r="D16" i="5"/>
  <c r="K16" i="5" s="1"/>
  <c r="L15" i="5"/>
  <c r="H15" i="5"/>
  <c r="G15" i="5"/>
  <c r="F15" i="5"/>
  <c r="M15" i="5" s="1"/>
  <c r="E15" i="5"/>
  <c r="D15" i="5"/>
  <c r="K15" i="5" s="1"/>
  <c r="H14" i="5"/>
  <c r="G14" i="5"/>
  <c r="F14" i="5"/>
  <c r="M14" i="5" s="1"/>
  <c r="E14" i="5"/>
  <c r="L14" i="5" s="1"/>
  <c r="D14" i="5"/>
  <c r="K14" i="5" s="1"/>
  <c r="C14" i="5"/>
  <c r="M13" i="5"/>
  <c r="H13" i="5"/>
  <c r="G13" i="5"/>
  <c r="F13" i="5"/>
  <c r="E13" i="5"/>
  <c r="L13" i="5" s="1"/>
  <c r="D13" i="5"/>
  <c r="H12" i="5"/>
  <c r="G12" i="5"/>
  <c r="F12" i="5"/>
  <c r="M12" i="5" s="1"/>
  <c r="E12" i="5"/>
  <c r="D12" i="5"/>
  <c r="K12" i="5" s="1"/>
  <c r="H11" i="5"/>
  <c r="G11" i="5"/>
  <c r="F11" i="5"/>
  <c r="M11" i="5" s="1"/>
  <c r="E11" i="5"/>
  <c r="L11" i="5" s="1"/>
  <c r="D11" i="5"/>
  <c r="K11" i="5" s="1"/>
  <c r="H10" i="5"/>
  <c r="G10" i="5"/>
  <c r="F10" i="5"/>
  <c r="M10" i="5" s="1"/>
  <c r="E10" i="5"/>
  <c r="L10" i="5" s="1"/>
  <c r="D10" i="5"/>
  <c r="H9" i="5"/>
  <c r="G9" i="5"/>
  <c r="F9" i="5"/>
  <c r="M9" i="5" s="1"/>
  <c r="E9" i="5"/>
  <c r="L9" i="5" s="1"/>
  <c r="D9" i="5"/>
  <c r="K9" i="5" s="1"/>
  <c r="H8" i="5"/>
  <c r="G8" i="5"/>
  <c r="F8" i="5"/>
  <c r="M8" i="5" s="1"/>
  <c r="E8" i="5"/>
  <c r="L8" i="5" s="1"/>
  <c r="D8" i="5"/>
  <c r="K8" i="5" s="1"/>
  <c r="M7" i="5"/>
  <c r="H7" i="5"/>
  <c r="G7" i="5"/>
  <c r="F7" i="5"/>
  <c r="E7" i="5"/>
  <c r="L7" i="5" s="1"/>
  <c r="D7" i="5"/>
  <c r="I7" i="5" s="1"/>
  <c r="C7" i="5"/>
  <c r="H6" i="5"/>
  <c r="G6" i="5"/>
  <c r="F6" i="5"/>
  <c r="M6" i="5" s="1"/>
  <c r="E6" i="5"/>
  <c r="L6" i="5" s="1"/>
  <c r="D6" i="5"/>
  <c r="K6" i="5" s="1"/>
  <c r="C6" i="5"/>
  <c r="H5" i="5"/>
  <c r="G5" i="5"/>
  <c r="F5" i="5"/>
  <c r="M5" i="5" s="1"/>
  <c r="E5" i="5"/>
  <c r="L5" i="5" s="1"/>
  <c r="D5" i="5"/>
  <c r="I5" i="5" s="1"/>
  <c r="C5" i="5"/>
  <c r="J5" i="5" s="1"/>
  <c r="H4" i="5"/>
  <c r="G4" i="5"/>
  <c r="F4" i="5"/>
  <c r="M4" i="5" s="1"/>
  <c r="E4" i="5"/>
  <c r="D4" i="5"/>
  <c r="C4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18" i="3"/>
  <c r="F18" i="3"/>
  <c r="E18" i="3"/>
  <c r="G16" i="3"/>
  <c r="F16" i="3"/>
  <c r="E16" i="3"/>
  <c r="C25" i="5" s="1"/>
  <c r="G15" i="3"/>
  <c r="F15" i="3"/>
  <c r="E15" i="3"/>
  <c r="C24" i="5" s="1"/>
  <c r="G14" i="3"/>
  <c r="F14" i="3"/>
  <c r="E14" i="3"/>
  <c r="C18" i="5" s="1"/>
  <c r="G13" i="3"/>
  <c r="F13" i="3"/>
  <c r="E13" i="3"/>
  <c r="C17" i="5" s="1"/>
  <c r="G12" i="3"/>
  <c r="F12" i="3"/>
  <c r="E12" i="3"/>
  <c r="C15" i="5" s="1"/>
  <c r="G11" i="3"/>
  <c r="F11" i="3"/>
  <c r="E11" i="3"/>
  <c r="G10" i="3"/>
  <c r="F10" i="3"/>
  <c r="E10" i="3"/>
  <c r="C13" i="5" s="1"/>
  <c r="G9" i="3"/>
  <c r="F9" i="3"/>
  <c r="E9" i="3"/>
  <c r="C12" i="5" s="1"/>
  <c r="G8" i="3"/>
  <c r="F8" i="3"/>
  <c r="E8" i="3"/>
  <c r="C11" i="5" s="1"/>
  <c r="G7" i="3"/>
  <c r="F7" i="3"/>
  <c r="E7" i="3"/>
  <c r="C10" i="5" s="1"/>
  <c r="G6" i="3"/>
  <c r="F6" i="3"/>
  <c r="E6" i="3"/>
  <c r="C9" i="5" s="1"/>
  <c r="G5" i="3"/>
  <c r="F5" i="3"/>
  <c r="E5" i="3"/>
  <c r="C8" i="5" s="1"/>
  <c r="B24" i="2"/>
  <c r="B25" i="2" s="1"/>
  <c r="B17" i="2"/>
  <c r="B10" i="2"/>
  <c r="B18" i="2" s="1"/>
  <c r="B9" i="2"/>
  <c r="B8" i="2"/>
  <c r="B12" i="2" s="1"/>
  <c r="B20" i="2" s="1"/>
  <c r="E30" i="5" l="1"/>
  <c r="B34" i="5" s="1"/>
  <c r="D30" i="5"/>
  <c r="B33" i="5" s="1"/>
  <c r="M16" i="5"/>
  <c r="C21" i="5"/>
  <c r="I8" i="5"/>
  <c r="K4" i="5"/>
  <c r="K7" i="5"/>
  <c r="C23" i="5"/>
  <c r="L4" i="5"/>
  <c r="J8" i="5"/>
  <c r="G30" i="5"/>
  <c r="B36" i="5" s="1"/>
  <c r="D36" i="5" s="1"/>
  <c r="I12" i="5"/>
  <c r="J12" i="5" s="1"/>
  <c r="N12" i="5" s="1"/>
  <c r="O12" i="5" s="1"/>
  <c r="J13" i="5"/>
  <c r="O13" i="5" s="1"/>
  <c r="I11" i="5"/>
  <c r="J11" i="5" s="1"/>
  <c r="I15" i="5"/>
  <c r="I21" i="5"/>
  <c r="J15" i="5"/>
  <c r="N15" i="5" s="1"/>
  <c r="O15" i="5" s="1"/>
  <c r="I25" i="5"/>
  <c r="H30" i="5"/>
  <c r="B37" i="5" s="1"/>
  <c r="D37" i="5" s="1"/>
  <c r="J25" i="5"/>
  <c r="N25" i="5" s="1"/>
  <c r="B11" i="2"/>
  <c r="B19" i="2" s="1"/>
  <c r="L12" i="5"/>
  <c r="C22" i="5"/>
  <c r="C20" i="5"/>
  <c r="I20" i="5"/>
  <c r="J20" i="5" s="1"/>
  <c r="N20" i="5" s="1"/>
  <c r="O20" i="5" s="1"/>
  <c r="C19" i="5"/>
  <c r="I10" i="5"/>
  <c r="J10" i="5" s="1"/>
  <c r="I13" i="5"/>
  <c r="I22" i="5"/>
  <c r="J27" i="5"/>
  <c r="O5" i="5"/>
  <c r="N8" i="5"/>
  <c r="O8" i="5" s="1"/>
  <c r="P5" i="5"/>
  <c r="J28" i="5"/>
  <c r="N28" i="5"/>
  <c r="J7" i="5"/>
  <c r="K10" i="5"/>
  <c r="K5" i="5"/>
  <c r="N5" i="5" s="1"/>
  <c r="I4" i="5"/>
  <c r="J4" i="5" s="1"/>
  <c r="C16" i="5"/>
  <c r="J16" i="5" s="1"/>
  <c r="K22" i="5"/>
  <c r="I26" i="5"/>
  <c r="J26" i="5" s="1"/>
  <c r="I19" i="5"/>
  <c r="J19" i="5" s="1"/>
  <c r="N19" i="5" s="1"/>
  <c r="I23" i="5"/>
  <c r="J23" i="5" s="1"/>
  <c r="I14" i="5"/>
  <c r="J14" i="5" s="1"/>
  <c r="K13" i="5"/>
  <c r="N13" i="5" s="1"/>
  <c r="I17" i="5"/>
  <c r="J17" i="5" s="1"/>
  <c r="F30" i="5"/>
  <c r="B35" i="5" s="1"/>
  <c r="I24" i="5"/>
  <c r="J24" i="5" s="1"/>
  <c r="I28" i="5"/>
  <c r="I27" i="5"/>
  <c r="I18" i="5"/>
  <c r="J18" i="5" s="1"/>
  <c r="I6" i="5"/>
  <c r="J6" i="5" s="1"/>
  <c r="I9" i="5"/>
  <c r="J9" i="5" s="1"/>
  <c r="O25" i="5" l="1"/>
  <c r="N10" i="5"/>
  <c r="O10" i="5" s="1"/>
  <c r="P10" i="5" s="1"/>
  <c r="Q10" i="5" s="1"/>
  <c r="J21" i="5"/>
  <c r="J22" i="5"/>
  <c r="N22" i="5" s="1"/>
  <c r="O22" i="5" s="1"/>
  <c r="P22" i="5" s="1"/>
  <c r="Q22" i="5" s="1"/>
  <c r="N11" i="5"/>
  <c r="O11" i="5" s="1"/>
  <c r="N23" i="5"/>
  <c r="O23" i="5" s="1"/>
  <c r="N14" i="5"/>
  <c r="O14" i="5" s="1"/>
  <c r="N9" i="5"/>
  <c r="O9" i="5" s="1"/>
  <c r="N18" i="5"/>
  <c r="O18" i="5" s="1"/>
  <c r="P20" i="5"/>
  <c r="Q20" i="5" s="1"/>
  <c r="P15" i="5"/>
  <c r="Q15" i="5" s="1"/>
  <c r="N24" i="5"/>
  <c r="O24" i="5" s="1"/>
  <c r="N17" i="5"/>
  <c r="O17" i="5" s="1"/>
  <c r="N26" i="5"/>
  <c r="O26" i="5" s="1"/>
  <c r="P8" i="5"/>
  <c r="Q8" i="5" s="1"/>
  <c r="P12" i="5"/>
  <c r="Q12" i="5" s="1"/>
  <c r="N6" i="5"/>
  <c r="O6" i="5" s="1"/>
  <c r="O4" i="5"/>
  <c r="P13" i="5"/>
  <c r="Q13" i="5" s="1"/>
  <c r="N27" i="5"/>
  <c r="O27" i="5" s="1"/>
  <c r="P25" i="5"/>
  <c r="Q25" i="5" s="1"/>
  <c r="N16" i="5"/>
  <c r="O16" i="5" s="1"/>
  <c r="N7" i="5"/>
  <c r="O7" i="5" s="1"/>
  <c r="Q5" i="5"/>
  <c r="O28" i="5"/>
  <c r="O19" i="5"/>
  <c r="N4" i="5"/>
  <c r="C44" i="5"/>
  <c r="D44" i="5" s="1"/>
  <c r="E44" i="5" s="1"/>
  <c r="B44" i="5"/>
  <c r="C45" i="5"/>
  <c r="D45" i="5" s="1"/>
  <c r="E45" i="5" s="1"/>
  <c r="B45" i="5"/>
  <c r="P11" i="5" l="1"/>
  <c r="Q11" i="5"/>
  <c r="N21" i="5"/>
  <c r="O21" i="5" s="1"/>
  <c r="P21" i="5" s="1"/>
  <c r="Q21" i="5" s="1"/>
  <c r="R21" i="5" s="1"/>
  <c r="S21" i="5" s="1"/>
  <c r="P27" i="5"/>
  <c r="Q27" i="5" s="1"/>
  <c r="P16" i="5"/>
  <c r="Q16" i="5" s="1"/>
  <c r="P6" i="5"/>
  <c r="Q6" i="5" s="1"/>
  <c r="R22" i="5"/>
  <c r="S22" i="5" s="1"/>
  <c r="P26" i="5"/>
  <c r="Q26" i="5" s="1"/>
  <c r="P17" i="5"/>
  <c r="Q17" i="5" s="1"/>
  <c r="R15" i="5"/>
  <c r="S15" i="5" s="1"/>
  <c r="R20" i="5"/>
  <c r="S20" i="5" s="1"/>
  <c r="P9" i="5"/>
  <c r="Q9" i="5" s="1"/>
  <c r="P14" i="5"/>
  <c r="Q14" i="5" s="1"/>
  <c r="P7" i="5"/>
  <c r="Q7" i="5" s="1"/>
  <c r="R25" i="5"/>
  <c r="S25" i="5" s="1"/>
  <c r="R13" i="5"/>
  <c r="S13" i="5" s="1"/>
  <c r="R12" i="5"/>
  <c r="S12" i="5" s="1"/>
  <c r="R8" i="5"/>
  <c r="S8" i="5" s="1"/>
  <c r="R10" i="5"/>
  <c r="S10" i="5" s="1"/>
  <c r="P24" i="5"/>
  <c r="Q24" i="5" s="1"/>
  <c r="P18" i="5"/>
  <c r="Q18" i="5" s="1"/>
  <c r="P23" i="5"/>
  <c r="Q23" i="5" s="1"/>
  <c r="R5" i="5"/>
  <c r="S5" i="5" s="1"/>
  <c r="R11" i="5"/>
  <c r="S11" i="5" s="1"/>
  <c r="B6" i="7"/>
  <c r="B8" i="6"/>
  <c r="D8" i="6" s="1"/>
  <c r="E8" i="6" s="1"/>
  <c r="P28" i="5"/>
  <c r="Q28" i="5" s="1"/>
  <c r="P4" i="5"/>
  <c r="P19" i="5"/>
  <c r="Q19" i="5" s="1"/>
  <c r="B5" i="7"/>
  <c r="B7" i="6"/>
  <c r="D7" i="6" s="1"/>
  <c r="E7" i="6" s="1"/>
  <c r="N30" i="5"/>
  <c r="C33" i="5" s="1"/>
  <c r="D33" i="5" s="1"/>
  <c r="R14" i="5" l="1"/>
  <c r="S14" i="5" s="1"/>
  <c r="R19" i="5"/>
  <c r="S19" i="5" s="1"/>
  <c r="R28" i="5"/>
  <c r="S28" i="5" s="1"/>
  <c r="R6" i="5"/>
  <c r="S6" i="5" s="1"/>
  <c r="R18" i="5"/>
  <c r="S18" i="5" s="1"/>
  <c r="R7" i="5"/>
  <c r="S7" i="5" s="1"/>
  <c r="R16" i="5"/>
  <c r="S16" i="5" s="1"/>
  <c r="R23" i="5"/>
  <c r="S23" i="5" s="1"/>
  <c r="R24" i="5"/>
  <c r="S24" i="5" s="1"/>
  <c r="R9" i="5"/>
  <c r="S9" i="5" s="1"/>
  <c r="R17" i="5"/>
  <c r="S17" i="5" s="1"/>
  <c r="R26" i="5"/>
  <c r="S26" i="5" s="1"/>
  <c r="R27" i="5"/>
  <c r="S27" i="5" s="1"/>
  <c r="P30" i="5"/>
  <c r="C34" i="5" s="1"/>
  <c r="D34" i="5" s="1"/>
  <c r="C41" i="5"/>
  <c r="D41" i="5" s="1"/>
  <c r="E41" i="5" s="1"/>
  <c r="B41" i="5"/>
  <c r="Q4" i="5"/>
  <c r="R4" i="5" l="1"/>
  <c r="R30" i="5" s="1"/>
  <c r="C35" i="5" s="1"/>
  <c r="D35" i="5" s="1"/>
  <c r="B2" i="7"/>
  <c r="B4" i="6"/>
  <c r="D4" i="6" s="1"/>
  <c r="E4" i="6" s="1"/>
  <c r="C42" i="5"/>
  <c r="D42" i="5" s="1"/>
  <c r="E42" i="5" s="1"/>
  <c r="B42" i="5"/>
  <c r="B3" i="7" l="1"/>
  <c r="B5" i="6"/>
  <c r="D5" i="6" s="1"/>
  <c r="E5" i="6" s="1"/>
  <c r="C43" i="5"/>
  <c r="D43" i="5" s="1"/>
  <c r="E43" i="5" s="1"/>
  <c r="B43" i="5"/>
  <c r="S4" i="5"/>
  <c r="B4" i="7" l="1"/>
  <c r="B6" i="6"/>
  <c r="D6" i="6" s="1"/>
  <c r="E6" i="6" s="1"/>
</calcChain>
</file>

<file path=xl/sharedStrings.xml><?xml version="1.0" encoding="utf-8"?>
<sst xmlns="http://schemas.openxmlformats.org/spreadsheetml/2006/main" count="278" uniqueCount="187">
  <si>
    <t>TBCC Thermal Battery Capital Cost per Unit Annual Energy Served</t>
  </si>
  <si>
    <t>Sources:</t>
  </si>
  <si>
    <t>Component capital costs (charging equipment, heat delivery, storage medium)</t>
  </si>
  <si>
    <t>Rissman &amp; Gimon (2023)</t>
  </si>
  <si>
    <t>"Thermal Batteries: Decarbonizing U.S. Industry While Supporting a High-Renewables Grid," Energy Innovation, p.15</t>
  </si>
  <si>
    <t>https://energyinnovation.org/report/thermal-batteries-decarbonizing-u-s-industry-while-supporting-a-high-renewables-grid/</t>
  </si>
  <si>
    <t>2023 USD component costs: charging equipment $100/kW-in; steam-side heat delivery $300/kW-out; storage medium $5/kWh-th (range $1.5-10/kWh-th). System spec assumed: continuous load, 6-hour charging window =&gt; 4.0 kW-in and 18 kWh-th storage per kW-out. All derivation formulas are visible on the 'TBCC Components' tab.</t>
  </si>
  <si>
    <t>Direct-heat discharge equipment cost (blower), used for bands where steam infrastructure is not the relevant discharge path</t>
  </si>
  <si>
    <t>Stack, Curtis &amp; Forsberg (2019)</t>
  </si>
  <si>
    <t>"Performance of firebrick resistance-heated energy storage for industrial heat applications and round-trip electricity storage," Applied Energy, Table 3 (installed cost)</t>
  </si>
  <si>
    <t>https://www.sciencedirect.com/science/article/pii/S0306261919305082</t>
  </si>
  <si>
    <t>Blower (discharge-side) installed cost $6.47/kW-discharge, 2017 USD, at a 50 MWt base-case unit; deflated to 2023 USD via CPI-U (245.120 -&gt; 304.702) on the 'TBCC Components' tab (rows 22-25). BOUNDARY NOTE: this is an installed-cost figure for a bare industrial blower forcing air through a firebrick stack -- a different (and much cheaper) discharge technology than the $300/kW-out steam-side heat-delivery equipment R&amp;G price. The workbook blends the two by each band's steam share w_b ('Band Weights' tab) rather than picking one uniformly. Both source figures may mix installed vs. equipment-only cost scope differently; where that is uncertain we have NOT tried to correct for it, which is conservative in the direction of not understating discharge-side cost (see Industry_ThermalBattery_Stack2019_Extract.md, repo root, for the full extraction and a note that R&amp;G's $300/kW figure is ~46x Stack's blower figure with no reconciliation found in either source).</t>
  </si>
  <si>
    <t>Industrial steam vs. direct-heat split, by industry (weights the discharge-equipment blend by how much of each temperature band is steam- vs. direct-fired)</t>
  </si>
  <si>
    <t>EIA, Manufacturing Energy Consumption Survey (MECS) 2022</t>
  </si>
  <si>
    <t>Table 5.2, "End uses of fuel consumption, 2022"</t>
  </si>
  <si>
    <t>https://www.eia.gov/consumption/manufacturing/data/2022/xls/Table5_2.xlsx</t>
  </si>
  <si>
    <t>Rolled up to EPS Industry Categories on the 'MECS 2022' tab. Full extraction, method, and data-quality caveats: Industry_ThermalBattery_MECS_SteamShares.md (repo root). Key caveats (see Notes below for the full discussion): the CHP-fuel steam/power split is not reported by MECS and is assumed here (CHP-steam fraction = 0.6, an editable cell on the MECS 2022 tab); 35.5% of national manufacturing fuel use is not classified to any end use at all (worst in paper, refining, and iron &amp; steel -- treat those three plus wood products as the least reliable category splits); category-level splits carry roughly +-5-10% sampling noise on top of that.</t>
  </si>
  <si>
    <t>Band heat demand by Industry Category, 2025 (denominator for the steam-share waterfall; also the basis the demand cap itself uses)</t>
  </si>
  <si>
    <t>EPS model (this repo)</t>
  </si>
  <si>
    <t>Thermal Battery Demand Cap in Electricity Equivalent[Industry Category,Industrial Process], 2025 column, electricity-equivalent BTU/yr</t>
  </si>
  <si>
    <t>https://github.com/EnergyInnovation/eps-us</t>
  </si>
  <si>
    <t>EPS defaults run TB_omrm_newdef, extracted 2026-08-20 (TB_bandheat.tab, repo root). Pasted verbatim onto the 'Band Heat 2025' tab. This is a model output, not an external primary source -- it will drift if the underlying demand-cap logic or input data changes, and should be re-extracted if this workbook is revisited long after 2026-08-20.</t>
  </si>
  <si>
    <t>Notes:</t>
  </si>
  <si>
    <t>Result</t>
  </si>
  <si>
    <t>Five band values, 2012 USD per BTU/yr of annual energy service (electricity equivalent), computed on the 'TBCC' export tab from the 'Band Weights' tab's per-band system cost: heat&lt;100C 1.82e-5, heat100-200C 1.78e-5, heat200-500C 1.37e-5, heat500-1000C and heat&gt;1000C both 1.26e-5 (the two highest bands share w_b=0 -- no steam infrastructure reaches them -- so they get the same all-blower discharge cost). See the 'Checks' tab for the formula-vs-CSV comparison (all five bands agree with TBCC.csv to within ~0.1%, well inside the 0.5% tolerance).</t>
  </si>
  <si>
    <t>Derivation chain</t>
  </si>
  <si>
    <t>Component costs ('TBCC Components' tab) -&gt; MECS steam shares by category ('MECS 2022') -&gt; IC-to-category mapping and a per-IC waterfall that fills each Industry Category's steam heat into bands left-to-right up to a 300C ceiling ('Band Weights') -&gt; demand-weighted steam share w_b per band -&gt; discharge-cost blend (w_b x steam-side $300/kW-out + (1-w_b) x blower $/kW-out) -&gt; full system cost -&gt; CPI-U deflation to 2012 USD -&gt; $/BTU-yr ('TBCC' export tab). Editing any source or assumption cell recomputes every downstream value.</t>
  </si>
  <si>
    <t>The 300C ceiling and the one-third-band-slice assumption</t>
  </si>
  <si>
    <t>Steam heat above ~300C in practice is rare (atmospheric/low-pressure steam tops out well under the 200-500C band's upper edge); this workbook treats 300C as the steam ceiling and assumes heat is spread uniformly within the 200-500C band, so only the bottom third of that band (one of three equal 100C sub-ranges: 200-300, 300-400, 400-500) is treated as steam-reachable capacity. Bands above 500C get zero steam capacity outright. Both are simplifying assumptions, not measured facts -- flagged for review.</t>
  </si>
  <si>
    <t>Waterfall clips</t>
  </si>
  <si>
    <t>For a handful of Industry Categories, the steam heat implied by the MECS-based share (s_i x total band-eligible heat) exceeds what the 300C-ceiling caps can absorb in the available bands; the excess is clipped (left unfilled, not carried into a higher band, since steam physically doesn't reach there). Largest clips: chemicals ~14%, pulp/paper/printing ~10%, food/beverage/tobacco ~6% of that category's steam heat. See the 'clip' column on the 'Band Weights' tab for every category.</t>
  </si>
  <si>
    <t>MECS method and the CHP ambiguity</t>
  </si>
  <si>
    <t>MECS reports fuel burned in a CHP/cogeneration unit as a single line, with no split between the electricity/shaft-power output and the useful-heat output. This workbook assumes 60% of CHP fuel is steam output (CHP-steam fraction, 'MECS 2022' tab B1); the published bounds if that assumption were 100% vs. 0% are 48.0% vs. 21.5% manufacturing-wide steam share (national row on the MECS 2022 tab) -- a wide range, and the single biggest source of uncertainty in this workbook. Separately, 35.5% of all manufacturing fuel use nationally is not classified to any end use at all (mostly byproduct/waste fuels MECS never allocates), worst in paper, coke &amp; refined petroleum, and iron &amp; steel (each &gt;40% unclassified) -- treat those category splits, plus wood products, as the least reliable. Every category split also carries an estimated +-5-10% ordinary sampling/footing noise on top of the CHP and unclassified-fuel issues. Full writeup: Industry_ThermalBattery_MECS_SteamShares.md (repo root).</t>
  </si>
  <si>
    <t>Non-MECS Industry Categories and the sensitivity check</t>
  </si>
  <si>
    <t>Industry Categories outside NAICS manufacturing (agriculture and forestry, coal mining, oil and gas extraction, other mining and quarrying, construction) have no MECS steam/direct-heat split available; they default to a 0.10 steam share ('Band Weights' tab B1), i.e. assumed mostly direct-fired. Oil and gas extraction alone is 21.5% of all Industry Categories' total eligible heat in the 2025 band-heat data, so this assumption is doing real work, not a rounding footnote. Sensitivity alternative: 0.399, the manufacturing-wide average steam share at the CHP=0.6 assumption ('MECS 2022' national row) -- i.e., if non-MECS categories instead ran a typical manufacturing steam mix rather than mostly-direct-fired equipment. This alternative is documented here but NOT wired into the shipped calculation; a team decision on which is more defensible for extraction/ag/construction processes (largely field/kiln/dryer direct heat, arguably supporting the 0.10 default) is still open.</t>
  </si>
  <si>
    <t>O&amp;M is separate</t>
  </si>
  <si>
    <t>Operations &amp; maintenance is NOT included in this capital-cost figure -- see TBOM (2% of TBCC per year, an unverified proxy; see TBOM/TBOM.xlsx for that derivation).</t>
  </si>
  <si>
    <t>Band heat basis</t>
  </si>
  <si>
    <t>The 'Band Heat 2025' tab pastes the model's own Thermal Battery Demand Cap in Electricity Equivalent by Industry Category and heat band -- an electricity-equivalent BTU figure, not raw fuel BTU -- because that is the basis the demand cap (and hence eligible adoption) is computed on. It is a single-year (2025) snapshot; the steam-share weights derived from it are not re-derived year by year.</t>
  </si>
  <si>
    <t>KNOWN BOUNDARY AMBIGUITY (component costs, flagged for review)</t>
  </si>
  <si>
    <t>The R&amp;G source report does not state whether component costs are equipment-only or fully installed; the $100/kW-in charging-equipment figure is benchmarked to Li-ion equipment analogs, so an installation/balance-of-plant markup (often 30-100% for industrial equipment) may be missing. NREL Kocher et al. 2024 (Energy &amp; Environmental Science 17:2206, DOI 10.1039/D3EE03594H) could not be retrieved full-text at compilation time and should be checked against this figure before external release. Separately, the R&amp;G $300/kW-out steam-side figure and Stack et al.'s $6.47/kW-out blower figure differ by ~46x with no reconciliation found in either source -- see the blower source entry above.</t>
  </si>
  <si>
    <t>Provenance</t>
  </si>
  <si>
    <t>Component-cost block written by Claude Code, issue #387, 2026-08-17. MECS steam-share derivation (MECS 2022 / Band Heat 2025 / Band Weights / Checks tabs, and this rewritten About tab) written by Claude Code, 2026-08-20, per Industry_ThermalBattery_MECS_SteamShares.md and the session scratchpad script tbcc_weights.py. Reviewed by: (pending).</t>
  </si>
  <si>
    <t>Verification status</t>
  </si>
  <si>
    <t>All figures herein are inputs for staff review, not a finished model input or published position -- verify against the primary sources above before use in any external work product. This document and its assumptions (CHP fraction, non-MECS default, 300C ceiling) are open to revision by the team.</t>
  </si>
  <si>
    <t>18h storage-duration convention (ratified)</t>
  </si>
  <si>
    <t>The 18-hour storage-duration convention used in the 'TBCC Components' tab (24 minus the 6-hour TBCH charging window =&gt; 4.0 kW-in and 18 kWh-th storage per kW-out; see the Sources block above) was ratified by Dan O'Brien, 2026-08-20, as internally consistent with TBCH Thermal Battery Daily Charging Hours (6 h/day) elsewhere in the model. The published literature on optimal thermal-battery storage duration clusters in the 15-24 hour range, and Rissman &amp; Gimon's own reported optimum is 24 hours (i.e., a shorter, ~0-hour charging window) -- a documented alternative, not adopted here, since a 24-hour duration would be inconsistent with the 6-hour TBCH charging-window spec this workbook is built to match. Revisit both together if either changes.</t>
  </si>
  <si>
    <t>Component</t>
  </si>
  <si>
    <t>Value</t>
  </si>
  <si>
    <t>Unit</t>
  </si>
  <si>
    <t>Source</t>
  </si>
  <si>
    <t>Charging equipment cost</t>
  </si>
  <si>
    <t>$/kW-in (2023 USD)</t>
  </si>
  <si>
    <t>Rissman &amp; Gimon 2023 p.15</t>
  </si>
  <si>
    <t>Heat delivery equipment cost</t>
  </si>
  <si>
    <t>$/kW-out (2023 USD)</t>
  </si>
  <si>
    <t>Storage medium cost - low</t>
  </si>
  <si>
    <t>$/kWh-th (2023 USD)</t>
  </si>
  <si>
    <t>ibid (range)</t>
  </si>
  <si>
    <t>Storage medium cost - central</t>
  </si>
  <si>
    <t>ibid</t>
  </si>
  <si>
    <t>Storage medium cost - high</t>
  </si>
  <si>
    <t>Charging window</t>
  </si>
  <si>
    <t>hours/day</t>
  </si>
  <si>
    <t>Jeff Rissman, issue #387</t>
  </si>
  <si>
    <t>Charge rate multiple</t>
  </si>
  <si>
    <t>kW-in per kW-out</t>
  </si>
  <si>
    <t>Storage hours</t>
  </si>
  <si>
    <t>kWh-th per kW-out</t>
  </si>
  <si>
    <t>System cost per kW-out - low</t>
  </si>
  <si>
    <t>System cost per kW-out - central</t>
  </si>
  <si>
    <t>System cost per kW-out - high</t>
  </si>
  <si>
    <t>Annual heat served per kW-out</t>
  </si>
  <si>
    <t>kWh-th/yr</t>
  </si>
  <si>
    <t>continuous service</t>
  </si>
  <si>
    <t>BTU per kWh</t>
  </si>
  <si>
    <t>BTU/kWh</t>
  </si>
  <si>
    <t>CPI-U 2012</t>
  </si>
  <si>
    <t>index</t>
  </si>
  <si>
    <t>BLS annual average</t>
  </si>
  <si>
    <t>CPI-U 2023</t>
  </si>
  <si>
    <t>Deflator 2023-&gt;2012</t>
  </si>
  <si>
    <t>dimensionless</t>
  </si>
  <si>
    <t>TBCC - low</t>
  </si>
  <si>
    <t>$/BTU-yr (2012 USD)</t>
  </si>
  <si>
    <t>TBCC - central</t>
  </si>
  <si>
    <t>value exported to TBCC.csv</t>
  </si>
  <si>
    <t>TBCC - high</t>
  </si>
  <si>
    <t>Direct-heat discharge equipmt (blower) cost, 2017</t>
  </si>
  <si>
    <t>$/kW-th (2017 USD, installed)</t>
  </si>
  <si>
    <t>Stack, Curtis &amp; Forsberg 2019, Applied Energy, Table 3</t>
  </si>
  <si>
    <t>CPI-U 2017</t>
  </si>
  <si>
    <t>Blower cost inflator, 2017-&gt;2023</t>
  </si>
  <si>
    <t>Direct-heat discharge equipmt cost, 2023 USD</t>
  </si>
  <si>
    <t>$/kW-th (2023 USD, installed)</t>
  </si>
  <si>
    <t>used by Band Weights tab per-band discharge blend</t>
  </si>
  <si>
    <t>CHP-steam fraction (assumption, editable):</t>
  </si>
  <si>
    <t>Share of CHP/cogeneration fuel input attributed to steam output (vs. power/shaft-work output); MECS reports fuel input only, not the heat/power split (see About tab).</t>
  </si>
  <si>
    <t>EPS Industry Category (MECS rollup)</t>
  </si>
  <si>
    <t>Boiler (TBtu)</t>
  </si>
  <si>
    <t>CHP (TBtu)</t>
  </si>
  <si>
    <t>Process Heating (TBtu)</t>
  </si>
  <si>
    <t>Steam share s (this workbook, CHP frac = B1)</t>
  </si>
  <si>
    <t>Steam % incl. all CHP (upper bound)</t>
  </si>
  <si>
    <t>Steam % excl. CHP (lower bound)</t>
  </si>
  <si>
    <t>Not classified to any end use (published, informational)</t>
  </si>
  <si>
    <t>Food, beverage, tobacco</t>
  </si>
  <si>
    <t>Textiles, apparel, leather</t>
  </si>
  <si>
    <t>Wood products</t>
  </si>
  <si>
    <t>Paper</t>
  </si>
  <si>
    <t>Coke &amp; refined petroleum</t>
  </si>
  <si>
    <t>Chemicals</t>
  </si>
  <si>
    <t>Rubber &amp; plastics</t>
  </si>
  <si>
    <t>Glass &amp; cement (non-metallic minerals)</t>
  </si>
  <si>
    <t>Iron &amp; steel</t>
  </si>
  <si>
    <t>Other metals</t>
  </si>
  <si>
    <t>Fabricated metal/machinery/electronics/vehicles</t>
  </si>
  <si>
    <t>Other manufacturing</t>
  </si>
  <si>
    <t>National total (all manufacturing, 311-339)</t>
  </si>
  <si>
    <t>Source: EIA MECS 2022, Table 5.2 "End uses of fuel consumption, 2022" (https://www.eia.gov/consumption/manufacturing/data/2022/xls/Table5_2.xlsx). Rolled up to EPS Industry Categories per Industry_ThermalBattery_MECS_SteamShares.md (repo root), Section 5. National row (E18) is the manufacturing-wide steam share at the CHP assumption in B1 -- used in the About tab as the non-MECS-IC sensitivity alternative (0.399 at CHP frac 0.6).</t>
  </si>
  <si>
    <t>Source: EPS defaults run TB_omrm_newdef, extracted 2026-08-20. Thermal Battery Demand Cap in Electricity Equivalent[Industry Category,Industrial Process], 2025 column, TB_bandheat.tab (BTU/yr, electricity-equivalent).</t>
  </si>
  <si>
    <t>Industry Category</t>
  </si>
  <si>
    <t>heat &lt; 100 C</t>
  </si>
  <si>
    <t>heat 100 - 200 C</t>
  </si>
  <si>
    <t>heat 200 - 500 C</t>
  </si>
  <si>
    <t>heat 500 - 1000 C</t>
  </si>
  <si>
    <t>heat &gt; 1000 C</t>
  </si>
  <si>
    <t>Total heat (all bands)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</si>
  <si>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</si>
  <si>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</si>
  <si>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</si>
  <si>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</si>
  <si>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</si>
  <si>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</si>
  <si>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</si>
  <si>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</si>
  <si>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</si>
  <si>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</si>
  <si>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</si>
  <si>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</si>
  <si>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</si>
  <si>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</si>
  <si>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</si>
  <si>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</si>
  <si>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</si>
  <si>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</si>
  <si>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</si>
  <si>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</si>
  <si>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</si>
  <si>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</si>
  <si>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</si>
  <si>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</si>
  <si>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</si>
  <si>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Non-MECS IC steam share (assumption, editable):</t>
  </si>
  <si>
    <t>Applies to Industry Categories outside NAICS manufacturing (agriculture, mining, oil &amp; gas extraction, construction) and zero-heat categories. Sensitivity alternative 0.399 (manufacturing-wide average at CHP frac 0.6, see 'MECS 2022' national row) is discussed in the About tab, not wired in here.</t>
  </si>
  <si>
    <t>Mapped MECS category (assignment)</t>
  </si>
  <si>
    <t>s_i (steam share)</t>
  </si>
  <si>
    <t>Total heat T_i</t>
  </si>
  <si>
    <t>Steam heat S_i = s_i*T_i</t>
  </si>
  <si>
    <t>cap0 (=heat0)</t>
  </si>
  <si>
    <t>cap1 (=heat1)</t>
  </si>
  <si>
    <t>cap2 (=heat2/3, 300C ceiling)</t>
  </si>
  <si>
    <t>fill0</t>
  </si>
  <si>
    <t>rem1</t>
  </si>
  <si>
    <t>fill1</t>
  </si>
  <si>
    <t>rem2</t>
  </si>
  <si>
    <t>fill2</t>
  </si>
  <si>
    <t>clip (unfilled S_i, &gt;300C)</t>
  </si>
  <si>
    <t>fill3</t>
  </si>
  <si>
    <t>fill4</t>
  </si>
  <si>
    <t>non-MECS default</t>
  </si>
  <si>
    <t>TOTALS</t>
  </si>
  <si>
    <t>Band</t>
  </si>
  <si>
    <t>Band heat total</t>
  </si>
  <si>
    <t>Fill (steam-served) total</t>
  </si>
  <si>
    <t>w_b = fill / heat</t>
  </si>
  <si>
    <t>w_b</t>
  </si>
  <si>
    <t>Discharge cost_b (2023 USD/kW-out)</t>
  </si>
  <si>
    <t>System cost_b (2023 USD/kW-out)</t>
  </si>
  <si>
    <t>TBCC_b (2012 USD/BTU-yr)</t>
  </si>
  <si>
    <t>Verification: computed TBCC_b (Band Weights tab) vs. authoritative TBCC.csv</t>
  </si>
  <si>
    <t>Computed TBCC_b</t>
  </si>
  <si>
    <t>TBCC.csv value</t>
  </si>
  <si>
    <t>Abs % diff</t>
  </si>
  <si>
    <t>Check (&lt;0.5%)</t>
  </si>
  <si>
    <t>Unit: 2012 USD per BTU of annual energy service (electricity equivalent)</t>
  </si>
  <si>
    <t>Capital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</si>
</sst>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rgb="FF0563C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consumption/manufacturing/data/2022/xls/Table5_2.xlsx" TargetMode="External"/><Relationship Id="rId2" Type="http://schemas.openxmlformats.org/officeDocument/2006/relationships/hyperlink" Target="https://www.sciencedirect.com/science/article/pii/S0306261919305082" TargetMode="External"/><Relationship Id="rId1" Type="http://schemas.openxmlformats.org/officeDocument/2006/relationships/hyperlink" Target="https://energyinnovation.org/report/thermal-batteries-decarbonizing-u-s-industry-while-supporting-a-high-renewables-grid/" TargetMode="External"/><Relationship Id="rId4" Type="http://schemas.openxmlformats.org/officeDocument/2006/relationships/hyperlink" Target="https://github.com/EnergyInnovation/eps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/>
  </sheetViews>
  <sheetFormatPr defaultRowHeight="15" x14ac:dyDescent="0.25"/>
  <cols>
    <col min="1" max="1" width="16" customWidth="1"/>
    <col min="2" max="2" width="112" customWidth="1"/>
  </cols>
  <sheetData>
    <row r="1" spans="1:2" x14ac:dyDescent="0.25">
      <c r="A1" s="3" t="s">
        <v>0</v>
      </c>
    </row>
    <row r="3" spans="1:2" x14ac:dyDescent="0.25">
      <c r="A3" s="3" t="s">
        <v>1</v>
      </c>
      <c r="B3" s="4" t="s">
        <v>2</v>
      </c>
    </row>
    <row r="4" spans="1:2" x14ac:dyDescent="0.25">
      <c r="B4" s="2" t="s">
        <v>3</v>
      </c>
    </row>
    <row r="5" spans="1:2" x14ac:dyDescent="0.25">
      <c r="B5" s="2" t="s">
        <v>4</v>
      </c>
    </row>
    <row r="6" spans="1:2" x14ac:dyDescent="0.25">
      <c r="B6" s="2">
        <v>2023</v>
      </c>
    </row>
    <row r="7" spans="1:2" ht="30" customHeight="1" x14ac:dyDescent="0.25">
      <c r="B7" s="5" t="s">
        <v>5</v>
      </c>
    </row>
    <row r="8" spans="1:2" ht="60" customHeight="1" x14ac:dyDescent="0.25">
      <c r="B8" s="2" t="s">
        <v>6</v>
      </c>
    </row>
    <row r="10" spans="1:2" ht="30" customHeight="1" x14ac:dyDescent="0.25">
      <c r="B10" s="4" t="s">
        <v>7</v>
      </c>
    </row>
    <row r="11" spans="1:2" x14ac:dyDescent="0.25">
      <c r="B11" s="2" t="s">
        <v>8</v>
      </c>
    </row>
    <row r="12" spans="1:2" ht="30" customHeight="1" x14ac:dyDescent="0.25">
      <c r="B12" s="2" t="s">
        <v>9</v>
      </c>
    </row>
    <row r="13" spans="1:2" x14ac:dyDescent="0.25">
      <c r="B13" s="2">
        <v>2019</v>
      </c>
    </row>
    <row r="14" spans="1:2" x14ac:dyDescent="0.25">
      <c r="B14" s="5" t="s">
        <v>10</v>
      </c>
    </row>
    <row r="15" spans="1:2" ht="30" customHeight="1" x14ac:dyDescent="0.25">
      <c r="B15" s="2" t="s">
        <v>11</v>
      </c>
    </row>
    <row r="17" spans="1:2" ht="30" customHeight="1" x14ac:dyDescent="0.25">
      <c r="B17" s="4" t="s">
        <v>12</v>
      </c>
    </row>
    <row r="18" spans="1:2" x14ac:dyDescent="0.25">
      <c r="A18" s="1"/>
      <c r="B18" s="2" t="s">
        <v>13</v>
      </c>
    </row>
    <row r="19" spans="1:2" ht="30" customHeight="1" x14ac:dyDescent="0.25">
      <c r="A19" s="1"/>
      <c r="B19" s="2" t="s">
        <v>14</v>
      </c>
    </row>
    <row r="20" spans="1:2" ht="75" customHeight="1" x14ac:dyDescent="0.25">
      <c r="A20" s="1"/>
      <c r="B20" s="2">
        <v>2022</v>
      </c>
    </row>
    <row r="21" spans="1:2" ht="30" customHeight="1" x14ac:dyDescent="0.25">
      <c r="A21" s="1"/>
      <c r="B21" s="5" t="s">
        <v>15</v>
      </c>
    </row>
    <row r="22" spans="1:2" ht="45" customHeight="1" x14ac:dyDescent="0.25">
      <c r="A22" s="1"/>
      <c r="B22" s="2" t="s">
        <v>16</v>
      </c>
    </row>
    <row r="23" spans="1:2" x14ac:dyDescent="0.25">
      <c r="A23" s="1"/>
      <c r="B23" s="2"/>
    </row>
    <row r="24" spans="1:2" ht="30" customHeight="1" x14ac:dyDescent="0.25">
      <c r="A24" s="1"/>
      <c r="B24" s="4" t="s">
        <v>17</v>
      </c>
    </row>
    <row r="25" spans="1:2" x14ac:dyDescent="0.25">
      <c r="B25" s="2" t="s">
        <v>18</v>
      </c>
    </row>
    <row r="26" spans="1:2" ht="30" customHeight="1" x14ac:dyDescent="0.25">
      <c r="B26" s="2" t="s">
        <v>19</v>
      </c>
    </row>
    <row r="27" spans="1:2" x14ac:dyDescent="0.25">
      <c r="B27" s="2">
        <v>2026</v>
      </c>
    </row>
    <row r="28" spans="1:2" x14ac:dyDescent="0.25">
      <c r="B28" s="5" t="s">
        <v>20</v>
      </c>
    </row>
    <row r="29" spans="1:2" ht="45" customHeight="1" x14ac:dyDescent="0.25">
      <c r="B29" s="2" t="s">
        <v>21</v>
      </c>
    </row>
    <row r="32" spans="1:2" x14ac:dyDescent="0.25">
      <c r="A32" s="3" t="s">
        <v>22</v>
      </c>
    </row>
    <row r="33" spans="1:2" ht="75" customHeight="1" x14ac:dyDescent="0.25">
      <c r="A33" s="6" t="s">
        <v>23</v>
      </c>
      <c r="B33" s="2" t="s">
        <v>24</v>
      </c>
    </row>
    <row r="34" spans="1:2" ht="75" customHeight="1" x14ac:dyDescent="0.25">
      <c r="A34" s="6" t="s">
        <v>25</v>
      </c>
      <c r="B34" s="2" t="s">
        <v>26</v>
      </c>
    </row>
    <row r="35" spans="1:2" ht="75" customHeight="1" x14ac:dyDescent="0.25">
      <c r="A35" s="6" t="s">
        <v>27</v>
      </c>
      <c r="B35" s="2" t="s">
        <v>28</v>
      </c>
    </row>
    <row r="36" spans="1:2" ht="75" customHeight="1" x14ac:dyDescent="0.25">
      <c r="A36" s="6" t="s">
        <v>29</v>
      </c>
      <c r="B36" s="2" t="s">
        <v>30</v>
      </c>
    </row>
    <row r="37" spans="1:2" ht="135" customHeight="1" x14ac:dyDescent="0.25">
      <c r="A37" s="6" t="s">
        <v>31</v>
      </c>
      <c r="B37" s="2" t="s">
        <v>32</v>
      </c>
    </row>
    <row r="38" spans="1:2" ht="135" customHeight="1" x14ac:dyDescent="0.25">
      <c r="A38" s="6" t="s">
        <v>33</v>
      </c>
      <c r="B38" s="2" t="s">
        <v>34</v>
      </c>
    </row>
    <row r="39" spans="1:2" ht="30" customHeight="1" x14ac:dyDescent="0.25">
      <c r="A39" s="6" t="s">
        <v>35</v>
      </c>
      <c r="B39" s="2" t="s">
        <v>36</v>
      </c>
    </row>
    <row r="40" spans="1:2" ht="60" customHeight="1" x14ac:dyDescent="0.25">
      <c r="A40" s="6" t="s">
        <v>37</v>
      </c>
      <c r="B40" s="2" t="s">
        <v>38</v>
      </c>
    </row>
    <row r="41" spans="1:2" ht="90" customHeight="1" x14ac:dyDescent="0.25">
      <c r="A41" s="6" t="s">
        <v>39</v>
      </c>
      <c r="B41" s="2" t="s">
        <v>40</v>
      </c>
    </row>
    <row r="42" spans="1:2" ht="60" customHeight="1" x14ac:dyDescent="0.25">
      <c r="A42" s="6" t="s">
        <v>41</v>
      </c>
      <c r="B42" s="2" t="s">
        <v>42</v>
      </c>
    </row>
    <row r="43" spans="1:2" ht="45" customHeight="1" x14ac:dyDescent="0.25">
      <c r="A43" s="6" t="s">
        <v>43</v>
      </c>
      <c r="B43" s="2" t="s">
        <v>44</v>
      </c>
    </row>
    <row r="44" spans="1:2" ht="105" x14ac:dyDescent="0.25">
      <c r="A44" s="7" t="s">
        <v>45</v>
      </c>
      <c r="B44" s="2" t="s">
        <v>46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28" r:id="rId4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25"/>
  <sheetViews>
    <sheetView workbookViewId="0"/>
  </sheetViews>
  <sheetFormatPr defaultRowHeight="15" x14ac:dyDescent="0.25"/>
  <cols>
    <col min="1" max="1" width="34" customWidth="1"/>
    <col min="2" max="2" width="16" customWidth="1"/>
    <col min="3" max="3" width="30" customWidth="1"/>
    <col min="4" max="4" width="34" customWidth="1"/>
  </cols>
  <sheetData>
    <row r="1" spans="1:4" x14ac:dyDescent="0.2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51</v>
      </c>
      <c r="B2">
        <v>100</v>
      </c>
      <c r="C2" t="s">
        <v>52</v>
      </c>
      <c r="D2" t="s">
        <v>53</v>
      </c>
    </row>
    <row r="3" spans="1:4" x14ac:dyDescent="0.25">
      <c r="A3" t="s">
        <v>54</v>
      </c>
      <c r="B3">
        <v>300</v>
      </c>
      <c r="C3" t="s">
        <v>55</v>
      </c>
      <c r="D3" t="s">
        <v>53</v>
      </c>
    </row>
    <row r="4" spans="1:4" x14ac:dyDescent="0.25">
      <c r="A4" t="s">
        <v>56</v>
      </c>
      <c r="B4">
        <v>1.5</v>
      </c>
      <c r="C4" t="s">
        <v>57</v>
      </c>
      <c r="D4" t="s">
        <v>58</v>
      </c>
    </row>
    <row r="5" spans="1:4" x14ac:dyDescent="0.25">
      <c r="A5" t="s">
        <v>59</v>
      </c>
      <c r="B5">
        <v>5</v>
      </c>
      <c r="C5" t="s">
        <v>57</v>
      </c>
      <c r="D5" t="s">
        <v>60</v>
      </c>
    </row>
    <row r="6" spans="1:4" x14ac:dyDescent="0.25">
      <c r="A6" t="s">
        <v>61</v>
      </c>
      <c r="B6">
        <v>10</v>
      </c>
      <c r="C6" t="s">
        <v>57</v>
      </c>
      <c r="D6" t="s">
        <v>58</v>
      </c>
    </row>
    <row r="7" spans="1:4" x14ac:dyDescent="0.25">
      <c r="A7" t="s">
        <v>62</v>
      </c>
      <c r="B7">
        <v>6</v>
      </c>
      <c r="C7" t="s">
        <v>63</v>
      </c>
      <c r="D7" t="s">
        <v>64</v>
      </c>
    </row>
    <row r="8" spans="1:4" x14ac:dyDescent="0.25">
      <c r="A8" t="s">
        <v>65</v>
      </c>
      <c r="B8">
        <f>24/B7</f>
        <v>4</v>
      </c>
      <c r="C8" t="s">
        <v>66</v>
      </c>
    </row>
    <row r="9" spans="1:4" x14ac:dyDescent="0.25">
      <c r="A9" t="s">
        <v>67</v>
      </c>
      <c r="B9">
        <f>24-B7</f>
        <v>18</v>
      </c>
      <c r="C9" t="s">
        <v>68</v>
      </c>
    </row>
    <row r="10" spans="1:4" x14ac:dyDescent="0.25">
      <c r="A10" t="s">
        <v>69</v>
      </c>
      <c r="B10">
        <f>B2*B8+B3+B4*B9</f>
        <v>727</v>
      </c>
      <c r="C10" t="s">
        <v>55</v>
      </c>
    </row>
    <row r="11" spans="1:4" x14ac:dyDescent="0.25">
      <c r="A11" t="s">
        <v>70</v>
      </c>
      <c r="B11">
        <f>B2*B8+B3+B5*B9</f>
        <v>790</v>
      </c>
      <c r="C11" t="s">
        <v>55</v>
      </c>
    </row>
    <row r="12" spans="1:4" x14ac:dyDescent="0.25">
      <c r="A12" t="s">
        <v>71</v>
      </c>
      <c r="B12">
        <f>B2*B8+B3+B6*B9</f>
        <v>880</v>
      </c>
      <c r="C12" t="s">
        <v>55</v>
      </c>
    </row>
    <row r="13" spans="1:4" x14ac:dyDescent="0.25">
      <c r="A13" t="s">
        <v>72</v>
      </c>
      <c r="B13">
        <v>8760</v>
      </c>
      <c r="C13" t="s">
        <v>73</v>
      </c>
      <c r="D13" t="s">
        <v>74</v>
      </c>
    </row>
    <row r="14" spans="1:4" x14ac:dyDescent="0.25">
      <c r="A14" t="s">
        <v>75</v>
      </c>
      <c r="B14">
        <v>3412.14</v>
      </c>
      <c r="C14" t="s">
        <v>76</v>
      </c>
    </row>
    <row r="15" spans="1:4" x14ac:dyDescent="0.25">
      <c r="A15" t="s">
        <v>77</v>
      </c>
      <c r="B15">
        <v>229.59399999999999</v>
      </c>
      <c r="C15" t="s">
        <v>78</v>
      </c>
      <c r="D15" t="s">
        <v>79</v>
      </c>
    </row>
    <row r="16" spans="1:4" x14ac:dyDescent="0.25">
      <c r="A16" t="s">
        <v>80</v>
      </c>
      <c r="B16">
        <v>304.702</v>
      </c>
      <c r="C16" t="s">
        <v>78</v>
      </c>
      <c r="D16" t="s">
        <v>79</v>
      </c>
    </row>
    <row r="17" spans="1:4" x14ac:dyDescent="0.25">
      <c r="A17" t="s">
        <v>81</v>
      </c>
      <c r="B17">
        <f>B15/B16</f>
        <v>0.75350342301658668</v>
      </c>
      <c r="C17" t="s">
        <v>82</v>
      </c>
    </row>
    <row r="18" spans="1:4" x14ac:dyDescent="0.25">
      <c r="A18" t="s">
        <v>83</v>
      </c>
      <c r="B18">
        <f>B10*B17/(B13*B14)</f>
        <v>1.832688658747222E-5</v>
      </c>
      <c r="C18" t="s">
        <v>84</v>
      </c>
    </row>
    <row r="19" spans="1:4" x14ac:dyDescent="0.25">
      <c r="A19" t="s">
        <v>85</v>
      </c>
      <c r="B19">
        <f>B11*B17/(B13*B14)</f>
        <v>1.9915048698903784E-5</v>
      </c>
      <c r="C19" t="s">
        <v>84</v>
      </c>
      <c r="D19" t="s">
        <v>86</v>
      </c>
    </row>
    <row r="20" spans="1:4" x14ac:dyDescent="0.25">
      <c r="A20" t="s">
        <v>87</v>
      </c>
      <c r="B20">
        <f>B12*B17/(B13*B14)</f>
        <v>2.2183851715234599E-5</v>
      </c>
      <c r="C20" t="s">
        <v>84</v>
      </c>
    </row>
    <row r="22" spans="1:4" x14ac:dyDescent="0.25">
      <c r="A22" t="s">
        <v>88</v>
      </c>
      <c r="B22">
        <v>6.47</v>
      </c>
      <c r="C22" t="s">
        <v>89</v>
      </c>
      <c r="D22" t="s">
        <v>90</v>
      </c>
    </row>
    <row r="23" spans="1:4" x14ac:dyDescent="0.25">
      <c r="A23" t="s">
        <v>91</v>
      </c>
      <c r="B23">
        <v>245.12</v>
      </c>
      <c r="C23" t="s">
        <v>78</v>
      </c>
      <c r="D23" t="s">
        <v>79</v>
      </c>
    </row>
    <row r="24" spans="1:4" x14ac:dyDescent="0.25">
      <c r="A24" t="s">
        <v>92</v>
      </c>
      <c r="B24">
        <f>B16/B23</f>
        <v>1.2430727806788511</v>
      </c>
      <c r="C24" t="s">
        <v>82</v>
      </c>
    </row>
    <row r="25" spans="1:4" x14ac:dyDescent="0.25">
      <c r="A25" t="s">
        <v>93</v>
      </c>
      <c r="B25">
        <f>B22*B24</f>
        <v>8.0426808909921661</v>
      </c>
      <c r="C25" t="s">
        <v>94</v>
      </c>
      <c r="D2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2" customWidth="1"/>
    <col min="2" max="8" width="16" customWidth="1"/>
  </cols>
  <sheetData>
    <row r="1" spans="1:8" x14ac:dyDescent="0.25">
      <c r="A1" s="3" t="s">
        <v>96</v>
      </c>
      <c r="B1">
        <v>0.6</v>
      </c>
    </row>
    <row r="2" spans="1:8" ht="60" customHeight="1" x14ac:dyDescent="0.25">
      <c r="A2" s="2" t="s">
        <v>97</v>
      </c>
      <c r="B2" s="9"/>
      <c r="C2" s="9"/>
      <c r="D2" s="9"/>
      <c r="E2" s="9"/>
      <c r="F2" s="9"/>
      <c r="G2" s="9"/>
      <c r="H2" s="9"/>
    </row>
    <row r="4" spans="1:8" ht="60" customHeight="1" x14ac:dyDescent="0.25">
      <c r="A4" s="6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</row>
    <row r="5" spans="1:8" x14ac:dyDescent="0.25">
      <c r="A5" t="s">
        <v>106</v>
      </c>
      <c r="B5">
        <v>168</v>
      </c>
      <c r="C5">
        <v>304</v>
      </c>
      <c r="D5">
        <v>239</v>
      </c>
      <c r="E5">
        <f t="shared" ref="E5:E16" si="0">(B5+$B$1*C5)/(B5+$B$1*C5+D5)</f>
        <v>0.59450288428910758</v>
      </c>
      <c r="F5">
        <f t="shared" ref="F5:F16" si="1">(B5+C5)/(B5+C5+D5)</f>
        <v>0.66385372714486635</v>
      </c>
      <c r="G5">
        <f t="shared" ref="G5:G16" si="2">B5/(B5+D5)</f>
        <v>0.41277641277641275</v>
      </c>
      <c r="H5">
        <v>0.13500000000000001</v>
      </c>
    </row>
    <row r="6" spans="1:8" x14ac:dyDescent="0.25">
      <c r="A6" t="s">
        <v>107</v>
      </c>
      <c r="B6">
        <v>8</v>
      </c>
      <c r="C6">
        <v>6</v>
      </c>
      <c r="D6">
        <v>16</v>
      </c>
      <c r="E6">
        <f t="shared" si="0"/>
        <v>0.42028985507246375</v>
      </c>
      <c r="F6">
        <f t="shared" si="1"/>
        <v>0.46666666666666667</v>
      </c>
      <c r="G6">
        <f t="shared" si="2"/>
        <v>0.33333333333333331</v>
      </c>
      <c r="H6">
        <v>4.9000000000000002E-2</v>
      </c>
    </row>
    <row r="7" spans="1:8" x14ac:dyDescent="0.25">
      <c r="A7" t="s">
        <v>108</v>
      </c>
      <c r="B7">
        <v>6</v>
      </c>
      <c r="C7">
        <v>14</v>
      </c>
      <c r="D7">
        <v>51</v>
      </c>
      <c r="E7">
        <f t="shared" si="0"/>
        <v>0.22018348623853209</v>
      </c>
      <c r="F7">
        <f t="shared" si="1"/>
        <v>0.28169014084507044</v>
      </c>
      <c r="G7">
        <f t="shared" si="2"/>
        <v>0.10526315789473684</v>
      </c>
      <c r="H7">
        <v>0.61099999999999999</v>
      </c>
    </row>
    <row r="8" spans="1:8" x14ac:dyDescent="0.25">
      <c r="A8" t="s">
        <v>109</v>
      </c>
      <c r="B8">
        <v>76</v>
      </c>
      <c r="C8">
        <v>378</v>
      </c>
      <c r="D8">
        <v>154</v>
      </c>
      <c r="E8">
        <f t="shared" si="0"/>
        <v>0.66287215411558664</v>
      </c>
      <c r="F8">
        <f t="shared" si="1"/>
        <v>0.74671052631578949</v>
      </c>
      <c r="G8">
        <f t="shared" si="2"/>
        <v>0.33043478260869563</v>
      </c>
      <c r="H8">
        <v>0.58399999999999996</v>
      </c>
    </row>
    <row r="9" spans="1:8" x14ac:dyDescent="0.25">
      <c r="A9" t="s">
        <v>110</v>
      </c>
      <c r="B9">
        <v>112</v>
      </c>
      <c r="C9">
        <v>246</v>
      </c>
      <c r="D9">
        <v>651</v>
      </c>
      <c r="E9">
        <f t="shared" si="0"/>
        <v>0.28508675598506483</v>
      </c>
      <c r="F9">
        <f t="shared" si="1"/>
        <v>0.35480673934588702</v>
      </c>
      <c r="G9">
        <f t="shared" si="2"/>
        <v>0.14678899082568808</v>
      </c>
      <c r="H9">
        <v>0.63100000000000001</v>
      </c>
    </row>
    <row r="10" spans="1:8" x14ac:dyDescent="0.25">
      <c r="A10" t="s">
        <v>111</v>
      </c>
      <c r="B10">
        <v>484</v>
      </c>
      <c r="C10">
        <v>993</v>
      </c>
      <c r="D10">
        <v>801</v>
      </c>
      <c r="E10">
        <f t="shared" si="0"/>
        <v>0.57411739685240326</v>
      </c>
      <c r="F10">
        <f t="shared" si="1"/>
        <v>0.6483757682177349</v>
      </c>
      <c r="G10">
        <f t="shared" si="2"/>
        <v>0.37665369649805447</v>
      </c>
      <c r="H10">
        <v>0.217</v>
      </c>
    </row>
    <row r="11" spans="1:8" x14ac:dyDescent="0.25">
      <c r="A11" t="s">
        <v>112</v>
      </c>
      <c r="B11">
        <v>22</v>
      </c>
      <c r="C11">
        <v>29</v>
      </c>
      <c r="D11">
        <v>48</v>
      </c>
      <c r="E11">
        <f t="shared" si="0"/>
        <v>0.45080091533180772</v>
      </c>
      <c r="F11">
        <f t="shared" si="1"/>
        <v>0.51515151515151514</v>
      </c>
      <c r="G11">
        <f t="shared" si="2"/>
        <v>0.31428571428571428</v>
      </c>
      <c r="H11">
        <v>0</v>
      </c>
    </row>
    <row r="12" spans="1:8" x14ac:dyDescent="0.25">
      <c r="A12" t="s">
        <v>113</v>
      </c>
      <c r="B12">
        <v>5</v>
      </c>
      <c r="C12">
        <v>12</v>
      </c>
      <c r="D12">
        <v>582</v>
      </c>
      <c r="E12">
        <f t="shared" si="0"/>
        <v>2.0531807472231569E-2</v>
      </c>
      <c r="F12">
        <f t="shared" si="1"/>
        <v>2.8380634390651086E-2</v>
      </c>
      <c r="G12">
        <f t="shared" si="2"/>
        <v>8.5178875638841564E-3</v>
      </c>
      <c r="H12">
        <v>0.28100000000000003</v>
      </c>
    </row>
    <row r="13" spans="1:8" x14ac:dyDescent="0.25">
      <c r="A13" t="s">
        <v>114</v>
      </c>
      <c r="B13">
        <v>13</v>
      </c>
      <c r="C13">
        <v>35</v>
      </c>
      <c r="D13">
        <v>352</v>
      </c>
      <c r="E13">
        <f t="shared" si="0"/>
        <v>8.8082901554404139E-2</v>
      </c>
      <c r="F13">
        <f t="shared" si="1"/>
        <v>0.12</v>
      </c>
      <c r="G13">
        <f t="shared" si="2"/>
        <v>3.5616438356164383E-2</v>
      </c>
      <c r="H13">
        <v>0.42899999999999999</v>
      </c>
    </row>
    <row r="14" spans="1:8" x14ac:dyDescent="0.25">
      <c r="A14" t="s">
        <v>115</v>
      </c>
      <c r="B14">
        <v>8</v>
      </c>
      <c r="C14">
        <v>23</v>
      </c>
      <c r="D14">
        <v>189</v>
      </c>
      <c r="E14">
        <f t="shared" si="0"/>
        <v>0.103415559772296</v>
      </c>
      <c r="F14">
        <f t="shared" si="1"/>
        <v>0.1409090909090909</v>
      </c>
      <c r="G14">
        <f t="shared" si="2"/>
        <v>4.060913705583756E-2</v>
      </c>
      <c r="H14">
        <v>0.05</v>
      </c>
    </row>
    <row r="15" spans="1:8" x14ac:dyDescent="0.25">
      <c r="A15" t="s">
        <v>116</v>
      </c>
      <c r="B15">
        <v>24</v>
      </c>
      <c r="C15">
        <v>18</v>
      </c>
      <c r="D15">
        <v>314</v>
      </c>
      <c r="E15">
        <f t="shared" si="0"/>
        <v>9.9770642201834847E-2</v>
      </c>
      <c r="F15">
        <f t="shared" si="1"/>
        <v>0.11797752808988764</v>
      </c>
      <c r="G15">
        <f t="shared" si="2"/>
        <v>7.1005917159763315E-2</v>
      </c>
      <c r="H15">
        <v>3.5999999999999997E-2</v>
      </c>
    </row>
    <row r="16" spans="1:8" x14ac:dyDescent="0.25">
      <c r="A16" t="s">
        <v>117</v>
      </c>
      <c r="B16">
        <v>3</v>
      </c>
      <c r="C16">
        <v>3</v>
      </c>
      <c r="D16">
        <v>22</v>
      </c>
      <c r="E16">
        <f t="shared" si="0"/>
        <v>0.17910447761194029</v>
      </c>
      <c r="F16">
        <f t="shared" si="1"/>
        <v>0.21428571428571427</v>
      </c>
      <c r="G16">
        <f t="shared" si="2"/>
        <v>0.12</v>
      </c>
      <c r="H16">
        <v>3.9E-2</v>
      </c>
    </row>
    <row r="18" spans="1:8" x14ac:dyDescent="0.25">
      <c r="A18" s="3" t="s">
        <v>118</v>
      </c>
      <c r="B18">
        <v>941</v>
      </c>
      <c r="C18">
        <v>2228</v>
      </c>
      <c r="D18">
        <v>3435</v>
      </c>
      <c r="E18">
        <f>(B18+$B$1*C18)/(B18+$B$1*C18+D18)</f>
        <v>0.39871866685338192</v>
      </c>
      <c r="F18">
        <f>(B18+C18)/(B18+C18+D18)</f>
        <v>0.47986069049061175</v>
      </c>
      <c r="G18">
        <f>B18/(B18+D18)</f>
        <v>0.21503656307129798</v>
      </c>
      <c r="H18">
        <v>0.35499999999999998</v>
      </c>
    </row>
    <row r="20" spans="1:8" x14ac:dyDescent="0.25">
      <c r="A20" s="8" t="s">
        <v>119</v>
      </c>
      <c r="B20" s="9"/>
      <c r="C20" s="9"/>
      <c r="D20" s="9"/>
      <c r="E20" s="9"/>
      <c r="F20" s="9"/>
      <c r="G20" s="9"/>
      <c r="H20" s="9"/>
    </row>
  </sheetData>
  <mergeCells count="2">
    <mergeCell ref="A20:H2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6" customWidth="1"/>
    <col min="2" max="7" width="16" customWidth="1"/>
  </cols>
  <sheetData>
    <row r="1" spans="1:7" x14ac:dyDescent="0.25">
      <c r="A1" s="10" t="s">
        <v>120</v>
      </c>
      <c r="B1" s="9"/>
      <c r="C1" s="9"/>
      <c r="D1" s="9"/>
      <c r="E1" s="9"/>
      <c r="F1" s="9"/>
      <c r="G1" s="9"/>
    </row>
    <row r="2" spans="1:7" x14ac:dyDescent="0.25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 t="s">
        <v>127</v>
      </c>
    </row>
    <row r="3" spans="1:7" x14ac:dyDescent="0.25">
      <c r="A3" t="s">
        <v>128</v>
      </c>
      <c r="B3">
        <v>95182700000000</v>
      </c>
      <c r="C3">
        <v>0</v>
      </c>
      <c r="D3">
        <v>0</v>
      </c>
      <c r="E3">
        <v>0</v>
      </c>
      <c r="F3">
        <v>0</v>
      </c>
      <c r="G3">
        <f t="shared" ref="G3:G27" si="0">SUM(B3:F3)</f>
        <v>95182700000000</v>
      </c>
    </row>
    <row r="4" spans="1:7" x14ac:dyDescent="0.25">
      <c r="A4" t="s">
        <v>129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si="0"/>
        <v>0</v>
      </c>
    </row>
    <row r="5" spans="1:7" x14ac:dyDescent="0.25">
      <c r="A5" t="s">
        <v>130</v>
      </c>
      <c r="B5">
        <v>67808300000000</v>
      </c>
      <c r="C5">
        <v>266432000000000</v>
      </c>
      <c r="D5">
        <v>1051940000000000</v>
      </c>
      <c r="E5">
        <v>198903000000000</v>
      </c>
      <c r="F5">
        <v>0</v>
      </c>
      <c r="G5">
        <f t="shared" si="0"/>
        <v>1585083300000000</v>
      </c>
    </row>
    <row r="6" spans="1:7" x14ac:dyDescent="0.25">
      <c r="A6" t="s">
        <v>131</v>
      </c>
      <c r="B6">
        <v>60351000000000</v>
      </c>
      <c r="C6">
        <v>0</v>
      </c>
      <c r="D6">
        <v>0</v>
      </c>
      <c r="E6">
        <v>0</v>
      </c>
      <c r="F6">
        <v>0</v>
      </c>
      <c r="G6">
        <f t="shared" si="0"/>
        <v>60351000000000</v>
      </c>
    </row>
    <row r="7" spans="1:7" x14ac:dyDescent="0.25">
      <c r="A7" t="s">
        <v>132</v>
      </c>
      <c r="B7">
        <v>47231200000000</v>
      </c>
      <c r="C7">
        <v>73812400000000</v>
      </c>
      <c r="D7">
        <v>282194000000000</v>
      </c>
      <c r="E7">
        <v>2383190000</v>
      </c>
      <c r="F7">
        <v>0</v>
      </c>
      <c r="G7">
        <f t="shared" si="0"/>
        <v>403239983190000</v>
      </c>
    </row>
    <row r="8" spans="1:7" x14ac:dyDescent="0.25">
      <c r="A8" t="s">
        <v>133</v>
      </c>
      <c r="B8">
        <v>1237420000000</v>
      </c>
      <c r="C8">
        <v>807725000000</v>
      </c>
      <c r="D8">
        <v>2169290000000</v>
      </c>
      <c r="E8">
        <v>48598600000</v>
      </c>
      <c r="F8">
        <v>70537000000</v>
      </c>
      <c r="G8">
        <f t="shared" si="0"/>
        <v>4333570600000</v>
      </c>
    </row>
    <row r="9" spans="1:7" x14ac:dyDescent="0.25">
      <c r="A9" t="s">
        <v>134</v>
      </c>
      <c r="B9">
        <v>8847760000000</v>
      </c>
      <c r="C9">
        <v>45213500000000</v>
      </c>
      <c r="D9">
        <v>114301000000000</v>
      </c>
      <c r="E9">
        <v>0</v>
      </c>
      <c r="F9">
        <v>0</v>
      </c>
      <c r="G9">
        <f t="shared" si="0"/>
        <v>168362260000000</v>
      </c>
    </row>
    <row r="10" spans="1:7" x14ac:dyDescent="0.25">
      <c r="A10" t="s">
        <v>135</v>
      </c>
      <c r="B10">
        <v>142216000000000</v>
      </c>
      <c r="C10">
        <v>190069000000000</v>
      </c>
      <c r="D10">
        <v>558254000000000</v>
      </c>
      <c r="E10">
        <v>32102700000000</v>
      </c>
      <c r="F10">
        <v>0</v>
      </c>
      <c r="G10">
        <f t="shared" si="0"/>
        <v>922641700000000</v>
      </c>
    </row>
    <row r="11" spans="1:7" x14ac:dyDescent="0.25">
      <c r="A11" t="s">
        <v>136</v>
      </c>
      <c r="B11">
        <v>314578000000000</v>
      </c>
      <c r="C11">
        <v>329389000000000</v>
      </c>
      <c r="D11">
        <v>889339000000000</v>
      </c>
      <c r="E11">
        <v>206316000000000</v>
      </c>
      <c r="F11">
        <v>55929200000000</v>
      </c>
      <c r="G11">
        <f t="shared" si="0"/>
        <v>1795551200000000</v>
      </c>
    </row>
    <row r="12" spans="1:7" x14ac:dyDescent="0.25">
      <c r="A12" t="s">
        <v>137</v>
      </c>
      <c r="B12">
        <v>62164400000000</v>
      </c>
      <c r="C12">
        <v>229148000000000</v>
      </c>
      <c r="D12">
        <v>889348000000000</v>
      </c>
      <c r="E12">
        <v>169244000000000</v>
      </c>
      <c r="F12">
        <v>9632490000</v>
      </c>
      <c r="G12">
        <f t="shared" si="0"/>
        <v>1349914032490000</v>
      </c>
    </row>
    <row r="13" spans="1:7" x14ac:dyDescent="0.25">
      <c r="A13" t="s">
        <v>138</v>
      </c>
      <c r="B13">
        <v>3131390000000</v>
      </c>
      <c r="C13">
        <v>12579600000000</v>
      </c>
      <c r="D13">
        <v>32111200000000</v>
      </c>
      <c r="E13">
        <v>7323910000000</v>
      </c>
      <c r="F13">
        <v>0</v>
      </c>
      <c r="G13">
        <f t="shared" si="0"/>
        <v>55146100000000</v>
      </c>
    </row>
    <row r="14" spans="1:7" x14ac:dyDescent="0.25">
      <c r="A14" t="s">
        <v>139</v>
      </c>
      <c r="B14">
        <v>0</v>
      </c>
      <c r="C14">
        <v>0</v>
      </c>
      <c r="D14">
        <v>1104560000000</v>
      </c>
      <c r="E14">
        <v>4545930000000</v>
      </c>
      <c r="F14">
        <v>58003100000000</v>
      </c>
      <c r="G14">
        <f t="shared" si="0"/>
        <v>63653590000000</v>
      </c>
    </row>
    <row r="15" spans="1:7" x14ac:dyDescent="0.25">
      <c r="A15" t="s">
        <v>140</v>
      </c>
      <c r="B15">
        <v>5450870000000</v>
      </c>
      <c r="C15">
        <v>6520840000</v>
      </c>
      <c r="D15">
        <v>14232000000000</v>
      </c>
      <c r="E15">
        <v>56269600000000</v>
      </c>
      <c r="F15">
        <v>153450000000000</v>
      </c>
      <c r="G15">
        <f t="shared" si="0"/>
        <v>229408990840000</v>
      </c>
    </row>
    <row r="16" spans="1:7" x14ac:dyDescent="0.25">
      <c r="A16" t="s">
        <v>141</v>
      </c>
      <c r="B16">
        <v>1020910000000</v>
      </c>
      <c r="C16">
        <v>1135030000000</v>
      </c>
      <c r="D16">
        <v>4215560000000</v>
      </c>
      <c r="E16">
        <v>5800080000000</v>
      </c>
      <c r="F16">
        <v>261558000000000</v>
      </c>
      <c r="G16">
        <f t="shared" si="0"/>
        <v>273729580000000</v>
      </c>
    </row>
    <row r="17" spans="1:7" x14ac:dyDescent="0.25">
      <c r="A17" t="s">
        <v>142</v>
      </c>
      <c r="B17">
        <v>14111700000</v>
      </c>
      <c r="C17">
        <v>23986500000000</v>
      </c>
      <c r="D17">
        <v>63023400000000</v>
      </c>
      <c r="E17">
        <v>13489300000000</v>
      </c>
      <c r="F17">
        <v>33171300000000</v>
      </c>
      <c r="G17">
        <f t="shared" si="0"/>
        <v>133684611700000</v>
      </c>
    </row>
    <row r="18" spans="1:7" x14ac:dyDescent="0.25">
      <c r="A18" t="s">
        <v>143</v>
      </c>
      <c r="B18">
        <v>3912250000000</v>
      </c>
      <c r="C18">
        <v>3981140000000</v>
      </c>
      <c r="D18">
        <v>11782400000000</v>
      </c>
      <c r="E18">
        <v>7758640000000</v>
      </c>
      <c r="F18">
        <v>32594200000000</v>
      </c>
      <c r="G18">
        <f t="shared" si="0"/>
        <v>60028630000000</v>
      </c>
    </row>
    <row r="19" spans="1:7" x14ac:dyDescent="0.25">
      <c r="A19" t="s">
        <v>144</v>
      </c>
      <c r="B19">
        <v>1604630000000</v>
      </c>
      <c r="C19">
        <v>474505000000</v>
      </c>
      <c r="D19">
        <v>1451270000000</v>
      </c>
      <c r="E19">
        <v>1420450000000</v>
      </c>
      <c r="F19">
        <v>1669350000000</v>
      </c>
      <c r="G19">
        <f t="shared" si="0"/>
        <v>6620205000000</v>
      </c>
    </row>
    <row r="20" spans="1:7" x14ac:dyDescent="0.25">
      <c r="A20" t="s">
        <v>145</v>
      </c>
      <c r="B20">
        <v>2661720000000</v>
      </c>
      <c r="C20">
        <v>863990000000</v>
      </c>
      <c r="D20">
        <v>2842970000000</v>
      </c>
      <c r="E20">
        <v>2379150000000</v>
      </c>
      <c r="F20">
        <v>3110220000000</v>
      </c>
      <c r="G20">
        <f t="shared" si="0"/>
        <v>11858050000000</v>
      </c>
    </row>
    <row r="21" spans="1:7" x14ac:dyDescent="0.25">
      <c r="A21" t="s">
        <v>146</v>
      </c>
      <c r="B21">
        <v>1887280000000</v>
      </c>
      <c r="C21">
        <v>653526000000</v>
      </c>
      <c r="D21">
        <v>2216080000000</v>
      </c>
      <c r="E21">
        <v>1826220000000</v>
      </c>
      <c r="F21">
        <v>2355420000000</v>
      </c>
      <c r="G21">
        <f t="shared" si="0"/>
        <v>8938526000000</v>
      </c>
    </row>
    <row r="22" spans="1:7" x14ac:dyDescent="0.25">
      <c r="A22" t="s">
        <v>147</v>
      </c>
      <c r="B22">
        <v>8324080000000</v>
      </c>
      <c r="C22">
        <v>4706520000000</v>
      </c>
      <c r="D22">
        <v>12801100000000</v>
      </c>
      <c r="E22">
        <v>10838300000</v>
      </c>
      <c r="F22">
        <v>6193520000000</v>
      </c>
      <c r="G22">
        <f t="shared" si="0"/>
        <v>32036058300000</v>
      </c>
    </row>
    <row r="23" spans="1:7" x14ac:dyDescent="0.25">
      <c r="A23" t="s">
        <v>148</v>
      </c>
      <c r="B23">
        <v>5065000000000</v>
      </c>
      <c r="C23">
        <v>2494020000000</v>
      </c>
      <c r="D23">
        <v>6449370000000</v>
      </c>
      <c r="E23">
        <v>5883020000</v>
      </c>
      <c r="F23">
        <v>3324550000000</v>
      </c>
      <c r="G23">
        <f t="shared" si="0"/>
        <v>17338823020000</v>
      </c>
    </row>
    <row r="24" spans="1:7" x14ac:dyDescent="0.25">
      <c r="A24" t="s">
        <v>149</v>
      </c>
      <c r="B24">
        <v>4690580000000</v>
      </c>
      <c r="C24">
        <v>2190220000000</v>
      </c>
      <c r="D24">
        <v>7423970000000</v>
      </c>
      <c r="E24">
        <v>5882150000000</v>
      </c>
      <c r="F24">
        <v>6096050000000</v>
      </c>
      <c r="G24">
        <f t="shared" si="0"/>
        <v>26282970000000</v>
      </c>
    </row>
    <row r="25" spans="1:7" x14ac:dyDescent="0.25">
      <c r="A25" t="s">
        <v>150</v>
      </c>
      <c r="B25">
        <v>0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</row>
    <row r="26" spans="1:7" x14ac:dyDescent="0.25">
      <c r="A26" t="s">
        <v>151</v>
      </c>
      <c r="B26">
        <v>0</v>
      </c>
      <c r="C26">
        <v>0</v>
      </c>
      <c r="D26">
        <v>0</v>
      </c>
      <c r="E26">
        <v>0</v>
      </c>
      <c r="F26">
        <v>0</v>
      </c>
      <c r="G26">
        <f t="shared" si="0"/>
        <v>0</v>
      </c>
    </row>
    <row r="27" spans="1:7" x14ac:dyDescent="0.25">
      <c r="A27" t="s">
        <v>152</v>
      </c>
      <c r="B27">
        <v>62863500000000</v>
      </c>
      <c r="C27">
        <v>0</v>
      </c>
      <c r="D27">
        <v>0</v>
      </c>
      <c r="E27">
        <v>0</v>
      </c>
      <c r="F27">
        <v>0</v>
      </c>
      <c r="G27">
        <f t="shared" si="0"/>
        <v>62863500000000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0" customWidth="1"/>
    <col min="2" max="2" width="34" customWidth="1"/>
    <col min="3" max="21" width="13" customWidth="1"/>
  </cols>
  <sheetData>
    <row r="1" spans="1:21" x14ac:dyDescent="0.25">
      <c r="A1" s="3" t="s">
        <v>153</v>
      </c>
      <c r="B1">
        <v>0.1</v>
      </c>
      <c r="C1" s="8" t="s">
        <v>154</v>
      </c>
      <c r="D1" s="9"/>
      <c r="E1" s="9"/>
      <c r="F1" s="9"/>
      <c r="G1" s="9"/>
      <c r="H1" s="9"/>
      <c r="I1" s="9"/>
      <c r="J1" s="9"/>
      <c r="K1" s="9"/>
    </row>
    <row r="3" spans="1:21" ht="45" customHeight="1" x14ac:dyDescent="0.25">
      <c r="A3" s="6" t="s">
        <v>121</v>
      </c>
      <c r="B3" s="6" t="s">
        <v>155</v>
      </c>
      <c r="C3" s="6" t="s">
        <v>156</v>
      </c>
      <c r="D3" s="6" t="s">
        <v>122</v>
      </c>
      <c r="E3" s="6" t="s">
        <v>123</v>
      </c>
      <c r="F3" s="6" t="s">
        <v>124</v>
      </c>
      <c r="G3" s="6" t="s">
        <v>125</v>
      </c>
      <c r="H3" s="6" t="s">
        <v>126</v>
      </c>
      <c r="I3" s="6" t="s">
        <v>157</v>
      </c>
      <c r="J3" s="6" t="s">
        <v>158</v>
      </c>
      <c r="K3" s="6" t="s">
        <v>159</v>
      </c>
      <c r="L3" s="6" t="s">
        <v>160</v>
      </c>
      <c r="M3" s="6" t="s">
        <v>161</v>
      </c>
      <c r="N3" s="6" t="s">
        <v>162</v>
      </c>
      <c r="O3" s="6" t="s">
        <v>163</v>
      </c>
      <c r="P3" s="6" t="s">
        <v>164</v>
      </c>
      <c r="Q3" s="6" t="s">
        <v>165</v>
      </c>
      <c r="R3" s="6" t="s">
        <v>166</v>
      </c>
      <c r="S3" s="6" t="s">
        <v>167</v>
      </c>
      <c r="T3" s="6" t="s">
        <v>168</v>
      </c>
      <c r="U3" s="6" t="s">
        <v>169</v>
      </c>
    </row>
    <row r="4" spans="1:21" x14ac:dyDescent="0.25">
      <c r="A4" t="s">
        <v>128</v>
      </c>
      <c r="B4" t="s">
        <v>170</v>
      </c>
      <c r="C4">
        <f>$B$1</f>
        <v>0.1</v>
      </c>
      <c r="D4">
        <f>VLOOKUP($A4,'Band Heat 2025'!$A$3:$F$27,2,FALSE)</f>
        <v>95182700000000</v>
      </c>
      <c r="E4">
        <f>VLOOKUP($A4,'Band Heat 2025'!$A$3:$F$27,3,FALSE)</f>
        <v>0</v>
      </c>
      <c r="F4">
        <f>VLOOKUP($A4,'Band Heat 2025'!$A$3:$F$27,4,FALSE)</f>
        <v>0</v>
      </c>
      <c r="G4">
        <f>VLOOKUP($A4,'Band Heat 2025'!$A$3:$F$27,5,FALSE)</f>
        <v>0</v>
      </c>
      <c r="H4">
        <f>VLOOKUP($A4,'Band Heat 2025'!$A$3:$F$27,6,FALSE)</f>
        <v>0</v>
      </c>
      <c r="I4">
        <f t="shared" ref="I4:I28" si="0">SUM(D4:H4)</f>
        <v>95182700000000</v>
      </c>
      <c r="J4">
        <f t="shared" ref="J4:J28" si="1">C4*I4</f>
        <v>9518270000000</v>
      </c>
      <c r="K4">
        <f t="shared" ref="K4:K28" si="2">D4</f>
        <v>95182700000000</v>
      </c>
      <c r="L4">
        <f t="shared" ref="L4:L28" si="3">E4</f>
        <v>0</v>
      </c>
      <c r="M4">
        <f t="shared" ref="M4:M28" si="4">F4/3</f>
        <v>0</v>
      </c>
      <c r="N4">
        <f t="shared" ref="N4:N28" si="5">MIN(K4,J4)</f>
        <v>9518270000000</v>
      </c>
      <c r="O4">
        <f t="shared" ref="O4:O28" si="6">J4-N4</f>
        <v>0</v>
      </c>
      <c r="P4">
        <f t="shared" ref="P4:P28" si="7">MIN(L4,O4)</f>
        <v>0</v>
      </c>
      <c r="Q4">
        <f t="shared" ref="Q4:Q28" si="8">O4-P4</f>
        <v>0</v>
      </c>
      <c r="R4">
        <f t="shared" ref="R4:R28" si="9">MIN(M4,Q4)</f>
        <v>0</v>
      </c>
      <c r="S4">
        <f t="shared" ref="S4:S28" si="10">Q4-R4</f>
        <v>0</v>
      </c>
      <c r="T4">
        <v>0</v>
      </c>
      <c r="U4">
        <v>0</v>
      </c>
    </row>
    <row r="5" spans="1:21" x14ac:dyDescent="0.25">
      <c r="A5" t="s">
        <v>129</v>
      </c>
      <c r="B5" t="s">
        <v>170</v>
      </c>
      <c r="C5">
        <f>$B$1</f>
        <v>0.1</v>
      </c>
      <c r="D5">
        <f>VLOOKUP($A5,'Band Heat 2025'!$A$3:$F$27,2,FALSE)</f>
        <v>0</v>
      </c>
      <c r="E5">
        <f>VLOOKUP($A5,'Band Heat 2025'!$A$3:$F$27,3,FALSE)</f>
        <v>0</v>
      </c>
      <c r="F5">
        <f>VLOOKUP($A5,'Band Heat 2025'!$A$3:$F$27,4,FALSE)</f>
        <v>0</v>
      </c>
      <c r="G5">
        <f>VLOOKUP($A5,'Band Heat 2025'!$A$3:$F$27,5,FALSE)</f>
        <v>0</v>
      </c>
      <c r="H5">
        <f>VLOOKUP($A5,'Band Heat 2025'!$A$3:$F$27,6,FALSE)</f>
        <v>0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f t="shared" si="10"/>
        <v>0</v>
      </c>
      <c r="T5">
        <v>0</v>
      </c>
      <c r="U5">
        <v>0</v>
      </c>
    </row>
    <row r="6" spans="1:21" x14ac:dyDescent="0.25">
      <c r="A6" t="s">
        <v>130</v>
      </c>
      <c r="B6" t="s">
        <v>170</v>
      </c>
      <c r="C6">
        <f>$B$1</f>
        <v>0.1</v>
      </c>
      <c r="D6">
        <f>VLOOKUP($A6,'Band Heat 2025'!$A$3:$F$27,2,FALSE)</f>
        <v>67808300000000</v>
      </c>
      <c r="E6">
        <f>VLOOKUP($A6,'Band Heat 2025'!$A$3:$F$27,3,FALSE)</f>
        <v>266432000000000</v>
      </c>
      <c r="F6">
        <f>VLOOKUP($A6,'Band Heat 2025'!$A$3:$F$27,4,FALSE)</f>
        <v>1051940000000000</v>
      </c>
      <c r="G6">
        <f>VLOOKUP($A6,'Band Heat 2025'!$A$3:$F$27,5,FALSE)</f>
        <v>198903000000000</v>
      </c>
      <c r="H6">
        <f>VLOOKUP($A6,'Band Heat 2025'!$A$3:$F$27,6,FALSE)</f>
        <v>0</v>
      </c>
      <c r="I6">
        <f t="shared" si="0"/>
        <v>1585083300000000</v>
      </c>
      <c r="J6">
        <f t="shared" si="1"/>
        <v>158508330000000</v>
      </c>
      <c r="K6">
        <f t="shared" si="2"/>
        <v>67808300000000</v>
      </c>
      <c r="L6">
        <f t="shared" si="3"/>
        <v>266432000000000</v>
      </c>
      <c r="M6">
        <f t="shared" si="4"/>
        <v>350646666666666.69</v>
      </c>
      <c r="N6">
        <f t="shared" si="5"/>
        <v>67808300000000</v>
      </c>
      <c r="O6">
        <f t="shared" si="6"/>
        <v>90700030000000</v>
      </c>
      <c r="P6">
        <f t="shared" si="7"/>
        <v>90700030000000</v>
      </c>
      <c r="Q6">
        <f t="shared" si="8"/>
        <v>0</v>
      </c>
      <c r="R6">
        <f t="shared" si="9"/>
        <v>0</v>
      </c>
      <c r="S6">
        <f t="shared" si="10"/>
        <v>0</v>
      </c>
      <c r="T6">
        <v>0</v>
      </c>
      <c r="U6">
        <v>0</v>
      </c>
    </row>
    <row r="7" spans="1:21" x14ac:dyDescent="0.25">
      <c r="A7" t="s">
        <v>131</v>
      </c>
      <c r="B7" t="s">
        <v>170</v>
      </c>
      <c r="C7">
        <f>$B$1</f>
        <v>0.1</v>
      </c>
      <c r="D7">
        <f>VLOOKUP($A7,'Band Heat 2025'!$A$3:$F$27,2,FALSE)</f>
        <v>60351000000000</v>
      </c>
      <c r="E7">
        <f>VLOOKUP($A7,'Band Heat 2025'!$A$3:$F$27,3,FALSE)</f>
        <v>0</v>
      </c>
      <c r="F7">
        <f>VLOOKUP($A7,'Band Heat 2025'!$A$3:$F$27,4,FALSE)</f>
        <v>0</v>
      </c>
      <c r="G7">
        <f>VLOOKUP($A7,'Band Heat 2025'!$A$3:$F$27,5,FALSE)</f>
        <v>0</v>
      </c>
      <c r="H7">
        <f>VLOOKUP($A7,'Band Heat 2025'!$A$3:$F$27,6,FALSE)</f>
        <v>0</v>
      </c>
      <c r="I7">
        <f t="shared" si="0"/>
        <v>60351000000000</v>
      </c>
      <c r="J7">
        <f t="shared" si="1"/>
        <v>6035100000000</v>
      </c>
      <c r="K7">
        <f t="shared" si="2"/>
        <v>60351000000000</v>
      </c>
      <c r="L7">
        <f t="shared" si="3"/>
        <v>0</v>
      </c>
      <c r="M7">
        <f t="shared" si="4"/>
        <v>0</v>
      </c>
      <c r="N7">
        <f t="shared" si="5"/>
        <v>6035100000000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f t="shared" si="10"/>
        <v>0</v>
      </c>
      <c r="T7">
        <v>0</v>
      </c>
      <c r="U7">
        <v>0</v>
      </c>
    </row>
    <row r="8" spans="1:21" x14ac:dyDescent="0.25">
      <c r="A8" t="s">
        <v>132</v>
      </c>
      <c r="B8" t="s">
        <v>106</v>
      </c>
      <c r="C8">
        <f>VLOOKUP(B8,'MECS 2022'!$A$5:$E$16,5,FALSE)</f>
        <v>0.59450288428910758</v>
      </c>
      <c r="D8">
        <f>VLOOKUP($A8,'Band Heat 2025'!$A$3:$F$27,2,FALSE)</f>
        <v>47231200000000</v>
      </c>
      <c r="E8">
        <f>VLOOKUP($A8,'Band Heat 2025'!$A$3:$F$27,3,FALSE)</f>
        <v>73812400000000</v>
      </c>
      <c r="F8">
        <f>VLOOKUP($A8,'Band Heat 2025'!$A$3:$F$27,4,FALSE)</f>
        <v>282194000000000</v>
      </c>
      <c r="G8">
        <f>VLOOKUP($A8,'Band Heat 2025'!$A$3:$F$27,5,FALSE)</f>
        <v>2383190000</v>
      </c>
      <c r="H8">
        <f>VLOOKUP($A8,'Band Heat 2025'!$A$3:$F$27,6,FALSE)</f>
        <v>0</v>
      </c>
      <c r="I8">
        <f t="shared" si="0"/>
        <v>403239983190000</v>
      </c>
      <c r="J8">
        <f t="shared" si="1"/>
        <v>239727333067146.25</v>
      </c>
      <c r="K8">
        <f t="shared" si="2"/>
        <v>47231200000000</v>
      </c>
      <c r="L8">
        <f t="shared" si="3"/>
        <v>73812400000000</v>
      </c>
      <c r="M8">
        <f t="shared" si="4"/>
        <v>94064666666666.672</v>
      </c>
      <c r="N8">
        <f t="shared" si="5"/>
        <v>47231200000000</v>
      </c>
      <c r="O8">
        <f t="shared" si="6"/>
        <v>192496133067146.25</v>
      </c>
      <c r="P8">
        <f t="shared" si="7"/>
        <v>73812400000000</v>
      </c>
      <c r="Q8">
        <f t="shared" si="8"/>
        <v>118683733067146.25</v>
      </c>
      <c r="R8">
        <f t="shared" si="9"/>
        <v>94064666666666.672</v>
      </c>
      <c r="S8">
        <f t="shared" si="10"/>
        <v>24619066400479.578</v>
      </c>
      <c r="T8">
        <v>0</v>
      </c>
      <c r="U8">
        <v>0</v>
      </c>
    </row>
    <row r="9" spans="1:21" x14ac:dyDescent="0.25">
      <c r="A9" t="s">
        <v>133</v>
      </c>
      <c r="B9" t="s">
        <v>107</v>
      </c>
      <c r="C9">
        <f>VLOOKUP(B9,'MECS 2022'!$A$5:$E$16,5,FALSE)</f>
        <v>0.42028985507246375</v>
      </c>
      <c r="D9">
        <f>VLOOKUP($A9,'Band Heat 2025'!$A$3:$F$27,2,FALSE)</f>
        <v>1237420000000</v>
      </c>
      <c r="E9">
        <f>VLOOKUP($A9,'Band Heat 2025'!$A$3:$F$27,3,FALSE)</f>
        <v>807725000000</v>
      </c>
      <c r="F9">
        <f>VLOOKUP($A9,'Band Heat 2025'!$A$3:$F$27,4,FALSE)</f>
        <v>2169290000000</v>
      </c>
      <c r="G9">
        <f>VLOOKUP($A9,'Band Heat 2025'!$A$3:$F$27,5,FALSE)</f>
        <v>48598600000</v>
      </c>
      <c r="H9">
        <f>VLOOKUP($A9,'Band Heat 2025'!$A$3:$F$27,6,FALSE)</f>
        <v>70537000000</v>
      </c>
      <c r="I9">
        <f t="shared" si="0"/>
        <v>4333570600000</v>
      </c>
      <c r="J9">
        <f t="shared" si="1"/>
        <v>1821355759420.2898</v>
      </c>
      <c r="K9">
        <f t="shared" si="2"/>
        <v>1237420000000</v>
      </c>
      <c r="L9">
        <f t="shared" si="3"/>
        <v>807725000000</v>
      </c>
      <c r="M9">
        <f t="shared" si="4"/>
        <v>723096666666.66663</v>
      </c>
      <c r="N9">
        <f t="shared" si="5"/>
        <v>1237420000000</v>
      </c>
      <c r="O9">
        <f t="shared" si="6"/>
        <v>583935759420.28979</v>
      </c>
      <c r="P9">
        <f t="shared" si="7"/>
        <v>583935759420.28979</v>
      </c>
      <c r="Q9">
        <f t="shared" si="8"/>
        <v>0</v>
      </c>
      <c r="R9">
        <f t="shared" si="9"/>
        <v>0</v>
      </c>
      <c r="S9">
        <f t="shared" si="10"/>
        <v>0</v>
      </c>
      <c r="T9">
        <v>0</v>
      </c>
      <c r="U9">
        <v>0</v>
      </c>
    </row>
    <row r="10" spans="1:21" x14ac:dyDescent="0.25">
      <c r="A10" t="s">
        <v>134</v>
      </c>
      <c r="B10" t="s">
        <v>108</v>
      </c>
      <c r="C10">
        <f>VLOOKUP(B10,'MECS 2022'!$A$5:$E$16,5,FALSE)</f>
        <v>0.22018348623853209</v>
      </c>
      <c r="D10">
        <f>VLOOKUP($A10,'Band Heat 2025'!$A$3:$F$27,2,FALSE)</f>
        <v>8847760000000</v>
      </c>
      <c r="E10">
        <f>VLOOKUP($A10,'Band Heat 2025'!$A$3:$F$27,3,FALSE)</f>
        <v>45213500000000</v>
      </c>
      <c r="F10">
        <f>VLOOKUP($A10,'Band Heat 2025'!$A$3:$F$27,4,FALSE)</f>
        <v>114301000000000</v>
      </c>
      <c r="G10">
        <f>VLOOKUP($A10,'Band Heat 2025'!$A$3:$F$27,5,FALSE)</f>
        <v>0</v>
      </c>
      <c r="H10">
        <f>VLOOKUP($A10,'Band Heat 2025'!$A$3:$F$27,6,FALSE)</f>
        <v>0</v>
      </c>
      <c r="I10">
        <f t="shared" si="0"/>
        <v>168362260000000</v>
      </c>
      <c r="J10">
        <f t="shared" si="1"/>
        <v>37070589357798.164</v>
      </c>
      <c r="K10">
        <f t="shared" si="2"/>
        <v>8847760000000</v>
      </c>
      <c r="L10">
        <f t="shared" si="3"/>
        <v>45213500000000</v>
      </c>
      <c r="M10">
        <f t="shared" si="4"/>
        <v>38100333333333.336</v>
      </c>
      <c r="N10">
        <f t="shared" si="5"/>
        <v>8847760000000</v>
      </c>
      <c r="O10">
        <f t="shared" si="6"/>
        <v>28222829357798.164</v>
      </c>
      <c r="P10">
        <f t="shared" si="7"/>
        <v>28222829357798.164</v>
      </c>
      <c r="Q10">
        <f t="shared" si="8"/>
        <v>0</v>
      </c>
      <c r="R10">
        <f t="shared" si="9"/>
        <v>0</v>
      </c>
      <c r="S10">
        <f t="shared" si="10"/>
        <v>0</v>
      </c>
      <c r="T10">
        <v>0</v>
      </c>
      <c r="U10">
        <v>0</v>
      </c>
    </row>
    <row r="11" spans="1:21" x14ac:dyDescent="0.25">
      <c r="A11" t="s">
        <v>135</v>
      </c>
      <c r="B11" t="s">
        <v>109</v>
      </c>
      <c r="C11">
        <f>VLOOKUP(B11,'MECS 2022'!$A$5:$E$16,5,FALSE)</f>
        <v>0.66287215411558664</v>
      </c>
      <c r="D11">
        <f>VLOOKUP($A11,'Band Heat 2025'!$A$3:$F$27,2,FALSE)</f>
        <v>142216000000000</v>
      </c>
      <c r="E11">
        <f>VLOOKUP($A11,'Band Heat 2025'!$A$3:$F$27,3,FALSE)</f>
        <v>190069000000000</v>
      </c>
      <c r="F11">
        <f>VLOOKUP($A11,'Band Heat 2025'!$A$3:$F$27,4,FALSE)</f>
        <v>558254000000000</v>
      </c>
      <c r="G11">
        <f>VLOOKUP($A11,'Band Heat 2025'!$A$3:$F$27,5,FALSE)</f>
        <v>32102700000000</v>
      </c>
      <c r="H11">
        <f>VLOOKUP($A11,'Band Heat 2025'!$A$3:$F$27,6,FALSE)</f>
        <v>0</v>
      </c>
      <c r="I11">
        <f t="shared" si="0"/>
        <v>922641700000000</v>
      </c>
      <c r="J11">
        <f t="shared" si="1"/>
        <v>611593491155866.88</v>
      </c>
      <c r="K11">
        <f t="shared" si="2"/>
        <v>142216000000000</v>
      </c>
      <c r="L11">
        <f t="shared" si="3"/>
        <v>190069000000000</v>
      </c>
      <c r="M11">
        <f t="shared" si="4"/>
        <v>186084666666666.66</v>
      </c>
      <c r="N11">
        <f t="shared" si="5"/>
        <v>142216000000000</v>
      </c>
      <c r="O11">
        <f t="shared" si="6"/>
        <v>469377491155866.88</v>
      </c>
      <c r="P11">
        <f t="shared" si="7"/>
        <v>190069000000000</v>
      </c>
      <c r="Q11">
        <f t="shared" si="8"/>
        <v>279308491155866.88</v>
      </c>
      <c r="R11">
        <f t="shared" si="9"/>
        <v>186084666666666.66</v>
      </c>
      <c r="S11">
        <f t="shared" si="10"/>
        <v>93223824489200.219</v>
      </c>
      <c r="T11">
        <v>0</v>
      </c>
      <c r="U11">
        <v>0</v>
      </c>
    </row>
    <row r="12" spans="1:21" x14ac:dyDescent="0.25">
      <c r="A12" t="s">
        <v>136</v>
      </c>
      <c r="B12" t="s">
        <v>110</v>
      </c>
      <c r="C12">
        <f>VLOOKUP(B12,'MECS 2022'!$A$5:$E$16,5,FALSE)</f>
        <v>0.28508675598506483</v>
      </c>
      <c r="D12">
        <f>VLOOKUP($A12,'Band Heat 2025'!$A$3:$F$27,2,FALSE)</f>
        <v>314578000000000</v>
      </c>
      <c r="E12">
        <f>VLOOKUP($A12,'Band Heat 2025'!$A$3:$F$27,3,FALSE)</f>
        <v>329389000000000</v>
      </c>
      <c r="F12">
        <f>VLOOKUP($A12,'Band Heat 2025'!$A$3:$F$27,4,FALSE)</f>
        <v>889339000000000</v>
      </c>
      <c r="G12">
        <f>VLOOKUP($A12,'Band Heat 2025'!$A$3:$F$27,5,FALSE)</f>
        <v>206316000000000</v>
      </c>
      <c r="H12">
        <f>VLOOKUP($A12,'Band Heat 2025'!$A$3:$F$27,6,FALSE)</f>
        <v>55929200000000</v>
      </c>
      <c r="I12">
        <f t="shared" si="0"/>
        <v>1795551200000000</v>
      </c>
      <c r="J12">
        <f t="shared" si="1"/>
        <v>511887866813090.31</v>
      </c>
      <c r="K12">
        <f t="shared" si="2"/>
        <v>314578000000000</v>
      </c>
      <c r="L12">
        <f t="shared" si="3"/>
        <v>329389000000000</v>
      </c>
      <c r="M12">
        <f t="shared" si="4"/>
        <v>296446333333333.31</v>
      </c>
      <c r="N12">
        <f t="shared" si="5"/>
        <v>314578000000000</v>
      </c>
      <c r="O12">
        <f t="shared" si="6"/>
        <v>197309866813090.31</v>
      </c>
      <c r="P12">
        <f t="shared" si="7"/>
        <v>197309866813090.31</v>
      </c>
      <c r="Q12">
        <f t="shared" si="8"/>
        <v>0</v>
      </c>
      <c r="R12">
        <f t="shared" si="9"/>
        <v>0</v>
      </c>
      <c r="S12">
        <f t="shared" si="10"/>
        <v>0</v>
      </c>
      <c r="T12">
        <v>0</v>
      </c>
      <c r="U12">
        <v>0</v>
      </c>
    </row>
    <row r="13" spans="1:21" x14ac:dyDescent="0.25">
      <c r="A13" t="s">
        <v>137</v>
      </c>
      <c r="B13" t="s">
        <v>111</v>
      </c>
      <c r="C13">
        <f>VLOOKUP(B13,'MECS 2022'!$A$5:$E$16,5,FALSE)</f>
        <v>0.57411739685240326</v>
      </c>
      <c r="D13">
        <f>VLOOKUP($A13,'Band Heat 2025'!$A$3:$F$27,2,FALSE)</f>
        <v>62164400000000</v>
      </c>
      <c r="E13">
        <f>VLOOKUP($A13,'Band Heat 2025'!$A$3:$F$27,3,FALSE)</f>
        <v>229148000000000</v>
      </c>
      <c r="F13">
        <f>VLOOKUP($A13,'Band Heat 2025'!$A$3:$F$27,4,FALSE)</f>
        <v>889348000000000</v>
      </c>
      <c r="G13">
        <f>VLOOKUP($A13,'Band Heat 2025'!$A$3:$F$27,5,FALSE)</f>
        <v>169244000000000</v>
      </c>
      <c r="H13">
        <f>VLOOKUP($A13,'Band Heat 2025'!$A$3:$F$27,6,FALSE)</f>
        <v>9632490000</v>
      </c>
      <c r="I13">
        <f t="shared" si="0"/>
        <v>1349914032490000</v>
      </c>
      <c r="J13">
        <f t="shared" si="1"/>
        <v>775009130307689.38</v>
      </c>
      <c r="K13">
        <f t="shared" si="2"/>
        <v>62164400000000</v>
      </c>
      <c r="L13">
        <f t="shared" si="3"/>
        <v>229148000000000</v>
      </c>
      <c r="M13">
        <f t="shared" si="4"/>
        <v>296449333333333.31</v>
      </c>
      <c r="N13">
        <f t="shared" si="5"/>
        <v>62164400000000</v>
      </c>
      <c r="O13">
        <f t="shared" si="6"/>
        <v>712844730307689.38</v>
      </c>
      <c r="P13">
        <f t="shared" si="7"/>
        <v>229148000000000</v>
      </c>
      <c r="Q13">
        <f t="shared" si="8"/>
        <v>483696730307689.38</v>
      </c>
      <c r="R13">
        <f t="shared" si="9"/>
        <v>296449333333333.31</v>
      </c>
      <c r="S13">
        <f t="shared" si="10"/>
        <v>187247396974356.06</v>
      </c>
      <c r="T13">
        <v>0</v>
      </c>
      <c r="U13">
        <v>0</v>
      </c>
    </row>
    <row r="14" spans="1:21" x14ac:dyDescent="0.25">
      <c r="A14" t="s">
        <v>138</v>
      </c>
      <c r="B14" t="s">
        <v>112</v>
      </c>
      <c r="C14">
        <f>VLOOKUP(B14,'MECS 2022'!$A$5:$E$16,5,FALSE)</f>
        <v>0.45080091533180772</v>
      </c>
      <c r="D14">
        <f>VLOOKUP($A14,'Band Heat 2025'!$A$3:$F$27,2,FALSE)</f>
        <v>3131390000000</v>
      </c>
      <c r="E14">
        <f>VLOOKUP($A14,'Band Heat 2025'!$A$3:$F$27,3,FALSE)</f>
        <v>12579600000000</v>
      </c>
      <c r="F14">
        <f>VLOOKUP($A14,'Band Heat 2025'!$A$3:$F$27,4,FALSE)</f>
        <v>32111200000000</v>
      </c>
      <c r="G14">
        <f>VLOOKUP($A14,'Band Heat 2025'!$A$3:$F$27,5,FALSE)</f>
        <v>7323910000000</v>
      </c>
      <c r="H14">
        <f>VLOOKUP($A14,'Band Heat 2025'!$A$3:$F$27,6,FALSE)</f>
        <v>0</v>
      </c>
      <c r="I14">
        <f t="shared" si="0"/>
        <v>55146100000000</v>
      </c>
      <c r="J14">
        <f t="shared" si="1"/>
        <v>24859912356979.402</v>
      </c>
      <c r="K14">
        <f t="shared" si="2"/>
        <v>3131390000000</v>
      </c>
      <c r="L14">
        <f t="shared" si="3"/>
        <v>12579600000000</v>
      </c>
      <c r="M14">
        <f t="shared" si="4"/>
        <v>10703733333333.334</v>
      </c>
      <c r="N14">
        <f t="shared" si="5"/>
        <v>3131390000000</v>
      </c>
      <c r="O14">
        <f t="shared" si="6"/>
        <v>21728522356979.402</v>
      </c>
      <c r="P14">
        <f t="shared" si="7"/>
        <v>12579600000000</v>
      </c>
      <c r="Q14">
        <f t="shared" si="8"/>
        <v>9148922356979.4023</v>
      </c>
      <c r="R14">
        <f t="shared" si="9"/>
        <v>9148922356979.4023</v>
      </c>
      <c r="S14">
        <f t="shared" si="10"/>
        <v>0</v>
      </c>
      <c r="T14">
        <v>0</v>
      </c>
      <c r="U14">
        <v>0</v>
      </c>
    </row>
    <row r="15" spans="1:21" x14ac:dyDescent="0.25">
      <c r="A15" t="s">
        <v>139</v>
      </c>
      <c r="B15" t="s">
        <v>113</v>
      </c>
      <c r="C15">
        <f>VLOOKUP(B15,'MECS 2022'!$A$5:$E$16,5,FALSE)</f>
        <v>2.0531807472231569E-2</v>
      </c>
      <c r="D15">
        <f>VLOOKUP($A15,'Band Heat 2025'!$A$3:$F$27,2,FALSE)</f>
        <v>0</v>
      </c>
      <c r="E15">
        <f>VLOOKUP($A15,'Band Heat 2025'!$A$3:$F$27,3,FALSE)</f>
        <v>0</v>
      </c>
      <c r="F15">
        <f>VLOOKUP($A15,'Band Heat 2025'!$A$3:$F$27,4,FALSE)</f>
        <v>1104560000000</v>
      </c>
      <c r="G15">
        <f>VLOOKUP($A15,'Band Heat 2025'!$A$3:$F$27,5,FALSE)</f>
        <v>4545930000000</v>
      </c>
      <c r="H15">
        <f>VLOOKUP($A15,'Band Heat 2025'!$A$3:$F$27,6,FALSE)</f>
        <v>58003100000000</v>
      </c>
      <c r="I15">
        <f t="shared" si="0"/>
        <v>63653590000000</v>
      </c>
      <c r="J15">
        <f t="shared" si="1"/>
        <v>1306923254796.3647</v>
      </c>
      <c r="K15">
        <f t="shared" si="2"/>
        <v>0</v>
      </c>
      <c r="L15">
        <f t="shared" si="3"/>
        <v>0</v>
      </c>
      <c r="M15">
        <f t="shared" si="4"/>
        <v>368186666666.66669</v>
      </c>
      <c r="N15">
        <f t="shared" si="5"/>
        <v>0</v>
      </c>
      <c r="O15">
        <f t="shared" si="6"/>
        <v>1306923254796.3647</v>
      </c>
      <c r="P15">
        <f t="shared" si="7"/>
        <v>0</v>
      </c>
      <c r="Q15">
        <f t="shared" si="8"/>
        <v>1306923254796.3647</v>
      </c>
      <c r="R15">
        <f t="shared" si="9"/>
        <v>368186666666.66669</v>
      </c>
      <c r="S15">
        <f t="shared" si="10"/>
        <v>938736588129.698</v>
      </c>
      <c r="T15">
        <v>0</v>
      </c>
      <c r="U15">
        <v>0</v>
      </c>
    </row>
    <row r="16" spans="1:21" x14ac:dyDescent="0.25">
      <c r="A16" t="s">
        <v>140</v>
      </c>
      <c r="B16" t="s">
        <v>113</v>
      </c>
      <c r="C16">
        <f>VLOOKUP(B16,'MECS 2022'!$A$5:$E$16,5,FALSE)</f>
        <v>2.0531807472231569E-2</v>
      </c>
      <c r="D16">
        <f>VLOOKUP($A16,'Band Heat 2025'!$A$3:$F$27,2,FALSE)</f>
        <v>5450870000000</v>
      </c>
      <c r="E16">
        <f>VLOOKUP($A16,'Band Heat 2025'!$A$3:$F$27,3,FALSE)</f>
        <v>6520840000</v>
      </c>
      <c r="F16">
        <f>VLOOKUP($A16,'Band Heat 2025'!$A$3:$F$27,4,FALSE)</f>
        <v>14232000000000</v>
      </c>
      <c r="G16">
        <f>VLOOKUP($A16,'Band Heat 2025'!$A$3:$F$27,5,FALSE)</f>
        <v>56269600000000</v>
      </c>
      <c r="H16">
        <f>VLOOKUP($A16,'Band Heat 2025'!$A$3:$F$27,6,FALSE)</f>
        <v>153450000000000</v>
      </c>
      <c r="I16">
        <f t="shared" si="0"/>
        <v>229408990840000</v>
      </c>
      <c r="J16">
        <f t="shared" si="1"/>
        <v>4710181232325.8154</v>
      </c>
      <c r="K16">
        <f t="shared" si="2"/>
        <v>5450870000000</v>
      </c>
      <c r="L16">
        <f t="shared" si="3"/>
        <v>6520840000</v>
      </c>
      <c r="M16">
        <f t="shared" si="4"/>
        <v>4744000000000</v>
      </c>
      <c r="N16">
        <f t="shared" si="5"/>
        <v>4710181232325.8154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v>0</v>
      </c>
      <c r="U16">
        <v>0</v>
      </c>
    </row>
    <row r="17" spans="1:21" x14ac:dyDescent="0.25">
      <c r="A17" t="s">
        <v>141</v>
      </c>
      <c r="B17" t="s">
        <v>114</v>
      </c>
      <c r="C17">
        <f>VLOOKUP(B17,'MECS 2022'!$A$5:$E$16,5,FALSE)</f>
        <v>8.8082901554404139E-2</v>
      </c>
      <c r="D17">
        <f>VLOOKUP($A17,'Band Heat 2025'!$A$3:$F$27,2,FALSE)</f>
        <v>1020910000000</v>
      </c>
      <c r="E17">
        <f>VLOOKUP($A17,'Band Heat 2025'!$A$3:$F$27,3,FALSE)</f>
        <v>1135030000000</v>
      </c>
      <c r="F17">
        <f>VLOOKUP($A17,'Band Heat 2025'!$A$3:$F$27,4,FALSE)</f>
        <v>4215560000000</v>
      </c>
      <c r="G17">
        <f>VLOOKUP($A17,'Band Heat 2025'!$A$3:$F$27,5,FALSE)</f>
        <v>5800080000000</v>
      </c>
      <c r="H17">
        <f>VLOOKUP($A17,'Band Heat 2025'!$A$3:$F$27,6,FALSE)</f>
        <v>261558000000000</v>
      </c>
      <c r="I17">
        <f t="shared" si="0"/>
        <v>273729580000000</v>
      </c>
      <c r="J17">
        <f t="shared" si="1"/>
        <v>24110895647668.391</v>
      </c>
      <c r="K17">
        <f t="shared" si="2"/>
        <v>1020910000000</v>
      </c>
      <c r="L17">
        <f t="shared" si="3"/>
        <v>1135030000000</v>
      </c>
      <c r="M17">
        <f t="shared" si="4"/>
        <v>1405186666666.6667</v>
      </c>
      <c r="N17">
        <f t="shared" si="5"/>
        <v>1020910000000</v>
      </c>
      <c r="O17">
        <f t="shared" si="6"/>
        <v>23089985647668.391</v>
      </c>
      <c r="P17">
        <f t="shared" si="7"/>
        <v>1135030000000</v>
      </c>
      <c r="Q17">
        <f t="shared" si="8"/>
        <v>21954955647668.391</v>
      </c>
      <c r="R17">
        <f t="shared" si="9"/>
        <v>1405186666666.6667</v>
      </c>
      <c r="S17">
        <f t="shared" si="10"/>
        <v>20549768981001.723</v>
      </c>
      <c r="T17">
        <v>0</v>
      </c>
      <c r="U17">
        <v>0</v>
      </c>
    </row>
    <row r="18" spans="1:21" x14ac:dyDescent="0.25">
      <c r="A18" t="s">
        <v>142</v>
      </c>
      <c r="B18" t="s">
        <v>115</v>
      </c>
      <c r="C18">
        <f>VLOOKUP(B18,'MECS 2022'!$A$5:$E$16,5,FALSE)</f>
        <v>0.103415559772296</v>
      </c>
      <c r="D18">
        <f>VLOOKUP($A18,'Band Heat 2025'!$A$3:$F$27,2,FALSE)</f>
        <v>14111700000</v>
      </c>
      <c r="E18">
        <f>VLOOKUP($A18,'Band Heat 2025'!$A$3:$F$27,3,FALSE)</f>
        <v>23986500000000</v>
      </c>
      <c r="F18">
        <f>VLOOKUP($A18,'Band Heat 2025'!$A$3:$F$27,4,FALSE)</f>
        <v>63023400000000</v>
      </c>
      <c r="G18">
        <f>VLOOKUP($A18,'Band Heat 2025'!$A$3:$F$27,5,FALSE)</f>
        <v>13489300000000</v>
      </c>
      <c r="H18">
        <f>VLOOKUP($A18,'Band Heat 2025'!$A$3:$F$27,6,FALSE)</f>
        <v>33171300000000</v>
      </c>
      <c r="I18">
        <f t="shared" si="0"/>
        <v>133684611700000</v>
      </c>
      <c r="J18">
        <f t="shared" si="1"/>
        <v>13825068951897.531</v>
      </c>
      <c r="K18">
        <f t="shared" si="2"/>
        <v>14111700000</v>
      </c>
      <c r="L18">
        <f t="shared" si="3"/>
        <v>23986500000000</v>
      </c>
      <c r="M18">
        <f t="shared" si="4"/>
        <v>21007800000000</v>
      </c>
      <c r="N18">
        <f t="shared" si="5"/>
        <v>14111700000</v>
      </c>
      <c r="O18">
        <f t="shared" si="6"/>
        <v>13810957251897.531</v>
      </c>
      <c r="P18">
        <f t="shared" si="7"/>
        <v>13810957251897.531</v>
      </c>
      <c r="Q18">
        <f t="shared" si="8"/>
        <v>0</v>
      </c>
      <c r="R18">
        <f t="shared" si="9"/>
        <v>0</v>
      </c>
      <c r="S18">
        <f t="shared" si="10"/>
        <v>0</v>
      </c>
      <c r="T18">
        <v>0</v>
      </c>
      <c r="U18">
        <v>0</v>
      </c>
    </row>
    <row r="19" spans="1:21" x14ac:dyDescent="0.25">
      <c r="A19" t="s">
        <v>143</v>
      </c>
      <c r="B19" t="s">
        <v>116</v>
      </c>
      <c r="C19">
        <f>VLOOKUP(B19,'MECS 2022'!$A$5:$E$16,5,FALSE)</f>
        <v>9.9770642201834847E-2</v>
      </c>
      <c r="D19">
        <f>VLOOKUP($A19,'Band Heat 2025'!$A$3:$F$27,2,FALSE)</f>
        <v>3912250000000</v>
      </c>
      <c r="E19">
        <f>VLOOKUP($A19,'Band Heat 2025'!$A$3:$F$27,3,FALSE)</f>
        <v>3981140000000</v>
      </c>
      <c r="F19">
        <f>VLOOKUP($A19,'Band Heat 2025'!$A$3:$F$27,4,FALSE)</f>
        <v>11782400000000</v>
      </c>
      <c r="G19">
        <f>VLOOKUP($A19,'Band Heat 2025'!$A$3:$F$27,5,FALSE)</f>
        <v>7758640000000</v>
      </c>
      <c r="H19">
        <f>VLOOKUP($A19,'Band Heat 2025'!$A$3:$F$27,6,FALSE)</f>
        <v>32594200000000</v>
      </c>
      <c r="I19">
        <f t="shared" si="0"/>
        <v>60028630000000</v>
      </c>
      <c r="J19">
        <f t="shared" si="1"/>
        <v>5989094965596.3291</v>
      </c>
      <c r="K19">
        <f t="shared" si="2"/>
        <v>3912250000000</v>
      </c>
      <c r="L19">
        <f t="shared" si="3"/>
        <v>3981140000000</v>
      </c>
      <c r="M19">
        <f t="shared" si="4"/>
        <v>3927466666666.6665</v>
      </c>
      <c r="N19">
        <f t="shared" si="5"/>
        <v>3912250000000</v>
      </c>
      <c r="O19">
        <f t="shared" si="6"/>
        <v>2076844965596.3291</v>
      </c>
      <c r="P19">
        <f t="shared" si="7"/>
        <v>2076844965596.3291</v>
      </c>
      <c r="Q19">
        <f t="shared" si="8"/>
        <v>0</v>
      </c>
      <c r="R19">
        <f t="shared" si="9"/>
        <v>0</v>
      </c>
      <c r="S19">
        <f t="shared" si="10"/>
        <v>0</v>
      </c>
      <c r="T19">
        <v>0</v>
      </c>
      <c r="U19">
        <v>0</v>
      </c>
    </row>
    <row r="20" spans="1:21" x14ac:dyDescent="0.25">
      <c r="A20" t="s">
        <v>144</v>
      </c>
      <c r="B20" t="s">
        <v>116</v>
      </c>
      <c r="C20">
        <f>VLOOKUP(B20,'MECS 2022'!$A$5:$E$16,5,FALSE)</f>
        <v>9.9770642201834847E-2</v>
      </c>
      <c r="D20">
        <f>VLOOKUP($A20,'Band Heat 2025'!$A$3:$F$27,2,FALSE)</f>
        <v>1604630000000</v>
      </c>
      <c r="E20">
        <f>VLOOKUP($A20,'Band Heat 2025'!$A$3:$F$27,3,FALSE)</f>
        <v>474505000000</v>
      </c>
      <c r="F20">
        <f>VLOOKUP($A20,'Band Heat 2025'!$A$3:$F$27,4,FALSE)</f>
        <v>1451270000000</v>
      </c>
      <c r="G20">
        <f>VLOOKUP($A20,'Band Heat 2025'!$A$3:$F$27,5,FALSE)</f>
        <v>1420450000000</v>
      </c>
      <c r="H20">
        <f>VLOOKUP($A20,'Band Heat 2025'!$A$3:$F$27,6,FALSE)</f>
        <v>1669350000000</v>
      </c>
      <c r="I20">
        <f t="shared" si="0"/>
        <v>6620205000000</v>
      </c>
      <c r="J20">
        <f t="shared" si="1"/>
        <v>660502104357.7981</v>
      </c>
      <c r="K20">
        <f t="shared" si="2"/>
        <v>1604630000000</v>
      </c>
      <c r="L20">
        <f t="shared" si="3"/>
        <v>474505000000</v>
      </c>
      <c r="M20">
        <f t="shared" si="4"/>
        <v>483756666666.66669</v>
      </c>
      <c r="N20">
        <f t="shared" si="5"/>
        <v>660502104357.7981</v>
      </c>
      <c r="O20">
        <f t="shared" si="6"/>
        <v>0</v>
      </c>
      <c r="P20">
        <f t="shared" si="7"/>
        <v>0</v>
      </c>
      <c r="Q20">
        <f t="shared" si="8"/>
        <v>0</v>
      </c>
      <c r="R20">
        <f t="shared" si="9"/>
        <v>0</v>
      </c>
      <c r="S20">
        <f t="shared" si="10"/>
        <v>0</v>
      </c>
      <c r="T20">
        <v>0</v>
      </c>
      <c r="U20">
        <v>0</v>
      </c>
    </row>
    <row r="21" spans="1:21" x14ac:dyDescent="0.25">
      <c r="A21" t="s">
        <v>145</v>
      </c>
      <c r="B21" t="s">
        <v>116</v>
      </c>
      <c r="C21">
        <f>VLOOKUP(B21,'MECS 2022'!$A$5:$E$16,5,FALSE)</f>
        <v>9.9770642201834847E-2</v>
      </c>
      <c r="D21">
        <f>VLOOKUP($A21,'Band Heat 2025'!$A$3:$F$27,2,FALSE)</f>
        <v>2661720000000</v>
      </c>
      <c r="E21">
        <f>VLOOKUP($A21,'Band Heat 2025'!$A$3:$F$27,3,FALSE)</f>
        <v>863990000000</v>
      </c>
      <c r="F21">
        <f>VLOOKUP($A21,'Band Heat 2025'!$A$3:$F$27,4,FALSE)</f>
        <v>2842970000000</v>
      </c>
      <c r="G21">
        <f>VLOOKUP($A21,'Band Heat 2025'!$A$3:$F$27,5,FALSE)</f>
        <v>2379150000000</v>
      </c>
      <c r="H21">
        <f>VLOOKUP($A21,'Band Heat 2025'!$A$3:$F$27,6,FALSE)</f>
        <v>3110220000000</v>
      </c>
      <c r="I21">
        <f t="shared" si="0"/>
        <v>11858050000000</v>
      </c>
      <c r="J21">
        <f t="shared" si="1"/>
        <v>1183085263761.4678</v>
      </c>
      <c r="K21">
        <f t="shared" si="2"/>
        <v>2661720000000</v>
      </c>
      <c r="L21">
        <f t="shared" si="3"/>
        <v>863990000000</v>
      </c>
      <c r="M21">
        <f t="shared" si="4"/>
        <v>947656666666.66663</v>
      </c>
      <c r="N21">
        <f t="shared" si="5"/>
        <v>1183085263761.4678</v>
      </c>
      <c r="O21">
        <f t="shared" si="6"/>
        <v>0</v>
      </c>
      <c r="P21">
        <f t="shared" si="7"/>
        <v>0</v>
      </c>
      <c r="Q21">
        <f t="shared" si="8"/>
        <v>0</v>
      </c>
      <c r="R21">
        <f t="shared" si="9"/>
        <v>0</v>
      </c>
      <c r="S21">
        <f t="shared" si="10"/>
        <v>0</v>
      </c>
      <c r="T21">
        <v>0</v>
      </c>
      <c r="U21">
        <v>0</v>
      </c>
    </row>
    <row r="22" spans="1:21" x14ac:dyDescent="0.25">
      <c r="A22" t="s">
        <v>146</v>
      </c>
      <c r="B22" t="s">
        <v>116</v>
      </c>
      <c r="C22">
        <f>VLOOKUP(B22,'MECS 2022'!$A$5:$E$16,5,FALSE)</f>
        <v>9.9770642201834847E-2</v>
      </c>
      <c r="D22">
        <f>VLOOKUP($A22,'Band Heat 2025'!$A$3:$F$27,2,FALSE)</f>
        <v>1887280000000</v>
      </c>
      <c r="E22">
        <f>VLOOKUP($A22,'Band Heat 2025'!$A$3:$F$27,3,FALSE)</f>
        <v>653526000000</v>
      </c>
      <c r="F22">
        <f>VLOOKUP($A22,'Band Heat 2025'!$A$3:$F$27,4,FALSE)</f>
        <v>2216080000000</v>
      </c>
      <c r="G22">
        <f>VLOOKUP($A22,'Band Heat 2025'!$A$3:$F$27,5,FALSE)</f>
        <v>1826220000000</v>
      </c>
      <c r="H22">
        <f>VLOOKUP($A22,'Band Heat 2025'!$A$3:$F$27,6,FALSE)</f>
        <v>2355420000000</v>
      </c>
      <c r="I22">
        <f t="shared" si="0"/>
        <v>8938526000000</v>
      </c>
      <c r="J22">
        <f t="shared" si="1"/>
        <v>891802479357.79797</v>
      </c>
      <c r="K22">
        <f t="shared" si="2"/>
        <v>1887280000000</v>
      </c>
      <c r="L22">
        <f t="shared" si="3"/>
        <v>653526000000</v>
      </c>
      <c r="M22">
        <f t="shared" si="4"/>
        <v>738693333333.33337</v>
      </c>
      <c r="N22">
        <f t="shared" si="5"/>
        <v>891802479357.79797</v>
      </c>
      <c r="O22">
        <f t="shared" si="6"/>
        <v>0</v>
      </c>
      <c r="P22">
        <f t="shared" si="7"/>
        <v>0</v>
      </c>
      <c r="Q22">
        <f t="shared" si="8"/>
        <v>0</v>
      </c>
      <c r="R22">
        <f t="shared" si="9"/>
        <v>0</v>
      </c>
      <c r="S22">
        <f t="shared" si="10"/>
        <v>0</v>
      </c>
      <c r="T22">
        <v>0</v>
      </c>
      <c r="U22">
        <v>0</v>
      </c>
    </row>
    <row r="23" spans="1:21" x14ac:dyDescent="0.25">
      <c r="A23" t="s">
        <v>147</v>
      </c>
      <c r="B23" t="s">
        <v>116</v>
      </c>
      <c r="C23">
        <f>VLOOKUP(B23,'MECS 2022'!$A$5:$E$16,5,FALSE)</f>
        <v>9.9770642201834847E-2</v>
      </c>
      <c r="D23">
        <f>VLOOKUP($A23,'Band Heat 2025'!$A$3:$F$27,2,FALSE)</f>
        <v>8324080000000</v>
      </c>
      <c r="E23">
        <f>VLOOKUP($A23,'Band Heat 2025'!$A$3:$F$27,3,FALSE)</f>
        <v>4706520000000</v>
      </c>
      <c r="F23">
        <f>VLOOKUP($A23,'Band Heat 2025'!$A$3:$F$27,4,FALSE)</f>
        <v>12801100000000</v>
      </c>
      <c r="G23">
        <f>VLOOKUP($A23,'Band Heat 2025'!$A$3:$F$27,5,FALSE)</f>
        <v>10838300000</v>
      </c>
      <c r="H23">
        <f>VLOOKUP($A23,'Band Heat 2025'!$A$3:$F$27,6,FALSE)</f>
        <v>6193520000000</v>
      </c>
      <c r="I23">
        <f t="shared" si="0"/>
        <v>32036058300000</v>
      </c>
      <c r="J23">
        <f t="shared" si="1"/>
        <v>3196258110206.4214</v>
      </c>
      <c r="K23">
        <f t="shared" si="2"/>
        <v>8324080000000</v>
      </c>
      <c r="L23">
        <f t="shared" si="3"/>
        <v>4706520000000</v>
      </c>
      <c r="M23">
        <f t="shared" si="4"/>
        <v>4267033333333.3335</v>
      </c>
      <c r="N23">
        <f t="shared" si="5"/>
        <v>3196258110206.4214</v>
      </c>
      <c r="O23">
        <f t="shared" si="6"/>
        <v>0</v>
      </c>
      <c r="P23">
        <f t="shared" si="7"/>
        <v>0</v>
      </c>
      <c r="Q23">
        <f t="shared" si="8"/>
        <v>0</v>
      </c>
      <c r="R23">
        <f t="shared" si="9"/>
        <v>0</v>
      </c>
      <c r="S23">
        <f t="shared" si="10"/>
        <v>0</v>
      </c>
      <c r="T23">
        <v>0</v>
      </c>
      <c r="U23">
        <v>0</v>
      </c>
    </row>
    <row r="24" spans="1:21" x14ac:dyDescent="0.25">
      <c r="A24" t="s">
        <v>148</v>
      </c>
      <c r="B24" t="s">
        <v>116</v>
      </c>
      <c r="C24">
        <f>VLOOKUP(B24,'MECS 2022'!$A$5:$E$16,5,FALSE)</f>
        <v>9.9770642201834847E-2</v>
      </c>
      <c r="D24">
        <f>VLOOKUP($A24,'Band Heat 2025'!$A$3:$F$27,2,FALSE)</f>
        <v>5065000000000</v>
      </c>
      <c r="E24">
        <f>VLOOKUP($A24,'Band Heat 2025'!$A$3:$F$27,3,FALSE)</f>
        <v>2494020000000</v>
      </c>
      <c r="F24">
        <f>VLOOKUP($A24,'Band Heat 2025'!$A$3:$F$27,4,FALSE)</f>
        <v>6449370000000</v>
      </c>
      <c r="G24">
        <f>VLOOKUP($A24,'Band Heat 2025'!$A$3:$F$27,5,FALSE)</f>
        <v>5883020000</v>
      </c>
      <c r="H24">
        <f>VLOOKUP($A24,'Band Heat 2025'!$A$3:$F$27,6,FALSE)</f>
        <v>3324550000000</v>
      </c>
      <c r="I24">
        <f t="shared" si="0"/>
        <v>17338823020000</v>
      </c>
      <c r="J24">
        <f t="shared" si="1"/>
        <v>1729905507729.3574</v>
      </c>
      <c r="K24">
        <f t="shared" si="2"/>
        <v>5065000000000</v>
      </c>
      <c r="L24">
        <f t="shared" si="3"/>
        <v>2494020000000</v>
      </c>
      <c r="M24">
        <f t="shared" si="4"/>
        <v>2149790000000</v>
      </c>
      <c r="N24">
        <f t="shared" si="5"/>
        <v>1729905507729.3574</v>
      </c>
      <c r="O24">
        <f t="shared" si="6"/>
        <v>0</v>
      </c>
      <c r="P24">
        <f t="shared" si="7"/>
        <v>0</v>
      </c>
      <c r="Q24">
        <f t="shared" si="8"/>
        <v>0</v>
      </c>
      <c r="R24">
        <f t="shared" si="9"/>
        <v>0</v>
      </c>
      <c r="S24">
        <f t="shared" si="10"/>
        <v>0</v>
      </c>
      <c r="T24">
        <v>0</v>
      </c>
      <c r="U24">
        <v>0</v>
      </c>
    </row>
    <row r="25" spans="1:21" x14ac:dyDescent="0.25">
      <c r="A25" t="s">
        <v>149</v>
      </c>
      <c r="B25" t="s">
        <v>117</v>
      </c>
      <c r="C25">
        <f>VLOOKUP(B25,'MECS 2022'!$A$5:$E$16,5,FALSE)</f>
        <v>0.17910447761194029</v>
      </c>
      <c r="D25">
        <f>VLOOKUP($A25,'Band Heat 2025'!$A$3:$F$27,2,FALSE)</f>
        <v>4690580000000</v>
      </c>
      <c r="E25">
        <f>VLOOKUP($A25,'Band Heat 2025'!$A$3:$F$27,3,FALSE)</f>
        <v>2190220000000</v>
      </c>
      <c r="F25">
        <f>VLOOKUP($A25,'Band Heat 2025'!$A$3:$F$27,4,FALSE)</f>
        <v>7423970000000</v>
      </c>
      <c r="G25">
        <f>VLOOKUP($A25,'Band Heat 2025'!$A$3:$F$27,5,FALSE)</f>
        <v>5882150000000</v>
      </c>
      <c r="H25">
        <f>VLOOKUP($A25,'Band Heat 2025'!$A$3:$F$27,6,FALSE)</f>
        <v>6096050000000</v>
      </c>
      <c r="I25">
        <f t="shared" si="0"/>
        <v>26282970000000</v>
      </c>
      <c r="J25">
        <f t="shared" si="1"/>
        <v>4707397611940.2979</v>
      </c>
      <c r="K25">
        <f t="shared" si="2"/>
        <v>4690580000000</v>
      </c>
      <c r="L25">
        <f t="shared" si="3"/>
        <v>2190220000000</v>
      </c>
      <c r="M25">
        <f t="shared" si="4"/>
        <v>2474656666666.6665</v>
      </c>
      <c r="N25">
        <f t="shared" si="5"/>
        <v>4690580000000</v>
      </c>
      <c r="O25">
        <f t="shared" si="6"/>
        <v>16817611940.297852</v>
      </c>
      <c r="P25">
        <f t="shared" si="7"/>
        <v>16817611940.297852</v>
      </c>
      <c r="Q25">
        <f t="shared" si="8"/>
        <v>0</v>
      </c>
      <c r="R25">
        <f t="shared" si="9"/>
        <v>0</v>
      </c>
      <c r="S25">
        <f t="shared" si="10"/>
        <v>0</v>
      </c>
      <c r="T25">
        <v>0</v>
      </c>
      <c r="U25">
        <v>0</v>
      </c>
    </row>
    <row r="26" spans="1:21" x14ac:dyDescent="0.25">
      <c r="A26" t="s">
        <v>150</v>
      </c>
      <c r="B26" t="s">
        <v>170</v>
      </c>
      <c r="C26">
        <f>$B$1</f>
        <v>0.1</v>
      </c>
      <c r="D26">
        <f>VLOOKUP($A26,'Band Heat 2025'!$A$3:$F$27,2,FALSE)</f>
        <v>0</v>
      </c>
      <c r="E26">
        <f>VLOOKUP($A26,'Band Heat 2025'!$A$3:$F$27,3,FALSE)</f>
        <v>0</v>
      </c>
      <c r="F26">
        <f>VLOOKUP($A26,'Band Heat 2025'!$A$3:$F$27,4,FALSE)</f>
        <v>0</v>
      </c>
      <c r="G26">
        <f>VLOOKUP($A26,'Band Heat 2025'!$A$3:$F$27,5,FALSE)</f>
        <v>0</v>
      </c>
      <c r="H26">
        <f>VLOOKUP($A26,'Band Heat 2025'!$A$3:$F$27,6,FALSE)</f>
        <v>0</v>
      </c>
      <c r="I26">
        <f t="shared" si="0"/>
        <v>0</v>
      </c>
      <c r="J26">
        <f t="shared" si="1"/>
        <v>0</v>
      </c>
      <c r="K26">
        <f t="shared" si="2"/>
        <v>0</v>
      </c>
      <c r="L26">
        <f t="shared" si="3"/>
        <v>0</v>
      </c>
      <c r="M26">
        <f t="shared" si="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0</v>
      </c>
      <c r="R26">
        <f t="shared" si="9"/>
        <v>0</v>
      </c>
      <c r="S26">
        <f t="shared" si="10"/>
        <v>0</v>
      </c>
      <c r="T26">
        <v>0</v>
      </c>
      <c r="U26">
        <v>0</v>
      </c>
    </row>
    <row r="27" spans="1:21" x14ac:dyDescent="0.25">
      <c r="A27" t="s">
        <v>151</v>
      </c>
      <c r="B27" t="s">
        <v>170</v>
      </c>
      <c r="C27">
        <f>$B$1</f>
        <v>0.1</v>
      </c>
      <c r="D27">
        <f>VLOOKUP($A27,'Band Heat 2025'!$A$3:$F$27,2,FALSE)</f>
        <v>0</v>
      </c>
      <c r="E27">
        <f>VLOOKUP($A27,'Band Heat 2025'!$A$3:$F$27,3,FALSE)</f>
        <v>0</v>
      </c>
      <c r="F27">
        <f>VLOOKUP($A27,'Band Heat 2025'!$A$3:$F$27,4,FALSE)</f>
        <v>0</v>
      </c>
      <c r="G27">
        <f>VLOOKUP($A27,'Band Heat 2025'!$A$3:$F$27,5,FALSE)</f>
        <v>0</v>
      </c>
      <c r="H27">
        <f>VLOOKUP($A27,'Band Heat 2025'!$A$3:$F$27,6,FALSE)</f>
        <v>0</v>
      </c>
      <c r="I27">
        <f t="shared" si="0"/>
        <v>0</v>
      </c>
      <c r="J27">
        <f t="shared" si="1"/>
        <v>0</v>
      </c>
      <c r="K27">
        <f t="shared" si="2"/>
        <v>0</v>
      </c>
      <c r="L27">
        <f t="shared" si="3"/>
        <v>0</v>
      </c>
      <c r="M27">
        <f t="shared" si="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0</v>
      </c>
      <c r="R27">
        <f t="shared" si="9"/>
        <v>0</v>
      </c>
      <c r="S27">
        <f t="shared" si="10"/>
        <v>0</v>
      </c>
      <c r="T27">
        <v>0</v>
      </c>
      <c r="U27">
        <v>0</v>
      </c>
    </row>
    <row r="28" spans="1:21" x14ac:dyDescent="0.25">
      <c r="A28" t="s">
        <v>152</v>
      </c>
      <c r="B28" t="s">
        <v>170</v>
      </c>
      <c r="C28">
        <f>$B$1</f>
        <v>0.1</v>
      </c>
      <c r="D28">
        <f>VLOOKUP($A28,'Band Heat 2025'!$A$3:$F$27,2,FALSE)</f>
        <v>62863500000000</v>
      </c>
      <c r="E28">
        <f>VLOOKUP($A28,'Band Heat 2025'!$A$3:$F$27,3,FALSE)</f>
        <v>0</v>
      </c>
      <c r="F28">
        <f>VLOOKUP($A28,'Band Heat 2025'!$A$3:$F$27,4,FALSE)</f>
        <v>0</v>
      </c>
      <c r="G28">
        <f>VLOOKUP($A28,'Band Heat 2025'!$A$3:$F$27,5,FALSE)</f>
        <v>0</v>
      </c>
      <c r="H28">
        <f>VLOOKUP($A28,'Band Heat 2025'!$A$3:$F$27,6,FALSE)</f>
        <v>0</v>
      </c>
      <c r="I28">
        <f t="shared" si="0"/>
        <v>62863500000000</v>
      </c>
      <c r="J28">
        <f t="shared" si="1"/>
        <v>6286350000000</v>
      </c>
      <c r="K28">
        <f t="shared" si="2"/>
        <v>62863500000000</v>
      </c>
      <c r="L28">
        <f t="shared" si="3"/>
        <v>0</v>
      </c>
      <c r="M28">
        <f t="shared" si="4"/>
        <v>0</v>
      </c>
      <c r="N28">
        <f t="shared" si="5"/>
        <v>6286350000000</v>
      </c>
      <c r="O28">
        <f t="shared" si="6"/>
        <v>0</v>
      </c>
      <c r="P28">
        <f t="shared" si="7"/>
        <v>0</v>
      </c>
      <c r="Q28">
        <f t="shared" si="8"/>
        <v>0</v>
      </c>
      <c r="R28">
        <f t="shared" si="9"/>
        <v>0</v>
      </c>
      <c r="S28">
        <f t="shared" si="10"/>
        <v>0</v>
      </c>
      <c r="T28">
        <v>0</v>
      </c>
      <c r="U28">
        <v>0</v>
      </c>
    </row>
    <row r="30" spans="1:21" x14ac:dyDescent="0.25">
      <c r="A30" s="3" t="s">
        <v>171</v>
      </c>
      <c r="D30">
        <f>SUM(D4:D28)</f>
        <v>900243101700000</v>
      </c>
      <c r="E30">
        <f>SUM(E4:E28)</f>
        <v>1187943196840000</v>
      </c>
      <c r="F30">
        <f>SUM(F4:F28)</f>
        <v>3947199170000000</v>
      </c>
      <c r="G30">
        <f>SUM(G4:G28)</f>
        <v>713328833110000</v>
      </c>
      <c r="H30">
        <f>SUM(H4:H28)</f>
        <v>617535079490000</v>
      </c>
      <c r="N30">
        <f>SUM(N4:N28)</f>
        <v>691063776397738.63</v>
      </c>
      <c r="P30">
        <f>SUM(P4:P28)</f>
        <v>839465311759742.88</v>
      </c>
      <c r="R30">
        <f>SUM(R4:R28)</f>
        <v>587520962356979.25</v>
      </c>
      <c r="T30">
        <f>SUM(T4:T28)</f>
        <v>0</v>
      </c>
      <c r="U30">
        <f>SUM(U4:U28)</f>
        <v>0</v>
      </c>
    </row>
    <row r="32" spans="1:21" x14ac:dyDescent="0.25">
      <c r="A32" s="3" t="s">
        <v>172</v>
      </c>
      <c r="B32" s="3" t="s">
        <v>173</v>
      </c>
      <c r="C32" s="3" t="s">
        <v>174</v>
      </c>
      <c r="D32" s="3" t="s">
        <v>175</v>
      </c>
    </row>
    <row r="33" spans="1:5" x14ac:dyDescent="0.25">
      <c r="A33" t="s">
        <v>122</v>
      </c>
      <c r="B33">
        <f>D30</f>
        <v>900243101700000</v>
      </c>
      <c r="C33">
        <f>N30</f>
        <v>691063776397738.63</v>
      </c>
      <c r="D33">
        <f>IFERROR(C33/B33,0)</f>
        <v>0.76764129055001751</v>
      </c>
    </row>
    <row r="34" spans="1:5" x14ac:dyDescent="0.25">
      <c r="A34" t="s">
        <v>123</v>
      </c>
      <c r="B34">
        <f>E30</f>
        <v>1187943196840000</v>
      </c>
      <c r="C34">
        <f>P30</f>
        <v>839465311759742.88</v>
      </c>
      <c r="D34">
        <f>IFERROR(C34/B34,0)</f>
        <v>0.70665442084501251</v>
      </c>
    </row>
    <row r="35" spans="1:5" x14ac:dyDescent="0.25">
      <c r="A35" t="s">
        <v>124</v>
      </c>
      <c r="B35">
        <f>F30</f>
        <v>3947199170000000</v>
      </c>
      <c r="C35">
        <f>R30</f>
        <v>587520962356979.25</v>
      </c>
      <c r="D35">
        <f>IFERROR(C35/B35,0)</f>
        <v>0.14884502581535028</v>
      </c>
    </row>
    <row r="36" spans="1:5" x14ac:dyDescent="0.25">
      <c r="A36" t="s">
        <v>125</v>
      </c>
      <c r="B36">
        <f>G30</f>
        <v>713328833110000</v>
      </c>
      <c r="C36">
        <f>T30</f>
        <v>0</v>
      </c>
      <c r="D36">
        <f>IFERROR(C36/B36,0)</f>
        <v>0</v>
      </c>
    </row>
    <row r="37" spans="1:5" x14ac:dyDescent="0.25">
      <c r="A37" t="s">
        <v>126</v>
      </c>
      <c r="B37">
        <f>H30</f>
        <v>617535079490000</v>
      </c>
      <c r="C37">
        <f>U30</f>
        <v>0</v>
      </c>
      <c r="D37">
        <f>IFERROR(C37/B37,0)</f>
        <v>0</v>
      </c>
    </row>
    <row r="40" spans="1:5" x14ac:dyDescent="0.25">
      <c r="A40" s="3" t="s">
        <v>172</v>
      </c>
      <c r="B40" s="3" t="s">
        <v>176</v>
      </c>
      <c r="C40" s="3" t="s">
        <v>177</v>
      </c>
      <c r="D40" s="3" t="s">
        <v>178</v>
      </c>
      <c r="E40" s="3" t="s">
        <v>179</v>
      </c>
    </row>
    <row r="41" spans="1:5" x14ac:dyDescent="0.25">
      <c r="A41" t="s">
        <v>122</v>
      </c>
      <c r="B41">
        <f>D33</f>
        <v>0.76764129055001751</v>
      </c>
      <c r="C41">
        <f>D33*'TBCC Components'!$B$3+(1-D33)*'TBCC Components'!$B$25</f>
        <v>232.16117411735425</v>
      </c>
      <c r="D41">
        <f>'TBCC Components'!$B$2*'TBCC Components'!$B$8+C41+'TBCC Components'!$B$5*'TBCC Components'!$B$9</f>
        <v>722.16117411735422</v>
      </c>
      <c r="E41">
        <f>D41*'TBCC Components'!$B$17/('TBCC Components'!$B$13*'TBCC Components'!$B$14)</f>
        <v>1.8204905001271704E-5</v>
      </c>
    </row>
    <row r="42" spans="1:5" x14ac:dyDescent="0.25">
      <c r="A42" t="s">
        <v>123</v>
      </c>
      <c r="B42">
        <f>D34</f>
        <v>0.70665442084501251</v>
      </c>
      <c r="C42">
        <f>D34*'TBCC Components'!$B$3+(1-D34)*'TBCC Components'!$B$25</f>
        <v>214.3556111374306</v>
      </c>
      <c r="D42">
        <f>'TBCC Components'!$B$2*'TBCC Components'!$B$8+C42+'TBCC Components'!$B$5*'TBCC Components'!$B$9</f>
        <v>704.35561113743063</v>
      </c>
      <c r="E42">
        <f>D42*'TBCC Components'!$B$17/('TBCC Components'!$B$13*'TBCC Components'!$B$14)</f>
        <v>1.7756045945757054E-5</v>
      </c>
    </row>
    <row r="43" spans="1:5" x14ac:dyDescent="0.25">
      <c r="A43" t="s">
        <v>124</v>
      </c>
      <c r="B43">
        <f>D35</f>
        <v>0.14884502581535028</v>
      </c>
      <c r="C43">
        <f>D35*'TBCC Components'!$B$3+(1-D35)*'TBCC Components'!$B$25</f>
        <v>51.499075590752895</v>
      </c>
      <c r="D43">
        <f>'TBCC Components'!$B$2*'TBCC Components'!$B$8+C43+'TBCC Components'!$B$5*'TBCC Components'!$B$9</f>
        <v>541.49907559075291</v>
      </c>
      <c r="E43">
        <f>D43*'TBCC Components'!$B$17/('TBCC Components'!$B$13*'TBCC Components'!$B$14)</f>
        <v>1.3650608178229401E-5</v>
      </c>
    </row>
    <row r="44" spans="1:5" x14ac:dyDescent="0.25">
      <c r="A44" t="s">
        <v>125</v>
      </c>
      <c r="B44">
        <f>D36</f>
        <v>0</v>
      </c>
      <c r="C44">
        <f>D36*'TBCC Components'!$B$3+(1-D36)*'TBCC Components'!$B$25</f>
        <v>8.0426808909921661</v>
      </c>
      <c r="D44">
        <f>'TBCC Components'!$B$2*'TBCC Components'!$B$8+C44+'TBCC Components'!$B$5*'TBCC Components'!$B$9</f>
        <v>498.04268089099219</v>
      </c>
      <c r="E44">
        <f>D44*'TBCC Components'!$B$17/('TBCC Components'!$B$13*'TBCC Components'!$B$14)</f>
        <v>1.2555119296299631E-5</v>
      </c>
    </row>
    <row r="45" spans="1:5" x14ac:dyDescent="0.25">
      <c r="A45" t="s">
        <v>126</v>
      </c>
      <c r="B45">
        <f>D37</f>
        <v>0</v>
      </c>
      <c r="C45">
        <f>D37*'TBCC Components'!$B$3+(1-D37)*'TBCC Components'!$B$25</f>
        <v>8.0426808909921661</v>
      </c>
      <c r="D45">
        <f>'TBCC Components'!$B$2*'TBCC Components'!$B$8+C45+'TBCC Components'!$B$5*'TBCC Components'!$B$9</f>
        <v>498.04268089099219</v>
      </c>
      <c r="E45">
        <f>D45*'TBCC Components'!$B$17/('TBCC Components'!$B$13*'TBCC Components'!$B$14)</f>
        <v>1.2555119296299631E-5</v>
      </c>
    </row>
  </sheetData>
  <mergeCells count="1">
    <mergeCell ref="C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5" x14ac:dyDescent="0.25"/>
  <cols>
    <col min="1" max="1" width="20" customWidth="1"/>
    <col min="2" max="5" width="16" customWidth="1"/>
  </cols>
  <sheetData>
    <row r="1" spans="1:5" x14ac:dyDescent="0.25">
      <c r="A1" s="11" t="s">
        <v>180</v>
      </c>
      <c r="B1" s="9"/>
      <c r="C1" s="9"/>
      <c r="D1" s="9"/>
      <c r="E1" s="9"/>
    </row>
    <row r="3" spans="1:5" x14ac:dyDescent="0.25">
      <c r="A3" s="3" t="s">
        <v>172</v>
      </c>
      <c r="B3" s="3" t="s">
        <v>181</v>
      </c>
      <c r="C3" s="3" t="s">
        <v>182</v>
      </c>
      <c r="D3" s="3" t="s">
        <v>183</v>
      </c>
      <c r="E3" s="3" t="s">
        <v>184</v>
      </c>
    </row>
    <row r="4" spans="1:5" x14ac:dyDescent="0.25">
      <c r="A4" t="s">
        <v>122</v>
      </c>
      <c r="B4">
        <f>'Band Weights'!E41</f>
        <v>1.8204905001271704E-5</v>
      </c>
      <c r="C4">
        <v>1.8206000000000002E-5</v>
      </c>
      <c r="D4">
        <f>ABS(B4-C4)/C4</f>
        <v>6.0144937289755479E-5</v>
      </c>
      <c r="E4" t="str">
        <f>IF(D4&lt;0.005,"PASS","FAIL")</f>
        <v>PASS</v>
      </c>
    </row>
    <row r="5" spans="1:5" x14ac:dyDescent="0.25">
      <c r="A5" t="s">
        <v>123</v>
      </c>
      <c r="B5">
        <f>'Band Weights'!E42</f>
        <v>1.7756045945757054E-5</v>
      </c>
      <c r="C5">
        <v>1.7757E-5</v>
      </c>
      <c r="D5">
        <f>ABS(B5-C5)/C5</f>
        <v>5.3728346170301854E-5</v>
      </c>
      <c r="E5" t="str">
        <f>IF(D5&lt;0.005,"PASS","FAIL")</f>
        <v>PASS</v>
      </c>
    </row>
    <row r="6" spans="1:5" x14ac:dyDescent="0.25">
      <c r="A6" t="s">
        <v>124</v>
      </c>
      <c r="B6">
        <f>'Band Weights'!E43</f>
        <v>1.3650608178229401E-5</v>
      </c>
      <c r="C6">
        <v>1.3651E-5</v>
      </c>
      <c r="D6">
        <f>ABS(B6-C6)/C6</f>
        <v>2.870278885057038E-5</v>
      </c>
      <c r="E6" t="str">
        <f>IF(D6&lt;0.005,"PASS","FAIL")</f>
        <v>PASS</v>
      </c>
    </row>
    <row r="7" spans="1:5" x14ac:dyDescent="0.25">
      <c r="A7" t="s">
        <v>125</v>
      </c>
      <c r="B7">
        <f>'Band Weights'!E44</f>
        <v>1.2555119296299631E-5</v>
      </c>
      <c r="C7">
        <v>1.2554999999999999E-5</v>
      </c>
      <c r="D7">
        <f>ABS(B7-C7)/C7</f>
        <v>9.5018956297799697E-6</v>
      </c>
      <c r="E7" t="str">
        <f>IF(D7&lt;0.005,"PASS","FAIL")</f>
        <v>PASS</v>
      </c>
    </row>
    <row r="8" spans="1:5" x14ac:dyDescent="0.25">
      <c r="A8" t="s">
        <v>126</v>
      </c>
      <c r="B8">
        <f>'Band Weights'!E45</f>
        <v>1.2555119296299631E-5</v>
      </c>
      <c r="C8">
        <v>1.2554999999999999E-5</v>
      </c>
      <c r="D8">
        <f>ABS(B8-C8)/C8</f>
        <v>9.5018956297799697E-6</v>
      </c>
      <c r="E8" t="str">
        <f>IF(D8&lt;0.005,"PASS","FAIL")</f>
        <v>PASS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6"/>
  <sheetViews>
    <sheetView workbookViewId="0"/>
  </sheetViews>
  <sheetFormatPr defaultRowHeight="15" x14ac:dyDescent="0.25"/>
  <cols>
    <col min="1" max="1" width="42" customWidth="1"/>
    <col min="2" max="2" width="16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122</v>
      </c>
      <c r="B2">
        <f>'Band Weights'!E41</f>
        <v>1.8204905001271704E-5</v>
      </c>
    </row>
    <row r="3" spans="1:2" x14ac:dyDescent="0.25">
      <c r="A3" t="s">
        <v>123</v>
      </c>
      <c r="B3">
        <f>'Band Weights'!E42</f>
        <v>1.7756045945757054E-5</v>
      </c>
    </row>
    <row r="4" spans="1:2" x14ac:dyDescent="0.25">
      <c r="A4" t="s">
        <v>124</v>
      </c>
      <c r="B4">
        <f>'Band Weights'!E43</f>
        <v>1.3650608178229401E-5</v>
      </c>
    </row>
    <row r="5" spans="1:2" x14ac:dyDescent="0.25">
      <c r="A5" t="s">
        <v>125</v>
      </c>
      <c r="B5">
        <f>'Band Weights'!E44</f>
        <v>1.2555119296299631E-5</v>
      </c>
    </row>
    <row r="6" spans="1:2" x14ac:dyDescent="0.25">
      <c r="A6" t="s">
        <v>126</v>
      </c>
      <c r="B6">
        <f>'Band Weights'!E45</f>
        <v>1.2555119296299631E-5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TBCC Components</vt:lpstr>
      <vt:lpstr>MECS 2022</vt:lpstr>
      <vt:lpstr>Band Heat 2025</vt:lpstr>
      <vt:lpstr>Band Weights</vt:lpstr>
      <vt:lpstr>Checks</vt:lpstr>
      <vt:lpstr>TBCC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2026-08-17T13:27:04Z</dcterms:created>
  <dcterms:modified xsi:type="dcterms:W3CDTF">2026-08-20T23:28:57Z</dcterms:modified>
</cp:coreProperties>
</file>