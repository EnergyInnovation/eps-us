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TBCC\"/>
    </mc:Choice>
  </mc:AlternateContent>
  <xr:revisionPtr revIDLastSave="0" documentId="13_ncr:1_{A68FD92A-B3B0-456F-AACC-C8C758C925C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TBC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B9" i="2"/>
  <c r="B8" i="2"/>
  <c r="B12" i="2" l="1"/>
  <c r="B20" i="2" s="1"/>
  <c r="B11" i="2"/>
  <c r="B19" i="2" s="1"/>
  <c r="B10" i="2"/>
  <c r="B18" i="2" s="1"/>
</calcChain>
</file>

<file path=xl/sharedStrings.xml><?xml version="1.0" encoding="utf-8"?>
<sst xmlns="http://schemas.openxmlformats.org/spreadsheetml/2006/main" count="77" uniqueCount="66">
  <si>
    <t>TBCC Thermal Battery Capital Cost per Unit Annual Energy Served (component basis)</t>
  </si>
  <si>
    <t>Sources:</t>
  </si>
  <si>
    <t>Component capital costs (charging equipment, heat delivery, storage medium)</t>
  </si>
  <si>
    <t>Rissman &amp; Gimon (2023)</t>
  </si>
  <si>
    <t>"Thermal Batteries: Decarbonizing U.S. Industry While Supporting a High-Renewables Grid," Energy Innovation, p.15</t>
  </si>
  <si>
    <t>https://energyinnovation.org/report/thermal-batteries-decarbonizing-u-s-industry-while-supporting-a-high-renewables-grid/</t>
  </si>
  <si>
    <t>2023 USD component costs: charging equipment $100/kW-in; heat delivery $300/kW-out; storage medium $5/kWh-th (range $1.5-10/kWh-th). System spec assumed: continuous load, 6-hour charging window =&gt; 4.0 kW-in and 18 kWh-th storage per kW-out. All derivation formulas are visible on the TBCC tab (component inputs in column B, derived system cost and CPI deflation below).</t>
  </si>
  <si>
    <t>CPI-U deflator (2023 USD -&gt; 2012 USD, EPS team convention)</t>
  </si>
  <si>
    <t>U.S. Bureau of Labor Statistics</t>
  </si>
  <si>
    <t>CPI-U annual averages (All Urban Consumers, U.S. city average)</t>
  </si>
  <si>
    <t>https://www.bls.gov/cpi/</t>
  </si>
  <si>
    <t>CPI-U 2012 = 229.594; CPI-U 2023 = 304.702 (BLS annual averages). EPS team convention is to deflate industrial cost inputs with CPI-U, never the GDP deflator.</t>
  </si>
  <si>
    <t>Notes:</t>
  </si>
  <si>
    <t>Result</t>
  </si>
  <si>
    <t>Central 1.992e-5 $/(BTU/yr); low 1.833e-5 (storage $1.5/kWh-th); high 2.219e-5 (storage $10/kWh-th). The central value is exported to TBCC.csv (cell B19 on the TBCC tab).</t>
  </si>
  <si>
    <t>KNOWN BOUNDARY AMBIGUITY (flagged for review)</t>
  </si>
  <si>
    <t>The source report does not state whether component costs are equipment-only or fully installed; the $100/kW-in charging-equipment figure is benchmarked to Li-ion equipment analogs, so an installation/balance-of-plant markup (often 30-100% for industrial equipment) may be missing. NREL Kocher et al. 2024 (Energy &amp; Environmental Science 17:2206, DOI 10.1039/D3EE03594H) could not be retrieved full-text at compilation time and should be checked against this figure before external release.</t>
  </si>
  <si>
    <t>O&amp;M is separate</t>
  </si>
  <si>
    <t>Operations &amp; maintenance is NOT included in this capital-cost figure - see TBOM (2% of TBCC per year, an unverified proxy; see TBOM/TBOM.xlsx for that derivation).</t>
  </si>
  <si>
    <t>Derivation chain</t>
  </si>
  <si>
    <t>All formulas are visible on the TBCC tab: component costs (B2:B6) -&gt; system cost per kW-out at low/central/high storage price (B10:B12) -&gt; CPI-U deflation (B15:B17) -&gt; $/(BTU/yr) in 2012 USD (B18:B20). Editing any source cell recomputes the exported value.</t>
  </si>
  <si>
    <t>Provenance</t>
  </si>
  <si>
    <t>Written by Claude Code, issue #387, 2026-08-17; reviewed by: (pending).</t>
  </si>
  <si>
    <t>Verification status</t>
  </si>
  <si>
    <t>All figures herein are inputs for staff review; verify against primary sources before use in any external work product.</t>
  </si>
  <si>
    <t>Component</t>
  </si>
  <si>
    <t>Value</t>
  </si>
  <si>
    <t>Unit</t>
  </si>
  <si>
    <t>Source</t>
  </si>
  <si>
    <t>Charging equipment cost</t>
  </si>
  <si>
    <t>$/kW-in (2023 USD)</t>
  </si>
  <si>
    <t>Rissman &amp; Gimon 2023 p.15</t>
  </si>
  <si>
    <t>Heat delivery equipment cost</t>
  </si>
  <si>
    <t>$/kW-out (2023 USD)</t>
  </si>
  <si>
    <t>Storage medium cost - low</t>
  </si>
  <si>
    <t>$/kWh-th (2023 USD)</t>
  </si>
  <si>
    <t>ibid (range)</t>
  </si>
  <si>
    <t>Storage medium cost - central</t>
  </si>
  <si>
    <t>ibid</t>
  </si>
  <si>
    <t>Storage medium cost - high</t>
  </si>
  <si>
    <t>Charging window</t>
  </si>
  <si>
    <t>hours/day</t>
  </si>
  <si>
    <t>Jeff Rissman, issue #387</t>
  </si>
  <si>
    <t>Charge rate multiple</t>
  </si>
  <si>
    <t>kW-in per kW-out</t>
  </si>
  <si>
    <t>Storage hours</t>
  </si>
  <si>
    <t>kWh-th per kW-out</t>
  </si>
  <si>
    <t>System cost per kW-out - low</t>
  </si>
  <si>
    <t>System cost per kW-out - central</t>
  </si>
  <si>
    <t>System cost per kW-out - high</t>
  </si>
  <si>
    <t>Annual heat served per kW-out</t>
  </si>
  <si>
    <t>kWh-th/yr</t>
  </si>
  <si>
    <t>continuous service</t>
  </si>
  <si>
    <t>BTU per kWh</t>
  </si>
  <si>
    <t>BTU/kWh</t>
  </si>
  <si>
    <t>CPI-U 2012</t>
  </si>
  <si>
    <t>index</t>
  </si>
  <si>
    <t>BLS annual average</t>
  </si>
  <si>
    <t>CPI-U 2023</t>
  </si>
  <si>
    <t>Deflator 2023-&gt;2012</t>
  </si>
  <si>
    <t>dimensionless</t>
  </si>
  <si>
    <t>TBCC - low</t>
  </si>
  <si>
    <t>$/BTU-yr (2012 USD)</t>
  </si>
  <si>
    <t>TBCC - central</t>
  </si>
  <si>
    <t>value exported to TBCC.csv</t>
  </si>
  <si>
    <t>TBCC -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</si>
</sst>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s.gov/cpi/" TargetMode="External"/><Relationship Id="rId1" Type="http://schemas.openxmlformats.org/officeDocument/2006/relationships/hyperlink" Target="https://energyinnovation.org/report/thermal-batteries-decarbonizing-u-s-industry-while-supporting-a-high-renewables-gri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2023</v>
      </c>
    </row>
    <row r="7" spans="1:2" ht="30" x14ac:dyDescent="0.25">
      <c r="B7" s="4" t="s">
        <v>5</v>
      </c>
    </row>
    <row r="8" spans="1:2" ht="60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2023</v>
      </c>
    </row>
    <row r="14" spans="1:2" x14ac:dyDescent="0.25">
      <c r="B14" s="4" t="s">
        <v>10</v>
      </c>
    </row>
    <row r="15" spans="1:2" ht="30" x14ac:dyDescent="0.25">
      <c r="B15" s="3" t="s">
        <v>11</v>
      </c>
    </row>
    <row r="18" spans="1:2" x14ac:dyDescent="0.25">
      <c r="A18" s="1" t="s">
        <v>12</v>
      </c>
    </row>
    <row r="19" spans="1:2" ht="30" x14ac:dyDescent="0.25">
      <c r="A19" s="1" t="s">
        <v>13</v>
      </c>
      <c r="B19" s="3" t="s">
        <v>14</v>
      </c>
    </row>
    <row r="20" spans="1:2" ht="75" x14ac:dyDescent="0.25">
      <c r="A20" s="1" t="s">
        <v>15</v>
      </c>
      <c r="B20" s="3" t="s">
        <v>16</v>
      </c>
    </row>
    <row r="21" spans="1:2" ht="30" x14ac:dyDescent="0.25">
      <c r="A21" s="1" t="s">
        <v>17</v>
      </c>
      <c r="B21" s="3" t="s">
        <v>18</v>
      </c>
    </row>
    <row r="22" spans="1:2" ht="45" x14ac:dyDescent="0.25">
      <c r="A22" s="1" t="s">
        <v>19</v>
      </c>
      <c r="B22" s="3" t="s">
        <v>20</v>
      </c>
    </row>
    <row r="23" spans="1:2" x14ac:dyDescent="0.25">
      <c r="A23" s="1" t="s">
        <v>21</v>
      </c>
      <c r="B23" s="3" t="s">
        <v>22</v>
      </c>
    </row>
    <row r="24" spans="1:2" x14ac:dyDescent="0.25">
      <c r="A24" s="1" t="s">
        <v>23</v>
      </c>
      <c r="B24" s="3" t="s">
        <v>24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D20"/>
  <sheetViews>
    <sheetView workbookViewId="0"/>
  </sheetViews>
  <sheetFormatPr defaultRowHeight="15" x14ac:dyDescent="0.25"/>
  <cols>
    <col min="1" max="1" width="34" customWidth="1"/>
    <col min="2" max="2" width="16" customWidth="1"/>
    <col min="3" max="3" width="30" customWidth="1"/>
    <col min="4" max="4" width="34" customWidth="1"/>
  </cols>
  <sheetData>
    <row r="1" spans="1:4" x14ac:dyDescent="0.25">
      <c r="A1" s="1" t="s">
        <v>25</v>
      </c>
      <c r="B1" s="1" t="s">
        <v>26</v>
      </c>
      <c r="C1" s="1" t="s">
        <v>27</v>
      </c>
      <c r="D1" s="1" t="s">
        <v>28</v>
      </c>
    </row>
    <row r="2" spans="1:4" x14ac:dyDescent="0.25">
      <c r="A2" t="s">
        <v>29</v>
      </c>
      <c r="B2">
        <v>100</v>
      </c>
      <c r="C2" t="s">
        <v>30</v>
      </c>
      <c r="D2" t="s">
        <v>31</v>
      </c>
    </row>
    <row r="3" spans="1:4" x14ac:dyDescent="0.25">
      <c r="A3" t="s">
        <v>32</v>
      </c>
      <c r="B3">
        <v>300</v>
      </c>
      <c r="C3" t="s">
        <v>33</v>
      </c>
      <c r="D3" t="s">
        <v>31</v>
      </c>
    </row>
    <row r="4" spans="1:4" x14ac:dyDescent="0.25">
      <c r="A4" t="s">
        <v>34</v>
      </c>
      <c r="B4">
        <v>1.5</v>
      </c>
      <c r="C4" t="s">
        <v>35</v>
      </c>
      <c r="D4" t="s">
        <v>36</v>
      </c>
    </row>
    <row r="5" spans="1:4" x14ac:dyDescent="0.25">
      <c r="A5" t="s">
        <v>37</v>
      </c>
      <c r="B5">
        <v>5</v>
      </c>
      <c r="C5" t="s">
        <v>35</v>
      </c>
      <c r="D5" t="s">
        <v>38</v>
      </c>
    </row>
    <row r="6" spans="1:4" x14ac:dyDescent="0.25">
      <c r="A6" t="s">
        <v>39</v>
      </c>
      <c r="B6">
        <v>10</v>
      </c>
      <c r="C6" t="s">
        <v>35</v>
      </c>
      <c r="D6" t="s">
        <v>36</v>
      </c>
    </row>
    <row r="7" spans="1:4" x14ac:dyDescent="0.25">
      <c r="A7" t="s">
        <v>40</v>
      </c>
      <c r="B7">
        <v>6</v>
      </c>
      <c r="C7" t="s">
        <v>41</v>
      </c>
      <c r="D7" t="s">
        <v>42</v>
      </c>
    </row>
    <row r="8" spans="1:4" x14ac:dyDescent="0.25">
      <c r="A8" t="s">
        <v>43</v>
      </c>
      <c r="B8">
        <f>24/B7</f>
        <v>4</v>
      </c>
      <c r="C8" t="s">
        <v>44</v>
      </c>
    </row>
    <row r="9" spans="1:4" x14ac:dyDescent="0.25">
      <c r="A9" t="s">
        <v>45</v>
      </c>
      <c r="B9">
        <f>24-B7</f>
        <v>18</v>
      </c>
      <c r="C9" t="s">
        <v>46</v>
      </c>
    </row>
    <row r="10" spans="1:4" x14ac:dyDescent="0.25">
      <c r="A10" t="s">
        <v>47</v>
      </c>
      <c r="B10">
        <f>B2*B8+B3+B4*B9</f>
        <v>727</v>
      </c>
      <c r="C10" t="s">
        <v>33</v>
      </c>
    </row>
    <row r="11" spans="1:4" x14ac:dyDescent="0.25">
      <c r="A11" t="s">
        <v>48</v>
      </c>
      <c r="B11">
        <f>B2*B8+B3+B5*B9</f>
        <v>790</v>
      </c>
      <c r="C11" t="s">
        <v>33</v>
      </c>
    </row>
    <row r="12" spans="1:4" x14ac:dyDescent="0.25">
      <c r="A12" t="s">
        <v>49</v>
      </c>
      <c r="B12">
        <f>B2*B8+B3+B6*B9</f>
        <v>880</v>
      </c>
      <c r="C12" t="s">
        <v>33</v>
      </c>
    </row>
    <row r="13" spans="1:4" x14ac:dyDescent="0.25">
      <c r="A13" t="s">
        <v>50</v>
      </c>
      <c r="B13">
        <v>8760</v>
      </c>
      <c r="C13" t="s">
        <v>51</v>
      </c>
      <c r="D13" t="s">
        <v>52</v>
      </c>
    </row>
    <row r="14" spans="1:4" x14ac:dyDescent="0.25">
      <c r="A14" t="s">
        <v>53</v>
      </c>
      <c r="B14">
        <v>3412.14</v>
      </c>
      <c r="C14" t="s">
        <v>54</v>
      </c>
    </row>
    <row r="15" spans="1:4" x14ac:dyDescent="0.25">
      <c r="A15" t="s">
        <v>55</v>
      </c>
      <c r="B15">
        <v>229.59399999999999</v>
      </c>
      <c r="C15" t="s">
        <v>56</v>
      </c>
      <c r="D15" t="s">
        <v>57</v>
      </c>
    </row>
    <row r="16" spans="1:4" x14ac:dyDescent="0.25">
      <c r="A16" t="s">
        <v>58</v>
      </c>
      <c r="B16">
        <v>304.702</v>
      </c>
      <c r="C16" t="s">
        <v>56</v>
      </c>
      <c r="D16" t="s">
        <v>57</v>
      </c>
    </row>
    <row r="17" spans="1:4" x14ac:dyDescent="0.25">
      <c r="A17" t="s">
        <v>59</v>
      </c>
      <c r="B17">
        <f>B15/B16</f>
        <v>0.75350342301658668</v>
      </c>
      <c r="C17" t="s">
        <v>60</v>
      </c>
    </row>
    <row r="18" spans="1:4" x14ac:dyDescent="0.25">
      <c r="A18" t="s">
        <v>61</v>
      </c>
      <c r="B18">
        <f>B10*B17/(B13*B14)</f>
        <v>1.832688658747222E-5</v>
      </c>
      <c r="C18" t="s">
        <v>62</v>
      </c>
    </row>
    <row r="19" spans="1:4" x14ac:dyDescent="0.25">
      <c r="A19" t="s">
        <v>63</v>
      </c>
      <c r="B19">
        <f>B11*B17/(B13*B14)</f>
        <v>1.9915048698903784E-5</v>
      </c>
      <c r="C19" t="s">
        <v>62</v>
      </c>
      <c r="D19" t="s">
        <v>64</v>
      </c>
    </row>
    <row r="20" spans="1:4" x14ac:dyDescent="0.25">
      <c r="A20" t="s">
        <v>65</v>
      </c>
      <c r="B20">
        <f>B12*B17/(B13*B14)</f>
        <v>2.2183851715234599E-5</v>
      </c>
      <c r="C20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TBCC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 O'Brien</cp:lastModifiedBy>
  <dcterms:created xsi:type="dcterms:W3CDTF">2026-08-17T13:27:04Z</dcterms:created>
  <dcterms:modified xsi:type="dcterms:W3CDTF">2026-08-17T14:56:41Z</dcterms:modified>
</cp:coreProperties>
</file>