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TB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TBCC Thermal Battery Capital Cost per Unit Annual Energy Served — DRAFT PLACEHOLDER</t>
        </is>
      </c>
    </row>
    <row r="2">
      <c r="A2" t="inlineStr">
        <is>
          <t>Status: placeholder derivation for structure validation. VERIFY every component against primary sources before release.</t>
        </is>
      </c>
    </row>
    <row r="3">
      <c r="A3" t="inlineStr">
        <is>
          <t>Source: Rissman &amp; Gimon (2023), "Industrial Thermal Batteries", Energy Innovation — component costs:</t>
        </is>
      </c>
    </row>
    <row r="4">
      <c r="A4" t="inlineStr">
        <is>
          <t xml:space="preserve">  charging equipment ~$100/kW-input; heat delivery ~$300/kW-output; storage medium ~$5/kWh-thermal ($1.5-10 range).</t>
        </is>
      </c>
    </row>
    <row r="5">
      <c r="A5" t="inlineStr">
        <is>
          <t>Derivation (see TBCC tab, all formulas visible): a battery serving 1 kW-thermal continuous load with a 6-hour</t>
        </is>
      </c>
    </row>
    <row r="6">
      <c r="A6" t="inlineStr">
        <is>
          <t xml:space="preserve">  charging window needs ~4 kW charging power (24/6) and ~18 kWh storage (the other 18 hours), delivering 8760 kWh-th/yr.</t>
        </is>
      </c>
    </row>
    <row r="7">
      <c r="A7" t="inlineStr">
        <is>
          <t>Currency: deflated from ~2022 USD to EPS-internal 2012 USD via CPI-U ratio (~0.784). Convert via type-then-year convention.</t>
        </is>
      </c>
    </row>
    <row r="8">
      <c r="A8" t="inlineStr">
        <is>
          <t>Known omissions: O&amp;M (no public data found), installation/BOP beyond report components, learning.</t>
        </is>
      </c>
    </row>
    <row r="9">
      <c r="A9" t="inlineStr">
        <is>
          <t>Written by Claude Code session 2026-08-14 for GitHub issue #387; reviewed by: (pending).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40" customWidth="1" min="4" max="4"/>
  </cols>
  <sheetData>
    <row r="1">
      <c r="A1" s="1" t="inlineStr">
        <is>
          <t>Component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</t>
        </is>
      </c>
    </row>
    <row r="2">
      <c r="A2" t="inlineStr">
        <is>
          <t>Charging equipment cost</t>
        </is>
      </c>
      <c r="B2" t="n">
        <v>100</v>
      </c>
      <c r="C2" t="inlineStr">
        <is>
          <t>$/kW-input (2022 USD)</t>
        </is>
      </c>
      <c r="D2" t="inlineStr">
        <is>
          <t>Rissman &amp; Gimon 2023</t>
        </is>
      </c>
    </row>
    <row r="3">
      <c r="A3" t="inlineStr">
        <is>
          <t>Heat delivery equipment cost</t>
        </is>
      </c>
      <c r="B3" t="n">
        <v>300</v>
      </c>
      <c r="C3" t="inlineStr">
        <is>
          <t>$/kW-output (2022 USD)</t>
        </is>
      </c>
      <c r="D3" t="inlineStr">
        <is>
          <t>Rissman &amp; Gimon 2023</t>
        </is>
      </c>
    </row>
    <row r="4">
      <c r="A4" t="inlineStr">
        <is>
          <t>Storage medium cost</t>
        </is>
      </c>
      <c r="B4" t="n">
        <v>5</v>
      </c>
      <c r="C4" t="inlineStr">
        <is>
          <t>$/kWh-th (2022 USD)</t>
        </is>
      </c>
      <c r="D4" t="inlineStr">
        <is>
          <t>Rissman &amp; Gimon 2023 central</t>
        </is>
      </c>
    </row>
    <row r="5">
      <c r="A5" t="inlineStr">
        <is>
          <t>Charging window</t>
        </is>
      </c>
      <c r="B5" t="n">
        <v>6</v>
      </c>
      <c r="C5" t="inlineStr">
        <is>
          <t>hours/day</t>
        </is>
      </c>
      <c r="D5" t="inlineStr">
        <is>
          <t>Jeff Rissman suggestion, issue #387</t>
        </is>
      </c>
    </row>
    <row r="6">
      <c r="A6" t="inlineStr">
        <is>
          <t>Charging power per kW-output</t>
        </is>
      </c>
      <c r="B6">
        <f>24/B5</f>
        <v/>
      </c>
      <c r="C6" t="inlineStr">
        <is>
          <t>kW-in per kW-out</t>
        </is>
      </c>
      <c r="D6" t="inlineStr">
        <is>
          <t>continuous load assumption</t>
        </is>
      </c>
    </row>
    <row r="7">
      <c r="A7" t="inlineStr">
        <is>
          <t>Storage hours per kW-output</t>
        </is>
      </c>
      <c r="B7">
        <f>24-B5</f>
        <v/>
      </c>
      <c r="C7" t="inlineStr">
        <is>
          <t>kWh-th per kW-out</t>
        </is>
      </c>
      <c r="D7" t="inlineStr">
        <is>
          <t>discharge outside charge window</t>
        </is>
      </c>
    </row>
    <row r="8">
      <c r="A8" t="inlineStr">
        <is>
          <t>System cost per kW-output</t>
        </is>
      </c>
      <c r="B8">
        <f>B2*B6+B3+B4*B7</f>
        <v/>
      </c>
      <c r="C8" t="inlineStr">
        <is>
          <t>$/kW-out (2022 USD)</t>
        </is>
      </c>
      <c r="D8" t="inlineStr">
        <is>
          <t>components combined</t>
        </is>
      </c>
    </row>
    <row r="9">
      <c r="A9" t="inlineStr">
        <is>
          <t>Annual heat served per kW-output</t>
        </is>
      </c>
      <c r="B9" t="n">
        <v>8760</v>
      </c>
      <c r="C9" t="inlineStr">
        <is>
          <t>kWh-th/yr</t>
        </is>
      </c>
      <c r="D9" t="inlineStr">
        <is>
          <t>continuous service</t>
        </is>
      </c>
    </row>
    <row r="10">
      <c r="A10" t="inlineStr">
        <is>
          <t>CPI-U deflator 2022-&gt;2012</t>
        </is>
      </c>
      <c r="B10" t="n">
        <v>0.784</v>
      </c>
      <c r="C10" t="inlineStr">
        <is>
          <t>dimensionless</t>
        </is>
      </c>
      <c r="D10" t="inlineStr">
        <is>
          <t>CPI-U 229.594/292.655 - VERIFY</t>
        </is>
      </c>
    </row>
    <row r="11">
      <c r="A11" t="inlineStr">
        <is>
          <t>BTU per kWh</t>
        </is>
      </c>
      <c r="B11" t="n">
        <v>3412.14</v>
      </c>
      <c r="C11" t="inlineStr">
        <is>
          <t>BTU/kWh</t>
        </is>
      </c>
      <c r="D11" t="inlineStr"/>
    </row>
    <row r="12">
      <c r="A12" t="inlineStr">
        <is>
          <t>TBCC</t>
        </is>
      </c>
      <c r="B12">
        <f>B8*B10/(B9*B11)</f>
        <v/>
      </c>
      <c r="C12" t="inlineStr">
        <is>
          <t>$/BTU of annual service (2012 USD)</t>
        </is>
      </c>
      <c r="D12" t="inlineStr">
        <is>
          <t>value exported to TBCC.csv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2026-08-14T20:30:37Z</dcterms:created>
  <dcterms:modified xsi:type="dcterms:W3CDTF">2026-08-14T20:30:37Z</dcterms:modified>
</cp:coreProperties>
</file>