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Derivation" sheetId="2" state="visible" r:id="rId2"/>
    <sheet name="Checks" sheetId="3" state="visible" r:id="rId3"/>
    <sheet name="CRS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InputData/indst/SRSW/SRSW.cs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CRSW Cement Overhaul Shareweight</t>
        </is>
      </c>
    </row>
    <row r="2"/>
    <row r="3">
      <c r="A3" s="1" t="inlineStr">
        <is>
          <t>Sources:</t>
        </is>
      </c>
      <c r="B3" s="2" t="inlineStr">
        <is>
          <t>Calibration precedent: fleet-longevity shareweight from the steel breakout</t>
        </is>
      </c>
    </row>
    <row r="4">
      <c r="B4" s="3" t="inlineStr">
        <is>
          <t>EI-internal companion workbook</t>
        </is>
      </c>
    </row>
    <row r="5">
      <c r="B5" s="3" t="inlineStr">
        <is>
          <t>SRSW (Steel Reline Shareweight), InputData/indst/SRSW/SRSW.csv</t>
        </is>
      </c>
    </row>
    <row r="6">
      <c r="B6" s="3" t="n">
        <v>2026</v>
      </c>
    </row>
    <row r="7">
      <c r="B7" s="4" t="inlineStr">
        <is>
          <t>file://InputData/indst/SRSW/SRSW.csv</t>
        </is>
      </c>
    </row>
    <row r="8">
      <c r="B8" s="3" t="inlineStr">
        <is>
          <t>Steel's analogous overhaul/reline calibration weight (SRSW) ships a flat value of 25, calibrated so the reline branch wins at default costs and reproduces observed multi-decade blast-furnace fleet longevity. CRSW carries the same flat value of 25 as its DRAFT starting point, on the premise that cement kilns exhibit similarly sticky, multi-decade overhaul-over-replace behavior (site integration, quarry co-location, permitting costs of a greenfield replacement).</t>
        </is>
      </c>
    </row>
    <row r="9"/>
    <row r="10"/>
    <row r="11">
      <c r="A11" s="1" t="inlineStr">
        <is>
          <t>Notes:</t>
        </is>
      </c>
    </row>
    <row r="12">
      <c r="A12" s="1" t="inlineStr">
        <is>
          <t>Calibration weight, not a market observation</t>
        </is>
      </c>
      <c r="B12" s="3" t="inlineStr">
        <is>
          <t>CRSW is a dimensionless logit calibration weight on the overhaul branch of the endogenous overhaul-vs-replace decision (see CPRS), capturing unmodeled stickiness that keeps existing kilns in service (site integration, quarry co-location with the kiln, permitting friction for a greenfield replacement) beyond what the raw annualized overhaul-vs-new-build cost comparison alone would predict. It is not itself sourced from any published cement-industry figure - it is set so the model REPRODUCES observed behavior, not derived from an external observation.</t>
        </is>
      </c>
    </row>
    <row r="13">
      <c r="A13" s="1" t="inlineStr">
        <is>
          <t>Calibration target and result</t>
        </is>
      </c>
      <c r="B13" s="3" t="inlineStr">
        <is>
          <t>Set so overhauling wins at default costs, reproducing the long observed lifespan of the existing US kiln fleet (many kilns installed pre-2000 remain in service today). Post-Phase-3b validation: at CRSW = 25 flat, the model's default-scenario overhaul share is approximately 0.999 (i.e. essentially all decision capacity overhauls rather than replacing, consistent with observed fleet behavior).</t>
        </is>
      </c>
    </row>
    <row r="14">
      <c r="A14" s="1" t="inlineStr">
        <is>
          <t>DRAFT status</t>
        </is>
      </c>
      <c r="B14" s="3" t="inlineStr">
        <is>
          <t>DRAFT and UNVERIFIED - a calibration judgment carried over from steel's SRSW rather than independently re-derived for cement. Flagged for team review; revisit if the overhaul share diverges from observed fleet turnover once wired into a full model run.</t>
        </is>
      </c>
    </row>
    <row r="15">
      <c r="A15" s="1" t="inlineStr">
        <is>
          <t>Provenance</t>
        </is>
      </c>
      <c r="B15" s="3" t="inlineStr">
        <is>
          <t>Written by Claude Code (Fable/Sonnet agent session), cement industry breakout, worktree cement-industry-breakout-f901fc, 2026-08-26. This is a DRAFT input for staff review, not a finished or approved EI position; verify all figures against primary sources before use in any work product. Reviewed by: (pending).</t>
        </is>
      </c>
    </row>
    <row r="17">
      <c r="A17" s="1" t="inlineStr">
        <is>
          <t>Recalibration 2026-10-01</t>
        </is>
      </c>
      <c r="B17" t="inlineStr">
        <is>
          <t>CRSW re-solved to 0.1297 (all pathways) after the cement capital costs moved to the model's 2012 USD (greenfield 250, overhaul 25 $/(t/yr)) and the CCS pathway was reconciled with the CCS sector inputs. Two Newton passes with crsw_recal2.py on runs S7_Cal/S7_Cal2: facing-weighted mean dry-kiln overhaul share 0.2084 -&gt; 0.4857 (target 0.485). Note: the BAU now builds CCS kilns from 2030 because the 45Q-type subsidy (BCS) exceeds capture O&amp;M + T&amp;S + energy; team decision pending on whether BAU should include that.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 weight (flat time series)</t>
        </is>
      </c>
    </row>
    <row r="2"/>
    <row r="3">
      <c r="A3" t="inlineStr">
        <is>
          <t>Cement Overhaul Shareweight (all years, DRAFT calibrated value)</t>
        </is>
      </c>
      <c r="B3" t="n">
        <v>25</v>
      </c>
    </row>
    <row r="4"/>
    <row r="5">
      <c r="A5" t="inlineStr">
        <is>
          <t>Resulting BAU dry-kiln-with-precalciner overhaul share (model output, for reference)</t>
        </is>
      </c>
      <c r="B5" t="n">
        <v>0.999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Derivation value vs. shipped CRSW.csv (all 30 years)</t>
        </is>
      </c>
    </row>
    <row r="2"/>
    <row r="3">
      <c r="A3" t="inlineStr">
        <is>
          <t>Year</t>
        </is>
      </c>
      <c r="B3" t="inlineStr">
        <is>
          <t>Derivation value</t>
        </is>
      </c>
      <c r="C3" t="inlineStr">
        <is>
          <t>Shipped value</t>
        </is>
      </c>
      <c r="D3" t="inlineStr">
        <is>
          <t>Result</t>
        </is>
      </c>
    </row>
    <row r="4">
      <c r="A4" t="n">
        <v>2021</v>
      </c>
      <c r="B4">
        <f>Derivation!$B$3</f>
        <v/>
      </c>
      <c r="C4" t="n">
        <v>25</v>
      </c>
      <c r="D4">
        <f>IF(B4=C4,"PASS","FAIL")</f>
        <v/>
      </c>
    </row>
    <row r="5">
      <c r="A5" t="n">
        <v>2022</v>
      </c>
      <c r="B5">
        <f>Derivation!$B$3</f>
        <v/>
      </c>
      <c r="C5" t="n">
        <v>25</v>
      </c>
      <c r="D5">
        <f>IF(B5=C5,"PASS","FAIL")</f>
        <v/>
      </c>
    </row>
    <row r="6">
      <c r="A6" t="n">
        <v>2023</v>
      </c>
      <c r="B6">
        <f>Derivation!$B$3</f>
        <v/>
      </c>
      <c r="C6" t="n">
        <v>25</v>
      </c>
      <c r="D6">
        <f>IF(B6=C6,"PASS","FAIL")</f>
        <v/>
      </c>
    </row>
    <row r="7">
      <c r="A7" t="n">
        <v>2024</v>
      </c>
      <c r="B7">
        <f>Derivation!$B$3</f>
        <v/>
      </c>
      <c r="C7" t="n">
        <v>25</v>
      </c>
      <c r="D7">
        <f>IF(B7=C7,"PASS","FAIL")</f>
        <v/>
      </c>
    </row>
    <row r="8">
      <c r="A8" t="n">
        <v>2025</v>
      </c>
      <c r="B8">
        <f>Derivation!$B$3</f>
        <v/>
      </c>
      <c r="C8" t="n">
        <v>25</v>
      </c>
      <c r="D8">
        <f>IF(B8=C8,"PASS","FAIL")</f>
        <v/>
      </c>
    </row>
    <row r="9">
      <c r="A9" t="n">
        <v>2026</v>
      </c>
      <c r="B9">
        <f>Derivation!$B$3</f>
        <v/>
      </c>
      <c r="C9" t="n">
        <v>25</v>
      </c>
      <c r="D9">
        <f>IF(B9=C9,"PASS","FAIL")</f>
        <v/>
      </c>
    </row>
    <row r="10">
      <c r="A10" t="n">
        <v>2027</v>
      </c>
      <c r="B10">
        <f>Derivation!$B$3</f>
        <v/>
      </c>
      <c r="C10" t="n">
        <v>25</v>
      </c>
      <c r="D10">
        <f>IF(B10=C10,"PASS","FAIL")</f>
        <v/>
      </c>
    </row>
    <row r="11">
      <c r="A11" t="n">
        <v>2028</v>
      </c>
      <c r="B11">
        <f>Derivation!$B$3</f>
        <v/>
      </c>
      <c r="C11" t="n">
        <v>25</v>
      </c>
      <c r="D11">
        <f>IF(B11=C11,"PASS","FAIL")</f>
        <v/>
      </c>
    </row>
    <row r="12">
      <c r="A12" t="n">
        <v>2029</v>
      </c>
      <c r="B12">
        <f>Derivation!$B$3</f>
        <v/>
      </c>
      <c r="C12" t="n">
        <v>25</v>
      </c>
      <c r="D12">
        <f>IF(B12=C12,"PASS","FAIL")</f>
        <v/>
      </c>
    </row>
    <row r="13">
      <c r="A13" t="n">
        <v>2030</v>
      </c>
      <c r="B13">
        <f>Derivation!$B$3</f>
        <v/>
      </c>
      <c r="C13" t="n">
        <v>25</v>
      </c>
      <c r="D13">
        <f>IF(B13=C13,"PASS","FAIL")</f>
        <v/>
      </c>
    </row>
    <row r="14">
      <c r="A14" t="n">
        <v>2031</v>
      </c>
      <c r="B14">
        <f>Derivation!$B$3</f>
        <v/>
      </c>
      <c r="C14" t="n">
        <v>25</v>
      </c>
      <c r="D14">
        <f>IF(B14=C14,"PASS","FAIL")</f>
        <v/>
      </c>
    </row>
    <row r="15">
      <c r="A15" t="n">
        <v>2032</v>
      </c>
      <c r="B15">
        <f>Derivation!$B$3</f>
        <v/>
      </c>
      <c r="C15" t="n">
        <v>25</v>
      </c>
      <c r="D15">
        <f>IF(B15=C15,"PASS","FAIL")</f>
        <v/>
      </c>
    </row>
    <row r="16">
      <c r="A16" t="n">
        <v>2033</v>
      </c>
      <c r="B16">
        <f>Derivation!$B$3</f>
        <v/>
      </c>
      <c r="C16" t="n">
        <v>25</v>
      </c>
      <c r="D16">
        <f>IF(B16=C16,"PASS","FAIL")</f>
        <v/>
      </c>
    </row>
    <row r="17">
      <c r="A17" t="n">
        <v>2034</v>
      </c>
      <c r="B17">
        <f>Derivation!$B$3</f>
        <v/>
      </c>
      <c r="C17" t="n">
        <v>25</v>
      </c>
      <c r="D17">
        <f>IF(B17=C17,"PASS","FAIL")</f>
        <v/>
      </c>
    </row>
    <row r="18">
      <c r="A18" t="n">
        <v>2035</v>
      </c>
      <c r="B18">
        <f>Derivation!$B$3</f>
        <v/>
      </c>
      <c r="C18" t="n">
        <v>25</v>
      </c>
      <c r="D18">
        <f>IF(B18=C18,"PASS","FAIL")</f>
        <v/>
      </c>
    </row>
    <row r="19">
      <c r="A19" t="n">
        <v>2036</v>
      </c>
      <c r="B19">
        <f>Derivation!$B$3</f>
        <v/>
      </c>
      <c r="C19" t="n">
        <v>25</v>
      </c>
      <c r="D19">
        <f>IF(B19=C19,"PASS","FAIL")</f>
        <v/>
      </c>
    </row>
    <row r="20">
      <c r="A20" t="n">
        <v>2037</v>
      </c>
      <c r="B20">
        <f>Derivation!$B$3</f>
        <v/>
      </c>
      <c r="C20" t="n">
        <v>25</v>
      </c>
      <c r="D20">
        <f>IF(B20=C20,"PASS","FAIL")</f>
        <v/>
      </c>
    </row>
    <row r="21">
      <c r="A21" t="n">
        <v>2038</v>
      </c>
      <c r="B21">
        <f>Derivation!$B$3</f>
        <v/>
      </c>
      <c r="C21" t="n">
        <v>25</v>
      </c>
      <c r="D21">
        <f>IF(B21=C21,"PASS","FAIL")</f>
        <v/>
      </c>
    </row>
    <row r="22">
      <c r="A22" t="n">
        <v>2039</v>
      </c>
      <c r="B22">
        <f>Derivation!$B$3</f>
        <v/>
      </c>
      <c r="C22" t="n">
        <v>25</v>
      </c>
      <c r="D22">
        <f>IF(B22=C22,"PASS","FAIL")</f>
        <v/>
      </c>
    </row>
    <row r="23">
      <c r="A23" t="n">
        <v>2040</v>
      </c>
      <c r="B23">
        <f>Derivation!$B$3</f>
        <v/>
      </c>
      <c r="C23" t="n">
        <v>25</v>
      </c>
      <c r="D23">
        <f>IF(B23=C23,"PASS","FAIL")</f>
        <v/>
      </c>
    </row>
    <row r="24">
      <c r="A24" t="n">
        <v>2041</v>
      </c>
      <c r="B24">
        <f>Derivation!$B$3</f>
        <v/>
      </c>
      <c r="C24" t="n">
        <v>25</v>
      </c>
      <c r="D24">
        <f>IF(B24=C24,"PASS","FAIL")</f>
        <v/>
      </c>
    </row>
    <row r="25">
      <c r="A25" t="n">
        <v>2042</v>
      </c>
      <c r="B25">
        <f>Derivation!$B$3</f>
        <v/>
      </c>
      <c r="C25" t="n">
        <v>25</v>
      </c>
      <c r="D25">
        <f>IF(B25=C25,"PASS","FAIL")</f>
        <v/>
      </c>
    </row>
    <row r="26">
      <c r="A26" t="n">
        <v>2043</v>
      </c>
      <c r="B26">
        <f>Derivation!$B$3</f>
        <v/>
      </c>
      <c r="C26" t="n">
        <v>25</v>
      </c>
      <c r="D26">
        <f>IF(B26=C26,"PASS","FAIL")</f>
        <v/>
      </c>
    </row>
    <row r="27">
      <c r="A27" t="n">
        <v>2044</v>
      </c>
      <c r="B27">
        <f>Derivation!$B$3</f>
        <v/>
      </c>
      <c r="C27" t="n">
        <v>25</v>
      </c>
      <c r="D27">
        <f>IF(B27=C27,"PASS","FAIL")</f>
        <v/>
      </c>
    </row>
    <row r="28">
      <c r="A28" t="n">
        <v>2045</v>
      </c>
      <c r="B28">
        <f>Derivation!$B$3</f>
        <v/>
      </c>
      <c r="C28" t="n">
        <v>25</v>
      </c>
      <c r="D28">
        <f>IF(B28=C28,"PASS","FAIL")</f>
        <v/>
      </c>
    </row>
    <row r="29">
      <c r="A29" t="n">
        <v>2046</v>
      </c>
      <c r="B29">
        <f>Derivation!$B$3</f>
        <v/>
      </c>
      <c r="C29" t="n">
        <v>25</v>
      </c>
      <c r="D29">
        <f>IF(B29=C29,"PASS","FAIL")</f>
        <v/>
      </c>
    </row>
    <row r="30">
      <c r="A30" t="n">
        <v>2047</v>
      </c>
      <c r="B30">
        <f>Derivation!$B$3</f>
        <v/>
      </c>
      <c r="C30" t="n">
        <v>25</v>
      </c>
      <c r="D30">
        <f>IF(B30=C30,"PASS","FAIL")</f>
        <v/>
      </c>
    </row>
    <row r="31">
      <c r="A31" t="n">
        <v>2048</v>
      </c>
      <c r="B31">
        <f>Derivation!$B$3</f>
        <v/>
      </c>
      <c r="C31" t="n">
        <v>25</v>
      </c>
      <c r="D31">
        <f>IF(B31=C31,"PASS","FAIL")</f>
        <v/>
      </c>
    </row>
    <row r="32">
      <c r="A32" t="n">
        <v>2049</v>
      </c>
      <c r="B32">
        <f>Derivation!$B$3</f>
        <v/>
      </c>
      <c r="C32" t="n">
        <v>25</v>
      </c>
      <c r="D32">
        <f>IF(B32=C32,"PASS","FAIL")</f>
        <v/>
      </c>
    </row>
    <row r="33">
      <c r="A33" t="n">
        <v>2050</v>
      </c>
      <c r="B33">
        <f>Derivation!$B$3</f>
        <v/>
      </c>
      <c r="C33" t="n">
        <v>25</v>
      </c>
      <c r="D33">
        <f>IF(B33=C33,"PASS","FAIL")</f>
        <v/>
      </c>
    </row>
    <row r="34"/>
    <row r="35">
      <c r="A35" s="1" t="inlineStr">
        <is>
          <t>Overall</t>
        </is>
      </c>
      <c r="B35">
        <f>IF(COUNTIF(D4:D33,"FAIL")=0,"ALL PASS","CHECK FAILURES ABOVE")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by pathway (dry kiln RECALIBRATED 2026-10-01 after the 2012-USD capital-cost fix and CCS reconciliation: 0.1297 (was 0.03565) = facing-weighted mean dry-kiln overhaul share 0.485 over 2026-2050 in run S7_Cal2 = mean retirement age ~49 yr at CPPL 25 = US fleet mean operating age ~36 yr (PCA 2019); jointly identified with IELC -6 and the greenfield cost basis - re-solve whenever CPCC/CRCC/IELC change (crsw_recal2.py, 2 Newton passes); other pathways carry the same weight - judgment)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Cement Overhaul Shareweight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2026-08-26T11:48:09Z</dcterms:created>
  <dcterms:modified xsi:type="dcterms:W3CDTF">2026-10-01T19:37:05Z</dcterms:modified>
</cp:coreProperties>
</file>