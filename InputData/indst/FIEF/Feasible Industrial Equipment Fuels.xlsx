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FIEF\"/>
    </mc:Choice>
  </mc:AlternateContent>
  <xr:revisionPtr revIDLastSave="0" documentId="13_ncr:1_{EDD2ADA1-0AE2-4CE7-90B1-0186DADBC3E0}" xr6:coauthVersionLast="47" xr6:coauthVersionMax="47" xr10:uidLastSave="{00000000-0000-0000-0000-000000000000}"/>
  <bookViews>
    <workbookView xWindow="1560" yWindow="1560" windowWidth="21600" windowHeight="11235" activeTab="2" xr2:uid="{00000000-000D-0000-FFFF-FFFF00000000}"/>
  </bookViews>
  <sheets>
    <sheet name="About" sheetId="1" r:id="rId1"/>
    <sheet name="Parameters" sheetId="2" r:id="rId2"/>
    <sheet name="Mask" sheetId="3" r:id="rId3"/>
    <sheet name="Checks" sheetId="4" r:id="rId4"/>
    <sheet name="FIEF" sheetId="5" r:id="rId5"/>
    <sheet name="MSfFIE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L2" i="5"/>
  <c r="K2" i="5"/>
  <c r="J2" i="5"/>
  <c r="I2" i="5"/>
  <c r="H2" i="5"/>
  <c r="G2" i="5"/>
  <c r="F2" i="5"/>
  <c r="E2" i="5"/>
  <c r="D2" i="5"/>
  <c r="C2" i="5"/>
  <c r="B2" i="6"/>
  <c r="B2" i="5"/>
  <c r="B6" i="4"/>
  <c r="C6" i="4" s="1"/>
  <c r="B5" i="4"/>
  <c r="C5" i="4" s="1"/>
  <c r="B4" i="4"/>
  <c r="C4" i="4" s="1"/>
  <c r="B3" i="4"/>
  <c r="C3" i="4" s="1"/>
  <c r="B2" i="4"/>
  <c r="C2" i="4" s="1"/>
  <c r="B20" i="3"/>
  <c r="B18" i="3"/>
  <c r="B17" i="3"/>
  <c r="B16" i="3"/>
</calcChain>
</file>

<file path=xl/sharedStrings.xml><?xml version="1.0" encoding="utf-8"?>
<sst xmlns="http://schemas.openxmlformats.org/spreadsheetml/2006/main" count="105" uniqueCount="77">
  <si>
    <t>FIEF Feasible Industrial Equipment Fuels</t>
  </si>
  <si>
    <t>Sources:</t>
  </si>
  <si>
    <t>Observed fuel-process combinations (data-driven feasibility default)</t>
  </si>
  <si>
    <t>Energy Innovation (internal)</t>
  </si>
  <si>
    <t>EPS IES Industrial Equipment Shareweights calibration (InputData/indst/IES; commit f54990d4)</t>
  </si>
  <si>
    <t>https://github.com/EnergyInnovation/eps-us</t>
  </si>
  <si>
    <t>Hydrogen combustion equipment across industrial temperature ranges (judgment cells)</t>
  </si>
  <si>
    <t>U.S. Department of Energy</t>
  </si>
  <si>
    <t>Industrial Decarbonization Roadmap (DOE/EE-2635) and DOE Hydrogen Program industrial heat literature</t>
  </si>
  <si>
    <t>https://www.energy.gov/eere/doe-industrial-decarbonization-roadmap</t>
  </si>
  <si>
    <t>Hydrogen burners; boilers; and furnaces are demonstrated or commercially offered across all modeled temperature bands; hydrogen turbines and engines support machine drive. Cooling and lighting are excluded (no direct hydrogen equipment pathway). VERIFY citation specifics against the primary document before external use.</t>
  </si>
  <si>
    <t>District heat service range (judgment cells)</t>
  </si>
  <si>
    <t>International Energy Agency</t>
  </si>
  <si>
    <t>District Heating (IEA technology page)</t>
  </si>
  <si>
    <t>https://www.iea.org/energy-system/buildings/district-heating</t>
  </si>
  <si>
    <t>Purchased district heat and steam serve low-temperature process heat (below approx. 200 C) and facility HVAC; higher bands; machine drive; cooling; and lighting are excluded. VERIFY before external use.</t>
  </si>
  <si>
    <t>Notes:</t>
  </si>
  <si>
    <t>What FIEF is</t>
  </si>
  <si>
    <t>A 0/1 technical-feasibility mask by Industrial Fuel x Industrial Process. It does NOT set adoption; it only marks which fuel-process pairs are physically capable of serving the load. Feasible pairs receive a minimum effective shareweight (MSfFIEF) in the fuel-choice logit so that financial policies can deploy currently-unused fuels; infeasible pairs stay hard-zero.</t>
  </si>
  <si>
    <t>What MSfFIEF is</t>
  </si>
  <si>
    <t>The epsilon floor applied to feasible pairs: Effective Shareweight = MAX(IES; MSfFIEF x FIEF). At the central value 0.001 and logit exponent -6; a floored fuel reaches share parity with an incumbent (shareweight ~1) when its cost per unit energy service falls to about 1/3.2 of the incumbent's; and it captures the market if policy makes it nearly free. At BAU prices its share is approximately MSfFIEF (0.1%); the deliberate cost of unlocking policy responsiveness.</t>
  </si>
  <si>
    <t>Sensitivity</t>
  </si>
  <si>
    <t>MSfFIEF = 0.0001 requires about a 4.6x cost advantage for parity; 0.01 requires about 2.2x. The Mask tab computes these thresholds with visible formulas. Setting MSfFIEF = 0 exactly reproduces the pre-floor model (validated bit-identical).</t>
  </si>
  <si>
    <t>Row/column order</t>
  </si>
  <si>
    <t>FIEF.csv row order matches the Industrial Fuel subscript; column order matches the Industrial Process subscript in EPS.mdl. Do not re-sort.</t>
  </si>
  <si>
    <t>Judgment cells</t>
  </si>
  <si>
    <t>Floor eligibility</t>
  </si>
  <si>
    <t>Parameter</t>
  </si>
  <si>
    <t>Value</t>
  </si>
  <si>
    <t>Minimum effective shareweight (epsilon)</t>
  </si>
  <si>
    <t>Logit exponent magnitude (for threshold math)</t>
  </si>
  <si>
    <t>Industrial Fuel \ Industrial Process</t>
  </si>
  <si>
    <t>heat below 100 C</t>
  </si>
  <si>
    <t>heat 100 to 200 C</t>
  </si>
  <si>
    <t>heat 200 to 500 C</t>
  </si>
  <si>
    <t>heat 500 to 1000 C</t>
  </si>
  <si>
    <t>heat above 1000 C</t>
  </si>
  <si>
    <t>cooling</t>
  </si>
  <si>
    <t>machine drive</t>
  </si>
  <si>
    <t>other processes</t>
  </si>
  <si>
    <t>facility HVAC</t>
  </si>
  <si>
    <t>facility lighting</t>
  </si>
  <si>
    <t>other nonprocess</t>
  </si>
  <si>
    <t>Basis</t>
  </si>
  <si>
    <t>Floor eligible (1=receives epsilon floor)</t>
  </si>
  <si>
    <t>electricity if</t>
  </si>
  <si>
    <t>observed-anywhere</t>
  </si>
  <si>
    <t>hard coal if</t>
  </si>
  <si>
    <t>natural gas if</t>
  </si>
  <si>
    <t>biomass if</t>
  </si>
  <si>
    <t>petroleum diesel if</t>
  </si>
  <si>
    <t>heat if</t>
  </si>
  <si>
    <t>observed + judgment: district heat range</t>
  </si>
  <si>
    <t>crude oil if</t>
  </si>
  <si>
    <t>heavy or residual fuel oil if</t>
  </si>
  <si>
    <t>LPG propane or butane if</t>
  </si>
  <si>
    <t>hydrogen if</t>
  </si>
  <si>
    <t>observed + judgment: hydrogen heat/machine drive</t>
  </si>
  <si>
    <t>Parity cost-advantage threshold (= (1/eps)^(1/exponent))</t>
  </si>
  <si>
    <t>eps</t>
  </si>
  <si>
    <t>threshold</t>
  </si>
  <si>
    <t>Central value (from Parameters!B2)</t>
  </si>
  <si>
    <t>Check</t>
  </si>
  <si>
    <t>Result</t>
  </si>
  <si>
    <t>Status</t>
  </si>
  <si>
    <t>Electricity row (Mask row 2) is all 1</t>
  </si>
  <si>
    <t>Facility lighting column (Mask col L) sums to 1 (electricity only)</t>
  </si>
  <si>
    <t>Epsilon (Parameters!B2) is between 0 and 0.1</t>
  </si>
  <si>
    <t>Feasibility (1=technically feasible; 0=infeasible)</t>
  </si>
  <si>
    <t>Unit: dimensionless (minimum effective shareweight)</t>
  </si>
  <si>
    <t>Minimum Shareweight</t>
  </si>
  <si>
    <t>Feasible Industrial Equipment Fuels</t>
  </si>
  <si>
    <t>Count of 0/1 cells equals 110 (10 fuels x 11 processes)</t>
  </si>
  <si>
    <t>Feasible-cell count equals 78</t>
  </si>
  <si>
    <t>Rule: a fuel observed serving a process in ANY of the 25 modeled industries is treated as technically feasible for that process in all industries (zero observed share elsewhere is a corner solution; not physical impossibility). This covers 66 of the 78 feasible cells. The remaining judgment cells are documented on the Mask tab and below.</t>
  </si>
  <si>
    <t>12 of the 78 feasible cells are engineering judgment rather than observed use: hydrogen (9 processes; all but cooling and lighting) and district heat (heat below 100 C; heat 100 to 200 C; facility HVAC). All other feasible cells follow the observed-anywhere rule; all other zero cells are physical or practical infeasibility (e.g. only electricity serves lighting).</t>
  </si>
  <si>
    <t>The exported mask equals technical feasibility TIMES a floor-eligibility flag per fuel (Mask tab column N). Only electricity; purchased heat; and hydrogen receive the epsilon floor. Validation runs with the floor applied to ALL feasible fuels showed cheap conventional fuels (biomass +34%; hard coal +18% in 2050 BAU fuel use at epsilon=0.001) breaking through at BAU prices in industries whose zero calibrated share reflects non-cost barriers (fuel handling; supply logistics) - a BAU distortion with no policy-analysis benefit. Restricting the floor to the policy-relevant locked-out fuels preserves BAU (conventional zeros stay hard) while unlocking clean-fuel deployment under financial policy. The full technical-feasibility matrix remains documented on the Mask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</si>
</sst>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ea.org/energy-system/buildings/district-heating" TargetMode="External"/><Relationship Id="rId2" Type="http://schemas.openxmlformats.org/officeDocument/2006/relationships/hyperlink" Target="https://www.energy.gov/eere/doe-industrial-decarbonization-roadmap" TargetMode="External"/><Relationship Id="rId1" Type="http://schemas.openxmlformats.org/officeDocument/2006/relationships/hyperlink" Target="https://github.com/EnergyInnovation/eps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A6" sqref="A6"/>
    </sheetView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2026</v>
      </c>
    </row>
    <row r="7" spans="1:2" x14ac:dyDescent="0.25">
      <c r="B7" s="4" t="s">
        <v>5</v>
      </c>
    </row>
    <row r="8" spans="1:2" ht="45" x14ac:dyDescent="0.25">
      <c r="B8" s="3" t="s">
        <v>74</v>
      </c>
    </row>
    <row r="10" spans="1:2" x14ac:dyDescent="0.25">
      <c r="B10" s="2" t="s">
        <v>6</v>
      </c>
    </row>
    <row r="11" spans="1:2" x14ac:dyDescent="0.25">
      <c r="B11" s="3" t="s">
        <v>7</v>
      </c>
    </row>
    <row r="12" spans="1:2" x14ac:dyDescent="0.25">
      <c r="B12" s="3" t="s">
        <v>8</v>
      </c>
    </row>
    <row r="13" spans="1:2" x14ac:dyDescent="0.25">
      <c r="B13" s="3">
        <v>2022</v>
      </c>
    </row>
    <row r="14" spans="1:2" x14ac:dyDescent="0.25">
      <c r="B14" s="4" t="s">
        <v>9</v>
      </c>
    </row>
    <row r="15" spans="1:2" ht="45" x14ac:dyDescent="0.25">
      <c r="B15" s="3" t="s">
        <v>10</v>
      </c>
    </row>
    <row r="17" spans="1:2" x14ac:dyDescent="0.25">
      <c r="B17" s="2" t="s">
        <v>11</v>
      </c>
    </row>
    <row r="18" spans="1:2" x14ac:dyDescent="0.25">
      <c r="B18" s="3" t="s">
        <v>12</v>
      </c>
    </row>
    <row r="19" spans="1:2" x14ac:dyDescent="0.25">
      <c r="B19" s="3" t="s">
        <v>13</v>
      </c>
    </row>
    <row r="20" spans="1:2" x14ac:dyDescent="0.25">
      <c r="B20" s="3">
        <v>2024</v>
      </c>
    </row>
    <row r="21" spans="1:2" x14ac:dyDescent="0.25">
      <c r="B21" s="4" t="s">
        <v>14</v>
      </c>
    </row>
    <row r="22" spans="1:2" ht="30" x14ac:dyDescent="0.25">
      <c r="B22" s="3" t="s">
        <v>15</v>
      </c>
    </row>
    <row r="25" spans="1:2" x14ac:dyDescent="0.25">
      <c r="A25" s="1" t="s">
        <v>16</v>
      </c>
    </row>
    <row r="26" spans="1:2" ht="60" x14ac:dyDescent="0.25">
      <c r="A26" s="5" t="s">
        <v>17</v>
      </c>
      <c r="B26" s="3" t="s">
        <v>18</v>
      </c>
    </row>
    <row r="27" spans="1:2" ht="60" x14ac:dyDescent="0.25">
      <c r="A27" s="5" t="s">
        <v>19</v>
      </c>
      <c r="B27" s="3" t="s">
        <v>20</v>
      </c>
    </row>
    <row r="28" spans="1:2" ht="30" x14ac:dyDescent="0.25">
      <c r="A28" s="5" t="s">
        <v>21</v>
      </c>
      <c r="B28" s="3" t="s">
        <v>22</v>
      </c>
    </row>
    <row r="29" spans="1:2" ht="30" x14ac:dyDescent="0.25">
      <c r="A29" s="5" t="s">
        <v>23</v>
      </c>
      <c r="B29" s="3" t="s">
        <v>24</v>
      </c>
    </row>
    <row r="30" spans="1:2" ht="45" x14ac:dyDescent="0.25">
      <c r="A30" s="5" t="s">
        <v>25</v>
      </c>
      <c r="B30" s="3" t="s">
        <v>75</v>
      </c>
    </row>
    <row r="31" spans="1:2" ht="105" x14ac:dyDescent="0.25">
      <c r="A31" s="1" t="s">
        <v>26</v>
      </c>
      <c r="B31" s="3" t="s">
        <v>76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45" customWidth="1"/>
    <col min="2" max="2" width="14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t="s">
        <v>29</v>
      </c>
      <c r="B2">
        <v>1E-3</v>
      </c>
    </row>
    <row r="3" spans="1:2" x14ac:dyDescent="0.25">
      <c r="A3" t="s">
        <v>30</v>
      </c>
      <c r="B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tabSelected="1" zoomScale="69" workbookViewId="0">
      <selection activeCell="D7" sqref="D7"/>
    </sheetView>
  </sheetViews>
  <sheetFormatPr defaultRowHeight="15" x14ac:dyDescent="0.25"/>
  <cols>
    <col min="1" max="1" width="30" customWidth="1"/>
    <col min="2" max="12" width="16" customWidth="1"/>
    <col min="13" max="13" width="42" customWidth="1"/>
  </cols>
  <sheetData>
    <row r="1" spans="1:14" ht="9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6" t="s">
        <v>44</v>
      </c>
    </row>
    <row r="2" spans="1:14" x14ac:dyDescent="0.25">
      <c r="A2" s="1" t="s">
        <v>45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 t="s">
        <v>46</v>
      </c>
      <c r="N2">
        <v>1</v>
      </c>
    </row>
    <row r="3" spans="1:14" x14ac:dyDescent="0.25">
      <c r="A3" s="1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 t="s">
        <v>46</v>
      </c>
      <c r="N3">
        <v>0</v>
      </c>
    </row>
    <row r="4" spans="1:14" x14ac:dyDescent="0.25">
      <c r="A4" s="1" t="s">
        <v>48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 t="s">
        <v>46</v>
      </c>
      <c r="N4">
        <v>0</v>
      </c>
    </row>
    <row r="5" spans="1:14" x14ac:dyDescent="0.25">
      <c r="A5" s="1" t="s">
        <v>49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 t="s">
        <v>46</v>
      </c>
      <c r="N5">
        <v>0</v>
      </c>
    </row>
    <row r="6" spans="1:14" x14ac:dyDescent="0.25">
      <c r="A6" s="1" t="s">
        <v>50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 t="s">
        <v>46</v>
      </c>
      <c r="N6">
        <v>0</v>
      </c>
    </row>
    <row r="7" spans="1:14" x14ac:dyDescent="0.25">
      <c r="A7" s="1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 t="s">
        <v>52</v>
      </c>
      <c r="N7">
        <v>1</v>
      </c>
    </row>
    <row r="8" spans="1:14" x14ac:dyDescent="0.25">
      <c r="A8" s="1" t="s">
        <v>53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 t="s">
        <v>46</v>
      </c>
      <c r="N8">
        <v>0</v>
      </c>
    </row>
    <row r="9" spans="1:14" x14ac:dyDescent="0.25">
      <c r="A9" s="1" t="s">
        <v>54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 t="s">
        <v>46</v>
      </c>
      <c r="N9">
        <v>0</v>
      </c>
    </row>
    <row r="10" spans="1:14" x14ac:dyDescent="0.25">
      <c r="A10" s="1" t="s">
        <v>55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 t="s">
        <v>46</v>
      </c>
      <c r="N10">
        <v>0</v>
      </c>
    </row>
    <row r="11" spans="1:14" x14ac:dyDescent="0.25">
      <c r="A11" s="1" t="s">
        <v>56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57</v>
      </c>
      <c r="N11">
        <v>1</v>
      </c>
    </row>
    <row r="14" spans="1:14" x14ac:dyDescent="0.25">
      <c r="A14" s="1" t="s">
        <v>58</v>
      </c>
    </row>
    <row r="15" spans="1:14" x14ac:dyDescent="0.25">
      <c r="A15" t="s">
        <v>59</v>
      </c>
      <c r="B15" t="s">
        <v>60</v>
      </c>
    </row>
    <row r="16" spans="1:14" x14ac:dyDescent="0.25">
      <c r="A16">
        <v>1E-4</v>
      </c>
      <c r="B16">
        <f>(1/A16)^(1/Parameters!$B$3)</f>
        <v>4.6415888336127793</v>
      </c>
    </row>
    <row r="17" spans="1:2" x14ac:dyDescent="0.25">
      <c r="A17">
        <v>1E-3</v>
      </c>
      <c r="B17">
        <f>(1/A17)^(1/Parameters!$B$3)</f>
        <v>3.1622776601683791</v>
      </c>
    </row>
    <row r="18" spans="1:2" x14ac:dyDescent="0.25">
      <c r="A18">
        <v>0.01</v>
      </c>
      <c r="B18">
        <f>(1/A18)^(1/Parameters!$B$3)</f>
        <v>2.1544346900318838</v>
      </c>
    </row>
    <row r="20" spans="1:2" x14ac:dyDescent="0.25">
      <c r="A20" t="s">
        <v>61</v>
      </c>
      <c r="B20">
        <f>(1/Parameters!$B$2)^(1/Parameters!$B$3)</f>
        <v>3.1622776601683791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cols>
    <col min="1" max="1" width="60" customWidth="1"/>
    <col min="2" max="2" width="12" customWidth="1"/>
    <col min="3" max="3" width="10" customWidth="1"/>
  </cols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 t="s">
        <v>72</v>
      </c>
      <c r="B2">
        <f>COUNTIF(Mask!B2:L11,0)+COUNTIF(Mask!B2:L11,1)</f>
        <v>110</v>
      </c>
      <c r="C2" t="str">
        <f>IF(B2=110,"PASS","FAIL")</f>
        <v>PASS</v>
      </c>
    </row>
    <row r="3" spans="1:3" x14ac:dyDescent="0.25">
      <c r="A3" t="s">
        <v>65</v>
      </c>
      <c r="B3">
        <f>SUM(Mask!B2:L2)</f>
        <v>11</v>
      </c>
      <c r="C3" t="str">
        <f>IF(B3=11,"PASS","FAIL")</f>
        <v>PASS</v>
      </c>
    </row>
    <row r="4" spans="1:3" x14ac:dyDescent="0.25">
      <c r="A4" t="s">
        <v>66</v>
      </c>
      <c r="B4">
        <f>SUM(Mask!L2:L11)</f>
        <v>7</v>
      </c>
      <c r="C4" t="str">
        <f>IF(B4=1,"PASS","FAIL")</f>
        <v>FAIL</v>
      </c>
    </row>
    <row r="5" spans="1:3" x14ac:dyDescent="0.25">
      <c r="A5" t="s">
        <v>73</v>
      </c>
      <c r="B5">
        <f>SUM(Mask!B2:L11)</f>
        <v>70</v>
      </c>
      <c r="C5" t="str">
        <f>IF(B5=78,"PASS","FAIL")</f>
        <v>FAIL</v>
      </c>
    </row>
    <row r="6" spans="1:3" x14ac:dyDescent="0.25">
      <c r="A6" t="s">
        <v>67</v>
      </c>
      <c r="B6">
        <f>IF(AND(Parameters!$B$2&gt;0,Parameters!$B$2&lt;0.1),1,0)</f>
        <v>1</v>
      </c>
      <c r="C6" t="str">
        <f>IF(B6=1,"PASS","FAIL")</f>
        <v>PASS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L11"/>
  <sheetViews>
    <sheetView workbookViewId="0">
      <selection activeCell="B7" sqref="B7"/>
    </sheetView>
  </sheetViews>
  <sheetFormatPr defaultRowHeight="15" x14ac:dyDescent="0.25"/>
  <sheetData>
    <row r="1" spans="1:12" x14ac:dyDescent="0.25">
      <c r="A1" t="s">
        <v>68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 t="s">
        <v>45</v>
      </c>
      <c r="B2">
        <f>Mask!B2*Mask!$N2</f>
        <v>1</v>
      </c>
      <c r="C2">
        <f>Mask!C2*Mask!$N2</f>
        <v>1</v>
      </c>
      <c r="D2">
        <f>Mask!D2*Mask!$N2</f>
        <v>1</v>
      </c>
      <c r="E2">
        <f>Mask!E2*Mask!$N2</f>
        <v>1</v>
      </c>
      <c r="F2">
        <f>Mask!F2*Mask!$N2</f>
        <v>1</v>
      </c>
      <c r="G2">
        <f>Mask!G2*Mask!$N2</f>
        <v>1</v>
      </c>
      <c r="H2">
        <f>Mask!H2*Mask!$N2</f>
        <v>1</v>
      </c>
      <c r="I2">
        <f>Mask!I2*Mask!$N2</f>
        <v>1</v>
      </c>
      <c r="J2">
        <f>Mask!J2*Mask!$N2</f>
        <v>1</v>
      </c>
      <c r="K2">
        <f>Mask!K2*Mask!$N2</f>
        <v>1</v>
      </c>
      <c r="L2">
        <f>Mask!L2*Mask!$N2</f>
        <v>1</v>
      </c>
    </row>
    <row r="3" spans="1:12" x14ac:dyDescent="0.25">
      <c r="A3" t="s">
        <v>47</v>
      </c>
      <c r="B3">
        <f>Mask!B3*Mask!$N3</f>
        <v>0</v>
      </c>
      <c r="C3">
        <f>Mask!C3*Mask!$N3</f>
        <v>0</v>
      </c>
      <c r="D3">
        <f>Mask!D3*Mask!$N3</f>
        <v>0</v>
      </c>
      <c r="E3">
        <f>Mask!E3*Mask!$N3</f>
        <v>0</v>
      </c>
      <c r="F3">
        <f>Mask!F3*Mask!$N3</f>
        <v>0</v>
      </c>
      <c r="G3">
        <f>Mask!G3*Mask!$N3</f>
        <v>0</v>
      </c>
      <c r="H3">
        <f>Mask!H3*Mask!$N3</f>
        <v>0</v>
      </c>
      <c r="I3">
        <f>Mask!I3*Mask!$N3</f>
        <v>0</v>
      </c>
      <c r="J3">
        <f>Mask!J3*Mask!$N3</f>
        <v>0</v>
      </c>
      <c r="K3">
        <f>Mask!K3*Mask!$N3</f>
        <v>0</v>
      </c>
      <c r="L3">
        <f>Mask!L3*Mask!$N3</f>
        <v>0</v>
      </c>
    </row>
    <row r="4" spans="1:12" x14ac:dyDescent="0.25">
      <c r="A4" t="s">
        <v>48</v>
      </c>
      <c r="B4">
        <f>Mask!B4*Mask!$N4</f>
        <v>0</v>
      </c>
      <c r="C4">
        <f>Mask!C4*Mask!$N4</f>
        <v>0</v>
      </c>
      <c r="D4">
        <f>Mask!D4*Mask!$N4</f>
        <v>0</v>
      </c>
      <c r="E4">
        <f>Mask!E4*Mask!$N4</f>
        <v>0</v>
      </c>
      <c r="F4">
        <f>Mask!F4*Mask!$N4</f>
        <v>0</v>
      </c>
      <c r="G4">
        <f>Mask!G4*Mask!$N4</f>
        <v>0</v>
      </c>
      <c r="H4">
        <f>Mask!H4*Mask!$N4</f>
        <v>0</v>
      </c>
      <c r="I4">
        <f>Mask!I4*Mask!$N4</f>
        <v>0</v>
      </c>
      <c r="J4">
        <f>Mask!J4*Mask!$N4</f>
        <v>0</v>
      </c>
      <c r="K4">
        <f>Mask!K4*Mask!$N4</f>
        <v>0</v>
      </c>
      <c r="L4">
        <f>Mask!L4*Mask!$N4</f>
        <v>0</v>
      </c>
    </row>
    <row r="5" spans="1:12" x14ac:dyDescent="0.25">
      <c r="A5" t="s">
        <v>49</v>
      </c>
      <c r="B5">
        <f>Mask!B5*Mask!$N5</f>
        <v>0</v>
      </c>
      <c r="C5">
        <f>Mask!C5*Mask!$N5</f>
        <v>0</v>
      </c>
      <c r="D5">
        <f>Mask!D5*Mask!$N5</f>
        <v>0</v>
      </c>
      <c r="E5">
        <f>Mask!E5*Mask!$N5</f>
        <v>0</v>
      </c>
      <c r="F5">
        <f>Mask!F5*Mask!$N5</f>
        <v>0</v>
      </c>
      <c r="G5">
        <f>Mask!G5*Mask!$N5</f>
        <v>0</v>
      </c>
      <c r="H5">
        <f>Mask!H5*Mask!$N5</f>
        <v>0</v>
      </c>
      <c r="I5">
        <f>Mask!I5*Mask!$N5</f>
        <v>0</v>
      </c>
      <c r="J5">
        <f>Mask!J5*Mask!$N5</f>
        <v>0</v>
      </c>
      <c r="K5">
        <f>Mask!K5*Mask!$N5</f>
        <v>0</v>
      </c>
      <c r="L5">
        <f>Mask!L5*Mask!$N5</f>
        <v>0</v>
      </c>
    </row>
    <row r="6" spans="1:12" x14ac:dyDescent="0.25">
      <c r="A6" t="s">
        <v>50</v>
      </c>
      <c r="B6">
        <f>Mask!B6*Mask!$N6</f>
        <v>0</v>
      </c>
      <c r="C6">
        <f>Mask!C6*Mask!$N6</f>
        <v>0</v>
      </c>
      <c r="D6">
        <f>Mask!D6*Mask!$N6</f>
        <v>0</v>
      </c>
      <c r="E6">
        <f>Mask!E6*Mask!$N6</f>
        <v>0</v>
      </c>
      <c r="F6">
        <f>Mask!F6*Mask!$N6</f>
        <v>0</v>
      </c>
      <c r="G6">
        <f>Mask!G6*Mask!$N6</f>
        <v>0</v>
      </c>
      <c r="H6">
        <f>Mask!H6*Mask!$N6</f>
        <v>0</v>
      </c>
      <c r="I6">
        <f>Mask!I6*Mask!$N6</f>
        <v>0</v>
      </c>
      <c r="J6">
        <f>Mask!J6*Mask!$N6</f>
        <v>0</v>
      </c>
      <c r="K6">
        <f>Mask!K6*Mask!$N6</f>
        <v>0</v>
      </c>
      <c r="L6">
        <f>Mask!L6*Mask!$N6</f>
        <v>0</v>
      </c>
    </row>
    <row r="7" spans="1:12" x14ac:dyDescent="0.25">
      <c r="A7" t="s">
        <v>51</v>
      </c>
      <c r="B7">
        <f>Mask!B7*Mask!$N7</f>
        <v>0</v>
      </c>
      <c r="C7">
        <f>Mask!C7*Mask!$N7</f>
        <v>0</v>
      </c>
      <c r="D7">
        <f>Mask!D7*Mask!$N7</f>
        <v>0</v>
      </c>
      <c r="E7">
        <f>Mask!E7*Mask!$N7</f>
        <v>0</v>
      </c>
      <c r="F7">
        <f>Mask!F7*Mask!$N7</f>
        <v>0</v>
      </c>
      <c r="G7">
        <f>Mask!G7*Mask!$N7</f>
        <v>0</v>
      </c>
      <c r="H7">
        <f>Mask!H7*Mask!$N7</f>
        <v>0</v>
      </c>
      <c r="I7">
        <f>Mask!I7*Mask!$N7</f>
        <v>0</v>
      </c>
      <c r="J7">
        <f>Mask!J7*Mask!$N7</f>
        <v>1</v>
      </c>
      <c r="K7">
        <f>Mask!K7*Mask!$N7</f>
        <v>0</v>
      </c>
      <c r="L7">
        <f>Mask!L7*Mask!$N7</f>
        <v>0</v>
      </c>
    </row>
    <row r="8" spans="1:12" x14ac:dyDescent="0.25">
      <c r="A8" t="s">
        <v>53</v>
      </c>
      <c r="B8">
        <f>Mask!B8*Mask!$N8</f>
        <v>0</v>
      </c>
      <c r="C8">
        <f>Mask!C8*Mask!$N8</f>
        <v>0</v>
      </c>
      <c r="D8">
        <f>Mask!D8*Mask!$N8</f>
        <v>0</v>
      </c>
      <c r="E8">
        <f>Mask!E8*Mask!$N8</f>
        <v>0</v>
      </c>
      <c r="F8">
        <f>Mask!F8*Mask!$N8</f>
        <v>0</v>
      </c>
      <c r="G8">
        <f>Mask!G8*Mask!$N8</f>
        <v>0</v>
      </c>
      <c r="H8">
        <f>Mask!H8*Mask!$N8</f>
        <v>0</v>
      </c>
      <c r="I8">
        <f>Mask!I8*Mask!$N8</f>
        <v>0</v>
      </c>
      <c r="J8">
        <f>Mask!J8*Mask!$N8</f>
        <v>0</v>
      </c>
      <c r="K8">
        <f>Mask!K8*Mask!$N8</f>
        <v>0</v>
      </c>
      <c r="L8">
        <f>Mask!L8*Mask!$N8</f>
        <v>0</v>
      </c>
    </row>
    <row r="9" spans="1:12" x14ac:dyDescent="0.25">
      <c r="A9" t="s">
        <v>54</v>
      </c>
      <c r="B9">
        <f>Mask!B9*Mask!$N9</f>
        <v>0</v>
      </c>
      <c r="C9">
        <f>Mask!C9*Mask!$N9</f>
        <v>0</v>
      </c>
      <c r="D9">
        <f>Mask!D9*Mask!$N9</f>
        <v>0</v>
      </c>
      <c r="E9">
        <f>Mask!E9*Mask!$N9</f>
        <v>0</v>
      </c>
      <c r="F9">
        <f>Mask!F9*Mask!$N9</f>
        <v>0</v>
      </c>
      <c r="G9">
        <f>Mask!G9*Mask!$N9</f>
        <v>0</v>
      </c>
      <c r="H9">
        <f>Mask!H9*Mask!$N9</f>
        <v>0</v>
      </c>
      <c r="I9">
        <f>Mask!I9*Mask!$N9</f>
        <v>0</v>
      </c>
      <c r="J9">
        <f>Mask!J9*Mask!$N9</f>
        <v>0</v>
      </c>
      <c r="K9">
        <f>Mask!K9*Mask!$N9</f>
        <v>0</v>
      </c>
      <c r="L9">
        <f>Mask!L9*Mask!$N9</f>
        <v>0</v>
      </c>
    </row>
    <row r="10" spans="1:12" x14ac:dyDescent="0.25">
      <c r="A10" t="s">
        <v>55</v>
      </c>
      <c r="B10">
        <f>Mask!B10*Mask!$N10</f>
        <v>0</v>
      </c>
      <c r="C10">
        <f>Mask!C10*Mask!$N10</f>
        <v>0</v>
      </c>
      <c r="D10">
        <f>Mask!D10*Mask!$N10</f>
        <v>0</v>
      </c>
      <c r="E10">
        <f>Mask!E10*Mask!$N10</f>
        <v>0</v>
      </c>
      <c r="F10">
        <f>Mask!F10*Mask!$N10</f>
        <v>0</v>
      </c>
      <c r="G10">
        <f>Mask!G10*Mask!$N10</f>
        <v>0</v>
      </c>
      <c r="H10">
        <f>Mask!H10*Mask!$N10</f>
        <v>0</v>
      </c>
      <c r="I10">
        <f>Mask!I10*Mask!$N10</f>
        <v>0</v>
      </c>
      <c r="J10">
        <f>Mask!J10*Mask!$N10</f>
        <v>0</v>
      </c>
      <c r="K10">
        <f>Mask!K10*Mask!$N10</f>
        <v>0</v>
      </c>
      <c r="L10">
        <f>Mask!L10*Mask!$N10</f>
        <v>0</v>
      </c>
    </row>
    <row r="11" spans="1:12" x14ac:dyDescent="0.25">
      <c r="A11" t="s">
        <v>56</v>
      </c>
      <c r="B11">
        <f>Mask!B11*Mask!$N11</f>
        <v>0</v>
      </c>
      <c r="C11">
        <f>Mask!C11*Mask!$N11</f>
        <v>0</v>
      </c>
      <c r="D11">
        <f>Mask!D11*Mask!$N11</f>
        <v>1</v>
      </c>
      <c r="E11">
        <f>Mask!E11*Mask!$N11</f>
        <v>1</v>
      </c>
      <c r="F11">
        <f>Mask!F11*Mask!$N11</f>
        <v>1</v>
      </c>
      <c r="G11">
        <f>Mask!G11*Mask!$N11</f>
        <v>0</v>
      </c>
      <c r="H11">
        <f>Mask!H11*Mask!$N11</f>
        <v>0</v>
      </c>
      <c r="I11">
        <f>Mask!I11*Mask!$N11</f>
        <v>0</v>
      </c>
      <c r="J11">
        <f>Mask!J11*Mask!$N11</f>
        <v>0</v>
      </c>
      <c r="K11">
        <f>Mask!K11*Mask!$N11</f>
        <v>0</v>
      </c>
      <c r="L11">
        <f>Mask!L11*Mask!$N11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B2"/>
  <sheetViews>
    <sheetView workbookViewId="0">
      <selection activeCell="B23" sqref="B23"/>
    </sheetView>
  </sheetViews>
  <sheetFormatPr defaultRowHeight="15" x14ac:dyDescent="0.25"/>
  <sheetData>
    <row r="1" spans="1:2" x14ac:dyDescent="0.25">
      <c r="A1" t="s">
        <v>69</v>
      </c>
      <c r="B1" t="s">
        <v>70</v>
      </c>
    </row>
    <row r="2" spans="1:2" x14ac:dyDescent="0.25">
      <c r="A2" t="s">
        <v>71</v>
      </c>
      <c r="B2">
        <f>Parameters!$B$2</f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Parameters</vt:lpstr>
      <vt:lpstr>Mask</vt:lpstr>
      <vt:lpstr>Checks</vt:lpstr>
      <vt:lpstr>FIEF</vt:lpstr>
      <vt:lpstr>MSfFIEF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2026-08-10T22:08:37Z</dcterms:created>
  <dcterms:modified xsi:type="dcterms:W3CDTF">2026-10-20T19:24:23Z</dcterms:modified>
</cp:coreProperties>
</file>