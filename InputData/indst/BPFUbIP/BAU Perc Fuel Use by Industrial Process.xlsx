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PFUbIP\"/>
    </mc:Choice>
  </mc:AlternateContent>
  <xr:revisionPtr revIDLastSave="0" documentId="13_ncr:1_{155A2788-087D-4AB1-B3B0-4C36550DF3CF}" xr6:coauthVersionLast="47" xr6:coauthVersionMax="47" xr10:uidLastSave="{00000000-0000-0000-0000-000000000000}"/>
  <bookViews>
    <workbookView xWindow="-26400" yWindow="870" windowWidth="24960" windowHeight="15375" tabRatio="713" activeTab="4" xr2:uid="{0EFD7D2D-3818-4E99-A112-4A3FD8AE68FC}"/>
  </bookViews>
  <sheets>
    <sheet name="About" sheetId="1" r:id="rId1"/>
    <sheet name="EIA Requested Industry table" sheetId="19" r:id="rId2"/>
    <sheet name="Mobile vs Stationary" sheetId="38" r:id="rId3"/>
    <sheet name="Table 5.2" sheetId="36" r:id="rId4"/>
    <sheet name="Summed Data by Industry NEW" sheetId="37" r:id="rId5"/>
    <sheet name="Raw Temperature Breakdown" sheetId="7" r:id="rId6"/>
    <sheet name="Temps Mapped to EPS Industries" sheetId="6" r:id="rId7"/>
    <sheet name="BPFUbIP-electricity" sheetId="32" r:id="rId8"/>
    <sheet name="BPFUbIP-hard-coal" sheetId="23" r:id="rId9"/>
    <sheet name="BPFUbIP-natural-gas" sheetId="24" r:id="rId10"/>
    <sheet name="BPFUbIP-biomass" sheetId="25" r:id="rId11"/>
    <sheet name="BPFUbIP-petroleum-diesel" sheetId="26" r:id="rId12"/>
    <sheet name="BPFUbIP-heat" sheetId="27" r:id="rId13"/>
    <sheet name="BPFUbIP-crude-oil" sheetId="28" r:id="rId14"/>
    <sheet name="BPFUbIP-hvy-resid-fuel-oil" sheetId="29" r:id="rId15"/>
    <sheet name="BPFUbIP-LPG" sheetId="30" r:id="rId16"/>
    <sheet name="BPFUbIP-hydrogen" sheetId="31" r:id="rId17"/>
    <sheet name="BPFUbIP-green-hydrogen" sheetId="34" r:id="rId18"/>
    <sheet name="BPFUbIP-lowcarbon-hydrogen" sheetId="35" r:id="rId19"/>
    <sheet name="BPFUbIP-fallback" sheetId="33" r:id="rId20"/>
  </sheets>
  <externalReferences>
    <externalReference r:id="rId21"/>
    <externalReference r:id="rId22"/>
    <externalReference r:id="rId23"/>
  </externalReferences>
  <definedNames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7" i="37" l="1"/>
  <c r="AC5" i="37" l="1"/>
  <c r="AJ29" i="37" l="1"/>
  <c r="AH29" i="37"/>
  <c r="AJ5" i="37"/>
  <c r="V6" i="37"/>
  <c r="T6" i="37"/>
  <c r="V8" i="37"/>
  <c r="T8" i="37"/>
  <c r="V29" i="37"/>
  <c r="T29" i="37"/>
  <c r="V5" i="37"/>
  <c r="P30" i="38"/>
  <c r="O30" i="38"/>
  <c r="N30" i="38"/>
  <c r="M30" i="38"/>
  <c r="L30" i="38"/>
  <c r="K30" i="38"/>
  <c r="J30" i="38"/>
  <c r="I30" i="38"/>
  <c r="H30" i="38"/>
  <c r="G30" i="38"/>
  <c r="P29" i="38"/>
  <c r="O29" i="38"/>
  <c r="N29" i="38"/>
  <c r="M29" i="38"/>
  <c r="L29" i="38"/>
  <c r="K29" i="38"/>
  <c r="J29" i="38"/>
  <c r="I29" i="38"/>
  <c r="H29" i="38"/>
  <c r="G29" i="38"/>
  <c r="P28" i="38"/>
  <c r="O28" i="38"/>
  <c r="N28" i="38"/>
  <c r="M28" i="38"/>
  <c r="L28" i="38"/>
  <c r="K28" i="38"/>
  <c r="J28" i="38"/>
  <c r="I28" i="38"/>
  <c r="H28" i="38"/>
  <c r="G28" i="38"/>
  <c r="F30" i="38"/>
  <c r="F29" i="38"/>
  <c r="F28" i="38"/>
  <c r="L185" i="19"/>
  <c r="H186" i="19"/>
  <c r="H42" i="19"/>
  <c r="G2" i="19"/>
  <c r="H1586" i="36" l="1"/>
  <c r="H1585" i="36"/>
  <c r="H1038" i="36"/>
  <c r="H1035" i="36"/>
  <c r="H46" i="36"/>
  <c r="H43" i="36"/>
  <c r="G1676" i="36"/>
  <c r="G1656" i="36"/>
  <c r="G1587" i="36"/>
  <c r="G1568" i="36"/>
  <c r="G1562" i="36"/>
  <c r="G1561" i="36" s="1"/>
  <c r="G1040" i="36"/>
  <c r="G198" i="36"/>
  <c r="G196" i="36"/>
  <c r="F1590" i="36"/>
  <c r="F1585" i="36"/>
  <c r="F1062" i="36"/>
  <c r="F708" i="36"/>
  <c r="D1040" i="36"/>
  <c r="D354" i="36"/>
  <c r="G1610" i="36"/>
  <c r="D1612" i="36"/>
  <c r="AQ26" i="37"/>
  <c r="AH19" i="37"/>
  <c r="Z26" i="37"/>
  <c r="AJ19" i="37"/>
  <c r="AL16" i="37"/>
  <c r="AF25" i="37"/>
  <c r="AQ24" i="37"/>
  <c r="AO26" i="37"/>
  <c r="AF15" i="37"/>
  <c r="AN12" i="37"/>
  <c r="AF23" i="37"/>
  <c r="X12" i="37"/>
  <c r="AL23" i="37"/>
  <c r="AH24" i="37"/>
  <c r="Y16" i="37"/>
  <c r="X24" i="37"/>
  <c r="AB10" i="37"/>
  <c r="AI22" i="37"/>
  <c r="AB19" i="37"/>
  <c r="AJ15" i="37"/>
  <c r="AE25" i="37"/>
  <c r="AH18" i="37"/>
  <c r="AN17" i="37"/>
  <c r="AM24" i="37"/>
  <c r="AP22" i="37"/>
  <c r="AL20" i="37"/>
  <c r="AN26" i="37"/>
  <c r="X20" i="37"/>
  <c r="AL14" i="37"/>
  <c r="AE23" i="37"/>
  <c r="AQ22" i="37"/>
  <c r="AO21" i="37"/>
  <c r="AI20" i="37"/>
  <c r="X26" i="37"/>
  <c r="AB21" i="37"/>
  <c r="AF10" i="37"/>
  <c r="AB14" i="37"/>
  <c r="Z10" i="37"/>
  <c r="AH10" i="37"/>
  <c r="AP23" i="37"/>
  <c r="AB17" i="37"/>
  <c r="AG14" i="37"/>
  <c r="AC17" i="37"/>
  <c r="AE13" i="37"/>
  <c r="X10" i="37"/>
  <c r="X25" i="37"/>
  <c r="AL18" i="37"/>
  <c r="Z24" i="37"/>
  <c r="AL17" i="37"/>
  <c r="AA18" i="37"/>
  <c r="AF20" i="37"/>
  <c r="AP16" i="37"/>
  <c r="AC13" i="37"/>
  <c r="AN11" i="37"/>
  <c r="Z18" i="37"/>
  <c r="AL9" i="37"/>
  <c r="AG15" i="37"/>
  <c r="AC21" i="37"/>
  <c r="AN20" i="37"/>
  <c r="Z17" i="37"/>
  <c r="Y26" i="37"/>
  <c r="AJ22" i="37"/>
  <c r="AH20" i="37"/>
  <c r="AH26" i="37"/>
  <c r="Y9" i="37"/>
  <c r="Q9" i="37"/>
  <c r="AE14" i="37"/>
  <c r="AA25" i="37"/>
  <c r="X16" i="37"/>
  <c r="AB25" i="37"/>
  <c r="AE9" i="37"/>
  <c r="AP12" i="37"/>
  <c r="AH9" i="37"/>
  <c r="AM25" i="37"/>
  <c r="AG18" i="37"/>
  <c r="AL26" i="37"/>
  <c r="AC12" i="37"/>
  <c r="AG22" i="37"/>
  <c r="AA19" i="37"/>
  <c r="AJ18" i="37"/>
  <c r="AF12" i="37"/>
  <c r="AJ24" i="37"/>
  <c r="AG10" i="37"/>
  <c r="Z21" i="37"/>
  <c r="AN15" i="37"/>
  <c r="AI24" i="37"/>
  <c r="Y15" i="37"/>
  <c r="AB24" i="37"/>
  <c r="AI9" i="37"/>
  <c r="AQ15" i="37"/>
  <c r="AF16" i="37"/>
  <c r="AM23" i="37"/>
  <c r="AM19" i="37"/>
  <c r="AO12" i="37"/>
  <c r="AQ10" i="37"/>
  <c r="Y24" i="37"/>
  <c r="AE21" i="37"/>
  <c r="AG12" i="37"/>
  <c r="AM18" i="37"/>
  <c r="AH15" i="37"/>
  <c r="AN9" i="37"/>
  <c r="AJ26" i="37"/>
  <c r="AE22" i="37"/>
  <c r="AG17" i="37"/>
  <c r="AH11" i="37"/>
  <c r="Z13" i="37"/>
  <c r="AG26" i="37"/>
  <c r="AE20" i="37"/>
  <c r="AL12" i="37"/>
  <c r="Y20" i="37"/>
  <c r="Y13" i="37"/>
  <c r="AP10" i="37"/>
  <c r="X14" i="37"/>
  <c r="AI23" i="37"/>
  <c r="AG16" i="37"/>
  <c r="AB15" i="37"/>
  <c r="AF13" i="37"/>
  <c r="Z22" i="37"/>
  <c r="Y25" i="37"/>
  <c r="AI12" i="37"/>
  <c r="Y11" i="37"/>
  <c r="AJ9" i="37"/>
  <c r="AB16" i="37"/>
  <c r="AP13" i="37"/>
  <c r="AO15" i="37"/>
  <c r="AE16" i="37"/>
  <c r="AL24" i="37"/>
  <c r="AB22" i="37"/>
  <c r="AF9" i="37"/>
  <c r="AB12" i="37"/>
  <c r="AQ23" i="37"/>
  <c r="AM21" i="37"/>
  <c r="AP21" i="37"/>
  <c r="AQ11" i="37"/>
  <c r="AB23" i="37"/>
  <c r="AO22" i="37"/>
  <c r="AC10" i="37"/>
  <c r="AO18" i="37"/>
  <c r="AA10" i="37"/>
  <c r="AO13" i="37"/>
  <c r="AJ23" i="37"/>
  <c r="AG24" i="37"/>
  <c r="Z9" i="37"/>
  <c r="AI19" i="37"/>
  <c r="AB11" i="37"/>
  <c r="AI11" i="37"/>
  <c r="AA20" i="37"/>
  <c r="AH17" i="37"/>
  <c r="AG11" i="37"/>
  <c r="AM17" i="37"/>
  <c r="AI26" i="37"/>
  <c r="AA15" i="37"/>
  <c r="Z20" i="37"/>
  <c r="AE18" i="37"/>
  <c r="AN14" i="37"/>
  <c r="AM14" i="37"/>
  <c r="AP19" i="37"/>
  <c r="AO20" i="37"/>
  <c r="AP15" i="37"/>
  <c r="Y19" i="37"/>
  <c r="AH21" i="37"/>
  <c r="AC25" i="37"/>
  <c r="AI25" i="37"/>
  <c r="AE26" i="37"/>
  <c r="AO16" i="37"/>
  <c r="Z25" i="37"/>
  <c r="AP24" i="37"/>
  <c r="AF17" i="37"/>
  <c r="AM9" i="37"/>
  <c r="X15" i="37"/>
  <c r="AA21" i="37"/>
  <c r="AJ14" i="37"/>
  <c r="AJ11" i="37"/>
  <c r="AM22" i="37"/>
  <c r="AN24" i="37"/>
  <c r="AC14" i="37"/>
  <c r="AL11" i="37"/>
  <c r="AH16" i="37"/>
  <c r="AJ10" i="37"/>
  <c r="AQ21" i="37"/>
  <c r="AP18" i="37"/>
  <c r="AQ9" i="37"/>
  <c r="AA13" i="37"/>
  <c r="AO11" i="37"/>
  <c r="Y12" i="37"/>
  <c r="X11" i="37"/>
  <c r="AO24" i="37"/>
  <c r="AI17" i="37"/>
  <c r="Y17" i="37"/>
  <c r="AI10" i="37"/>
  <c r="X17" i="37"/>
  <c r="AP14" i="37"/>
  <c r="AM20" i="37"/>
  <c r="AC23" i="37"/>
  <c r="AG13" i="37"/>
  <c r="AC24" i="37"/>
  <c r="AI16" i="37"/>
  <c r="AQ16" i="37"/>
  <c r="AF21" i="37"/>
  <c r="AO9" i="37"/>
  <c r="AE11" i="37"/>
  <c r="AN10" i="37"/>
  <c r="AG21" i="37"/>
  <c r="AG25" i="37"/>
  <c r="AA14" i="37"/>
  <c r="AA24" i="37"/>
  <c r="AO19" i="37"/>
  <c r="X23" i="37"/>
  <c r="AA23" i="37"/>
  <c r="AC22" i="37"/>
  <c r="AM10" i="37"/>
  <c r="AI18" i="37"/>
  <c r="Y22" i="37"/>
  <c r="AO25" i="37"/>
  <c r="AC20" i="37"/>
  <c r="AB13" i="37"/>
  <c r="AC19" i="37"/>
  <c r="AC18" i="37"/>
  <c r="AP26" i="37"/>
  <c r="AQ20" i="37"/>
  <c r="AF18" i="37"/>
  <c r="AA17" i="37"/>
  <c r="AJ20" i="37"/>
  <c r="AJ25" i="37"/>
  <c r="AM15" i="37"/>
  <c r="AE17" i="37"/>
  <c r="Z23" i="37"/>
  <c r="AO23" i="37"/>
  <c r="AQ12" i="37"/>
  <c r="AO14" i="37"/>
  <c r="AP11" i="37"/>
  <c r="AL21" i="37"/>
  <c r="AB18" i="37"/>
  <c r="X13" i="37"/>
  <c r="AE15" i="37"/>
  <c r="AN19" i="37"/>
  <c r="AA22" i="37"/>
  <c r="AL22" i="37"/>
  <c r="X22" i="37"/>
  <c r="AJ13" i="37"/>
  <c r="AP25" i="37"/>
  <c r="Y18" i="37"/>
  <c r="AI14" i="37"/>
  <c r="AJ21" i="37"/>
  <c r="X9" i="37"/>
  <c r="AH25" i="37"/>
  <c r="AB26" i="37"/>
  <c r="AC26" i="37"/>
  <c r="AC15" i="37"/>
  <c r="AF24" i="37"/>
  <c r="AN18" i="37"/>
  <c r="AP9" i="37"/>
  <c r="AP20" i="37"/>
  <c r="AG9" i="37"/>
  <c r="AJ16" i="37"/>
  <c r="AJ17" i="37"/>
  <c r="AA26" i="37"/>
  <c r="AN22" i="37"/>
  <c r="AQ14" i="37"/>
  <c r="Y14" i="37"/>
  <c r="AN16" i="37"/>
  <c r="Y10" i="37"/>
  <c r="Y23" i="37"/>
  <c r="AA16" i="37"/>
  <c r="Z15" i="37"/>
  <c r="AN25" i="37"/>
  <c r="AC9" i="37"/>
  <c r="AI15" i="37"/>
  <c r="AM11" i="37"/>
  <c r="AF14" i="37"/>
  <c r="AA9" i="37"/>
  <c r="AL13" i="37"/>
  <c r="AQ17" i="37"/>
  <c r="Z19" i="37"/>
  <c r="AE24" i="37"/>
  <c r="AN21" i="37"/>
  <c r="AO17" i="37"/>
  <c r="AB20" i="37"/>
  <c r="AI13" i="37"/>
  <c r="AF26" i="37"/>
  <c r="AM12" i="37"/>
  <c r="AQ19" i="37"/>
  <c r="AG23" i="37"/>
  <c r="AL19" i="37"/>
  <c r="AH14" i="37"/>
  <c r="AE19" i="37"/>
  <c r="AO10" i="37"/>
  <c r="AH22" i="37"/>
  <c r="AN13" i="37"/>
  <c r="AL15" i="37"/>
  <c r="AQ25" i="37"/>
  <c r="AN23" i="37"/>
  <c r="AL25" i="37"/>
  <c r="X18" i="37"/>
  <c r="AQ18" i="37"/>
  <c r="AE10" i="37"/>
  <c r="AG20" i="37"/>
  <c r="AC11" i="37"/>
  <c r="Z16" i="37"/>
  <c r="AQ13" i="37"/>
  <c r="AA12" i="37"/>
  <c r="AM13" i="37"/>
  <c r="Y21" i="37"/>
  <c r="AC16" i="37"/>
  <c r="AH12" i="37"/>
  <c r="AG19" i="37"/>
  <c r="AH23" i="37"/>
  <c r="Z12" i="37"/>
  <c r="AI21" i="37"/>
  <c r="AH13" i="37"/>
  <c r="AJ12" i="37"/>
  <c r="AE12" i="37"/>
  <c r="AF22" i="37"/>
  <c r="X21" i="37"/>
  <c r="Z11" i="37"/>
  <c r="AP17" i="37"/>
  <c r="X19" i="37"/>
  <c r="AA11" i="37"/>
  <c r="AB9" i="37"/>
  <c r="AF19" i="37"/>
  <c r="AM26" i="37"/>
  <c r="Z14" i="37"/>
  <c r="AM16" i="37"/>
  <c r="AL10" i="37"/>
  <c r="AF11" i="37"/>
  <c r="Y29" i="37" l="1"/>
  <c r="F29" i="37"/>
  <c r="AS26" i="37"/>
  <c r="AT12" i="37"/>
  <c r="AS12" i="37"/>
  <c r="AS11" i="37"/>
  <c r="AS9" i="37"/>
  <c r="AM8" i="37"/>
  <c r="AL8" i="37"/>
  <c r="Y8" i="37"/>
  <c r="X8" i="37"/>
  <c r="F8" i="37"/>
  <c r="AT7" i="37"/>
  <c r="AM7" i="37"/>
  <c r="Y7" i="37"/>
  <c r="X7" i="37"/>
  <c r="T7" i="37"/>
  <c r="M7" i="37"/>
  <c r="F7" i="37"/>
  <c r="Y6" i="37"/>
  <c r="F6" i="37"/>
  <c r="AT5" i="37"/>
  <c r="AS5" i="37"/>
  <c r="AH5" i="37"/>
  <c r="AF5" i="37"/>
  <c r="AA5" i="37"/>
  <c r="Y5" i="37"/>
  <c r="X5" i="37"/>
  <c r="T5" i="37"/>
  <c r="R5" i="37"/>
  <c r="J5" i="37"/>
  <c r="F5" i="37"/>
  <c r="D5" i="37"/>
  <c r="U18" i="37"/>
  <c r="H17" i="37"/>
  <c r="N20" i="37"/>
  <c r="N16" i="37"/>
  <c r="F19" i="37"/>
  <c r="G18" i="37"/>
  <c r="V13" i="37"/>
  <c r="G15" i="37"/>
  <c r="R21" i="37"/>
  <c r="E22" i="37"/>
  <c r="V26" i="37"/>
  <c r="O18" i="37"/>
  <c r="S26" i="37"/>
  <c r="V21" i="37"/>
  <c r="T12" i="37"/>
  <c r="K16" i="37"/>
  <c r="K15" i="37"/>
  <c r="T19" i="37"/>
  <c r="S17" i="37"/>
  <c r="R24" i="37"/>
  <c r="G11" i="37"/>
  <c r="Q23" i="37"/>
  <c r="Q24" i="37"/>
  <c r="L21" i="37"/>
  <c r="N11" i="37"/>
  <c r="H20" i="37"/>
  <c r="T13" i="37"/>
  <c r="J19" i="37"/>
  <c r="J21" i="37"/>
  <c r="E21" i="37"/>
  <c r="T17" i="37"/>
  <c r="U23" i="37"/>
  <c r="Q19" i="37"/>
  <c r="J12" i="37"/>
  <c r="Q12" i="37"/>
  <c r="U11" i="37"/>
  <c r="G16" i="37"/>
  <c r="L24" i="37"/>
  <c r="C22" i="37"/>
  <c r="J25" i="37"/>
  <c r="U21" i="37"/>
  <c r="F23" i="37"/>
  <c r="K26" i="37"/>
  <c r="E20" i="37"/>
  <c r="C14" i="37"/>
  <c r="E26" i="37"/>
  <c r="T21" i="37"/>
  <c r="G12" i="37"/>
  <c r="G21" i="37"/>
  <c r="J10" i="37"/>
  <c r="S16" i="37"/>
  <c r="D14" i="37"/>
  <c r="V15" i="37"/>
  <c r="T18" i="37"/>
  <c r="M12" i="37"/>
  <c r="F18" i="37"/>
  <c r="R19" i="37"/>
  <c r="U24" i="37"/>
  <c r="M26" i="37"/>
  <c r="S22" i="37"/>
  <c r="J17" i="37"/>
  <c r="Q20" i="37"/>
  <c r="F15" i="37"/>
  <c r="F24" i="37"/>
  <c r="C25" i="37"/>
  <c r="M20" i="37"/>
  <c r="E9" i="37"/>
  <c r="H21" i="37"/>
  <c r="E17" i="37"/>
  <c r="L19" i="37"/>
  <c r="F25" i="37"/>
  <c r="Q22" i="37"/>
  <c r="E23" i="37"/>
  <c r="O21" i="37"/>
  <c r="R25" i="37"/>
  <c r="H24" i="37"/>
  <c r="M15" i="37"/>
  <c r="J15" i="37"/>
  <c r="J13" i="37"/>
  <c r="S11" i="37"/>
  <c r="M18" i="37"/>
  <c r="D12" i="37"/>
  <c r="V16" i="37"/>
  <c r="L12" i="37"/>
  <c r="G17" i="37"/>
  <c r="N26" i="37"/>
  <c r="J9" i="37"/>
  <c r="F9" i="37"/>
  <c r="E13" i="37"/>
  <c r="M11" i="37"/>
  <c r="D9" i="37"/>
  <c r="E24" i="37"/>
  <c r="S20" i="37"/>
  <c r="U22" i="37"/>
  <c r="R12" i="37"/>
  <c r="C11" i="37"/>
  <c r="N15" i="37"/>
  <c r="C12" i="37"/>
  <c r="S18" i="37"/>
  <c r="F21" i="37"/>
  <c r="E16" i="37"/>
  <c r="G10" i="37"/>
  <c r="E11" i="37"/>
  <c r="N13" i="37"/>
  <c r="U20" i="37"/>
  <c r="V11" i="37"/>
  <c r="O14" i="37"/>
  <c r="N18" i="37"/>
  <c r="J16" i="37"/>
  <c r="C21" i="37"/>
  <c r="H25" i="37"/>
  <c r="G23" i="37"/>
  <c r="F10" i="37"/>
  <c r="L25" i="37"/>
  <c r="J14" i="37"/>
  <c r="F12" i="37"/>
  <c r="U12" i="37"/>
  <c r="N23" i="37"/>
  <c r="K21" i="37"/>
  <c r="S12" i="37"/>
  <c r="Q17" i="37"/>
  <c r="M22" i="37"/>
  <c r="S19" i="37"/>
  <c r="E25" i="37"/>
  <c r="K14" i="37"/>
  <c r="C26" i="37"/>
  <c r="D16" i="37"/>
  <c r="T9" i="37"/>
  <c r="H26" i="37"/>
  <c r="C13" i="37"/>
  <c r="C18" i="37"/>
  <c r="V14" i="37"/>
  <c r="T23" i="37"/>
  <c r="T24" i="37"/>
  <c r="U15" i="37"/>
  <c r="Q18" i="37"/>
  <c r="R18" i="37"/>
  <c r="N14" i="37"/>
  <c r="M17" i="37"/>
  <c r="H11" i="37"/>
  <c r="Q21" i="37"/>
  <c r="U10" i="37"/>
  <c r="N12" i="37"/>
  <c r="V23" i="37"/>
  <c r="L14" i="37"/>
  <c r="R26" i="37"/>
  <c r="T25" i="37"/>
  <c r="U17" i="37"/>
  <c r="V17" i="37"/>
  <c r="Q13" i="37"/>
  <c r="D11" i="37"/>
  <c r="K18" i="37"/>
  <c r="L26" i="37"/>
  <c r="T26" i="37"/>
  <c r="Q26" i="37"/>
  <c r="L23" i="37"/>
  <c r="S9" i="37"/>
  <c r="O20" i="37"/>
  <c r="M16" i="37"/>
  <c r="S10" i="37"/>
  <c r="L10" i="37"/>
  <c r="F11" i="37"/>
  <c r="L13" i="37"/>
  <c r="J26" i="37"/>
  <c r="K10" i="37"/>
  <c r="T14" i="37"/>
  <c r="O15" i="37"/>
  <c r="N22" i="37"/>
  <c r="N24" i="37"/>
  <c r="D18" i="37"/>
  <c r="L22" i="37"/>
  <c r="J22" i="37"/>
  <c r="H22" i="37"/>
  <c r="O24" i="37"/>
  <c r="H14" i="37"/>
  <c r="N21" i="37"/>
  <c r="L11" i="37"/>
  <c r="R16" i="37"/>
  <c r="D20" i="37"/>
  <c r="E19" i="37"/>
  <c r="F26" i="37"/>
  <c r="D10" i="37"/>
  <c r="E18" i="37"/>
  <c r="E12" i="37"/>
  <c r="U19" i="37"/>
  <c r="O22" i="37"/>
  <c r="O12" i="37"/>
  <c r="V24" i="37"/>
  <c r="R20" i="37"/>
  <c r="M19" i="37"/>
  <c r="R10" i="37"/>
  <c r="K24" i="37"/>
  <c r="O26" i="37"/>
  <c r="D22" i="37"/>
  <c r="G19" i="37"/>
  <c r="M24" i="37"/>
  <c r="D19" i="37"/>
  <c r="H19" i="37"/>
  <c r="R22" i="37"/>
  <c r="T10" i="37"/>
  <c r="Q11" i="37"/>
  <c r="C16" i="37"/>
  <c r="L17" i="37"/>
  <c r="G22" i="37"/>
  <c r="T15" i="37"/>
  <c r="T22" i="37"/>
  <c r="V10" i="37"/>
  <c r="V22" i="37"/>
  <c r="K11" i="37"/>
  <c r="K12" i="37"/>
  <c r="N9" i="37"/>
  <c r="N19" i="37"/>
  <c r="G14" i="37"/>
  <c r="D24" i="37"/>
  <c r="E14" i="37"/>
  <c r="V12" i="37"/>
  <c r="D25" i="37"/>
  <c r="L16" i="37"/>
  <c r="C10" i="37"/>
  <c r="M23" i="37"/>
  <c r="H12" i="37"/>
  <c r="M25" i="37"/>
  <c r="D13" i="37"/>
  <c r="R9" i="37"/>
  <c r="R11" i="37"/>
  <c r="F14" i="37"/>
  <c r="E10" i="37"/>
  <c r="U16" i="37"/>
  <c r="F22" i="37"/>
  <c r="J20" i="37"/>
  <c r="O25" i="37"/>
  <c r="K19" i="37"/>
  <c r="O9" i="37"/>
  <c r="C24" i="37"/>
  <c r="S23" i="37"/>
  <c r="D21" i="37"/>
  <c r="L20" i="37"/>
  <c r="T11" i="37"/>
  <c r="T16" i="37"/>
  <c r="U13" i="37"/>
  <c r="N25" i="37"/>
  <c r="R17" i="37"/>
  <c r="C17" i="37"/>
  <c r="K13" i="37"/>
  <c r="C19" i="37"/>
  <c r="Q14" i="37"/>
  <c r="S21" i="37"/>
  <c r="L9" i="37"/>
  <c r="J11" i="37"/>
  <c r="M21" i="37"/>
  <c r="S14" i="37"/>
  <c r="H10" i="37"/>
  <c r="S25" i="37"/>
  <c r="U9" i="37"/>
  <c r="K22" i="37"/>
  <c r="Q16" i="37"/>
  <c r="N17" i="37"/>
  <c r="E15" i="37"/>
  <c r="C23" i="37"/>
  <c r="D17" i="37"/>
  <c r="Q15" i="37"/>
  <c r="N10" i="37"/>
  <c r="F17" i="37"/>
  <c r="V20" i="37"/>
  <c r="V25" i="37"/>
  <c r="H16" i="37"/>
  <c r="M9" i="37"/>
  <c r="O16" i="37"/>
  <c r="C9" i="37"/>
  <c r="K23" i="37"/>
  <c r="H18" i="37"/>
  <c r="D26" i="37"/>
  <c r="R23" i="37"/>
  <c r="S15" i="37"/>
  <c r="V9" i="37"/>
  <c r="M13" i="37"/>
  <c r="R13" i="37"/>
  <c r="C20" i="37"/>
  <c r="O17" i="37"/>
  <c r="U26" i="37"/>
  <c r="K20" i="37"/>
  <c r="H9" i="37"/>
  <c r="V19" i="37"/>
  <c r="S13" i="37"/>
  <c r="J23" i="37"/>
  <c r="L15" i="37"/>
  <c r="G13" i="37"/>
  <c r="O11" i="37"/>
  <c r="U25" i="37"/>
  <c r="V18" i="37"/>
  <c r="F13" i="37"/>
  <c r="K25" i="37"/>
  <c r="O23" i="37"/>
  <c r="T20" i="37"/>
  <c r="O10" i="37"/>
  <c r="C15" i="37"/>
  <c r="R14" i="37"/>
  <c r="S24" i="37"/>
  <c r="G26" i="37"/>
  <c r="H13" i="37"/>
  <c r="G9" i="37"/>
  <c r="F20" i="37"/>
  <c r="G25" i="37"/>
  <c r="M14" i="37"/>
  <c r="K9" i="37"/>
  <c r="J24" i="37"/>
  <c r="O19" i="37"/>
  <c r="Q10" i="37"/>
  <c r="U14" i="37"/>
  <c r="D15" i="37"/>
  <c r="D23" i="37"/>
  <c r="L18" i="37"/>
  <c r="Q25" i="37"/>
  <c r="J18" i="37"/>
  <c r="M10" i="37"/>
  <c r="G20" i="37"/>
  <c r="G24" i="37"/>
  <c r="H15" i="37"/>
  <c r="K17" i="37"/>
  <c r="R15" i="37"/>
  <c r="O13" i="37"/>
  <c r="H23" i="37"/>
  <c r="F16" i="37"/>
  <c r="C2" i="32" l="1" a="1"/>
  <c r="C2" i="32" s="1"/>
  <c r="F3" i="32" a="1"/>
  <c r="F3" i="32" s="1"/>
  <c r="I4" i="32" a="1"/>
  <c r="I4" i="32" s="1"/>
  <c r="D6" i="32" a="1"/>
  <c r="D6" i="32" s="1"/>
  <c r="G7" i="32" a="1"/>
  <c r="G7" i="32" s="1"/>
  <c r="B9" i="32" a="1"/>
  <c r="B9" i="32" s="1"/>
  <c r="E10" i="32" a="1"/>
  <c r="E10" i="32" s="1"/>
  <c r="H11" i="32" a="1"/>
  <c r="H11" i="32" s="1"/>
  <c r="C13" i="32" a="1"/>
  <c r="C13" i="32" s="1"/>
  <c r="F14" i="32" a="1"/>
  <c r="F14" i="32" s="1"/>
  <c r="I15" i="32" a="1"/>
  <c r="I15" i="32" s="1"/>
  <c r="D17" i="32" a="1"/>
  <c r="D17" i="32" s="1"/>
  <c r="G18" i="32" a="1"/>
  <c r="G18" i="32" s="1"/>
  <c r="B20" i="32" a="1"/>
  <c r="B20" i="32" s="1"/>
  <c r="E21" i="32" a="1"/>
  <c r="E21" i="32" s="1"/>
  <c r="H22" i="32" a="1"/>
  <c r="H22" i="32" s="1"/>
  <c r="C24" i="32" a="1"/>
  <c r="C24" i="32" s="1"/>
  <c r="F25" i="32" a="1"/>
  <c r="F25" i="32" s="1"/>
  <c r="I26" i="32" a="1"/>
  <c r="I26" i="32" s="1"/>
  <c r="G3" i="32" a="1"/>
  <c r="G3" i="32" s="1"/>
  <c r="B5" i="32" a="1"/>
  <c r="B5" i="32" s="1"/>
  <c r="H7" i="32" a="1"/>
  <c r="H7" i="32" s="1"/>
  <c r="F10" i="32" a="1"/>
  <c r="F10" i="32" s="1"/>
  <c r="D13" i="32" a="1"/>
  <c r="D13" i="32" s="1"/>
  <c r="B16" i="32" a="1"/>
  <c r="B16" i="32" s="1"/>
  <c r="H18" i="32" a="1"/>
  <c r="H18" i="32" s="1"/>
  <c r="F21" i="32" a="1"/>
  <c r="F21" i="32" s="1"/>
  <c r="D24" i="32" a="1"/>
  <c r="D24" i="32" s="1"/>
  <c r="H25" i="32" a="1"/>
  <c r="H25" i="32" s="1"/>
  <c r="I17" i="32" a="1"/>
  <c r="I17" i="32" s="1"/>
  <c r="G12" i="32" a="1"/>
  <c r="G12" i="32" s="1"/>
  <c r="C3" i="32" a="1"/>
  <c r="C3" i="32" s="1"/>
  <c r="D18" i="32" a="1"/>
  <c r="D18" i="32" s="1"/>
  <c r="E7" i="32" a="1"/>
  <c r="E7" i="32" s="1"/>
  <c r="C21" i="32" a="1"/>
  <c r="C21" i="32" s="1"/>
  <c r="G11" i="32" a="1"/>
  <c r="G11" i="32" s="1"/>
  <c r="H26" i="32" a="1"/>
  <c r="H26" i="32" s="1"/>
  <c r="D2" i="32" a="1"/>
  <c r="D2" i="32" s="1"/>
  <c r="E6" i="32" a="1"/>
  <c r="E6" i="32" s="1"/>
  <c r="C9" i="32" a="1"/>
  <c r="C9" i="32" s="1"/>
  <c r="I11" i="32" a="1"/>
  <c r="I11" i="32" s="1"/>
  <c r="G14" i="32" a="1"/>
  <c r="G14" i="32" s="1"/>
  <c r="E17" i="32" a="1"/>
  <c r="E17" i="32" s="1"/>
  <c r="C20" i="32" a="1"/>
  <c r="C20" i="32" s="1"/>
  <c r="I22" i="32" a="1"/>
  <c r="I22" i="32" s="1"/>
  <c r="G25" i="32" a="1"/>
  <c r="G25" i="32" s="1"/>
  <c r="H13" i="32" a="1"/>
  <c r="H13" i="32" s="1"/>
  <c r="E23" i="32" a="1"/>
  <c r="E23" i="32" s="1"/>
  <c r="I20" i="32" a="1"/>
  <c r="I20" i="32" s="1"/>
  <c r="H12" i="32" a="1"/>
  <c r="H12" i="32" s="1"/>
  <c r="F26" i="32" a="1"/>
  <c r="F26" i="32" s="1"/>
  <c r="D14" i="32" a="1"/>
  <c r="D14" i="32" s="1"/>
  <c r="C6" i="32" a="1"/>
  <c r="C6" i="32" s="1"/>
  <c r="G22" i="32" a="1"/>
  <c r="G22" i="32" s="1"/>
  <c r="H3" i="32" a="1"/>
  <c r="H3" i="32" s="1"/>
  <c r="F6" i="32" a="1"/>
  <c r="F6" i="32" s="1"/>
  <c r="I7" i="32" a="1"/>
  <c r="I7" i="32" s="1"/>
  <c r="G10" i="32" a="1"/>
  <c r="G10" i="32" s="1"/>
  <c r="E13" i="32" a="1"/>
  <c r="E13" i="32" s="1"/>
  <c r="C16" i="32" a="1"/>
  <c r="C16" i="32" s="1"/>
  <c r="I18" i="32" a="1"/>
  <c r="I18" i="32" s="1"/>
  <c r="G21" i="32" a="1"/>
  <c r="G21" i="32" s="1"/>
  <c r="E24" i="32" a="1"/>
  <c r="E24" i="32" s="1"/>
  <c r="E12" i="32" a="1"/>
  <c r="E12" i="32" s="1"/>
  <c r="G20" i="32" a="1"/>
  <c r="G20" i="32" s="1"/>
  <c r="H16" i="32" a="1"/>
  <c r="H16" i="32" s="1"/>
  <c r="D7" i="32" a="1"/>
  <c r="D7" i="32" s="1"/>
  <c r="B21" i="32" a="1"/>
  <c r="B21" i="32" s="1"/>
  <c r="B17" i="32" a="1"/>
  <c r="B17" i="32" s="1"/>
  <c r="F7" i="32" a="1"/>
  <c r="F7" i="32" s="1"/>
  <c r="B24" i="32" a="1"/>
  <c r="B24" i="32" s="1"/>
  <c r="E2" i="32" a="1"/>
  <c r="E2" i="32" s="1"/>
  <c r="C5" i="32" a="1"/>
  <c r="C5" i="32" s="1"/>
  <c r="D9" i="32" a="1"/>
  <c r="D9" i="32" s="1"/>
  <c r="B12" i="32" a="1"/>
  <c r="B12" i="32" s="1"/>
  <c r="H14" i="32" a="1"/>
  <c r="H14" i="32" s="1"/>
  <c r="F17" i="32" a="1"/>
  <c r="F17" i="32" s="1"/>
  <c r="D20" i="32" a="1"/>
  <c r="D20" i="32" s="1"/>
  <c r="B23" i="32" a="1"/>
  <c r="B23" i="32" s="1"/>
  <c r="D8" i="32" a="1"/>
  <c r="D8" i="32" s="1"/>
  <c r="H24" i="32" a="1"/>
  <c r="H24" i="32" s="1"/>
  <c r="G23" i="32" a="1"/>
  <c r="G23" i="32" s="1"/>
  <c r="C14" i="32" a="1"/>
  <c r="C14" i="32" s="1"/>
  <c r="H8" i="32" a="1"/>
  <c r="H8" i="32" s="1"/>
  <c r="D25" i="32" a="1"/>
  <c r="D25" i="32" s="1"/>
  <c r="H15" i="32" a="1"/>
  <c r="H15" i="32" s="1"/>
  <c r="F2" i="32" a="1"/>
  <c r="F2" i="32" s="1"/>
  <c r="D5" i="32" a="1"/>
  <c r="D5" i="32" s="1"/>
  <c r="B8" i="32" a="1"/>
  <c r="B8" i="32" s="1"/>
  <c r="H10" i="32" a="1"/>
  <c r="H10" i="32" s="1"/>
  <c r="C12" i="32" a="1"/>
  <c r="C12" i="32" s="1"/>
  <c r="I14" i="32" a="1"/>
  <c r="I14" i="32" s="1"/>
  <c r="G17" i="32" a="1"/>
  <c r="G17" i="32" s="1"/>
  <c r="E20" i="32" a="1"/>
  <c r="E20" i="32" s="1"/>
  <c r="C23" i="32" a="1"/>
  <c r="C23" i="32" s="1"/>
  <c r="F24" i="32" a="1"/>
  <c r="F24" i="32" s="1"/>
  <c r="G24" i="32" a="1"/>
  <c r="G24" i="32" s="1"/>
  <c r="H2" i="32" a="1"/>
  <c r="H2" i="32" s="1"/>
  <c r="B11" i="32" a="1"/>
  <c r="B11" i="32" s="1"/>
  <c r="B22" i="32" a="1"/>
  <c r="B22" i="32" s="1"/>
  <c r="C18" i="32" a="1"/>
  <c r="C18" i="32" s="1"/>
  <c r="I5" i="32" a="1"/>
  <c r="I5" i="32" s="1"/>
  <c r="E22" i="32" a="1"/>
  <c r="E22" i="32" s="1"/>
  <c r="I12" i="32" a="1"/>
  <c r="I12" i="32" s="1"/>
  <c r="E3" i="32" a="1"/>
  <c r="E3" i="32" s="1"/>
  <c r="C17" i="32" a="1"/>
  <c r="C17" i="32" s="1"/>
  <c r="I3" i="32" a="1"/>
  <c r="I3" i="32" s="1"/>
  <c r="G6" i="32" a="1"/>
  <c r="G6" i="32" s="1"/>
  <c r="E9" i="32" a="1"/>
  <c r="E9" i="32" s="1"/>
  <c r="F13" i="32" a="1"/>
  <c r="F13" i="32" s="1"/>
  <c r="D16" i="32" a="1"/>
  <c r="D16" i="32" s="1"/>
  <c r="B19" i="32" a="1"/>
  <c r="B19" i="32" s="1"/>
  <c r="H21" i="32" a="1"/>
  <c r="H21" i="32" s="1"/>
  <c r="I25" i="32" a="1"/>
  <c r="I25" i="32" s="1"/>
  <c r="B26" i="32" a="1"/>
  <c r="B26" i="32" s="1"/>
  <c r="I6" i="32" a="1"/>
  <c r="I6" i="32" s="1"/>
  <c r="F16" i="32" a="1"/>
  <c r="F16" i="32" s="1"/>
  <c r="I9" i="32" a="1"/>
  <c r="I9" i="32" s="1"/>
  <c r="B25" i="32" a="1"/>
  <c r="B25" i="32" s="1"/>
  <c r="F15" i="32" a="1"/>
  <c r="F15" i="32" s="1"/>
  <c r="B6" i="32" a="1"/>
  <c r="B6" i="32" s="1"/>
  <c r="H19" i="32" a="1"/>
  <c r="H19" i="32" s="1"/>
  <c r="D10" i="32" a="1"/>
  <c r="D10" i="32" s="1"/>
  <c r="E25" i="32" a="1"/>
  <c r="E25" i="32" s="1"/>
  <c r="G2" i="32" a="1"/>
  <c r="G2" i="32" s="1"/>
  <c r="E5" i="32" a="1"/>
  <c r="E5" i="32" s="1"/>
  <c r="C8" i="32" a="1"/>
  <c r="C8" i="32" s="1"/>
  <c r="I10" i="32" a="1"/>
  <c r="I10" i="32" s="1"/>
  <c r="G13" i="32" a="1"/>
  <c r="G13" i="32" s="1"/>
  <c r="E16" i="32" a="1"/>
  <c r="E16" i="32" s="1"/>
  <c r="C19" i="32" a="1"/>
  <c r="C19" i="32" s="1"/>
  <c r="I21" i="32" a="1"/>
  <c r="I21" i="32" s="1"/>
  <c r="C4" i="32" a="1"/>
  <c r="C4" i="32" s="1"/>
  <c r="G9" i="32" a="1"/>
  <c r="G9" i="32" s="1"/>
  <c r="D19" i="32" a="1"/>
  <c r="D19" i="32" s="1"/>
  <c r="B14" i="32" a="1"/>
  <c r="B14" i="32" s="1"/>
  <c r="F4" i="32" a="1"/>
  <c r="F4" i="32" s="1"/>
  <c r="G19" i="32" a="1"/>
  <c r="G19" i="32" s="1"/>
  <c r="C10" i="32" a="1"/>
  <c r="C10" i="32" s="1"/>
  <c r="I23" i="32" a="1"/>
  <c r="I23" i="32" s="1"/>
  <c r="B13" i="32" a="1"/>
  <c r="B13" i="32" s="1"/>
  <c r="B4" i="32" a="1"/>
  <c r="B4" i="32" s="1"/>
  <c r="H6" i="32" a="1"/>
  <c r="H6" i="32" s="1"/>
  <c r="F9" i="32" a="1"/>
  <c r="F9" i="32" s="1"/>
  <c r="D12" i="32" a="1"/>
  <c r="D12" i="32" s="1"/>
  <c r="B15" i="32" a="1"/>
  <c r="B15" i="32" s="1"/>
  <c r="H17" i="32" a="1"/>
  <c r="H17" i="32" s="1"/>
  <c r="F20" i="32" a="1"/>
  <c r="F20" i="32" s="1"/>
  <c r="D23" i="32" a="1"/>
  <c r="D23" i="32" s="1"/>
  <c r="F5" i="32" a="1"/>
  <c r="F5" i="32" s="1"/>
  <c r="C15" i="32" a="1"/>
  <c r="C15" i="32" s="1"/>
  <c r="C26" i="32" a="1"/>
  <c r="C26" i="32" s="1"/>
  <c r="D22" i="32" a="1"/>
  <c r="D22" i="32" s="1"/>
  <c r="E11" i="32" a="1"/>
  <c r="E11" i="32" s="1"/>
  <c r="C25" i="32" a="1"/>
  <c r="C25" i="32" s="1"/>
  <c r="F11" i="32" a="1"/>
  <c r="F11" i="32" s="1"/>
  <c r="G26" i="32" a="1"/>
  <c r="G26" i="32" s="1"/>
  <c r="D21" i="32" a="1"/>
  <c r="D21" i="32" s="1"/>
  <c r="I2" i="32" a="1"/>
  <c r="I2" i="32" s="1"/>
  <c r="G5" i="32" a="1"/>
  <c r="G5" i="32" s="1"/>
  <c r="E8" i="32" a="1"/>
  <c r="E8" i="32" s="1"/>
  <c r="C11" i="32" a="1"/>
  <c r="C11" i="32" s="1"/>
  <c r="I13" i="32" a="1"/>
  <c r="I13" i="32" s="1"/>
  <c r="D15" i="32" a="1"/>
  <c r="D15" i="32" s="1"/>
  <c r="B18" i="32" a="1"/>
  <c r="B18" i="32" s="1"/>
  <c r="H20" i="32" a="1"/>
  <c r="H20" i="32" s="1"/>
  <c r="F23" i="32" a="1"/>
  <c r="F23" i="32" s="1"/>
  <c r="D26" i="32" a="1"/>
  <c r="D26" i="32" s="1"/>
  <c r="H5" i="32" a="1"/>
  <c r="H5" i="32" s="1"/>
  <c r="D11" i="32" a="1"/>
  <c r="D11" i="32" s="1"/>
  <c r="E26" i="32" a="1"/>
  <c r="E26" i="32" s="1"/>
  <c r="I16" i="32" a="1"/>
  <c r="I16" i="32" s="1"/>
  <c r="G4" i="32" a="1"/>
  <c r="G4" i="32" s="1"/>
  <c r="E18" i="32" a="1"/>
  <c r="E18" i="32" s="1"/>
  <c r="I8" i="32" a="1"/>
  <c r="I8" i="32" s="1"/>
  <c r="I19" i="32" a="1"/>
  <c r="I19" i="32" s="1"/>
  <c r="D4" i="32" a="1"/>
  <c r="D4" i="32" s="1"/>
  <c r="B7" i="32" a="1"/>
  <c r="B7" i="32" s="1"/>
  <c r="H9" i="32" a="1"/>
  <c r="H9" i="32" s="1"/>
  <c r="F12" i="32" a="1"/>
  <c r="F12" i="32" s="1"/>
  <c r="G16" i="32" a="1"/>
  <c r="G16" i="32" s="1"/>
  <c r="E19" i="32" a="1"/>
  <c r="E19" i="32" s="1"/>
  <c r="C22" i="32" a="1"/>
  <c r="C22" i="32" s="1"/>
  <c r="I24" i="32" a="1"/>
  <c r="I24" i="32" s="1"/>
  <c r="C7" i="32" a="1"/>
  <c r="C7" i="32" s="1"/>
  <c r="E15" i="32" a="1"/>
  <c r="E15" i="32" s="1"/>
  <c r="G8" i="32" a="1"/>
  <c r="G8" i="32" s="1"/>
  <c r="D3" i="32" a="1"/>
  <c r="D3" i="32" s="1"/>
  <c r="F22" i="32" a="1"/>
  <c r="F22" i="32" s="1"/>
  <c r="E14" i="32" a="1"/>
  <c r="E14" i="32" s="1"/>
  <c r="B3" i="32" a="1"/>
  <c r="B3" i="32" s="1"/>
  <c r="E4" i="32" a="1"/>
  <c r="E4" i="32" s="1"/>
  <c r="F8" i="32" a="1"/>
  <c r="F8" i="32" s="1"/>
  <c r="F19" i="32" a="1"/>
  <c r="F19" i="32" s="1"/>
  <c r="B10" i="32" a="1"/>
  <c r="B10" i="32" s="1"/>
  <c r="H23" i="32" a="1"/>
  <c r="H23" i="32" s="1"/>
  <c r="G15" i="32" a="1"/>
  <c r="G15" i="32" s="1"/>
  <c r="H4" i="32" a="1"/>
  <c r="H4" i="32" s="1"/>
  <c r="F18" i="32" a="1"/>
  <c r="F18" i="32" s="1"/>
  <c r="B2" i="32" a="1"/>
  <c r="B2" i="32" s="1"/>
  <c r="C23" i="35" a="1"/>
  <c r="C23" i="35" s="1"/>
  <c r="E15" i="35" a="1"/>
  <c r="E15" i="35" s="1"/>
  <c r="D8" i="35" a="1"/>
  <c r="D8" i="35" s="1"/>
  <c r="C14" i="35" a="1"/>
  <c r="C14" i="35" s="1"/>
  <c r="D24" i="35" a="1"/>
  <c r="D24" i="35" s="1"/>
  <c r="E16" i="35" a="1"/>
  <c r="E16" i="35" s="1"/>
  <c r="C9" i="35" a="1"/>
  <c r="C9" i="35" s="1"/>
  <c r="E26" i="35" a="1"/>
  <c r="E26" i="35" s="1"/>
  <c r="D19" i="35" a="1"/>
  <c r="D19" i="35" s="1"/>
  <c r="C12" i="35" a="1"/>
  <c r="C12" i="35" s="1"/>
  <c r="E4" i="35" a="1"/>
  <c r="E4" i="35" s="1"/>
  <c r="C10" i="35" a="1"/>
  <c r="C10" i="35" s="1"/>
  <c r="D20" i="35" a="1"/>
  <c r="D20" i="35" s="1"/>
  <c r="D23" i="35" a="1"/>
  <c r="D23" i="35" s="1"/>
  <c r="E22" i="35" a="1"/>
  <c r="E22" i="35" s="1"/>
  <c r="D15" i="35" a="1"/>
  <c r="D15" i="35" s="1"/>
  <c r="C8" i="35" a="1"/>
  <c r="C8" i="35" s="1"/>
  <c r="D21" i="35" a="1"/>
  <c r="D21" i="35" s="1"/>
  <c r="E2" i="35" a="1"/>
  <c r="E2" i="35" s="1"/>
  <c r="C13" i="35" a="1"/>
  <c r="C13" i="35" s="1"/>
  <c r="C16" i="35" a="1"/>
  <c r="C16" i="35" s="1"/>
  <c r="D26" i="35" a="1"/>
  <c r="D26" i="35" s="1"/>
  <c r="C19" i="35" a="1"/>
  <c r="C19" i="35" s="1"/>
  <c r="E11" i="35" a="1"/>
  <c r="E11" i="35" s="1"/>
  <c r="D4" i="35" a="1"/>
  <c r="D4" i="35" s="1"/>
  <c r="E17" i="35" a="1"/>
  <c r="E17" i="35" s="1"/>
  <c r="C21" i="35" a="1"/>
  <c r="C21" i="35" s="1"/>
  <c r="E9" i="35" a="1"/>
  <c r="E9" i="35" s="1"/>
  <c r="C20" i="35" a="1"/>
  <c r="C20" i="35" s="1"/>
  <c r="D22" i="35" a="1"/>
  <c r="D22" i="35" s="1"/>
  <c r="E18" i="35" a="1"/>
  <c r="E18" i="35" s="1"/>
  <c r="D11" i="35" a="1"/>
  <c r="D11" i="35" s="1"/>
  <c r="C4" i="35" a="1"/>
  <c r="C4" i="35" s="1"/>
  <c r="E24" i="35" a="1"/>
  <c r="E24" i="35" s="1"/>
  <c r="D13" i="35" a="1"/>
  <c r="D13" i="35" s="1"/>
  <c r="E23" i="35" a="1"/>
  <c r="E23" i="35" s="1"/>
  <c r="C5" i="35" a="1"/>
  <c r="C5" i="35" s="1"/>
  <c r="C26" i="35" a="1"/>
  <c r="C26" i="35" s="1"/>
  <c r="C15" i="35" a="1"/>
  <c r="C15" i="35" s="1"/>
  <c r="E7" i="35" a="1"/>
  <c r="E7" i="35" s="1"/>
  <c r="C25" i="35" a="1"/>
  <c r="C25" i="35" s="1"/>
  <c r="D6" i="35" a="1"/>
  <c r="D6" i="35" s="1"/>
  <c r="C24" i="35" a="1"/>
  <c r="C24" i="35" s="1"/>
  <c r="D5" i="35" a="1"/>
  <c r="D5" i="35" s="1"/>
  <c r="E25" i="35" a="1"/>
  <c r="E25" i="35" s="1"/>
  <c r="E14" i="35" a="1"/>
  <c r="E14" i="35" s="1"/>
  <c r="D7" i="35" a="1"/>
  <c r="D7" i="35" s="1"/>
  <c r="E6" i="35" a="1"/>
  <c r="E6" i="35" s="1"/>
  <c r="E20" i="35" a="1"/>
  <c r="E20" i="35" s="1"/>
  <c r="E5" i="35" a="1"/>
  <c r="E5" i="35" s="1"/>
  <c r="E8" i="35" a="1"/>
  <c r="E8" i="35" s="1"/>
  <c r="C22" i="35" a="1"/>
  <c r="C22" i="35" s="1"/>
  <c r="D18" i="35" a="1"/>
  <c r="D18" i="35" s="1"/>
  <c r="C11" i="35" a="1"/>
  <c r="C11" i="35" s="1"/>
  <c r="E3" i="35" a="1"/>
  <c r="E3" i="35" s="1"/>
  <c r="C3" i="35" a="1"/>
  <c r="C3" i="35" s="1"/>
  <c r="C17" i="35" a="1"/>
  <c r="C17" i="35" s="1"/>
  <c r="C2" i="35" a="1"/>
  <c r="C2" i="35" s="1"/>
  <c r="D12" i="35" a="1"/>
  <c r="D12" i="35" s="1"/>
  <c r="D25" i="35" a="1"/>
  <c r="D25" i="35" s="1"/>
  <c r="C18" i="35" a="1"/>
  <c r="C18" i="35" s="1"/>
  <c r="E10" i="35" a="1"/>
  <c r="E10" i="35" s="1"/>
  <c r="D3" i="35" a="1"/>
  <c r="D3" i="35" s="1"/>
  <c r="D10" i="35" a="1"/>
  <c r="D10" i="35" s="1"/>
  <c r="E13" i="35" a="1"/>
  <c r="E13" i="35" s="1"/>
  <c r="C6" i="35" a="1"/>
  <c r="C6" i="35" s="1"/>
  <c r="D16" i="35" a="1"/>
  <c r="D16" i="35" s="1"/>
  <c r="E21" i="35" a="1"/>
  <c r="E21" i="35" s="1"/>
  <c r="D14" i="35" a="1"/>
  <c r="D14" i="35" s="1"/>
  <c r="C7" i="35" a="1"/>
  <c r="C7" i="35" s="1"/>
  <c r="D9" i="35" a="1"/>
  <c r="D9" i="35" s="1"/>
  <c r="E19" i="35" a="1"/>
  <c r="E19" i="35" s="1"/>
  <c r="D17" i="35" a="1"/>
  <c r="D17" i="35" s="1"/>
  <c r="D2" i="35" a="1"/>
  <c r="D2" i="35" s="1"/>
  <c r="E12" i="35" a="1"/>
  <c r="E12" i="35" s="1"/>
  <c r="C23" i="34" a="1"/>
  <c r="C23" i="34" s="1"/>
  <c r="D19" i="34" a="1"/>
  <c r="D19" i="34" s="1"/>
  <c r="C12" i="34" a="1"/>
  <c r="C12" i="34" s="1"/>
  <c r="E4" i="34" a="1"/>
  <c r="E4" i="34" s="1"/>
  <c r="E24" i="34" a="1"/>
  <c r="E24" i="34" s="1"/>
  <c r="D13" i="34" a="1"/>
  <c r="D13" i="34" s="1"/>
  <c r="E8" i="34" a="1"/>
  <c r="E8" i="34" s="1"/>
  <c r="E26" i="34" a="1"/>
  <c r="E26" i="34" s="1"/>
  <c r="E15" i="34" a="1"/>
  <c r="E15" i="34" s="1"/>
  <c r="D8" i="34" a="1"/>
  <c r="D8" i="34" s="1"/>
  <c r="C25" i="34" a="1"/>
  <c r="C25" i="34" s="1"/>
  <c r="C10" i="34" a="1"/>
  <c r="C10" i="34" s="1"/>
  <c r="E16" i="34" a="1"/>
  <c r="E16" i="34" s="1"/>
  <c r="D5" i="34" a="1"/>
  <c r="D5" i="34" s="1"/>
  <c r="D26" i="34" a="1"/>
  <c r="D26" i="34" s="1"/>
  <c r="E11" i="34" a="1"/>
  <c r="E11" i="34" s="1"/>
  <c r="D4" i="34" a="1"/>
  <c r="D4" i="34" s="1"/>
  <c r="D10" i="34" a="1"/>
  <c r="D10" i="34" s="1"/>
  <c r="E20" i="34" a="1"/>
  <c r="E20" i="34" s="1"/>
  <c r="E5" i="34" a="1"/>
  <c r="E5" i="34" s="1"/>
  <c r="C16" i="34" a="1"/>
  <c r="C16" i="34" s="1"/>
  <c r="E22" i="34" a="1"/>
  <c r="E22" i="34" s="1"/>
  <c r="C19" i="34" a="1"/>
  <c r="C19" i="34" s="1"/>
  <c r="D15" i="34" a="1"/>
  <c r="D15" i="34" s="1"/>
  <c r="C8" i="34" a="1"/>
  <c r="C8" i="34" s="1"/>
  <c r="E3" i="34" a="1"/>
  <c r="E3" i="34" s="1"/>
  <c r="E6" i="34" a="1"/>
  <c r="E6" i="34" s="1"/>
  <c r="D24" i="34" a="1"/>
  <c r="D24" i="34" s="1"/>
  <c r="C24" i="34" a="1"/>
  <c r="C24" i="34" s="1"/>
  <c r="D16" i="34" a="1"/>
  <c r="D16" i="34" s="1"/>
  <c r="E19" i="34" a="1"/>
  <c r="E19" i="34" s="1"/>
  <c r="D22" i="34" a="1"/>
  <c r="D22" i="34" s="1"/>
  <c r="E18" i="34" a="1"/>
  <c r="E18" i="34" s="1"/>
  <c r="D11" i="34" a="1"/>
  <c r="D11" i="34" s="1"/>
  <c r="C4" i="34" a="1"/>
  <c r="C4" i="34" s="1"/>
  <c r="C3" i="34" a="1"/>
  <c r="C3" i="34" s="1"/>
  <c r="C17" i="34" a="1"/>
  <c r="C17" i="34" s="1"/>
  <c r="C2" i="34" a="1"/>
  <c r="C2" i="34" s="1"/>
  <c r="D12" i="34" a="1"/>
  <c r="D12" i="34" s="1"/>
  <c r="C26" i="34" a="1"/>
  <c r="C26" i="34" s="1"/>
  <c r="C15" i="34" a="1"/>
  <c r="C15" i="34" s="1"/>
  <c r="E7" i="34" a="1"/>
  <c r="E7" i="34" s="1"/>
  <c r="D21" i="34" a="1"/>
  <c r="D21" i="34" s="1"/>
  <c r="E13" i="34" a="1"/>
  <c r="E13" i="34" s="1"/>
  <c r="D20" i="34" a="1"/>
  <c r="D20" i="34" s="1"/>
  <c r="C9" i="34" a="1"/>
  <c r="C9" i="34" s="1"/>
  <c r="E25" i="34" a="1"/>
  <c r="E25" i="34" s="1"/>
  <c r="D18" i="34" a="1"/>
  <c r="D18" i="34" s="1"/>
  <c r="C11" i="34" a="1"/>
  <c r="C11" i="34" s="1"/>
  <c r="E17" i="34" a="1"/>
  <c r="E17" i="34" s="1"/>
  <c r="E2" i="34" a="1"/>
  <c r="E2" i="34" s="1"/>
  <c r="C13" i="34" a="1"/>
  <c r="C13" i="34" s="1"/>
  <c r="E12" i="34" a="1"/>
  <c r="E12" i="34" s="1"/>
  <c r="C22" i="34" a="1"/>
  <c r="C22" i="34" s="1"/>
  <c r="E14" i="34" a="1"/>
  <c r="E14" i="34" s="1"/>
  <c r="D7" i="34" a="1"/>
  <c r="D7" i="34" s="1"/>
  <c r="C14" i="34" a="1"/>
  <c r="C14" i="34" s="1"/>
  <c r="D6" i="34" a="1"/>
  <c r="D6" i="34" s="1"/>
  <c r="D2" i="34" a="1"/>
  <c r="D2" i="34" s="1"/>
  <c r="E23" i="34" a="1"/>
  <c r="E23" i="34" s="1"/>
  <c r="C5" i="34" a="1"/>
  <c r="C5" i="34" s="1"/>
  <c r="D25" i="34" a="1"/>
  <c r="D25" i="34" s="1"/>
  <c r="C18" i="34" a="1"/>
  <c r="C18" i="34" s="1"/>
  <c r="E10" i="34" a="1"/>
  <c r="E10" i="34" s="1"/>
  <c r="D3" i="34" a="1"/>
  <c r="D3" i="34" s="1"/>
  <c r="C21" i="34" a="1"/>
  <c r="C21" i="34" s="1"/>
  <c r="E9" i="34" a="1"/>
  <c r="E9" i="34" s="1"/>
  <c r="D9" i="34" a="1"/>
  <c r="D9" i="34" s="1"/>
  <c r="D23" i="34" a="1"/>
  <c r="D23" i="34" s="1"/>
  <c r="E21" i="34" a="1"/>
  <c r="E21" i="34" s="1"/>
  <c r="D14" i="34" a="1"/>
  <c r="D14" i="34" s="1"/>
  <c r="C7" i="34" a="1"/>
  <c r="C7" i="34" s="1"/>
  <c r="D17" i="34" a="1"/>
  <c r="D17" i="34" s="1"/>
  <c r="C6" i="34" a="1"/>
  <c r="C6" i="34" s="1"/>
  <c r="C20" i="34" a="1"/>
  <c r="C20" i="34" s="1"/>
  <c r="C23" i="31" a="1"/>
  <c r="C23" i="31" s="1"/>
  <c r="D19" i="31" a="1"/>
  <c r="D19" i="31" s="1"/>
  <c r="C12" i="31" a="1"/>
  <c r="C12" i="31" s="1"/>
  <c r="E4" i="31" a="1"/>
  <c r="E4" i="31" s="1"/>
  <c r="C3" i="31" a="1"/>
  <c r="C3" i="31" s="1"/>
  <c r="C6" i="31" a="1"/>
  <c r="C6" i="31" s="1"/>
  <c r="D16" i="31" a="1"/>
  <c r="D16" i="31" s="1"/>
  <c r="E26" i="31" a="1"/>
  <c r="E26" i="31" s="1"/>
  <c r="E15" i="31" a="1"/>
  <c r="E15" i="31" s="1"/>
  <c r="D8" i="31" a="1"/>
  <c r="D8" i="31" s="1"/>
  <c r="D10" i="31" a="1"/>
  <c r="D10" i="31" s="1"/>
  <c r="E9" i="31" a="1"/>
  <c r="E9" i="31" s="1"/>
  <c r="C20" i="31" a="1"/>
  <c r="C20" i="31" s="1"/>
  <c r="E22" i="31" a="1"/>
  <c r="E22" i="31" s="1"/>
  <c r="D15" i="31" a="1"/>
  <c r="D15" i="31" s="1"/>
  <c r="C8" i="31" a="1"/>
  <c r="C8" i="31" s="1"/>
  <c r="D4" i="31" a="1"/>
  <c r="D4" i="31" s="1"/>
  <c r="D6" i="31" a="1"/>
  <c r="D6" i="31" s="1"/>
  <c r="E16" i="31" a="1"/>
  <c r="E16" i="31" s="1"/>
  <c r="D23" i="31" a="1"/>
  <c r="D23" i="31" s="1"/>
  <c r="D26" i="31" a="1"/>
  <c r="D26" i="31" s="1"/>
  <c r="C19" i="31" a="1"/>
  <c r="C19" i="31" s="1"/>
  <c r="E11" i="31" a="1"/>
  <c r="E11" i="31" s="1"/>
  <c r="D21" i="31" a="1"/>
  <c r="D21" i="31" s="1"/>
  <c r="D24" i="31" a="1"/>
  <c r="D24" i="31" s="1"/>
  <c r="D9" i="31" a="1"/>
  <c r="D9" i="31" s="1"/>
  <c r="C16" i="31" a="1"/>
  <c r="C16" i="31" s="1"/>
  <c r="D22" i="31" a="1"/>
  <c r="D22" i="31" s="1"/>
  <c r="C15" i="31" a="1"/>
  <c r="C15" i="31" s="1"/>
  <c r="E7" i="31" a="1"/>
  <c r="E7" i="31" s="1"/>
  <c r="E3" i="31" a="1"/>
  <c r="E3" i="31" s="1"/>
  <c r="E13" i="31" a="1"/>
  <c r="E13" i="31" s="1"/>
  <c r="D2" i="31" a="1"/>
  <c r="D2" i="31" s="1"/>
  <c r="E12" i="31" a="1"/>
  <c r="E12" i="31" s="1"/>
  <c r="C26" i="31" a="1"/>
  <c r="C26" i="31" s="1"/>
  <c r="E18" i="31" a="1"/>
  <c r="E18" i="31" s="1"/>
  <c r="D11" i="31" a="1"/>
  <c r="D11" i="31" s="1"/>
  <c r="C4" i="31" a="1"/>
  <c r="C4" i="31" s="1"/>
  <c r="E6" i="31" a="1"/>
  <c r="E6" i="31" s="1"/>
  <c r="D13" i="31" a="1"/>
  <c r="D13" i="31" s="1"/>
  <c r="E23" i="31" a="1"/>
  <c r="E23" i="31" s="1"/>
  <c r="D12" i="31" a="1"/>
  <c r="D12" i="31" s="1"/>
  <c r="C22" i="31" a="1"/>
  <c r="C22" i="31" s="1"/>
  <c r="E14" i="31" a="1"/>
  <c r="E14" i="31" s="1"/>
  <c r="C11" i="31" a="1"/>
  <c r="C11" i="31" s="1"/>
  <c r="C25" i="31" a="1"/>
  <c r="C25" i="31" s="1"/>
  <c r="E2" i="31" a="1"/>
  <c r="E2" i="31" s="1"/>
  <c r="C13" i="31" a="1"/>
  <c r="C13" i="31" s="1"/>
  <c r="E19" i="31" a="1"/>
  <c r="E19" i="31" s="1"/>
  <c r="E25" i="31" a="1"/>
  <c r="E25" i="31" s="1"/>
  <c r="D18" i="31" a="1"/>
  <c r="D18" i="31" s="1"/>
  <c r="D7" i="31" a="1"/>
  <c r="D7" i="31" s="1"/>
  <c r="C14" i="31" a="1"/>
  <c r="C14" i="31" s="1"/>
  <c r="C17" i="31" a="1"/>
  <c r="C17" i="31" s="1"/>
  <c r="C2" i="31" a="1"/>
  <c r="C2" i="31" s="1"/>
  <c r="E8" i="31" a="1"/>
  <c r="E8" i="31" s="1"/>
  <c r="D25" i="31" a="1"/>
  <c r="D25" i="31" s="1"/>
  <c r="C18" i="31" a="1"/>
  <c r="C18" i="31" s="1"/>
  <c r="E10" i="31" a="1"/>
  <c r="E10" i="31" s="1"/>
  <c r="E17" i="31" a="1"/>
  <c r="E17" i="31" s="1"/>
  <c r="E20" i="31" a="1"/>
  <c r="E20" i="31" s="1"/>
  <c r="E5" i="31" a="1"/>
  <c r="E5" i="31" s="1"/>
  <c r="C5" i="31" a="1"/>
  <c r="C5" i="31" s="1"/>
  <c r="E21" i="31" a="1"/>
  <c r="E21" i="31" s="1"/>
  <c r="D14" i="31" a="1"/>
  <c r="D14" i="31" s="1"/>
  <c r="C7" i="31" a="1"/>
  <c r="C7" i="31" s="1"/>
  <c r="D3" i="31" a="1"/>
  <c r="D3" i="31" s="1"/>
  <c r="C10" i="31" a="1"/>
  <c r="C10" i="31" s="1"/>
  <c r="D20" i="31" a="1"/>
  <c r="D20" i="31" s="1"/>
  <c r="D5" i="31" a="1"/>
  <c r="D5" i="31" s="1"/>
  <c r="E24" i="31" a="1"/>
  <c r="E24" i="31" s="1"/>
  <c r="C21" i="31" a="1"/>
  <c r="C21" i="31" s="1"/>
  <c r="D17" i="31" a="1"/>
  <c r="D17" i="31" s="1"/>
  <c r="C24" i="31" a="1"/>
  <c r="C24" i="31" s="1"/>
  <c r="C9" i="31" a="1"/>
  <c r="C9" i="31" s="1"/>
  <c r="E26" i="30" a="1"/>
  <c r="E26" i="30" s="1"/>
  <c r="C23" i="30" a="1"/>
  <c r="C23" i="30" s="1"/>
  <c r="D19" i="30" a="1"/>
  <c r="D19" i="30" s="1"/>
  <c r="E15" i="30" a="1"/>
  <c r="E15" i="30" s="1"/>
  <c r="C12" i="30" a="1"/>
  <c r="C12" i="30" s="1"/>
  <c r="D8" i="30" a="1"/>
  <c r="D8" i="30" s="1"/>
  <c r="E22" i="30" a="1"/>
  <c r="E22" i="30" s="1"/>
  <c r="C19" i="30" a="1"/>
  <c r="C19" i="30" s="1"/>
  <c r="E11" i="30" a="1"/>
  <c r="E11" i="30" s="1"/>
  <c r="C8" i="30" a="1"/>
  <c r="C8" i="30" s="1"/>
  <c r="D10" i="30" a="1"/>
  <c r="D10" i="30" s="1"/>
  <c r="E16" i="30" a="1"/>
  <c r="E16" i="30" s="1"/>
  <c r="D23" i="30" a="1"/>
  <c r="D23" i="30" s="1"/>
  <c r="D26" i="30" a="1"/>
  <c r="D26" i="30" s="1"/>
  <c r="D15" i="30" a="1"/>
  <c r="D15" i="30" s="1"/>
  <c r="D4" i="30" a="1"/>
  <c r="D4" i="30" s="1"/>
  <c r="D2" i="30" a="1"/>
  <c r="D2" i="30" s="1"/>
  <c r="D16" i="30" a="1"/>
  <c r="D16" i="30" s="1"/>
  <c r="D22" i="30" a="1"/>
  <c r="D22" i="30" s="1"/>
  <c r="E18" i="30" a="1"/>
  <c r="E18" i="30" s="1"/>
  <c r="D11" i="30" a="1"/>
  <c r="D11" i="30" s="1"/>
  <c r="C4" i="30" a="1"/>
  <c r="C4" i="30" s="1"/>
  <c r="C17" i="30" a="1"/>
  <c r="C17" i="30" s="1"/>
  <c r="E5" i="30" a="1"/>
  <c r="E5" i="30" s="1"/>
  <c r="D12" i="30" a="1"/>
  <c r="D12" i="30" s="1"/>
  <c r="C26" i="30" a="1"/>
  <c r="C26" i="30" s="1"/>
  <c r="C15" i="30" a="1"/>
  <c r="C15" i="30" s="1"/>
  <c r="E7" i="30" a="1"/>
  <c r="E7" i="30" s="1"/>
  <c r="E6" i="30" a="1"/>
  <c r="E6" i="30" s="1"/>
  <c r="D9" i="30" a="1"/>
  <c r="D9" i="30" s="1"/>
  <c r="E19" i="30" a="1"/>
  <c r="E19" i="30" s="1"/>
  <c r="C22" i="30" a="1"/>
  <c r="C22" i="30" s="1"/>
  <c r="E14" i="30" a="1"/>
  <c r="E14" i="30" s="1"/>
  <c r="D7" i="30" a="1"/>
  <c r="D7" i="30" s="1"/>
  <c r="E17" i="30" a="1"/>
  <c r="E17" i="30" s="1"/>
  <c r="C24" i="30" a="1"/>
  <c r="C24" i="30" s="1"/>
  <c r="D5" i="30" a="1"/>
  <c r="D5" i="30" s="1"/>
  <c r="E25" i="30" a="1"/>
  <c r="E25" i="30" s="1"/>
  <c r="D18" i="30" a="1"/>
  <c r="D18" i="30" s="1"/>
  <c r="C11" i="30" a="1"/>
  <c r="C11" i="30" s="1"/>
  <c r="E3" i="30" a="1"/>
  <c r="E3" i="30" s="1"/>
  <c r="E9" i="30" a="1"/>
  <c r="E9" i="30" s="1"/>
  <c r="C20" i="30" a="1"/>
  <c r="C20" i="30" s="1"/>
  <c r="E4" i="30" a="1"/>
  <c r="E4" i="30" s="1"/>
  <c r="E21" i="30" a="1"/>
  <c r="E21" i="30" s="1"/>
  <c r="C18" i="30" a="1"/>
  <c r="C18" i="30" s="1"/>
  <c r="E10" i="30" a="1"/>
  <c r="E10" i="30" s="1"/>
  <c r="D3" i="30" a="1"/>
  <c r="D3" i="30" s="1"/>
  <c r="E20" i="30" a="1"/>
  <c r="E20" i="30" s="1"/>
  <c r="C2" i="30" a="1"/>
  <c r="C2" i="30" s="1"/>
  <c r="E8" i="30" a="1"/>
  <c r="E8" i="30" s="1"/>
  <c r="D25" i="30" a="1"/>
  <c r="D25" i="30" s="1"/>
  <c r="D14" i="30" a="1"/>
  <c r="D14" i="30" s="1"/>
  <c r="C7" i="30" a="1"/>
  <c r="C7" i="30" s="1"/>
  <c r="C3" i="30" a="1"/>
  <c r="C3" i="30" s="1"/>
  <c r="C13" i="30" a="1"/>
  <c r="C13" i="30" s="1"/>
  <c r="C16" i="30" a="1"/>
  <c r="C16" i="30" s="1"/>
  <c r="C25" i="30" a="1"/>
  <c r="C25" i="30" s="1"/>
  <c r="D21" i="30" a="1"/>
  <c r="D21" i="30" s="1"/>
  <c r="C14" i="30" a="1"/>
  <c r="C14" i="30" s="1"/>
  <c r="D20" i="30" a="1"/>
  <c r="D20" i="30" s="1"/>
  <c r="C9" i="30" a="1"/>
  <c r="C9" i="30" s="1"/>
  <c r="E24" i="30" a="1"/>
  <c r="E24" i="30" s="1"/>
  <c r="D17" i="30" a="1"/>
  <c r="D17" i="30" s="1"/>
  <c r="C10" i="30" a="1"/>
  <c r="C10" i="30" s="1"/>
  <c r="E2" i="30" a="1"/>
  <c r="E2" i="30" s="1"/>
  <c r="D13" i="30" a="1"/>
  <c r="D13" i="30" s="1"/>
  <c r="E23" i="30" a="1"/>
  <c r="E23" i="30" s="1"/>
  <c r="C5" i="30" a="1"/>
  <c r="C5" i="30" s="1"/>
  <c r="C21" i="30" a="1"/>
  <c r="C21" i="30" s="1"/>
  <c r="E13" i="30" a="1"/>
  <c r="E13" i="30" s="1"/>
  <c r="D6" i="30" a="1"/>
  <c r="D6" i="30" s="1"/>
  <c r="D24" i="30" a="1"/>
  <c r="D24" i="30" s="1"/>
  <c r="C6" i="30" a="1"/>
  <c r="C6" i="30" s="1"/>
  <c r="E12" i="30" a="1"/>
  <c r="E12" i="30" s="1"/>
  <c r="E26" i="29" a="1"/>
  <c r="E26" i="29" s="1"/>
  <c r="C23" i="29" a="1"/>
  <c r="C23" i="29" s="1"/>
  <c r="D19" i="29" a="1"/>
  <c r="D19" i="29" s="1"/>
  <c r="E15" i="29" a="1"/>
  <c r="E15" i="29" s="1"/>
  <c r="C12" i="29" a="1"/>
  <c r="C12" i="29" s="1"/>
  <c r="D8" i="29" a="1"/>
  <c r="D8" i="29" s="1"/>
  <c r="E4" i="29" a="1"/>
  <c r="E4" i="29" s="1"/>
  <c r="E22" i="29" a="1"/>
  <c r="E22" i="29" s="1"/>
  <c r="C19" i="29" a="1"/>
  <c r="C19" i="29" s="1"/>
  <c r="D15" i="29" a="1"/>
  <c r="D15" i="29" s="1"/>
  <c r="C8" i="29" a="1"/>
  <c r="C8" i="29" s="1"/>
  <c r="E6" i="29" a="1"/>
  <c r="E6" i="29" s="1"/>
  <c r="C24" i="29" a="1"/>
  <c r="C24" i="29" s="1"/>
  <c r="E12" i="29" a="1"/>
  <c r="E12" i="29" s="1"/>
  <c r="D26" i="29" a="1"/>
  <c r="D26" i="29" s="1"/>
  <c r="E11" i="29" a="1"/>
  <c r="E11" i="29" s="1"/>
  <c r="D4" i="29" a="1"/>
  <c r="D4" i="29" s="1"/>
  <c r="D6" i="29" a="1"/>
  <c r="D6" i="29" s="1"/>
  <c r="D20" i="29" a="1"/>
  <c r="D20" i="29" s="1"/>
  <c r="D5" i="29" a="1"/>
  <c r="D5" i="29" s="1"/>
  <c r="D22" i="29" a="1"/>
  <c r="D22" i="29" s="1"/>
  <c r="E18" i="29" a="1"/>
  <c r="E18" i="29" s="1"/>
  <c r="D11" i="29" a="1"/>
  <c r="D11" i="29" s="1"/>
  <c r="C4" i="29" a="1"/>
  <c r="C4" i="29" s="1"/>
  <c r="D10" i="29" a="1"/>
  <c r="D10" i="29" s="1"/>
  <c r="D24" i="29" a="1"/>
  <c r="D24" i="29" s="1"/>
  <c r="E16" i="29" a="1"/>
  <c r="E16" i="29" s="1"/>
  <c r="C9" i="29" a="1"/>
  <c r="C9" i="29" s="1"/>
  <c r="C26" i="29" a="1"/>
  <c r="C26" i="29" s="1"/>
  <c r="C15" i="29" a="1"/>
  <c r="C15" i="29" s="1"/>
  <c r="E7" i="29" a="1"/>
  <c r="E7" i="29" s="1"/>
  <c r="E17" i="29" a="1"/>
  <c r="E17" i="29" s="1"/>
  <c r="C17" i="29" a="1"/>
  <c r="C17" i="29" s="1"/>
  <c r="D9" i="29" a="1"/>
  <c r="D9" i="29" s="1"/>
  <c r="E19" i="29" a="1"/>
  <c r="E19" i="29" s="1"/>
  <c r="C22" i="29" a="1"/>
  <c r="C22" i="29" s="1"/>
  <c r="D18" i="29" a="1"/>
  <c r="D18" i="29" s="1"/>
  <c r="C11" i="29" a="1"/>
  <c r="C11" i="29" s="1"/>
  <c r="E3" i="29" a="1"/>
  <c r="E3" i="29" s="1"/>
  <c r="E20" i="29" a="1"/>
  <c r="E20" i="29" s="1"/>
  <c r="C2" i="29" a="1"/>
  <c r="C2" i="29" s="1"/>
  <c r="E8" i="29" a="1"/>
  <c r="E8" i="29" s="1"/>
  <c r="E25" i="29" a="1"/>
  <c r="E25" i="29" s="1"/>
  <c r="E14" i="29" a="1"/>
  <c r="E14" i="29" s="1"/>
  <c r="D7" i="29" a="1"/>
  <c r="D7" i="29" s="1"/>
  <c r="E2" i="29" a="1"/>
  <c r="E2" i="29" s="1"/>
  <c r="C13" i="29" a="1"/>
  <c r="C13" i="29" s="1"/>
  <c r="D23" i="29" a="1"/>
  <c r="D23" i="29" s="1"/>
  <c r="D25" i="29" a="1"/>
  <c r="D25" i="29" s="1"/>
  <c r="C18" i="29" a="1"/>
  <c r="C18" i="29" s="1"/>
  <c r="E10" i="29" a="1"/>
  <c r="E10" i="29" s="1"/>
  <c r="C14" i="29" a="1"/>
  <c r="C14" i="29" s="1"/>
  <c r="D13" i="29" a="1"/>
  <c r="D13" i="29" s="1"/>
  <c r="E5" i="29" a="1"/>
  <c r="E5" i="29" s="1"/>
  <c r="C16" i="29" a="1"/>
  <c r="C16" i="29" s="1"/>
  <c r="E21" i="29" a="1"/>
  <c r="E21" i="29" s="1"/>
  <c r="D14" i="29" a="1"/>
  <c r="D14" i="29" s="1"/>
  <c r="C7" i="29" a="1"/>
  <c r="C7" i="29" s="1"/>
  <c r="D3" i="29" a="1"/>
  <c r="D3" i="29" s="1"/>
  <c r="E9" i="29" a="1"/>
  <c r="E9" i="29" s="1"/>
  <c r="E23" i="29" a="1"/>
  <c r="E23" i="29" s="1"/>
  <c r="D12" i="29" a="1"/>
  <c r="D12" i="29" s="1"/>
  <c r="C25" i="29" a="1"/>
  <c r="C25" i="29" s="1"/>
  <c r="D21" i="29" a="1"/>
  <c r="D21" i="29" s="1"/>
  <c r="C3" i="29" a="1"/>
  <c r="C3" i="29" s="1"/>
  <c r="C6" i="29" a="1"/>
  <c r="C6" i="29" s="1"/>
  <c r="C20" i="29" a="1"/>
  <c r="C20" i="29" s="1"/>
  <c r="C5" i="29" a="1"/>
  <c r="C5" i="29" s="1"/>
  <c r="E24" i="29" a="1"/>
  <c r="E24" i="29" s="1"/>
  <c r="C21" i="29" a="1"/>
  <c r="C21" i="29" s="1"/>
  <c r="D17" i="29" a="1"/>
  <c r="D17" i="29" s="1"/>
  <c r="E13" i="29" a="1"/>
  <c r="E13" i="29" s="1"/>
  <c r="C10" i="29" a="1"/>
  <c r="C10" i="29" s="1"/>
  <c r="D2" i="29" a="1"/>
  <c r="D2" i="29" s="1"/>
  <c r="D16" i="29" a="1"/>
  <c r="D16" i="29" s="1"/>
  <c r="C23" i="28" a="1"/>
  <c r="C23" i="28" s="1"/>
  <c r="E15" i="28" a="1"/>
  <c r="E15" i="28" s="1"/>
  <c r="D8" i="28" a="1"/>
  <c r="D8" i="28" s="1"/>
  <c r="E17" i="28" a="1"/>
  <c r="E17" i="28" s="1"/>
  <c r="C10" i="28" a="1"/>
  <c r="C10" i="28" s="1"/>
  <c r="C24" i="28" a="1"/>
  <c r="C24" i="28" s="1"/>
  <c r="D23" i="28" a="1"/>
  <c r="D23" i="28" s="1"/>
  <c r="E26" i="28" a="1"/>
  <c r="E26" i="28" s="1"/>
  <c r="D19" i="28" a="1"/>
  <c r="D19" i="28" s="1"/>
  <c r="C12" i="28" a="1"/>
  <c r="C12" i="28" s="1"/>
  <c r="E4" i="28" a="1"/>
  <c r="E4" i="28" s="1"/>
  <c r="D17" i="28" a="1"/>
  <c r="D17" i="28" s="1"/>
  <c r="D2" i="28" a="1"/>
  <c r="D2" i="28" s="1"/>
  <c r="E23" i="28" a="1"/>
  <c r="E23" i="28" s="1"/>
  <c r="D12" i="28" a="1"/>
  <c r="D12" i="28" s="1"/>
  <c r="E22" i="28" a="1"/>
  <c r="E22" i="28" s="1"/>
  <c r="D15" i="28" a="1"/>
  <c r="D15" i="28" s="1"/>
  <c r="C8" i="28" a="1"/>
  <c r="C8" i="28" s="1"/>
  <c r="C14" i="28" a="1"/>
  <c r="C14" i="28" s="1"/>
  <c r="D24" i="28" a="1"/>
  <c r="D24" i="28" s="1"/>
  <c r="C13" i="28" a="1"/>
  <c r="C13" i="28" s="1"/>
  <c r="C9" i="28" a="1"/>
  <c r="C9" i="28" s="1"/>
  <c r="D26" i="28" a="1"/>
  <c r="D26" i="28" s="1"/>
  <c r="C19" i="28" a="1"/>
  <c r="C19" i="28" s="1"/>
  <c r="E11" i="28" a="1"/>
  <c r="E11" i="28" s="1"/>
  <c r="D4" i="28" a="1"/>
  <c r="D4" i="28" s="1"/>
  <c r="C3" i="28" a="1"/>
  <c r="C3" i="28" s="1"/>
  <c r="C17" i="28" a="1"/>
  <c r="C17" i="28" s="1"/>
  <c r="E5" i="28" a="1"/>
  <c r="E5" i="28" s="1"/>
  <c r="E12" i="28" a="1"/>
  <c r="E12" i="28" s="1"/>
  <c r="E8" i="28" a="1"/>
  <c r="E8" i="28" s="1"/>
  <c r="D22" i="28" a="1"/>
  <c r="D22" i="28" s="1"/>
  <c r="E18" i="28" a="1"/>
  <c r="E18" i="28" s="1"/>
  <c r="D11" i="28" a="1"/>
  <c r="D11" i="28" s="1"/>
  <c r="C4" i="28" a="1"/>
  <c r="C4" i="28" s="1"/>
  <c r="E24" i="28" a="1"/>
  <c r="E24" i="28" s="1"/>
  <c r="D13" i="28" a="1"/>
  <c r="D13" i="28" s="1"/>
  <c r="C2" i="28" a="1"/>
  <c r="C2" i="28" s="1"/>
  <c r="E19" i="28" a="1"/>
  <c r="E19" i="28" s="1"/>
  <c r="C26" i="28" a="1"/>
  <c r="C26" i="28" s="1"/>
  <c r="C15" i="28" a="1"/>
  <c r="C15" i="28" s="1"/>
  <c r="E7" i="28" a="1"/>
  <c r="E7" i="28" s="1"/>
  <c r="D10" i="28" a="1"/>
  <c r="D10" i="28" s="1"/>
  <c r="E2" i="28" a="1"/>
  <c r="E2" i="28" s="1"/>
  <c r="E16" i="28" a="1"/>
  <c r="E16" i="28" s="1"/>
  <c r="D5" i="28" a="1"/>
  <c r="D5" i="28" s="1"/>
  <c r="E25" i="28" a="1"/>
  <c r="E25" i="28" s="1"/>
  <c r="E14" i="28" a="1"/>
  <c r="E14" i="28" s="1"/>
  <c r="D7" i="28" a="1"/>
  <c r="D7" i="28" s="1"/>
  <c r="D21" i="28" a="1"/>
  <c r="D21" i="28" s="1"/>
  <c r="D6" i="28" a="1"/>
  <c r="D6" i="28" s="1"/>
  <c r="D20" i="28" a="1"/>
  <c r="D20" i="28" s="1"/>
  <c r="D16" i="28" a="1"/>
  <c r="D16" i="28" s="1"/>
  <c r="C5" i="28" a="1"/>
  <c r="C5" i="28" s="1"/>
  <c r="C22" i="28" a="1"/>
  <c r="C22" i="28" s="1"/>
  <c r="D18" i="28" a="1"/>
  <c r="D18" i="28" s="1"/>
  <c r="C11" i="28" a="1"/>
  <c r="C11" i="28" s="1"/>
  <c r="E3" i="28" a="1"/>
  <c r="E3" i="28" s="1"/>
  <c r="E6" i="28" a="1"/>
  <c r="E6" i="28" s="1"/>
  <c r="E20" i="28" a="1"/>
  <c r="E20" i="28" s="1"/>
  <c r="D9" i="28" a="1"/>
  <c r="D9" i="28" s="1"/>
  <c r="C16" i="28" a="1"/>
  <c r="C16" i="28" s="1"/>
  <c r="D25" i="28" a="1"/>
  <c r="D25" i="28" s="1"/>
  <c r="C18" i="28" a="1"/>
  <c r="C18" i="28" s="1"/>
  <c r="E10" i="28" a="1"/>
  <c r="E10" i="28" s="1"/>
  <c r="C25" i="28" a="1"/>
  <c r="C25" i="28" s="1"/>
  <c r="E13" i="28" a="1"/>
  <c r="E13" i="28" s="1"/>
  <c r="C6" i="28" a="1"/>
  <c r="C6" i="28" s="1"/>
  <c r="C20" i="28" a="1"/>
  <c r="C20" i="28" s="1"/>
  <c r="E21" i="28" a="1"/>
  <c r="E21" i="28" s="1"/>
  <c r="D14" i="28" a="1"/>
  <c r="D14" i="28" s="1"/>
  <c r="C7" i="28" a="1"/>
  <c r="C7" i="28" s="1"/>
  <c r="D3" i="28" a="1"/>
  <c r="D3" i="28" s="1"/>
  <c r="C21" i="28" a="1"/>
  <c r="C21" i="28" s="1"/>
  <c r="E9" i="28" a="1"/>
  <c r="E9" i="28" s="1"/>
  <c r="C23" i="27" a="1"/>
  <c r="C23" i="27" s="1"/>
  <c r="E15" i="27" a="1"/>
  <c r="E15" i="27" s="1"/>
  <c r="D8" i="27" a="1"/>
  <c r="D8" i="27" s="1"/>
  <c r="D4" i="27" a="1"/>
  <c r="D4" i="27" s="1"/>
  <c r="D24" i="27" a="1"/>
  <c r="D24" i="27" s="1"/>
  <c r="D9" i="27" a="1"/>
  <c r="D9" i="27" s="1"/>
  <c r="C16" i="27" a="1"/>
  <c r="C16" i="27" s="1"/>
  <c r="E26" i="27" a="1"/>
  <c r="E26" i="27" s="1"/>
  <c r="D19" i="27" a="1"/>
  <c r="D19" i="27" s="1"/>
  <c r="C12" i="27" a="1"/>
  <c r="C12" i="27" s="1"/>
  <c r="E4" i="27" a="1"/>
  <c r="E4" i="27" s="1"/>
  <c r="D6" i="27" a="1"/>
  <c r="D6" i="27" s="1"/>
  <c r="C24" i="27" a="1"/>
  <c r="C24" i="27" s="1"/>
  <c r="C9" i="27" a="1"/>
  <c r="C9" i="27" s="1"/>
  <c r="E22" i="27" a="1"/>
  <c r="E22" i="27" s="1"/>
  <c r="C19" i="27" a="1"/>
  <c r="C19" i="27" s="1"/>
  <c r="C8" i="27" a="1"/>
  <c r="C8" i="27" s="1"/>
  <c r="C3" i="27" a="1"/>
  <c r="C3" i="27" s="1"/>
  <c r="E20" i="27" a="1"/>
  <c r="E20" i="27" s="1"/>
  <c r="C2" i="27" a="1"/>
  <c r="C2" i="27" s="1"/>
  <c r="C5" i="27" a="1"/>
  <c r="C5" i="27" s="1"/>
  <c r="D26" i="27" a="1"/>
  <c r="D26" i="27" s="1"/>
  <c r="D15" i="27" a="1"/>
  <c r="D15" i="27" s="1"/>
  <c r="E11" i="27" a="1"/>
  <c r="E11" i="27" s="1"/>
  <c r="E6" i="27" a="1"/>
  <c r="E6" i="27" s="1"/>
  <c r="C6" i="27" a="1"/>
  <c r="C6" i="27" s="1"/>
  <c r="D16" i="27" a="1"/>
  <c r="D16" i="27" s="1"/>
  <c r="D22" i="27" a="1"/>
  <c r="D22" i="27" s="1"/>
  <c r="C15" i="27" a="1"/>
  <c r="C15" i="27" s="1"/>
  <c r="E7" i="27" a="1"/>
  <c r="E7" i="27" s="1"/>
  <c r="E3" i="27" a="1"/>
  <c r="E3" i="27" s="1"/>
  <c r="E13" i="27" a="1"/>
  <c r="E13" i="27" s="1"/>
  <c r="D20" i="27" a="1"/>
  <c r="D20" i="27" s="1"/>
  <c r="D5" i="27" a="1"/>
  <c r="D5" i="27" s="1"/>
  <c r="C26" i="27" a="1"/>
  <c r="C26" i="27" s="1"/>
  <c r="E18" i="27" a="1"/>
  <c r="E18" i="27" s="1"/>
  <c r="D11" i="27" a="1"/>
  <c r="D11" i="27" s="1"/>
  <c r="C4" i="27" a="1"/>
  <c r="C4" i="27" s="1"/>
  <c r="D17" i="27" a="1"/>
  <c r="D17" i="27" s="1"/>
  <c r="D2" i="27" a="1"/>
  <c r="D2" i="27" s="1"/>
  <c r="E12" i="27" a="1"/>
  <c r="E12" i="27" s="1"/>
  <c r="C22" i="27" a="1"/>
  <c r="C22" i="27" s="1"/>
  <c r="D18" i="27" a="1"/>
  <c r="D18" i="27" s="1"/>
  <c r="C11" i="27" a="1"/>
  <c r="C11" i="27" s="1"/>
  <c r="E24" i="27" a="1"/>
  <c r="E24" i="27" s="1"/>
  <c r="D13" i="27" a="1"/>
  <c r="D13" i="27" s="1"/>
  <c r="E23" i="27" a="1"/>
  <c r="E23" i="27" s="1"/>
  <c r="E25" i="27" a="1"/>
  <c r="E25" i="27" s="1"/>
  <c r="E14" i="27" a="1"/>
  <c r="E14" i="27" s="1"/>
  <c r="D7" i="27" a="1"/>
  <c r="D7" i="27" s="1"/>
  <c r="C21" i="27" a="1"/>
  <c r="C21" i="27" s="1"/>
  <c r="C17" i="27" a="1"/>
  <c r="C17" i="27" s="1"/>
  <c r="E5" i="27" a="1"/>
  <c r="E5" i="27" s="1"/>
  <c r="D12" i="27" a="1"/>
  <c r="D12" i="27" s="1"/>
  <c r="E21" i="27" a="1"/>
  <c r="E21" i="27" s="1"/>
  <c r="C18" i="27" a="1"/>
  <c r="C18" i="27" s="1"/>
  <c r="E10" i="27" a="1"/>
  <c r="E10" i="27" s="1"/>
  <c r="D3" i="27" a="1"/>
  <c r="D3" i="27" s="1"/>
  <c r="E2" i="27" a="1"/>
  <c r="E2" i="27" s="1"/>
  <c r="C13" i="27" a="1"/>
  <c r="C13" i="27" s="1"/>
  <c r="E19" i="27" a="1"/>
  <c r="E19" i="27" s="1"/>
  <c r="D25" i="27" a="1"/>
  <c r="D25" i="27" s="1"/>
  <c r="D14" i="27" a="1"/>
  <c r="D14" i="27" s="1"/>
  <c r="C7" i="27" a="1"/>
  <c r="C7" i="27" s="1"/>
  <c r="D10" i="27" a="1"/>
  <c r="D10" i="27" s="1"/>
  <c r="E9" i="27" a="1"/>
  <c r="E9" i="27" s="1"/>
  <c r="C20" i="27" a="1"/>
  <c r="C20" i="27" s="1"/>
  <c r="C25" i="27" a="1"/>
  <c r="C25" i="27" s="1"/>
  <c r="D21" i="27" a="1"/>
  <c r="D21" i="27" s="1"/>
  <c r="E17" i="27" a="1"/>
  <c r="E17" i="27" s="1"/>
  <c r="C14" i="27" a="1"/>
  <c r="C14" i="27" s="1"/>
  <c r="C10" i="27" a="1"/>
  <c r="C10" i="27" s="1"/>
  <c r="E16" i="27" a="1"/>
  <c r="E16" i="27" s="1"/>
  <c r="D23" i="27" a="1"/>
  <c r="D23" i="27" s="1"/>
  <c r="E8" i="27" a="1"/>
  <c r="E8" i="27" s="1"/>
  <c r="F24" i="35" a="1"/>
  <c r="F24" i="35" s="1"/>
  <c r="G21" i="35" a="1"/>
  <c r="G21" i="35" s="1"/>
  <c r="I15" i="35" a="1"/>
  <c r="I15" i="35" s="1"/>
  <c r="H7" i="35" a="1"/>
  <c r="H7" i="35" s="1"/>
  <c r="F2" i="35" a="1"/>
  <c r="F2" i="35" s="1"/>
  <c r="B5" i="35" a="1"/>
  <c r="B5" i="35" s="1"/>
  <c r="H22" i="35" a="1"/>
  <c r="H22" i="35" s="1"/>
  <c r="H19" i="35" a="1"/>
  <c r="H19" i="35" s="1"/>
  <c r="H16" i="35" a="1"/>
  <c r="H16" i="35" s="1"/>
  <c r="I10" i="35" a="1"/>
  <c r="I10" i="35" s="1"/>
  <c r="H10" i="35" a="1"/>
  <c r="H10" i="35" s="1"/>
  <c r="I26" i="35" a="1"/>
  <c r="I26" i="35" s="1"/>
  <c r="H18" i="35" a="1"/>
  <c r="H18" i="35" s="1"/>
  <c r="F13" i="35" a="1"/>
  <c r="F13" i="35" s="1"/>
  <c r="G10" i="35" a="1"/>
  <c r="G10" i="35" s="1"/>
  <c r="I4" i="35" a="1"/>
  <c r="I4" i="35" s="1"/>
  <c r="B16" i="35" a="1"/>
  <c r="B16" i="35" s="1"/>
  <c r="I11" i="35" a="1"/>
  <c r="I11" i="35" s="1"/>
  <c r="H11" i="35" a="1"/>
  <c r="H11" i="35" s="1"/>
  <c r="F14" i="35" a="1"/>
  <c r="F14" i="35" s="1"/>
  <c r="I13" i="35" a="1"/>
  <c r="I13" i="35" s="1"/>
  <c r="G16" i="35" a="1"/>
  <c r="G16" i="35" s="1"/>
  <c r="F16" i="35" a="1"/>
  <c r="F16" i="35" s="1"/>
  <c r="I23" i="35" a="1"/>
  <c r="I23" i="35" s="1"/>
  <c r="G18" i="35" a="1"/>
  <c r="G18" i="35" s="1"/>
  <c r="I12" i="35" a="1"/>
  <c r="I12" i="35" s="1"/>
  <c r="G7" i="35" a="1"/>
  <c r="G7" i="35" s="1"/>
  <c r="B26" i="35" a="1"/>
  <c r="B26" i="35" s="1"/>
  <c r="B4" i="35" a="1"/>
  <c r="B4" i="35" s="1"/>
  <c r="H3" i="35" a="1"/>
  <c r="H3" i="35" s="1"/>
  <c r="G3" i="35" a="1"/>
  <c r="G3" i="35" s="1"/>
  <c r="B20" i="35" a="1"/>
  <c r="B20" i="35" s="1"/>
  <c r="B19" i="35" a="1"/>
  <c r="B19" i="35" s="1"/>
  <c r="H2" i="35" a="1"/>
  <c r="H2" i="35" s="1"/>
  <c r="B17" i="35" a="1"/>
  <c r="B17" i="35" s="1"/>
  <c r="H26" i="35" a="1"/>
  <c r="H26" i="35" s="1"/>
  <c r="F21" i="35" a="1"/>
  <c r="F21" i="35" s="1"/>
  <c r="H15" i="35" a="1"/>
  <c r="H15" i="35" s="1"/>
  <c r="F10" i="35" a="1"/>
  <c r="F10" i="35" s="1"/>
  <c r="H4" i="35" a="1"/>
  <c r="H4" i="35" s="1"/>
  <c r="B15" i="35" a="1"/>
  <c r="B15" i="35" s="1"/>
  <c r="B3" i="35" a="1"/>
  <c r="B3" i="35" s="1"/>
  <c r="G6" i="35" a="1"/>
  <c r="G6" i="35" s="1"/>
  <c r="F6" i="35" a="1"/>
  <c r="F6" i="35" s="1"/>
  <c r="H8" i="35" a="1"/>
  <c r="H8" i="35" s="1"/>
  <c r="G8" i="35" a="1"/>
  <c r="G8" i="35" s="1"/>
  <c r="F8" i="35" a="1"/>
  <c r="F8" i="35" s="1"/>
  <c r="G13" i="35" a="1"/>
  <c r="G13" i="35" s="1"/>
  <c r="H23" i="35" a="1"/>
  <c r="H23" i="35" s="1"/>
  <c r="I20" i="35" a="1"/>
  <c r="I20" i="35" s="1"/>
  <c r="I9" i="35" a="1"/>
  <c r="I9" i="35" s="1"/>
  <c r="G4" i="35" a="1"/>
  <c r="G4" i="35" s="1"/>
  <c r="B25" i="35" a="1"/>
  <c r="B25" i="35" s="1"/>
  <c r="F9" i="35" a="1"/>
  <c r="F9" i="35" s="1"/>
  <c r="I8" i="35" a="1"/>
  <c r="I8" i="35" s="1"/>
  <c r="I5" i="35" a="1"/>
  <c r="I5" i="35" s="1"/>
  <c r="H5" i="35" a="1"/>
  <c r="H5" i="35" s="1"/>
  <c r="G5" i="35" a="1"/>
  <c r="G5" i="35" s="1"/>
  <c r="F5" i="35" a="1"/>
  <c r="F5" i="35" s="1"/>
  <c r="G26" i="35" a="1"/>
  <c r="G26" i="35" s="1"/>
  <c r="F18" i="35" a="1"/>
  <c r="F18" i="35" s="1"/>
  <c r="G15" i="35" a="1"/>
  <c r="G15" i="35" s="1"/>
  <c r="H12" i="35" a="1"/>
  <c r="H12" i="35" s="1"/>
  <c r="F7" i="35" a="1"/>
  <c r="F7" i="35" s="1"/>
  <c r="B14" i="35" a="1"/>
  <c r="B14" i="35" s="1"/>
  <c r="B22" i="35" a="1"/>
  <c r="B22" i="35" s="1"/>
  <c r="B21" i="35" a="1"/>
  <c r="B21" i="35" s="1"/>
  <c r="B9" i="35" a="1"/>
  <c r="B9" i="35" s="1"/>
  <c r="B8" i="35" a="1"/>
  <c r="B8" i="35" s="1"/>
  <c r="B18" i="35" a="1"/>
  <c r="B18" i="35" s="1"/>
  <c r="B6" i="35" a="1"/>
  <c r="B6" i="35" s="1"/>
  <c r="F26" i="35" a="1"/>
  <c r="F26" i="35" s="1"/>
  <c r="I17" i="35" a="1"/>
  <c r="I17" i="35" s="1"/>
  <c r="G12" i="35" a="1"/>
  <c r="G12" i="35" s="1"/>
  <c r="I6" i="35" a="1"/>
  <c r="I6" i="35" s="1"/>
  <c r="B24" i="35" a="1"/>
  <c r="B24" i="35" s="1"/>
  <c r="B2" i="35" a="1"/>
  <c r="B2" i="35" s="1"/>
  <c r="F17" i="35" a="1"/>
  <c r="F17" i="35" s="1"/>
  <c r="I16" i="35" a="1"/>
  <c r="I16" i="35" s="1"/>
  <c r="G19" i="35" a="1"/>
  <c r="G19" i="35" s="1"/>
  <c r="H13" i="35" a="1"/>
  <c r="H13" i="35" s="1"/>
  <c r="I7" i="35" a="1"/>
  <c r="I7" i="35" s="1"/>
  <c r="G23" i="35" a="1"/>
  <c r="G23" i="35" s="1"/>
  <c r="H20" i="35" a="1"/>
  <c r="H20" i="35" s="1"/>
  <c r="F15" i="35" a="1"/>
  <c r="F15" i="35" s="1"/>
  <c r="H9" i="35" a="1"/>
  <c r="H9" i="35" s="1"/>
  <c r="F4" i="35" a="1"/>
  <c r="F4" i="35" s="1"/>
  <c r="B13" i="35" a="1"/>
  <c r="B13" i="35" s="1"/>
  <c r="G17" i="35" a="1"/>
  <c r="G17" i="35" s="1"/>
  <c r="I19" i="35" a="1"/>
  <c r="I19" i="35" s="1"/>
  <c r="F25" i="35" a="1"/>
  <c r="F25" i="35" s="1"/>
  <c r="F22" i="35" a="1"/>
  <c r="F22" i="35" s="1"/>
  <c r="I21" i="35" a="1"/>
  <c r="I21" i="35" s="1"/>
  <c r="H21" i="35" a="1"/>
  <c r="H21" i="35" s="1"/>
  <c r="G2" i="35" a="1"/>
  <c r="G2" i="35" s="1"/>
  <c r="I25" i="35" a="1"/>
  <c r="I25" i="35" s="1"/>
  <c r="G20" i="35" a="1"/>
  <c r="G20" i="35" s="1"/>
  <c r="I14" i="35" a="1"/>
  <c r="I14" i="35" s="1"/>
  <c r="H6" i="35" a="1"/>
  <c r="H6" i="35" s="1"/>
  <c r="B23" i="35" a="1"/>
  <c r="B23" i="35" s="1"/>
  <c r="F20" i="35" a="1"/>
  <c r="F20" i="35" s="1"/>
  <c r="G25" i="35" a="1"/>
  <c r="G25" i="35" s="1"/>
  <c r="G22" i="35" a="1"/>
  <c r="G22" i="35" s="1"/>
  <c r="I24" i="35" a="1"/>
  <c r="I24" i="35" s="1"/>
  <c r="H24" i="35" a="1"/>
  <c r="H24" i="35" s="1"/>
  <c r="G24" i="35" a="1"/>
  <c r="G24" i="35" s="1"/>
  <c r="F23" i="35" a="1"/>
  <c r="F23" i="35" s="1"/>
  <c r="H17" i="35" a="1"/>
  <c r="H17" i="35" s="1"/>
  <c r="F12" i="35" a="1"/>
  <c r="F12" i="35" s="1"/>
  <c r="G9" i="35" a="1"/>
  <c r="G9" i="35" s="1"/>
  <c r="I3" i="35" a="1"/>
  <c r="I3" i="35" s="1"/>
  <c r="B12" i="35" a="1"/>
  <c r="B12" i="35" s="1"/>
  <c r="B11" i="35" a="1"/>
  <c r="B11" i="35" s="1"/>
  <c r="B10" i="35" a="1"/>
  <c r="B10" i="35" s="1"/>
  <c r="F3" i="35" a="1"/>
  <c r="F3" i="35" s="1"/>
  <c r="I2" i="35" a="1"/>
  <c r="I2" i="35" s="1"/>
  <c r="B7" i="35" a="1"/>
  <c r="B7" i="35" s="1"/>
  <c r="H25" i="35" a="1"/>
  <c r="H25" i="35" s="1"/>
  <c r="I22" i="35" a="1"/>
  <c r="I22" i="35" s="1"/>
  <c r="H14" i="35" a="1"/>
  <c r="H14" i="35" s="1"/>
  <c r="G14" i="35" a="1"/>
  <c r="G14" i="35" s="1"/>
  <c r="G11" i="35" a="1"/>
  <c r="G11" i="35" s="1"/>
  <c r="F11" i="35" a="1"/>
  <c r="F11" i="35" s="1"/>
  <c r="F19" i="35" a="1"/>
  <c r="F19" i="35" s="1"/>
  <c r="I18" i="35" a="1"/>
  <c r="I18" i="35" s="1"/>
  <c r="F24" i="34" a="1"/>
  <c r="F24" i="34" s="1"/>
  <c r="H18" i="34" a="1"/>
  <c r="H18" i="34" s="1"/>
  <c r="F13" i="34" a="1"/>
  <c r="F13" i="34" s="1"/>
  <c r="H7" i="34" a="1"/>
  <c r="H7" i="34" s="1"/>
  <c r="I4" i="34" a="1"/>
  <c r="I4" i="34" s="1"/>
  <c r="B16" i="34" a="1"/>
  <c r="B16" i="34" s="1"/>
  <c r="H22" i="34" a="1"/>
  <c r="H22" i="34" s="1"/>
  <c r="H19" i="34" a="1"/>
  <c r="H19" i="34" s="1"/>
  <c r="H16" i="34" a="1"/>
  <c r="H16" i="34" s="1"/>
  <c r="G16" i="34" a="1"/>
  <c r="G16" i="34" s="1"/>
  <c r="F16" i="34" a="1"/>
  <c r="F16" i="34" s="1"/>
  <c r="I26" i="34" a="1"/>
  <c r="I26" i="34" s="1"/>
  <c r="G21" i="34" a="1"/>
  <c r="G21" i="34" s="1"/>
  <c r="I15" i="34" a="1"/>
  <c r="I15" i="34" s="1"/>
  <c r="G10" i="34" a="1"/>
  <c r="G10" i="34" s="1"/>
  <c r="F2" i="34" a="1"/>
  <c r="F2" i="34" s="1"/>
  <c r="B5" i="34" a="1"/>
  <c r="B5" i="34" s="1"/>
  <c r="H11" i="34" a="1"/>
  <c r="H11" i="34" s="1"/>
  <c r="G22" i="34" a="1"/>
  <c r="G22" i="34" s="1"/>
  <c r="I24" i="34" a="1"/>
  <c r="I24" i="34" s="1"/>
  <c r="H24" i="34" a="1"/>
  <c r="H24" i="34" s="1"/>
  <c r="G24" i="34" a="1"/>
  <c r="G24" i="34" s="1"/>
  <c r="H26" i="34" a="1"/>
  <c r="H26" i="34" s="1"/>
  <c r="F21" i="34" a="1"/>
  <c r="F21" i="34" s="1"/>
  <c r="H15" i="34" a="1"/>
  <c r="H15" i="34" s="1"/>
  <c r="F10" i="34" a="1"/>
  <c r="F10" i="34" s="1"/>
  <c r="H4" i="34" a="1"/>
  <c r="H4" i="34" s="1"/>
  <c r="B15" i="34" a="1"/>
  <c r="B15" i="34" s="1"/>
  <c r="B4" i="34" a="1"/>
  <c r="B4" i="34" s="1"/>
  <c r="B10" i="34" a="1"/>
  <c r="B10" i="34" s="1"/>
  <c r="B9" i="34" a="1"/>
  <c r="B9" i="34" s="1"/>
  <c r="B8" i="34" a="1"/>
  <c r="B8" i="34" s="1"/>
  <c r="B7" i="34" a="1"/>
  <c r="B7" i="34" s="1"/>
  <c r="B6" i="34" a="1"/>
  <c r="B6" i="34" s="1"/>
  <c r="I23" i="34" a="1"/>
  <c r="I23" i="34" s="1"/>
  <c r="G18" i="34" a="1"/>
  <c r="G18" i="34" s="1"/>
  <c r="I12" i="34" a="1"/>
  <c r="I12" i="34" s="1"/>
  <c r="G7" i="34" a="1"/>
  <c r="G7" i="34" s="1"/>
  <c r="B26" i="34" a="1"/>
  <c r="B26" i="34" s="1"/>
  <c r="G14" i="34" a="1"/>
  <c r="G14" i="34" s="1"/>
  <c r="F14" i="34" a="1"/>
  <c r="F14" i="34" s="1"/>
  <c r="I13" i="34" a="1"/>
  <c r="I13" i="34" s="1"/>
  <c r="I10" i="34" a="1"/>
  <c r="I10" i="34" s="1"/>
  <c r="G13" i="34" a="1"/>
  <c r="G13" i="34" s="1"/>
  <c r="H23" i="34" a="1"/>
  <c r="H23" i="34" s="1"/>
  <c r="F18" i="34" a="1"/>
  <c r="F18" i="34" s="1"/>
  <c r="H12" i="34" a="1"/>
  <c r="H12" i="34" s="1"/>
  <c r="F7" i="34" a="1"/>
  <c r="F7" i="34" s="1"/>
  <c r="B25" i="34" a="1"/>
  <c r="B25" i="34" s="1"/>
  <c r="B3" i="34" a="1"/>
  <c r="B3" i="34" s="1"/>
  <c r="G6" i="34" a="1"/>
  <c r="G6" i="34" s="1"/>
  <c r="I8" i="34" a="1"/>
  <c r="I8" i="34" s="1"/>
  <c r="I5" i="34" a="1"/>
  <c r="I5" i="34" s="1"/>
  <c r="H5" i="34" a="1"/>
  <c r="H5" i="34" s="1"/>
  <c r="G5" i="34" a="1"/>
  <c r="G5" i="34" s="1"/>
  <c r="F5" i="34" a="1"/>
  <c r="F5" i="34" s="1"/>
  <c r="G26" i="34" a="1"/>
  <c r="G26" i="34" s="1"/>
  <c r="I20" i="34" a="1"/>
  <c r="I20" i="34" s="1"/>
  <c r="G15" i="34" a="1"/>
  <c r="G15" i="34" s="1"/>
  <c r="I9" i="34" a="1"/>
  <c r="I9" i="34" s="1"/>
  <c r="G4" i="34" a="1"/>
  <c r="G4" i="34" s="1"/>
  <c r="B14" i="34" a="1"/>
  <c r="B14" i="34" s="1"/>
  <c r="B13" i="34" a="1"/>
  <c r="B13" i="34" s="1"/>
  <c r="H3" i="34" a="1"/>
  <c r="H3" i="34" s="1"/>
  <c r="F6" i="34" a="1"/>
  <c r="F6" i="34" s="1"/>
  <c r="H8" i="34" a="1"/>
  <c r="H8" i="34" s="1"/>
  <c r="G8" i="34" a="1"/>
  <c r="G8" i="34" s="1"/>
  <c r="F8" i="34" a="1"/>
  <c r="F8" i="34" s="1"/>
  <c r="I7" i="34" a="1"/>
  <c r="I7" i="34" s="1"/>
  <c r="G23" i="34" a="1"/>
  <c r="G23" i="34" s="1"/>
  <c r="I17" i="34" a="1"/>
  <c r="I17" i="34" s="1"/>
  <c r="G12" i="34" a="1"/>
  <c r="G12" i="34" s="1"/>
  <c r="I6" i="34" a="1"/>
  <c r="I6" i="34" s="1"/>
  <c r="B2" i="34" a="1"/>
  <c r="B2" i="34" s="1"/>
  <c r="F17" i="34" a="1"/>
  <c r="F17" i="34" s="1"/>
  <c r="G11" i="34" a="1"/>
  <c r="G11" i="34" s="1"/>
  <c r="F11" i="34" a="1"/>
  <c r="F11" i="34" s="1"/>
  <c r="H13" i="34" a="1"/>
  <c r="H13" i="34" s="1"/>
  <c r="H10" i="34" a="1"/>
  <c r="H10" i="34" s="1"/>
  <c r="F26" i="34" a="1"/>
  <c r="F26" i="34" s="1"/>
  <c r="H20" i="34" a="1"/>
  <c r="H20" i="34" s="1"/>
  <c r="F15" i="34" a="1"/>
  <c r="F15" i="34" s="1"/>
  <c r="H9" i="34" a="1"/>
  <c r="H9" i="34" s="1"/>
  <c r="F4" i="34" a="1"/>
  <c r="F4" i="34" s="1"/>
  <c r="B24" i="34" a="1"/>
  <c r="B24" i="34" s="1"/>
  <c r="B11" i="34" a="1"/>
  <c r="B11" i="34" s="1"/>
  <c r="B21" i="34" a="1"/>
  <c r="B21" i="34" s="1"/>
  <c r="B20" i="34" a="1"/>
  <c r="B20" i="34" s="1"/>
  <c r="B19" i="34" a="1"/>
  <c r="B19" i="34" s="1"/>
  <c r="B18" i="34" a="1"/>
  <c r="B18" i="34" s="1"/>
  <c r="B17" i="34" a="1"/>
  <c r="B17" i="34" s="1"/>
  <c r="F23" i="34" a="1"/>
  <c r="F23" i="34" s="1"/>
  <c r="G20" i="34" a="1"/>
  <c r="G20" i="34" s="1"/>
  <c r="I14" i="34" a="1"/>
  <c r="I14" i="34" s="1"/>
  <c r="G9" i="34" a="1"/>
  <c r="G9" i="34" s="1"/>
  <c r="I3" i="34" a="1"/>
  <c r="I3" i="34" s="1"/>
  <c r="B12" i="34" a="1"/>
  <c r="B12" i="34" s="1"/>
  <c r="G25" i="34" a="1"/>
  <c r="G25" i="34" s="1"/>
  <c r="I16" i="34" a="1"/>
  <c r="I16" i="34" s="1"/>
  <c r="G19" i="34" a="1"/>
  <c r="G19" i="34" s="1"/>
  <c r="F19" i="34" a="1"/>
  <c r="F19" i="34" s="1"/>
  <c r="I18" i="34" a="1"/>
  <c r="I18" i="34" s="1"/>
  <c r="I25" i="34" a="1"/>
  <c r="I25" i="34" s="1"/>
  <c r="H17" i="34" a="1"/>
  <c r="H17" i="34" s="1"/>
  <c r="F12" i="34" a="1"/>
  <c r="F12" i="34" s="1"/>
  <c r="H6" i="34" a="1"/>
  <c r="H6" i="34" s="1"/>
  <c r="B23" i="34" a="1"/>
  <c r="B23" i="34" s="1"/>
  <c r="F9" i="34" a="1"/>
  <c r="F9" i="34" s="1"/>
  <c r="I19" i="34" a="1"/>
  <c r="I19" i="34" s="1"/>
  <c r="F25" i="34" a="1"/>
  <c r="F25" i="34" s="1"/>
  <c r="F22" i="34" a="1"/>
  <c r="F22" i="34" s="1"/>
  <c r="I21" i="34" a="1"/>
  <c r="I21" i="34" s="1"/>
  <c r="H21" i="34" a="1"/>
  <c r="H21" i="34" s="1"/>
  <c r="H25" i="34" a="1"/>
  <c r="H25" i="34" s="1"/>
  <c r="I22" i="34" a="1"/>
  <c r="I22" i="34" s="1"/>
  <c r="F20" i="34" a="1"/>
  <c r="F20" i="34" s="1"/>
  <c r="G17" i="34" a="1"/>
  <c r="G17" i="34" s="1"/>
  <c r="H14" i="34" a="1"/>
  <c r="H14" i="34" s="1"/>
  <c r="I11" i="34" a="1"/>
  <c r="I11" i="34" s="1"/>
  <c r="B22" i="34" a="1"/>
  <c r="B22" i="34" s="1"/>
  <c r="G3" i="34" a="1"/>
  <c r="G3" i="34" s="1"/>
  <c r="F3" i="34" a="1"/>
  <c r="F3" i="34" s="1"/>
  <c r="I2" i="34" a="1"/>
  <c r="I2" i="34" s="1"/>
  <c r="H2" i="34" a="1"/>
  <c r="H2" i="34" s="1"/>
  <c r="G2" i="34" a="1"/>
  <c r="G2" i="34" s="1"/>
  <c r="F24" i="31" a="1"/>
  <c r="F24" i="31" s="1"/>
  <c r="G21" i="31" a="1"/>
  <c r="G21" i="31" s="1"/>
  <c r="I15" i="31" a="1"/>
  <c r="I15" i="31" s="1"/>
  <c r="G10" i="31" a="1"/>
  <c r="G10" i="31" s="1"/>
  <c r="I4" i="31" a="1"/>
  <c r="I4" i="31" s="1"/>
  <c r="B16" i="31" a="1"/>
  <c r="B16" i="31" s="1"/>
  <c r="B11" i="31" a="1"/>
  <c r="B11" i="31" s="1"/>
  <c r="B10" i="31" a="1"/>
  <c r="B10" i="31" s="1"/>
  <c r="B9" i="31" a="1"/>
  <c r="B9" i="31" s="1"/>
  <c r="B19" i="31" a="1"/>
  <c r="B19" i="31" s="1"/>
  <c r="G5" i="31" a="1"/>
  <c r="G5" i="31" s="1"/>
  <c r="F5" i="31" a="1"/>
  <c r="F5" i="31" s="1"/>
  <c r="I26" i="31" a="1"/>
  <c r="I26" i="31" s="1"/>
  <c r="H18" i="31" a="1"/>
  <c r="H18" i="31" s="1"/>
  <c r="F13" i="31" a="1"/>
  <c r="F13" i="31" s="1"/>
  <c r="H7" i="31" a="1"/>
  <c r="H7" i="31" s="1"/>
  <c r="F2" i="31" a="1"/>
  <c r="F2" i="31" s="1"/>
  <c r="B5" i="31" a="1"/>
  <c r="B5" i="31" s="1"/>
  <c r="H11" i="31" a="1"/>
  <c r="H11" i="31" s="1"/>
  <c r="I16" i="31" a="1"/>
  <c r="I16" i="31" s="1"/>
  <c r="H16" i="31" a="1"/>
  <c r="H16" i="31" s="1"/>
  <c r="G16" i="31" a="1"/>
  <c r="G16" i="31" s="1"/>
  <c r="F16" i="31" a="1"/>
  <c r="F16" i="31" s="1"/>
  <c r="H26" i="31" a="1"/>
  <c r="H26" i="31" s="1"/>
  <c r="F21" i="31" a="1"/>
  <c r="F21" i="31" s="1"/>
  <c r="H15" i="31" a="1"/>
  <c r="H15" i="31" s="1"/>
  <c r="I12" i="31" a="1"/>
  <c r="I12" i="31" s="1"/>
  <c r="G7" i="31" a="1"/>
  <c r="G7" i="31" s="1"/>
  <c r="B26" i="31" a="1"/>
  <c r="B26" i="31" s="1"/>
  <c r="B4" i="31" a="1"/>
  <c r="B4" i="31" s="1"/>
  <c r="B21" i="31" a="1"/>
  <c r="B21" i="31" s="1"/>
  <c r="B20" i="31" a="1"/>
  <c r="B20" i="31" s="1"/>
  <c r="B8" i="31" a="1"/>
  <c r="B8" i="31" s="1"/>
  <c r="B7" i="31" a="1"/>
  <c r="B7" i="31" s="1"/>
  <c r="B6" i="31" a="1"/>
  <c r="B6" i="31" s="1"/>
  <c r="I23" i="31" a="1"/>
  <c r="I23" i="31" s="1"/>
  <c r="G18" i="31" a="1"/>
  <c r="G18" i="31" s="1"/>
  <c r="F10" i="31" a="1"/>
  <c r="F10" i="31" s="1"/>
  <c r="H4" i="31" a="1"/>
  <c r="H4" i="31" s="1"/>
  <c r="B15" i="31" a="1"/>
  <c r="B15" i="31" s="1"/>
  <c r="F17" i="31" a="1"/>
  <c r="F17" i="31" s="1"/>
  <c r="F14" i="31" a="1"/>
  <c r="F14" i="31" s="1"/>
  <c r="I13" i="31" a="1"/>
  <c r="I13" i="31" s="1"/>
  <c r="H13" i="31" a="1"/>
  <c r="H13" i="31" s="1"/>
  <c r="G13" i="31" a="1"/>
  <c r="G13" i="31" s="1"/>
  <c r="H23" i="31" a="1"/>
  <c r="H23" i="31" s="1"/>
  <c r="I20" i="31" a="1"/>
  <c r="I20" i="31" s="1"/>
  <c r="G15" i="31" a="1"/>
  <c r="G15" i="31" s="1"/>
  <c r="F7" i="31" a="1"/>
  <c r="F7" i="31" s="1"/>
  <c r="B25" i="31" a="1"/>
  <c r="B25" i="31" s="1"/>
  <c r="B3" i="31" a="1"/>
  <c r="B3" i="31" s="1"/>
  <c r="H3" i="31" a="1"/>
  <c r="H3" i="31" s="1"/>
  <c r="G3" i="31" a="1"/>
  <c r="G3" i="31" s="1"/>
  <c r="F3" i="31" a="1"/>
  <c r="F3" i="31" s="1"/>
  <c r="I2" i="31" a="1"/>
  <c r="I2" i="31" s="1"/>
  <c r="B18" i="31" a="1"/>
  <c r="B18" i="31" s="1"/>
  <c r="B17" i="31" a="1"/>
  <c r="B17" i="31" s="1"/>
  <c r="G26" i="31" a="1"/>
  <c r="G26" i="31" s="1"/>
  <c r="F18" i="31" a="1"/>
  <c r="F18" i="31" s="1"/>
  <c r="H12" i="31" a="1"/>
  <c r="H12" i="31" s="1"/>
  <c r="I9" i="31" a="1"/>
  <c r="I9" i="31" s="1"/>
  <c r="G4" i="31" a="1"/>
  <c r="G4" i="31" s="1"/>
  <c r="B14" i="31" a="1"/>
  <c r="B14" i="31" s="1"/>
  <c r="B2" i="31" a="1"/>
  <c r="B2" i="31" s="1"/>
  <c r="G14" i="31" a="1"/>
  <c r="G14" i="31" s="1"/>
  <c r="G22" i="31" a="1"/>
  <c r="G22" i="31" s="1"/>
  <c r="I24" i="31" a="1"/>
  <c r="I24" i="31" s="1"/>
  <c r="H24" i="31" a="1"/>
  <c r="H24" i="31" s="1"/>
  <c r="G24" i="31" a="1"/>
  <c r="G24" i="31" s="1"/>
  <c r="G23" i="31" a="1"/>
  <c r="G23" i="31" s="1"/>
  <c r="I17" i="31" a="1"/>
  <c r="I17" i="31" s="1"/>
  <c r="G12" i="31" a="1"/>
  <c r="G12" i="31" s="1"/>
  <c r="I6" i="31" a="1"/>
  <c r="I6" i="31" s="1"/>
  <c r="B24" i="31" a="1"/>
  <c r="B24" i="31" s="1"/>
  <c r="I19" i="31" a="1"/>
  <c r="I19" i="31" s="1"/>
  <c r="G11" i="31" a="1"/>
  <c r="G11" i="31" s="1"/>
  <c r="F11" i="31" a="1"/>
  <c r="F11" i="31" s="1"/>
  <c r="I10" i="31" a="1"/>
  <c r="I10" i="31" s="1"/>
  <c r="H10" i="31" a="1"/>
  <c r="H10" i="31" s="1"/>
  <c r="F26" i="31" a="1"/>
  <c r="F26" i="31" s="1"/>
  <c r="H20" i="31" a="1"/>
  <c r="H20" i="31" s="1"/>
  <c r="F15" i="31" a="1"/>
  <c r="F15" i="31" s="1"/>
  <c r="H9" i="31" a="1"/>
  <c r="H9" i="31" s="1"/>
  <c r="F4" i="31" a="1"/>
  <c r="F4" i="31" s="1"/>
  <c r="B13" i="31" a="1"/>
  <c r="B13" i="31" s="1"/>
  <c r="H22" i="31" a="1"/>
  <c r="H22" i="31" s="1"/>
  <c r="F25" i="31" a="1"/>
  <c r="F25" i="31" s="1"/>
  <c r="G19" i="31" a="1"/>
  <c r="G19" i="31" s="1"/>
  <c r="F19" i="31" a="1"/>
  <c r="F19" i="31" s="1"/>
  <c r="I18" i="31" a="1"/>
  <c r="I18" i="31" s="1"/>
  <c r="F23" i="31" a="1"/>
  <c r="F23" i="31" s="1"/>
  <c r="H17" i="31" a="1"/>
  <c r="H17" i="31" s="1"/>
  <c r="F12" i="31" a="1"/>
  <c r="F12" i="31" s="1"/>
  <c r="H6" i="31" a="1"/>
  <c r="H6" i="31" s="1"/>
  <c r="B23" i="31" a="1"/>
  <c r="B23" i="31" s="1"/>
  <c r="F9" i="31" a="1"/>
  <c r="F9" i="31" s="1"/>
  <c r="G25" i="31" a="1"/>
  <c r="G25" i="31" s="1"/>
  <c r="H19" i="31" a="1"/>
  <c r="H19" i="31" s="1"/>
  <c r="F22" i="31" a="1"/>
  <c r="F22" i="31" s="1"/>
  <c r="I21" i="31" a="1"/>
  <c r="I21" i="31" s="1"/>
  <c r="H21" i="31" a="1"/>
  <c r="H21" i="31" s="1"/>
  <c r="I25" i="31" a="1"/>
  <c r="I25" i="31" s="1"/>
  <c r="G20" i="31" a="1"/>
  <c r="G20" i="31" s="1"/>
  <c r="I14" i="31" a="1"/>
  <c r="I14" i="31" s="1"/>
  <c r="G9" i="31" a="1"/>
  <c r="G9" i="31" s="1"/>
  <c r="I3" i="31" a="1"/>
  <c r="I3" i="31" s="1"/>
  <c r="B12" i="31" a="1"/>
  <c r="B12" i="31" s="1"/>
  <c r="B22" i="31" a="1"/>
  <c r="B22" i="31" s="1"/>
  <c r="I8" i="31" a="1"/>
  <c r="I8" i="31" s="1"/>
  <c r="H8" i="31" a="1"/>
  <c r="H8" i="31" s="1"/>
  <c r="G8" i="31" a="1"/>
  <c r="G8" i="31" s="1"/>
  <c r="F8" i="31" a="1"/>
  <c r="F8" i="31" s="1"/>
  <c r="I7" i="31" a="1"/>
  <c r="I7" i="31" s="1"/>
  <c r="H25" i="31" a="1"/>
  <c r="H25" i="31" s="1"/>
  <c r="I22" i="31" a="1"/>
  <c r="I22" i="31" s="1"/>
  <c r="F20" i="31" a="1"/>
  <c r="F20" i="31" s="1"/>
  <c r="G17" i="31" a="1"/>
  <c r="G17" i="31" s="1"/>
  <c r="H14" i="31" a="1"/>
  <c r="H14" i="31" s="1"/>
  <c r="I11" i="31" a="1"/>
  <c r="I11" i="31" s="1"/>
  <c r="G6" i="31" a="1"/>
  <c r="G6" i="31" s="1"/>
  <c r="F6" i="31" a="1"/>
  <c r="F6" i="31" s="1"/>
  <c r="I5" i="31" a="1"/>
  <c r="I5" i="31" s="1"/>
  <c r="H5" i="31" a="1"/>
  <c r="H5" i="31" s="1"/>
  <c r="H2" i="31" a="1"/>
  <c r="H2" i="31" s="1"/>
  <c r="G2" i="31" a="1"/>
  <c r="G2" i="31" s="1"/>
  <c r="F24" i="30" a="1"/>
  <c r="F24" i="30" s="1"/>
  <c r="G21" i="30" a="1"/>
  <c r="G21" i="30" s="1"/>
  <c r="I15" i="30" a="1"/>
  <c r="I15" i="30" s="1"/>
  <c r="G10" i="30" a="1"/>
  <c r="G10" i="30" s="1"/>
  <c r="I4" i="30" a="1"/>
  <c r="I4" i="30" s="1"/>
  <c r="B16" i="30" a="1"/>
  <c r="B16" i="30" s="1"/>
  <c r="H3" i="30" a="1"/>
  <c r="H3" i="30" s="1"/>
  <c r="I16" i="30" a="1"/>
  <c r="I16" i="30" s="1"/>
  <c r="F11" i="30" a="1"/>
  <c r="F11" i="30" s="1"/>
  <c r="H13" i="30" a="1"/>
  <c r="H13" i="30" s="1"/>
  <c r="G13" i="30" a="1"/>
  <c r="G13" i="30" s="1"/>
  <c r="I26" i="30" a="1"/>
  <c r="I26" i="30" s="1"/>
  <c r="H18" i="30" a="1"/>
  <c r="H18" i="30" s="1"/>
  <c r="F13" i="30" a="1"/>
  <c r="F13" i="30" s="1"/>
  <c r="H7" i="30" a="1"/>
  <c r="H7" i="30" s="1"/>
  <c r="F2" i="30" a="1"/>
  <c r="F2" i="30" s="1"/>
  <c r="B5" i="30" a="1"/>
  <c r="B5" i="30" s="1"/>
  <c r="B22" i="30" a="1"/>
  <c r="B22" i="30" s="1"/>
  <c r="H19" i="30" a="1"/>
  <c r="H19" i="30" s="1"/>
  <c r="F22" i="30" a="1"/>
  <c r="F22" i="30" s="1"/>
  <c r="F19" i="30" a="1"/>
  <c r="F19" i="30" s="1"/>
  <c r="F16" i="30" a="1"/>
  <c r="F16" i="30" s="1"/>
  <c r="I23" i="30" a="1"/>
  <c r="I23" i="30" s="1"/>
  <c r="G18" i="30" a="1"/>
  <c r="G18" i="30" s="1"/>
  <c r="I12" i="30" a="1"/>
  <c r="I12" i="30" s="1"/>
  <c r="G7" i="30" a="1"/>
  <c r="G7" i="30" s="1"/>
  <c r="B26" i="30" a="1"/>
  <c r="B26" i="30" s="1"/>
  <c r="B4" i="30" a="1"/>
  <c r="B4" i="30" s="1"/>
  <c r="H14" i="30" a="1"/>
  <c r="H14" i="30" s="1"/>
  <c r="F25" i="30" a="1"/>
  <c r="F25" i="30" s="1"/>
  <c r="I24" i="30" a="1"/>
  <c r="I24" i="30" s="1"/>
  <c r="H24" i="30" a="1"/>
  <c r="H24" i="30" s="1"/>
  <c r="H21" i="30" a="1"/>
  <c r="H21" i="30" s="1"/>
  <c r="H26" i="30" a="1"/>
  <c r="H26" i="30" s="1"/>
  <c r="F21" i="30" a="1"/>
  <c r="F21" i="30" s="1"/>
  <c r="H15" i="30" a="1"/>
  <c r="H15" i="30" s="1"/>
  <c r="F10" i="30" a="1"/>
  <c r="F10" i="30" s="1"/>
  <c r="H4" i="30" a="1"/>
  <c r="H4" i="30" s="1"/>
  <c r="B15" i="30" a="1"/>
  <c r="B15" i="30" s="1"/>
  <c r="B2" i="30" a="1"/>
  <c r="B2" i="30" s="1"/>
  <c r="B11" i="30" a="1"/>
  <c r="B11" i="30" s="1"/>
  <c r="G11" i="30" a="1"/>
  <c r="G11" i="30" s="1"/>
  <c r="G19" i="30" a="1"/>
  <c r="G19" i="30" s="1"/>
  <c r="I21" i="30" a="1"/>
  <c r="I21" i="30" s="1"/>
  <c r="G24" i="30" a="1"/>
  <c r="G24" i="30" s="1"/>
  <c r="B17" i="30" a="1"/>
  <c r="B17" i="30" s="1"/>
  <c r="H23" i="30" a="1"/>
  <c r="H23" i="30" s="1"/>
  <c r="I20" i="30" a="1"/>
  <c r="I20" i="30" s="1"/>
  <c r="G15" i="30" a="1"/>
  <c r="G15" i="30" s="1"/>
  <c r="I9" i="30" a="1"/>
  <c r="I9" i="30" s="1"/>
  <c r="G4" i="30" a="1"/>
  <c r="G4" i="30" s="1"/>
  <c r="B14" i="30" a="1"/>
  <c r="B14" i="30" s="1"/>
  <c r="F20" i="30" a="1"/>
  <c r="F20" i="30" s="1"/>
  <c r="G3" i="30" a="1"/>
  <c r="G3" i="30" s="1"/>
  <c r="H8" i="30" a="1"/>
  <c r="H8" i="30" s="1"/>
  <c r="G8" i="30" a="1"/>
  <c r="G8" i="30" s="1"/>
  <c r="F8" i="30" a="1"/>
  <c r="F8" i="30" s="1"/>
  <c r="I7" i="30" a="1"/>
  <c r="I7" i="30" s="1"/>
  <c r="G26" i="30" a="1"/>
  <c r="G26" i="30" s="1"/>
  <c r="F18" i="30" a="1"/>
  <c r="F18" i="30" s="1"/>
  <c r="H12" i="30" a="1"/>
  <c r="H12" i="30" s="1"/>
  <c r="F7" i="30" a="1"/>
  <c r="F7" i="30" s="1"/>
  <c r="B25" i="30" a="1"/>
  <c r="B25" i="30" s="1"/>
  <c r="B3" i="30" a="1"/>
  <c r="B3" i="30" s="1"/>
  <c r="G6" i="30" a="1"/>
  <c r="G6" i="30" s="1"/>
  <c r="F14" i="30" a="1"/>
  <c r="F14" i="30" s="1"/>
  <c r="I13" i="30" a="1"/>
  <c r="I13" i="30" s="1"/>
  <c r="I10" i="30" a="1"/>
  <c r="I10" i="30" s="1"/>
  <c r="H10" i="30" a="1"/>
  <c r="H10" i="30" s="1"/>
  <c r="G23" i="30" a="1"/>
  <c r="G23" i="30" s="1"/>
  <c r="I17" i="30" a="1"/>
  <c r="I17" i="30" s="1"/>
  <c r="G12" i="30" a="1"/>
  <c r="G12" i="30" s="1"/>
  <c r="I6" i="30" a="1"/>
  <c r="I6" i="30" s="1"/>
  <c r="B24" i="30" a="1"/>
  <c r="B24" i="30" s="1"/>
  <c r="I22" i="30" a="1"/>
  <c r="I22" i="30" s="1"/>
  <c r="F6" i="30" a="1"/>
  <c r="F6" i="30" s="1"/>
  <c r="F3" i="30" a="1"/>
  <c r="F3" i="30" s="1"/>
  <c r="I2" i="30" a="1"/>
  <c r="I2" i="30" s="1"/>
  <c r="B7" i="30" a="1"/>
  <c r="B7" i="30" s="1"/>
  <c r="B6" i="30" a="1"/>
  <c r="B6" i="30" s="1"/>
  <c r="F26" i="30" a="1"/>
  <c r="F26" i="30" s="1"/>
  <c r="H20" i="30" a="1"/>
  <c r="H20" i="30" s="1"/>
  <c r="F15" i="30" a="1"/>
  <c r="F15" i="30" s="1"/>
  <c r="H9" i="30" a="1"/>
  <c r="H9" i="30" s="1"/>
  <c r="F4" i="30" a="1"/>
  <c r="F4" i="30" s="1"/>
  <c r="B13" i="30" a="1"/>
  <c r="B13" i="30" s="1"/>
  <c r="F9" i="30" a="1"/>
  <c r="F9" i="30" s="1"/>
  <c r="G22" i="30" a="1"/>
  <c r="G22" i="30" s="1"/>
  <c r="H16" i="30" a="1"/>
  <c r="H16" i="30" s="1"/>
  <c r="G16" i="30" a="1"/>
  <c r="G16" i="30" s="1"/>
  <c r="I18" i="30" a="1"/>
  <c r="I18" i="30" s="1"/>
  <c r="I25" i="30" a="1"/>
  <c r="I25" i="30" s="1"/>
  <c r="G20" i="30" a="1"/>
  <c r="G20" i="30" s="1"/>
  <c r="I14" i="30" a="1"/>
  <c r="I14" i="30" s="1"/>
  <c r="G9" i="30" a="1"/>
  <c r="G9" i="30" s="1"/>
  <c r="I3" i="30" a="1"/>
  <c r="I3" i="30" s="1"/>
  <c r="H25" i="30" a="1"/>
  <c r="H25" i="30" s="1"/>
  <c r="I11" i="30" a="1"/>
  <c r="I11" i="30" s="1"/>
  <c r="B10" i="30" a="1"/>
  <c r="B10" i="30" s="1"/>
  <c r="B9" i="30" a="1"/>
  <c r="B9" i="30" s="1"/>
  <c r="B8" i="30" a="1"/>
  <c r="B8" i="30" s="1"/>
  <c r="H2" i="30" a="1"/>
  <c r="H2" i="30" s="1"/>
  <c r="G2" i="30" a="1"/>
  <c r="G2" i="30" s="1"/>
  <c r="F23" i="30" a="1"/>
  <c r="F23" i="30" s="1"/>
  <c r="H17" i="30" a="1"/>
  <c r="H17" i="30" s="1"/>
  <c r="F12" i="30" a="1"/>
  <c r="F12" i="30" s="1"/>
  <c r="H6" i="30" a="1"/>
  <c r="H6" i="30" s="1"/>
  <c r="B23" i="30" a="1"/>
  <c r="B23" i="30" s="1"/>
  <c r="B12" i="30" a="1"/>
  <c r="B12" i="30" s="1"/>
  <c r="G17" i="30" a="1"/>
  <c r="G17" i="30" s="1"/>
  <c r="B21" i="30" a="1"/>
  <c r="B21" i="30" s="1"/>
  <c r="B20" i="30" a="1"/>
  <c r="B20" i="30" s="1"/>
  <c r="H5" i="30" a="1"/>
  <c r="H5" i="30" s="1"/>
  <c r="G5" i="30" a="1"/>
  <c r="G5" i="30" s="1"/>
  <c r="F5" i="30" a="1"/>
  <c r="F5" i="30" s="1"/>
  <c r="G25" i="30" a="1"/>
  <c r="G25" i="30" s="1"/>
  <c r="H22" i="30" a="1"/>
  <c r="H22" i="30" s="1"/>
  <c r="I19" i="30" a="1"/>
  <c r="I19" i="30" s="1"/>
  <c r="F17" i="30" a="1"/>
  <c r="F17" i="30" s="1"/>
  <c r="G14" i="30" a="1"/>
  <c r="G14" i="30" s="1"/>
  <c r="H11" i="30" a="1"/>
  <c r="H11" i="30" s="1"/>
  <c r="I8" i="30" a="1"/>
  <c r="I8" i="30" s="1"/>
  <c r="I5" i="30" a="1"/>
  <c r="I5" i="30" s="1"/>
  <c r="B19" i="30" a="1"/>
  <c r="B19" i="30" s="1"/>
  <c r="B18" i="30" a="1"/>
  <c r="B18" i="30" s="1"/>
  <c r="I26" i="29" a="1"/>
  <c r="I26" i="29" s="1"/>
  <c r="F24" i="29" a="1"/>
  <c r="F24" i="29" s="1"/>
  <c r="G21" i="29" a="1"/>
  <c r="G21" i="29" s="1"/>
  <c r="H18" i="29" a="1"/>
  <c r="H18" i="29" s="1"/>
  <c r="I15" i="29" a="1"/>
  <c r="I15" i="29" s="1"/>
  <c r="F13" i="29" a="1"/>
  <c r="F13" i="29" s="1"/>
  <c r="G10" i="29" a="1"/>
  <c r="G10" i="29" s="1"/>
  <c r="H7" i="29" a="1"/>
  <c r="H7" i="29" s="1"/>
  <c r="I4" i="29" a="1"/>
  <c r="I4" i="29" s="1"/>
  <c r="F2" i="29" a="1"/>
  <c r="F2" i="29" s="1"/>
  <c r="B16" i="29" a="1"/>
  <c r="B16" i="29" s="1"/>
  <c r="I23" i="29" a="1"/>
  <c r="I23" i="29" s="1"/>
  <c r="F21" i="29" a="1"/>
  <c r="F21" i="29" s="1"/>
  <c r="I12" i="29" a="1"/>
  <c r="I12" i="29" s="1"/>
  <c r="G7" i="29" a="1"/>
  <c r="G7" i="29" s="1"/>
  <c r="B26" i="29" a="1"/>
  <c r="B26" i="29" s="1"/>
  <c r="B4" i="29" a="1"/>
  <c r="B4" i="29" s="1"/>
  <c r="G22" i="29" a="1"/>
  <c r="G22" i="29" s="1"/>
  <c r="F22" i="29" a="1"/>
  <c r="F22" i="29" s="1"/>
  <c r="I21" i="29" a="1"/>
  <c r="I21" i="29" s="1"/>
  <c r="H21" i="29" a="1"/>
  <c r="H21" i="29" s="1"/>
  <c r="B5" i="29" a="1"/>
  <c r="B5" i="29" s="1"/>
  <c r="H26" i="29" a="1"/>
  <c r="H26" i="29" s="1"/>
  <c r="G18" i="29" a="1"/>
  <c r="G18" i="29" s="1"/>
  <c r="H15" i="29" a="1"/>
  <c r="H15" i="29" s="1"/>
  <c r="F10" i="29" a="1"/>
  <c r="F10" i="29" s="1"/>
  <c r="H4" i="29" a="1"/>
  <c r="H4" i="29" s="1"/>
  <c r="B15" i="29" a="1"/>
  <c r="B15" i="29" s="1"/>
  <c r="B11" i="29" a="1"/>
  <c r="B11" i="29" s="1"/>
  <c r="G11" i="29" a="1"/>
  <c r="G11" i="29" s="1"/>
  <c r="I13" i="29" a="1"/>
  <c r="I13" i="29" s="1"/>
  <c r="H13" i="29" a="1"/>
  <c r="H13" i="29" s="1"/>
  <c r="H10" i="29" a="1"/>
  <c r="H10" i="29" s="1"/>
  <c r="H23" i="29" a="1"/>
  <c r="H23" i="29" s="1"/>
  <c r="F18" i="29" a="1"/>
  <c r="F18" i="29" s="1"/>
  <c r="H12" i="29" a="1"/>
  <c r="H12" i="29" s="1"/>
  <c r="I9" i="29" a="1"/>
  <c r="I9" i="29" s="1"/>
  <c r="G4" i="29" a="1"/>
  <c r="G4" i="29" s="1"/>
  <c r="B14" i="29" a="1"/>
  <c r="B14" i="29" s="1"/>
  <c r="B21" i="29" a="1"/>
  <c r="B21" i="29" s="1"/>
  <c r="B20" i="29" a="1"/>
  <c r="B20" i="29" s="1"/>
  <c r="B8" i="29" a="1"/>
  <c r="B8" i="29" s="1"/>
  <c r="B7" i="29" a="1"/>
  <c r="B7" i="29" s="1"/>
  <c r="B17" i="29" a="1"/>
  <c r="B17" i="29" s="1"/>
  <c r="G26" i="29" a="1"/>
  <c r="G26" i="29" s="1"/>
  <c r="I20" i="29" a="1"/>
  <c r="I20" i="29" s="1"/>
  <c r="G15" i="29" a="1"/>
  <c r="G15" i="29" s="1"/>
  <c r="F7" i="29" a="1"/>
  <c r="F7" i="29" s="1"/>
  <c r="B25" i="29" a="1"/>
  <c r="B25" i="29" s="1"/>
  <c r="B3" i="29" a="1"/>
  <c r="B3" i="29" s="1"/>
  <c r="F25" i="29" a="1"/>
  <c r="F25" i="29" s="1"/>
  <c r="I24" i="29" a="1"/>
  <c r="I24" i="29" s="1"/>
  <c r="H24" i="29" a="1"/>
  <c r="H24" i="29" s="1"/>
  <c r="G24" i="29" a="1"/>
  <c r="G24" i="29" s="1"/>
  <c r="G23" i="29" a="1"/>
  <c r="G23" i="29" s="1"/>
  <c r="H20" i="29" a="1"/>
  <c r="H20" i="29" s="1"/>
  <c r="F15" i="29" a="1"/>
  <c r="F15" i="29" s="1"/>
  <c r="I6" i="29" a="1"/>
  <c r="I6" i="29" s="1"/>
  <c r="B24" i="29" a="1"/>
  <c r="B24" i="29" s="1"/>
  <c r="B2" i="29" a="1"/>
  <c r="B2" i="29" s="1"/>
  <c r="F6" i="29" a="1"/>
  <c r="F6" i="29" s="1"/>
  <c r="H8" i="29" a="1"/>
  <c r="H8" i="29" s="1"/>
  <c r="G8" i="29" a="1"/>
  <c r="G8" i="29" s="1"/>
  <c r="F8" i="29" a="1"/>
  <c r="F8" i="29" s="1"/>
  <c r="I7" i="29" a="1"/>
  <c r="I7" i="29" s="1"/>
  <c r="F26" i="29" a="1"/>
  <c r="F26" i="29" s="1"/>
  <c r="I17" i="29" a="1"/>
  <c r="I17" i="29" s="1"/>
  <c r="G12" i="29" a="1"/>
  <c r="G12" i="29" s="1"/>
  <c r="H9" i="29" a="1"/>
  <c r="H9" i="29" s="1"/>
  <c r="F4" i="29" a="1"/>
  <c r="F4" i="29" s="1"/>
  <c r="B13" i="29" a="1"/>
  <c r="B13" i="29" s="1"/>
  <c r="B12" i="29" a="1"/>
  <c r="B12" i="29" s="1"/>
  <c r="F14" i="29" a="1"/>
  <c r="F14" i="29" s="1"/>
  <c r="F11" i="29" a="1"/>
  <c r="F11" i="29" s="1"/>
  <c r="I10" i="29" a="1"/>
  <c r="I10" i="29" s="1"/>
  <c r="G13" i="29" a="1"/>
  <c r="G13" i="29" s="1"/>
  <c r="F23" i="29" a="1"/>
  <c r="F23" i="29" s="1"/>
  <c r="H17" i="29" a="1"/>
  <c r="H17" i="29" s="1"/>
  <c r="I14" i="29" a="1"/>
  <c r="I14" i="29" s="1"/>
  <c r="G9" i="29" a="1"/>
  <c r="G9" i="29" s="1"/>
  <c r="H6" i="29" a="1"/>
  <c r="H6" i="29" s="1"/>
  <c r="B23" i="29" a="1"/>
  <c r="B23" i="29" s="1"/>
  <c r="H19" i="29" a="1"/>
  <c r="H19" i="29" s="1"/>
  <c r="G19" i="29" a="1"/>
  <c r="G19" i="29" s="1"/>
  <c r="F19" i="29" a="1"/>
  <c r="F19" i="29" s="1"/>
  <c r="I18" i="29" a="1"/>
  <c r="I18" i="29" s="1"/>
  <c r="I25" i="29" a="1"/>
  <c r="I25" i="29" s="1"/>
  <c r="G20" i="29" a="1"/>
  <c r="G20" i="29" s="1"/>
  <c r="F12" i="29" a="1"/>
  <c r="F12" i="29" s="1"/>
  <c r="I3" i="29" a="1"/>
  <c r="I3" i="29" s="1"/>
  <c r="I8" i="29" a="1"/>
  <c r="I8" i="29" s="1"/>
  <c r="I5" i="29" a="1"/>
  <c r="I5" i="29" s="1"/>
  <c r="H5" i="29" a="1"/>
  <c r="H5" i="29" s="1"/>
  <c r="G5" i="29" a="1"/>
  <c r="G5" i="29" s="1"/>
  <c r="F5" i="29" a="1"/>
  <c r="F5" i="29" s="1"/>
  <c r="H25" i="29" a="1"/>
  <c r="H25" i="29" s="1"/>
  <c r="I22" i="29" a="1"/>
  <c r="I22" i="29" s="1"/>
  <c r="G17" i="29" a="1"/>
  <c r="G17" i="29" s="1"/>
  <c r="H14" i="29" a="1"/>
  <c r="H14" i="29" s="1"/>
  <c r="F9" i="29" a="1"/>
  <c r="F9" i="29" s="1"/>
  <c r="H3" i="29" a="1"/>
  <c r="H3" i="29" s="1"/>
  <c r="G3" i="29" a="1"/>
  <c r="G3" i="29" s="1"/>
  <c r="F3" i="29" a="1"/>
  <c r="F3" i="29" s="1"/>
  <c r="B19" i="29" a="1"/>
  <c r="B19" i="29" s="1"/>
  <c r="B18" i="29" a="1"/>
  <c r="B18" i="29" s="1"/>
  <c r="B6" i="29" a="1"/>
  <c r="B6" i="29" s="1"/>
  <c r="F20" i="29" a="1"/>
  <c r="F20" i="29" s="1"/>
  <c r="I11" i="29" a="1"/>
  <c r="I11" i="29" s="1"/>
  <c r="G6" i="29" a="1"/>
  <c r="G6" i="29" s="1"/>
  <c r="B22" i="29" a="1"/>
  <c r="B22" i="29" s="1"/>
  <c r="I16" i="29" a="1"/>
  <c r="I16" i="29" s="1"/>
  <c r="H16" i="29" a="1"/>
  <c r="H16" i="29" s="1"/>
  <c r="G16" i="29" a="1"/>
  <c r="G16" i="29" s="1"/>
  <c r="F16" i="29" a="1"/>
  <c r="F16" i="29" s="1"/>
  <c r="G25" i="29" a="1"/>
  <c r="G25" i="29" s="1"/>
  <c r="H22" i="29" a="1"/>
  <c r="H22" i="29" s="1"/>
  <c r="I19" i="29" a="1"/>
  <c r="I19" i="29" s="1"/>
  <c r="F17" i="29" a="1"/>
  <c r="F17" i="29" s="1"/>
  <c r="G14" i="29" a="1"/>
  <c r="G14" i="29" s="1"/>
  <c r="H11" i="29" a="1"/>
  <c r="H11" i="29" s="1"/>
  <c r="B10" i="29" a="1"/>
  <c r="B10" i="29" s="1"/>
  <c r="B9" i="29" a="1"/>
  <c r="B9" i="29" s="1"/>
  <c r="I2" i="29" a="1"/>
  <c r="I2" i="29" s="1"/>
  <c r="H2" i="29" a="1"/>
  <c r="H2" i="29" s="1"/>
  <c r="G2" i="29" a="1"/>
  <c r="G2" i="29" s="1"/>
  <c r="F24" i="28" a="1"/>
  <c r="F24" i="28" s="1"/>
  <c r="H18" i="28" a="1"/>
  <c r="H18" i="28" s="1"/>
  <c r="F13" i="28" a="1"/>
  <c r="F13" i="28" s="1"/>
  <c r="H7" i="28" a="1"/>
  <c r="H7" i="28" s="1"/>
  <c r="F2" i="28" a="1"/>
  <c r="F2" i="28" s="1"/>
  <c r="B5" i="28" a="1"/>
  <c r="B5" i="28" s="1"/>
  <c r="B22" i="28" a="1"/>
  <c r="B22" i="28" s="1"/>
  <c r="B21" i="28" a="1"/>
  <c r="B21" i="28" s="1"/>
  <c r="B20" i="28" a="1"/>
  <c r="B20" i="28" s="1"/>
  <c r="B19" i="28" a="1"/>
  <c r="B19" i="28" s="1"/>
  <c r="B7" i="28" a="1"/>
  <c r="B7" i="28" s="1"/>
  <c r="I26" i="28" a="1"/>
  <c r="I26" i="28" s="1"/>
  <c r="G21" i="28" a="1"/>
  <c r="G21" i="28" s="1"/>
  <c r="I15" i="28" a="1"/>
  <c r="I15" i="28" s="1"/>
  <c r="G10" i="28" a="1"/>
  <c r="G10" i="28" s="1"/>
  <c r="I4" i="28" a="1"/>
  <c r="I4" i="28" s="1"/>
  <c r="B16" i="28" a="1"/>
  <c r="B16" i="28" s="1"/>
  <c r="B4" i="28" a="1"/>
  <c r="B4" i="28" s="1"/>
  <c r="I8" i="28" a="1"/>
  <c r="I8" i="28" s="1"/>
  <c r="H8" i="28" a="1"/>
  <c r="H8" i="28" s="1"/>
  <c r="G8" i="28" a="1"/>
  <c r="G8" i="28" s="1"/>
  <c r="F8" i="28" a="1"/>
  <c r="F8" i="28" s="1"/>
  <c r="I7" i="28" a="1"/>
  <c r="I7" i="28" s="1"/>
  <c r="H26" i="28" a="1"/>
  <c r="H26" i="28" s="1"/>
  <c r="F21" i="28" a="1"/>
  <c r="F21" i="28" s="1"/>
  <c r="H15" i="28" a="1"/>
  <c r="H15" i="28" s="1"/>
  <c r="F10" i="28" a="1"/>
  <c r="F10" i="28" s="1"/>
  <c r="H4" i="28" a="1"/>
  <c r="H4" i="28" s="1"/>
  <c r="B15" i="28" a="1"/>
  <c r="B15" i="28" s="1"/>
  <c r="G25" i="28" a="1"/>
  <c r="G25" i="28" s="1"/>
  <c r="F25" i="28" a="1"/>
  <c r="F25" i="28" s="1"/>
  <c r="F22" i="28" a="1"/>
  <c r="F22" i="28" s="1"/>
  <c r="I21" i="28" a="1"/>
  <c r="I21" i="28" s="1"/>
  <c r="H21" i="28" a="1"/>
  <c r="H21" i="28" s="1"/>
  <c r="B6" i="28" a="1"/>
  <c r="B6" i="28" s="1"/>
  <c r="I23" i="28" a="1"/>
  <c r="I23" i="28" s="1"/>
  <c r="G18" i="28" a="1"/>
  <c r="G18" i="28" s="1"/>
  <c r="I12" i="28" a="1"/>
  <c r="I12" i="28" s="1"/>
  <c r="G7" i="28" a="1"/>
  <c r="G7" i="28" s="1"/>
  <c r="B26" i="28" a="1"/>
  <c r="B26" i="28" s="1"/>
  <c r="H22" i="28" a="1"/>
  <c r="H22" i="28" s="1"/>
  <c r="H19" i="28" a="1"/>
  <c r="H19" i="28" s="1"/>
  <c r="F11" i="28" a="1"/>
  <c r="F11" i="28" s="1"/>
  <c r="I10" i="28" a="1"/>
  <c r="I10" i="28" s="1"/>
  <c r="H10" i="28" a="1"/>
  <c r="H10" i="28" s="1"/>
  <c r="H23" i="28" a="1"/>
  <c r="H23" i="28" s="1"/>
  <c r="I20" i="28" a="1"/>
  <c r="I20" i="28" s="1"/>
  <c r="G15" i="28" a="1"/>
  <c r="G15" i="28" s="1"/>
  <c r="I9" i="28" a="1"/>
  <c r="I9" i="28" s="1"/>
  <c r="G4" i="28" a="1"/>
  <c r="G4" i="28" s="1"/>
  <c r="B14" i="28" a="1"/>
  <c r="B14" i="28" s="1"/>
  <c r="B2" i="28" a="1"/>
  <c r="B2" i="28" s="1"/>
  <c r="H11" i="28" a="1"/>
  <c r="H11" i="28" s="1"/>
  <c r="G11" i="28" a="1"/>
  <c r="G11" i="28" s="1"/>
  <c r="I24" i="28" a="1"/>
  <c r="I24" i="28" s="1"/>
  <c r="H24" i="28" a="1"/>
  <c r="H24" i="28" s="1"/>
  <c r="G24" i="28" a="1"/>
  <c r="G24" i="28" s="1"/>
  <c r="B17" i="28" a="1"/>
  <c r="B17" i="28" s="1"/>
  <c r="G26" i="28" a="1"/>
  <c r="G26" i="28" s="1"/>
  <c r="F18" i="28" a="1"/>
  <c r="F18" i="28" s="1"/>
  <c r="H12" i="28" a="1"/>
  <c r="H12" i="28" s="1"/>
  <c r="F7" i="28" a="1"/>
  <c r="F7" i="28" s="1"/>
  <c r="B25" i="28" a="1"/>
  <c r="B25" i="28" s="1"/>
  <c r="B3" i="28" a="1"/>
  <c r="B3" i="28" s="1"/>
  <c r="G14" i="28" a="1"/>
  <c r="G14" i="28" s="1"/>
  <c r="F14" i="28" a="1"/>
  <c r="F14" i="28" s="1"/>
  <c r="H16" i="28" a="1"/>
  <c r="H16" i="28" s="1"/>
  <c r="G16" i="28" a="1"/>
  <c r="G16" i="28" s="1"/>
  <c r="I18" i="28" a="1"/>
  <c r="I18" i="28" s="1"/>
  <c r="G23" i="28" a="1"/>
  <c r="G23" i="28" s="1"/>
  <c r="I17" i="28" a="1"/>
  <c r="I17" i="28" s="1"/>
  <c r="G12" i="28" a="1"/>
  <c r="G12" i="28" s="1"/>
  <c r="I6" i="28" a="1"/>
  <c r="I6" i="28" s="1"/>
  <c r="B13" i="28" a="1"/>
  <c r="B13" i="28" s="1"/>
  <c r="I19" i="28" a="1"/>
  <c r="I19" i="28" s="1"/>
  <c r="G22" i="28" a="1"/>
  <c r="G22" i="28" s="1"/>
  <c r="I13" i="28" a="1"/>
  <c r="I13" i="28" s="1"/>
  <c r="H13" i="28" a="1"/>
  <c r="H13" i="28" s="1"/>
  <c r="G13" i="28" a="1"/>
  <c r="G13" i="28" s="1"/>
  <c r="F26" i="28" a="1"/>
  <c r="F26" i="28" s="1"/>
  <c r="H20" i="28" a="1"/>
  <c r="H20" i="28" s="1"/>
  <c r="F15" i="28" a="1"/>
  <c r="F15" i="28" s="1"/>
  <c r="H9" i="28" a="1"/>
  <c r="H9" i="28" s="1"/>
  <c r="F4" i="28" a="1"/>
  <c r="F4" i="28" s="1"/>
  <c r="B24" i="28" a="1"/>
  <c r="B24" i="28" s="1"/>
  <c r="G6" i="28" a="1"/>
  <c r="G6" i="28" s="1"/>
  <c r="F6" i="28" a="1"/>
  <c r="F6" i="28" s="1"/>
  <c r="F3" i="28" a="1"/>
  <c r="F3" i="28" s="1"/>
  <c r="B8" i="28" a="1"/>
  <c r="B8" i="28" s="1"/>
  <c r="G5" i="28" a="1"/>
  <c r="G5" i="28" s="1"/>
  <c r="F23" i="28" a="1"/>
  <c r="F23" i="28" s="1"/>
  <c r="G20" i="28" a="1"/>
  <c r="G20" i="28" s="1"/>
  <c r="I14" i="28" a="1"/>
  <c r="I14" i="28" s="1"/>
  <c r="G9" i="28" a="1"/>
  <c r="G9" i="28" s="1"/>
  <c r="B23" i="28" a="1"/>
  <c r="B23" i="28" s="1"/>
  <c r="I11" i="28" a="1"/>
  <c r="I11" i="28" s="1"/>
  <c r="B11" i="28" a="1"/>
  <c r="B11" i="28" s="1"/>
  <c r="B10" i="28" a="1"/>
  <c r="B10" i="28" s="1"/>
  <c r="B9" i="28" a="1"/>
  <c r="B9" i="28" s="1"/>
  <c r="H5" i="28" a="1"/>
  <c r="H5" i="28" s="1"/>
  <c r="H2" i="28" a="1"/>
  <c r="H2" i="28" s="1"/>
  <c r="G2" i="28" a="1"/>
  <c r="G2" i="28" s="1"/>
  <c r="I25" i="28" a="1"/>
  <c r="I25" i="28" s="1"/>
  <c r="H17" i="28" a="1"/>
  <c r="H17" i="28" s="1"/>
  <c r="F12" i="28" a="1"/>
  <c r="F12" i="28" s="1"/>
  <c r="H6" i="28" a="1"/>
  <c r="H6" i="28" s="1"/>
  <c r="I3" i="28" a="1"/>
  <c r="I3" i="28" s="1"/>
  <c r="B12" i="28" a="1"/>
  <c r="B12" i="28" s="1"/>
  <c r="H3" i="28" a="1"/>
  <c r="H3" i="28" s="1"/>
  <c r="G3" i="28" a="1"/>
  <c r="G3" i="28" s="1"/>
  <c r="I5" i="28" a="1"/>
  <c r="I5" i="28" s="1"/>
  <c r="I2" i="28" a="1"/>
  <c r="I2" i="28" s="1"/>
  <c r="B18" i="28" a="1"/>
  <c r="B18" i="28" s="1"/>
  <c r="F5" i="28" a="1"/>
  <c r="F5" i="28" s="1"/>
  <c r="H25" i="28" a="1"/>
  <c r="H25" i="28" s="1"/>
  <c r="I22" i="28" a="1"/>
  <c r="I22" i="28" s="1"/>
  <c r="F20" i="28" a="1"/>
  <c r="F20" i="28" s="1"/>
  <c r="G17" i="28" a="1"/>
  <c r="G17" i="28" s="1"/>
  <c r="H14" i="28" a="1"/>
  <c r="H14" i="28" s="1"/>
  <c r="F9" i="28" a="1"/>
  <c r="F9" i="28" s="1"/>
  <c r="F17" i="28" a="1"/>
  <c r="F17" i="28" s="1"/>
  <c r="I16" i="28" a="1"/>
  <c r="I16" i="28" s="1"/>
  <c r="G19" i="28" a="1"/>
  <c r="G19" i="28" s="1"/>
  <c r="F19" i="28" a="1"/>
  <c r="F19" i="28" s="1"/>
  <c r="F16" i="28" a="1"/>
  <c r="F16" i="28" s="1"/>
  <c r="F24" i="27" a="1"/>
  <c r="F24" i="27" s="1"/>
  <c r="G21" i="27" a="1"/>
  <c r="G21" i="27" s="1"/>
  <c r="I15" i="27" a="1"/>
  <c r="I15" i="27" s="1"/>
  <c r="G10" i="27" a="1"/>
  <c r="G10" i="27" s="1"/>
  <c r="I4" i="27" a="1"/>
  <c r="I4" i="27" s="1"/>
  <c r="H11" i="27" a="1"/>
  <c r="H11" i="27" s="1"/>
  <c r="I24" i="27" a="1"/>
  <c r="I24" i="27" s="1"/>
  <c r="F19" i="27" a="1"/>
  <c r="F19" i="27" s="1"/>
  <c r="G13" i="27" a="1"/>
  <c r="G13" i="27" s="1"/>
  <c r="I26" i="27" a="1"/>
  <c r="I26" i="27" s="1"/>
  <c r="H18" i="27" a="1"/>
  <c r="H18" i="27" s="1"/>
  <c r="F13" i="27" a="1"/>
  <c r="F13" i="27" s="1"/>
  <c r="H7" i="27" a="1"/>
  <c r="H7" i="27" s="1"/>
  <c r="F2" i="27" a="1"/>
  <c r="F2" i="27" s="1"/>
  <c r="I8" i="27" a="1"/>
  <c r="I8" i="27" s="1"/>
  <c r="I5" i="27" a="1"/>
  <c r="I5" i="27" s="1"/>
  <c r="H24" i="27" a="1"/>
  <c r="H24" i="27" s="1"/>
  <c r="I18" i="27" a="1"/>
  <c r="I18" i="27" s="1"/>
  <c r="H26" i="27" a="1"/>
  <c r="H26" i="27" s="1"/>
  <c r="F21" i="27" a="1"/>
  <c r="F21" i="27" s="1"/>
  <c r="G18" i="27" a="1"/>
  <c r="G18" i="27" s="1"/>
  <c r="I12" i="27" a="1"/>
  <c r="I12" i="27" s="1"/>
  <c r="G7" i="27" a="1"/>
  <c r="G7" i="27" s="1"/>
  <c r="F17" i="27" a="1"/>
  <c r="F17" i="27" s="1"/>
  <c r="G11" i="27" a="1"/>
  <c r="G11" i="27" s="1"/>
  <c r="H5" i="27" a="1"/>
  <c r="H5" i="27" s="1"/>
  <c r="H2" i="27" a="1"/>
  <c r="H2" i="27" s="1"/>
  <c r="I23" i="27" a="1"/>
  <c r="I23" i="27" s="1"/>
  <c r="H15" i="27" a="1"/>
  <c r="H15" i="27" s="1"/>
  <c r="F10" i="27" a="1"/>
  <c r="F10" i="27" s="1"/>
  <c r="H4" i="27" a="1"/>
  <c r="H4" i="27" s="1"/>
  <c r="F6" i="27" a="1"/>
  <c r="F6" i="27" s="1"/>
  <c r="F22" i="27" a="1"/>
  <c r="F22" i="27" s="1"/>
  <c r="G16" i="27" a="1"/>
  <c r="G16" i="27" s="1"/>
  <c r="H21" i="27" a="1"/>
  <c r="H21" i="27" s="1"/>
  <c r="H23" i="27" a="1"/>
  <c r="H23" i="27" s="1"/>
  <c r="I20" i="27" a="1"/>
  <c r="I20" i="27" s="1"/>
  <c r="G15" i="27" a="1"/>
  <c r="G15" i="27" s="1"/>
  <c r="I9" i="27" a="1"/>
  <c r="I9" i="27" s="1"/>
  <c r="G4" i="27" a="1"/>
  <c r="G4" i="27" s="1"/>
  <c r="F9" i="27" a="1"/>
  <c r="F9" i="27" s="1"/>
  <c r="G3" i="27" a="1"/>
  <c r="G3" i="27" s="1"/>
  <c r="H8" i="27" a="1"/>
  <c r="H8" i="27" s="1"/>
  <c r="G8" i="27" a="1"/>
  <c r="G8" i="27" s="1"/>
  <c r="F8" i="27" a="1"/>
  <c r="F8" i="27" s="1"/>
  <c r="F5" i="27" a="1"/>
  <c r="F5" i="27" s="1"/>
  <c r="G26" i="27" a="1"/>
  <c r="G26" i="27" s="1"/>
  <c r="F18" i="27" a="1"/>
  <c r="F18" i="27" s="1"/>
  <c r="H12" i="27" a="1"/>
  <c r="H12" i="27" s="1"/>
  <c r="F7" i="27" a="1"/>
  <c r="F7" i="27" s="1"/>
  <c r="I6" i="27" a="1"/>
  <c r="I6" i="27" s="1"/>
  <c r="H3" i="27" a="1"/>
  <c r="H3" i="27" s="1"/>
  <c r="F25" i="27" a="1"/>
  <c r="F25" i="27" s="1"/>
  <c r="G19" i="27" a="1"/>
  <c r="G19" i="27" s="1"/>
  <c r="H13" i="27" a="1"/>
  <c r="H13" i="27" s="1"/>
  <c r="H10" i="27" a="1"/>
  <c r="H10" i="27" s="1"/>
  <c r="H20" i="27" a="1"/>
  <c r="H20" i="27" s="1"/>
  <c r="F15" i="27" a="1"/>
  <c r="F15" i="27" s="1"/>
  <c r="H9" i="27" a="1"/>
  <c r="H9" i="27" s="1"/>
  <c r="I3" i="27" a="1"/>
  <c r="I3" i="27" s="1"/>
  <c r="I19" i="27" a="1"/>
  <c r="I19" i="27" s="1"/>
  <c r="F14" i="27" a="1"/>
  <c r="F14" i="27" s="1"/>
  <c r="I2" i="27" a="1"/>
  <c r="I2" i="27" s="1"/>
  <c r="G24" i="27" a="1"/>
  <c r="G24" i="27" s="1"/>
  <c r="F26" i="27" a="1"/>
  <c r="F26" i="27" s="1"/>
  <c r="G23" i="27" a="1"/>
  <c r="G23" i="27" s="1"/>
  <c r="I17" i="27" a="1"/>
  <c r="I17" i="27" s="1"/>
  <c r="G12" i="27" a="1"/>
  <c r="G12" i="27" s="1"/>
  <c r="F4" i="27" a="1"/>
  <c r="F4" i="27" s="1"/>
  <c r="H22" i="27" a="1"/>
  <c r="H22" i="27" s="1"/>
  <c r="I16" i="27" a="1"/>
  <c r="I16" i="27" s="1"/>
  <c r="F11" i="27" a="1"/>
  <c r="F11" i="27" s="1"/>
  <c r="G5" i="27" a="1"/>
  <c r="G5" i="27" s="1"/>
  <c r="G2" i="27" a="1"/>
  <c r="G2" i="27" s="1"/>
  <c r="F23" i="27" a="1"/>
  <c r="F23" i="27" s="1"/>
  <c r="G20" i="27" a="1"/>
  <c r="G20" i="27" s="1"/>
  <c r="F12" i="27" a="1"/>
  <c r="F12" i="27" s="1"/>
  <c r="H6" i="27" a="1"/>
  <c r="H6" i="27" s="1"/>
  <c r="G6" i="27" a="1"/>
  <c r="G6" i="27" s="1"/>
  <c r="G22" i="27" a="1"/>
  <c r="G22" i="27" s="1"/>
  <c r="H16" i="27" a="1"/>
  <c r="H16" i="27" s="1"/>
  <c r="I10" i="27" a="1"/>
  <c r="I10" i="27" s="1"/>
  <c r="I7" i="27" a="1"/>
  <c r="I7" i="27" s="1"/>
  <c r="I25" i="27" a="1"/>
  <c r="I25" i="27" s="1"/>
  <c r="H17" i="27" a="1"/>
  <c r="H17" i="27" s="1"/>
  <c r="I14" i="27" a="1"/>
  <c r="I14" i="27" s="1"/>
  <c r="G9" i="27" a="1"/>
  <c r="G9" i="27" s="1"/>
  <c r="I11" i="27" a="1"/>
  <c r="I11" i="27" s="1"/>
  <c r="G14" i="27" a="1"/>
  <c r="G14" i="27" s="1"/>
  <c r="F3" i="27" a="1"/>
  <c r="F3" i="27" s="1"/>
  <c r="I21" i="27" a="1"/>
  <c r="I21" i="27" s="1"/>
  <c r="F16" i="27" a="1"/>
  <c r="F16" i="27" s="1"/>
  <c r="H25" i="27" a="1"/>
  <c r="H25" i="27" s="1"/>
  <c r="I22" i="27" a="1"/>
  <c r="I22" i="27" s="1"/>
  <c r="F20" i="27" a="1"/>
  <c r="F20" i="27" s="1"/>
  <c r="G17" i="27" a="1"/>
  <c r="G17" i="27" s="1"/>
  <c r="H14" i="27" a="1"/>
  <c r="H14" i="27" s="1"/>
  <c r="G25" i="27" a="1"/>
  <c r="G25" i="27" s="1"/>
  <c r="H19" i="27" a="1"/>
  <c r="H19" i="27" s="1"/>
  <c r="I13" i="27" a="1"/>
  <c r="I13" i="27" s="1"/>
  <c r="B15" i="27" a="1"/>
  <c r="B15" i="27" s="1"/>
  <c r="B4" i="27" a="1"/>
  <c r="B4" i="27" s="1"/>
  <c r="B26" i="27" a="1"/>
  <c r="B26" i="27" s="1"/>
  <c r="B18" i="27" a="1"/>
  <c r="B18" i="27" s="1"/>
  <c r="B14" i="27" a="1"/>
  <c r="B14" i="27" s="1"/>
  <c r="B3" i="27" a="1"/>
  <c r="B3" i="27" s="1"/>
  <c r="B25" i="27" a="1"/>
  <c r="B25" i="27" s="1"/>
  <c r="B6" i="27" a="1"/>
  <c r="B6" i="27" s="1"/>
  <c r="B24" i="27" a="1"/>
  <c r="B24" i="27" s="1"/>
  <c r="B20" i="27" a="1"/>
  <c r="B20" i="27" s="1"/>
  <c r="B16" i="27" a="1"/>
  <c r="B16" i="27" s="1"/>
  <c r="B13" i="27" a="1"/>
  <c r="B13" i="27" s="1"/>
  <c r="B10" i="27" a="1"/>
  <c r="B10" i="27" s="1"/>
  <c r="B5" i="27" a="1"/>
  <c r="B5" i="27" s="1"/>
  <c r="B12" i="27" a="1"/>
  <c r="B12" i="27" s="1"/>
  <c r="B7" i="27" a="1"/>
  <c r="B7" i="27" s="1"/>
  <c r="B23" i="27" a="1"/>
  <c r="B23" i="27" s="1"/>
  <c r="B9" i="27" a="1"/>
  <c r="B9" i="27" s="1"/>
  <c r="B22" i="27" a="1"/>
  <c r="B22" i="27" s="1"/>
  <c r="B8" i="27" a="1"/>
  <c r="B8" i="27" s="1"/>
  <c r="B11" i="27" a="1"/>
  <c r="B11" i="27" s="1"/>
  <c r="B19" i="27" a="1"/>
  <c r="B19" i="27" s="1"/>
  <c r="B21" i="27" a="1"/>
  <c r="B21" i="27" s="1"/>
  <c r="B17" i="27" a="1"/>
  <c r="B17" i="27" s="1"/>
  <c r="B2" i="27" a="1"/>
  <c r="B2" i="27" s="1"/>
  <c r="E26" i="26" a="1"/>
  <c r="E26" i="26" s="1"/>
  <c r="C23" i="26" a="1"/>
  <c r="C23" i="26" s="1"/>
  <c r="D19" i="26" a="1"/>
  <c r="D19" i="26" s="1"/>
  <c r="E15" i="26" a="1"/>
  <c r="E15" i="26" s="1"/>
  <c r="C12" i="26" a="1"/>
  <c r="C12" i="26" s="1"/>
  <c r="D8" i="26" a="1"/>
  <c r="D8" i="26" s="1"/>
  <c r="E22" i="26" a="1"/>
  <c r="E22" i="26" s="1"/>
  <c r="C19" i="26" a="1"/>
  <c r="C19" i="26" s="1"/>
  <c r="E11" i="26" a="1"/>
  <c r="E11" i="26" s="1"/>
  <c r="D4" i="26" a="1"/>
  <c r="D4" i="26" s="1"/>
  <c r="C17" i="26" a="1"/>
  <c r="C17" i="26" s="1"/>
  <c r="C20" i="26" a="1"/>
  <c r="C20" i="26" s="1"/>
  <c r="E4" i="26" a="1"/>
  <c r="E4" i="26" s="1"/>
  <c r="D26" i="26" a="1"/>
  <c r="D26" i="26" s="1"/>
  <c r="D15" i="26" a="1"/>
  <c r="D15" i="26" s="1"/>
  <c r="C8" i="26" a="1"/>
  <c r="C8" i="26" s="1"/>
  <c r="E13" i="26" a="1"/>
  <c r="E13" i="26" s="1"/>
  <c r="C24" i="26" a="1"/>
  <c r="C24" i="26" s="1"/>
  <c r="D5" i="26" a="1"/>
  <c r="D5" i="26" s="1"/>
  <c r="D22" i="26" a="1"/>
  <c r="D22" i="26" s="1"/>
  <c r="E18" i="26" a="1"/>
  <c r="E18" i="26" s="1"/>
  <c r="D11" i="26" a="1"/>
  <c r="D11" i="26" s="1"/>
  <c r="C4" i="26" a="1"/>
  <c r="C4" i="26" s="1"/>
  <c r="E2" i="26" a="1"/>
  <c r="E2" i="26" s="1"/>
  <c r="C13" i="26" a="1"/>
  <c r="C13" i="26" s="1"/>
  <c r="C16" i="26" a="1"/>
  <c r="C16" i="26" s="1"/>
  <c r="C26" i="26" a="1"/>
  <c r="C26" i="26" s="1"/>
  <c r="C15" i="26" a="1"/>
  <c r="C15" i="26" s="1"/>
  <c r="E7" i="26" a="1"/>
  <c r="E7" i="26" s="1"/>
  <c r="C3" i="26" a="1"/>
  <c r="C3" i="26" s="1"/>
  <c r="C6" i="26" a="1"/>
  <c r="C6" i="26" s="1"/>
  <c r="E12" i="26" a="1"/>
  <c r="E12" i="26" s="1"/>
  <c r="C22" i="26" a="1"/>
  <c r="C22" i="26" s="1"/>
  <c r="D18" i="26" a="1"/>
  <c r="D18" i="26" s="1"/>
  <c r="C11" i="26" a="1"/>
  <c r="C11" i="26" s="1"/>
  <c r="E3" i="26" a="1"/>
  <c r="E3" i="26" s="1"/>
  <c r="E9" i="26" a="1"/>
  <c r="E9" i="26" s="1"/>
  <c r="D16" i="26" a="1"/>
  <c r="D16" i="26" s="1"/>
  <c r="E25" i="26" a="1"/>
  <c r="E25" i="26" s="1"/>
  <c r="E14" i="26" a="1"/>
  <c r="E14" i="26" s="1"/>
  <c r="D7" i="26" a="1"/>
  <c r="D7" i="26" s="1"/>
  <c r="D13" i="26" a="1"/>
  <c r="D13" i="26" s="1"/>
  <c r="E23" i="26" a="1"/>
  <c r="E23" i="26" s="1"/>
  <c r="E8" i="26" a="1"/>
  <c r="E8" i="26" s="1"/>
  <c r="E21" i="26" a="1"/>
  <c r="E21" i="26" s="1"/>
  <c r="D14" i="26" a="1"/>
  <c r="D14" i="26" s="1"/>
  <c r="C7" i="26" a="1"/>
  <c r="C7" i="26" s="1"/>
  <c r="D17" i="26" a="1"/>
  <c r="D17" i="26" s="1"/>
  <c r="D20" i="26" a="1"/>
  <c r="D20" i="26" s="1"/>
  <c r="D23" i="26" a="1"/>
  <c r="D23" i="26" s="1"/>
  <c r="D25" i="26" a="1"/>
  <c r="D25" i="26" s="1"/>
  <c r="C18" i="26" a="1"/>
  <c r="C18" i="26" s="1"/>
  <c r="E10" i="26" a="1"/>
  <c r="E10" i="26" s="1"/>
  <c r="D3" i="26" a="1"/>
  <c r="D3" i="26" s="1"/>
  <c r="D6" i="26" a="1"/>
  <c r="D6" i="26" s="1"/>
  <c r="E16" i="26" a="1"/>
  <c r="E16" i="26" s="1"/>
  <c r="E19" i="26" a="1"/>
  <c r="E19" i="26" s="1"/>
  <c r="C25" i="26" a="1"/>
  <c r="C25" i="26" s="1"/>
  <c r="E17" i="26" a="1"/>
  <c r="E17" i="26" s="1"/>
  <c r="C14" i="26" a="1"/>
  <c r="C14" i="26" s="1"/>
  <c r="E6" i="26" a="1"/>
  <c r="E6" i="26" s="1"/>
  <c r="D24" i="26" a="1"/>
  <c r="D24" i="26" s="1"/>
  <c r="D9" i="26" a="1"/>
  <c r="D9" i="26" s="1"/>
  <c r="D12" i="26" a="1"/>
  <c r="D12" i="26" s="1"/>
  <c r="D21" i="26" a="1"/>
  <c r="D21" i="26" s="1"/>
  <c r="D10" i="26" a="1"/>
  <c r="D10" i="26" s="1"/>
  <c r="C10" i="26" a="1"/>
  <c r="C10" i="26" s="1"/>
  <c r="D2" i="26" a="1"/>
  <c r="D2" i="26" s="1"/>
  <c r="C9" i="26" a="1"/>
  <c r="C9" i="26" s="1"/>
  <c r="E24" i="26" a="1"/>
  <c r="E24" i="26" s="1"/>
  <c r="C21" i="26" a="1"/>
  <c r="C21" i="26" s="1"/>
  <c r="E20" i="26" a="1"/>
  <c r="E20" i="26" s="1"/>
  <c r="E5" i="26" a="1"/>
  <c r="E5" i="26" s="1"/>
  <c r="C5" i="26" a="1"/>
  <c r="C5" i="26" s="1"/>
  <c r="C2" i="26" a="1"/>
  <c r="C2" i="26" s="1"/>
  <c r="I26" i="26" a="1"/>
  <c r="I26" i="26" s="1"/>
  <c r="F24" i="26" a="1"/>
  <c r="F24" i="26" s="1"/>
  <c r="G21" i="26" a="1"/>
  <c r="G21" i="26" s="1"/>
  <c r="H18" i="26" a="1"/>
  <c r="H18" i="26" s="1"/>
  <c r="I15" i="26" a="1"/>
  <c r="I15" i="26" s="1"/>
  <c r="F13" i="26" a="1"/>
  <c r="F13" i="26" s="1"/>
  <c r="G10" i="26" a="1"/>
  <c r="G10" i="26" s="1"/>
  <c r="H7" i="26" a="1"/>
  <c r="H7" i="26" s="1"/>
  <c r="I4" i="26" a="1"/>
  <c r="I4" i="26" s="1"/>
  <c r="I23" i="26" a="1"/>
  <c r="I23" i="26" s="1"/>
  <c r="F21" i="26" a="1"/>
  <c r="F21" i="26" s="1"/>
  <c r="H15" i="26" a="1"/>
  <c r="H15" i="26" s="1"/>
  <c r="I12" i="26" a="1"/>
  <c r="I12" i="26" s="1"/>
  <c r="G7" i="26" a="1"/>
  <c r="G7" i="26" s="1"/>
  <c r="G22" i="26" a="1"/>
  <c r="G22" i="26" s="1"/>
  <c r="H16" i="26" a="1"/>
  <c r="H16" i="26" s="1"/>
  <c r="G5" i="26" a="1"/>
  <c r="G5" i="26" s="1"/>
  <c r="H26" i="26" a="1"/>
  <c r="H26" i="26" s="1"/>
  <c r="G18" i="26" a="1"/>
  <c r="G18" i="26" s="1"/>
  <c r="F10" i="26" a="1"/>
  <c r="F10" i="26" s="1"/>
  <c r="H4" i="26" a="1"/>
  <c r="H4" i="26" s="1"/>
  <c r="H19" i="26" a="1"/>
  <c r="H19" i="26" s="1"/>
  <c r="F22" i="26" a="1"/>
  <c r="F22" i="26" s="1"/>
  <c r="F19" i="26" a="1"/>
  <c r="F19" i="26" s="1"/>
  <c r="F16" i="26" a="1"/>
  <c r="F16" i="26" s="1"/>
  <c r="H23" i="26" a="1"/>
  <c r="H23" i="26" s="1"/>
  <c r="F18" i="26" a="1"/>
  <c r="F18" i="26" s="1"/>
  <c r="G15" i="26" a="1"/>
  <c r="G15" i="26" s="1"/>
  <c r="I9" i="26" a="1"/>
  <c r="I9" i="26" s="1"/>
  <c r="G4" i="26" a="1"/>
  <c r="G4" i="26" s="1"/>
  <c r="G3" i="26" a="1"/>
  <c r="G3" i="26" s="1"/>
  <c r="F3" i="26" a="1"/>
  <c r="F3" i="26" s="1"/>
  <c r="I2" i="26" a="1"/>
  <c r="I2" i="26" s="1"/>
  <c r="H2" i="26" a="1"/>
  <c r="H2" i="26" s="1"/>
  <c r="G2" i="26" a="1"/>
  <c r="G2" i="26" s="1"/>
  <c r="G26" i="26" a="1"/>
  <c r="G26" i="26" s="1"/>
  <c r="I20" i="26" a="1"/>
  <c r="I20" i="26" s="1"/>
  <c r="H12" i="26" a="1"/>
  <c r="H12" i="26" s="1"/>
  <c r="F7" i="26" a="1"/>
  <c r="F7" i="26" s="1"/>
  <c r="I8" i="26" a="1"/>
  <c r="I8" i="26" s="1"/>
  <c r="I5" i="26" a="1"/>
  <c r="I5" i="26" s="1"/>
  <c r="H24" i="26" a="1"/>
  <c r="H24" i="26" s="1"/>
  <c r="G13" i="26" a="1"/>
  <c r="G13" i="26" s="1"/>
  <c r="G23" i="26" a="1"/>
  <c r="G23" i="26" s="1"/>
  <c r="I17" i="26" a="1"/>
  <c r="I17" i="26" s="1"/>
  <c r="G12" i="26" a="1"/>
  <c r="G12" i="26" s="1"/>
  <c r="I6" i="26" a="1"/>
  <c r="I6" i="26" s="1"/>
  <c r="G6" i="26" a="1"/>
  <c r="G6" i="26" s="1"/>
  <c r="F14" i="26" a="1"/>
  <c r="F14" i="26" s="1"/>
  <c r="H5" i="26" a="1"/>
  <c r="H5" i="26" s="1"/>
  <c r="I18" i="26" a="1"/>
  <c r="I18" i="26" s="1"/>
  <c r="F26" i="26" a="1"/>
  <c r="F26" i="26" s="1"/>
  <c r="H20" i="26" a="1"/>
  <c r="H20" i="26" s="1"/>
  <c r="F15" i="26" a="1"/>
  <c r="F15" i="26" s="1"/>
  <c r="H9" i="26" a="1"/>
  <c r="H9" i="26" s="1"/>
  <c r="F4" i="26" a="1"/>
  <c r="F4" i="26" s="1"/>
  <c r="F25" i="26" a="1"/>
  <c r="F25" i="26" s="1"/>
  <c r="I13" i="26" a="1"/>
  <c r="I13" i="26" s="1"/>
  <c r="F8" i="26" a="1"/>
  <c r="F8" i="26" s="1"/>
  <c r="I25" i="26" a="1"/>
  <c r="I25" i="26" s="1"/>
  <c r="H17" i="26" a="1"/>
  <c r="H17" i="26" s="1"/>
  <c r="F12" i="26" a="1"/>
  <c r="F12" i="26" s="1"/>
  <c r="I3" i="26" a="1"/>
  <c r="I3" i="26" s="1"/>
  <c r="F9" i="26" a="1"/>
  <c r="F9" i="26" s="1"/>
  <c r="I16" i="26" a="1"/>
  <c r="I16" i="26" s="1"/>
  <c r="G19" i="26" a="1"/>
  <c r="G19" i="26" s="1"/>
  <c r="I21" i="26" a="1"/>
  <c r="I21" i="26" s="1"/>
  <c r="G24" i="26" a="1"/>
  <c r="G24" i="26" s="1"/>
  <c r="F2" i="26" a="1"/>
  <c r="F2" i="26" s="1"/>
  <c r="F23" i="26" a="1"/>
  <c r="F23" i="26" s="1"/>
  <c r="G20" i="26" a="1"/>
  <c r="G20" i="26" s="1"/>
  <c r="I14" i="26" a="1"/>
  <c r="I14" i="26" s="1"/>
  <c r="G9" i="26" a="1"/>
  <c r="G9" i="26" s="1"/>
  <c r="H6" i="26" a="1"/>
  <c r="H6" i="26" s="1"/>
  <c r="G17" i="26" a="1"/>
  <c r="G17" i="26" s="1"/>
  <c r="I11" i="26" a="1"/>
  <c r="I11" i="26" s="1"/>
  <c r="H11" i="26" a="1"/>
  <c r="H11" i="26" s="1"/>
  <c r="H8" i="26" a="1"/>
  <c r="H8" i="26" s="1"/>
  <c r="F11" i="26" a="1"/>
  <c r="F11" i="26" s="1"/>
  <c r="H13" i="26" a="1"/>
  <c r="H13" i="26" s="1"/>
  <c r="H21" i="26" a="1"/>
  <c r="H21" i="26" s="1"/>
  <c r="F5" i="26" a="1"/>
  <c r="F5" i="26" s="1"/>
  <c r="H25" i="26" a="1"/>
  <c r="H25" i="26" s="1"/>
  <c r="I22" i="26" a="1"/>
  <c r="I22" i="26" s="1"/>
  <c r="F20" i="26" a="1"/>
  <c r="F20" i="26" s="1"/>
  <c r="H14" i="26" a="1"/>
  <c r="H14" i="26" s="1"/>
  <c r="H3" i="26" a="1"/>
  <c r="H3" i="26" s="1"/>
  <c r="G11" i="26" a="1"/>
  <c r="G11" i="26" s="1"/>
  <c r="G8" i="26" a="1"/>
  <c r="G8" i="26" s="1"/>
  <c r="I10" i="26" a="1"/>
  <c r="I10" i="26" s="1"/>
  <c r="I7" i="26" a="1"/>
  <c r="I7" i="26" s="1"/>
  <c r="G25" i="26" a="1"/>
  <c r="G25" i="26" s="1"/>
  <c r="H22" i="26" a="1"/>
  <c r="H22" i="26" s="1"/>
  <c r="I19" i="26" a="1"/>
  <c r="I19" i="26" s="1"/>
  <c r="F17" i="26" a="1"/>
  <c r="F17" i="26" s="1"/>
  <c r="G14" i="26" a="1"/>
  <c r="G14" i="26" s="1"/>
  <c r="F6" i="26" a="1"/>
  <c r="F6" i="26" s="1"/>
  <c r="I24" i="26" a="1"/>
  <c r="I24" i="26" s="1"/>
  <c r="G16" i="26" a="1"/>
  <c r="G16" i="26" s="1"/>
  <c r="H10" i="26" a="1"/>
  <c r="H10" i="26" s="1"/>
  <c r="B26" i="26" a="1"/>
  <c r="B26" i="26" s="1"/>
  <c r="B15" i="26" a="1"/>
  <c r="B15" i="26" s="1"/>
  <c r="B14" i="26" a="1"/>
  <c r="B14" i="26" s="1"/>
  <c r="B18" i="26" a="1"/>
  <c r="B18" i="26" s="1"/>
  <c r="B25" i="26" a="1"/>
  <c r="B25" i="26" s="1"/>
  <c r="B3" i="26" a="1"/>
  <c r="B3" i="26" s="1"/>
  <c r="B13" i="26" a="1"/>
  <c r="B13" i="26" s="1"/>
  <c r="B16" i="26" a="1"/>
  <c r="B16" i="26" s="1"/>
  <c r="B24" i="26" a="1"/>
  <c r="B24" i="26" s="1"/>
  <c r="B21" i="26" a="1"/>
  <c r="B21" i="26" s="1"/>
  <c r="B4" i="26" a="1"/>
  <c r="B4" i="26" s="1"/>
  <c r="B12" i="26" a="1"/>
  <c r="B12" i="26" s="1"/>
  <c r="B10" i="26" a="1"/>
  <c r="B10" i="26" s="1"/>
  <c r="B5" i="26" a="1"/>
  <c r="B5" i="26" s="1"/>
  <c r="B23" i="26" a="1"/>
  <c r="B23" i="26" s="1"/>
  <c r="B17" i="26" a="1"/>
  <c r="B17" i="26" s="1"/>
  <c r="B22" i="26" a="1"/>
  <c r="B22" i="26" s="1"/>
  <c r="B9" i="26" a="1"/>
  <c r="B9" i="26" s="1"/>
  <c r="B11" i="26" a="1"/>
  <c r="B11" i="26" s="1"/>
  <c r="B20" i="26" a="1"/>
  <c r="B20" i="26" s="1"/>
  <c r="B6" i="26" a="1"/>
  <c r="B6" i="26" s="1"/>
  <c r="B19" i="26" a="1"/>
  <c r="B19" i="26" s="1"/>
  <c r="B7" i="26" a="1"/>
  <c r="B7" i="26" s="1"/>
  <c r="B8" i="26" a="1"/>
  <c r="B8" i="26" s="1"/>
  <c r="B2" i="26" a="1"/>
  <c r="B2" i="26" s="1"/>
  <c r="E15" i="25" a="1"/>
  <c r="E15" i="25" s="1"/>
  <c r="D8" i="25" a="1"/>
  <c r="D8" i="25" s="1"/>
  <c r="E4" i="25" a="1"/>
  <c r="E4" i="25" s="1"/>
  <c r="D13" i="25" a="1"/>
  <c r="D13" i="25" s="1"/>
  <c r="E12" i="25" a="1"/>
  <c r="E12" i="25" s="1"/>
  <c r="E26" i="25" a="1"/>
  <c r="E26" i="25" s="1"/>
  <c r="C23" i="25" a="1"/>
  <c r="C23" i="25" s="1"/>
  <c r="D19" i="25" a="1"/>
  <c r="D19" i="25" s="1"/>
  <c r="C12" i="25" a="1"/>
  <c r="C12" i="25" s="1"/>
  <c r="E24" i="25" a="1"/>
  <c r="E24" i="25" s="1"/>
  <c r="D20" i="25" a="1"/>
  <c r="D20" i="25" s="1"/>
  <c r="D12" i="25" a="1"/>
  <c r="D12" i="25" s="1"/>
  <c r="D26" i="25" a="1"/>
  <c r="D26" i="25" s="1"/>
  <c r="E22" i="25" a="1"/>
  <c r="E22" i="25" s="1"/>
  <c r="C19" i="25" a="1"/>
  <c r="C19" i="25" s="1"/>
  <c r="E11" i="25" a="1"/>
  <c r="E11" i="25" s="1"/>
  <c r="D4" i="25" a="1"/>
  <c r="D4" i="25" s="1"/>
  <c r="E20" i="25" a="1"/>
  <c r="E20" i="25" s="1"/>
  <c r="E23" i="25" a="1"/>
  <c r="E23" i="25" s="1"/>
  <c r="D15" i="25" a="1"/>
  <c r="D15" i="25" s="1"/>
  <c r="C8" i="25" a="1"/>
  <c r="C8" i="25" s="1"/>
  <c r="E13" i="25" a="1"/>
  <c r="E13" i="25" s="1"/>
  <c r="D2" i="25" a="1"/>
  <c r="D2" i="25" s="1"/>
  <c r="D23" i="25" a="1"/>
  <c r="D23" i="25" s="1"/>
  <c r="D22" i="25" a="1"/>
  <c r="D22" i="25" s="1"/>
  <c r="E18" i="25" a="1"/>
  <c r="E18" i="25" s="1"/>
  <c r="D11" i="25" a="1"/>
  <c r="D11" i="25" s="1"/>
  <c r="C4" i="25" a="1"/>
  <c r="C4" i="25" s="1"/>
  <c r="D3" i="25" a="1"/>
  <c r="D3" i="25" s="1"/>
  <c r="D6" i="25" a="1"/>
  <c r="D6" i="25" s="1"/>
  <c r="C6" i="25" a="1"/>
  <c r="C6" i="25" s="1"/>
  <c r="C20" i="25" a="1"/>
  <c r="C20" i="25" s="1"/>
  <c r="E8" i="25" a="1"/>
  <c r="E8" i="25" s="1"/>
  <c r="C26" i="25" a="1"/>
  <c r="C26" i="25" s="1"/>
  <c r="C15" i="25" a="1"/>
  <c r="C15" i="25" s="1"/>
  <c r="E7" i="25" a="1"/>
  <c r="E7" i="25" s="1"/>
  <c r="C11" i="25" a="1"/>
  <c r="C11" i="25" s="1"/>
  <c r="D10" i="25" a="1"/>
  <c r="D10" i="25" s="1"/>
  <c r="E2" i="25" a="1"/>
  <c r="E2" i="25" s="1"/>
  <c r="C13" i="25" a="1"/>
  <c r="C13" i="25" s="1"/>
  <c r="D5" i="25" a="1"/>
  <c r="D5" i="25" s="1"/>
  <c r="E14" i="25" a="1"/>
  <c r="E14" i="25" s="1"/>
  <c r="E3" i="25" a="1"/>
  <c r="E3" i="25" s="1"/>
  <c r="C10" i="25" a="1"/>
  <c r="C10" i="25" s="1"/>
  <c r="C24" i="25" a="1"/>
  <c r="C24" i="25" s="1"/>
  <c r="E19" i="25" a="1"/>
  <c r="E19" i="25" s="1"/>
  <c r="E25" i="25" a="1"/>
  <c r="E25" i="25" s="1"/>
  <c r="C22" i="25" a="1"/>
  <c r="C22" i="25" s="1"/>
  <c r="D18" i="25" a="1"/>
  <c r="D18" i="25" s="1"/>
  <c r="D7" i="25" a="1"/>
  <c r="D7" i="25" s="1"/>
  <c r="C3" i="25" a="1"/>
  <c r="C3" i="25" s="1"/>
  <c r="C17" i="25" a="1"/>
  <c r="C17" i="25" s="1"/>
  <c r="E5" i="25" a="1"/>
  <c r="E5" i="25" s="1"/>
  <c r="C5" i="25" a="1"/>
  <c r="C5" i="25" s="1"/>
  <c r="D25" i="25" a="1"/>
  <c r="D25" i="25" s="1"/>
  <c r="E21" i="25" a="1"/>
  <c r="E21" i="25" s="1"/>
  <c r="D14" i="25" a="1"/>
  <c r="D14" i="25" s="1"/>
  <c r="E10" i="25" a="1"/>
  <c r="E10" i="25" s="1"/>
  <c r="D17" i="25" a="1"/>
  <c r="D17" i="25" s="1"/>
  <c r="E16" i="25" a="1"/>
  <c r="E16" i="25" s="1"/>
  <c r="D16" i="25" a="1"/>
  <c r="D16" i="25" s="1"/>
  <c r="C18" i="25" a="1"/>
  <c r="C18" i="25" s="1"/>
  <c r="C7" i="25" a="1"/>
  <c r="C7" i="25" s="1"/>
  <c r="C21" i="25" a="1"/>
  <c r="C21" i="25" s="1"/>
  <c r="E9" i="25" a="1"/>
  <c r="E9" i="25" s="1"/>
  <c r="C9" i="25" a="1"/>
  <c r="C9" i="25" s="1"/>
  <c r="C25" i="25" a="1"/>
  <c r="C25" i="25" s="1"/>
  <c r="D21" i="25" a="1"/>
  <c r="D21" i="25" s="1"/>
  <c r="E17" i="25" a="1"/>
  <c r="E17" i="25" s="1"/>
  <c r="C14" i="25" a="1"/>
  <c r="C14" i="25" s="1"/>
  <c r="E6" i="25" a="1"/>
  <c r="E6" i="25" s="1"/>
  <c r="D24" i="25" a="1"/>
  <c r="D24" i="25" s="1"/>
  <c r="D9" i="25" a="1"/>
  <c r="D9" i="25" s="1"/>
  <c r="C16" i="25" a="1"/>
  <c r="C16" i="25" s="1"/>
  <c r="C2" i="25" a="1"/>
  <c r="C2" i="25" s="1"/>
  <c r="B15" i="25" a="1"/>
  <c r="B15" i="25" s="1"/>
  <c r="B9" i="25" a="1"/>
  <c r="B9" i="25" s="1"/>
  <c r="B26" i="25" a="1"/>
  <c r="B26" i="25" s="1"/>
  <c r="B4" i="25" a="1"/>
  <c r="B4" i="25" s="1"/>
  <c r="B14" i="25" a="1"/>
  <c r="B14" i="25" s="1"/>
  <c r="B3" i="25" a="1"/>
  <c r="B3" i="25" s="1"/>
  <c r="B25" i="25" a="1"/>
  <c r="B25" i="25" s="1"/>
  <c r="B18" i="25" a="1"/>
  <c r="B18" i="25" s="1"/>
  <c r="B13" i="25" a="1"/>
  <c r="B13" i="25" s="1"/>
  <c r="B10" i="25" a="1"/>
  <c r="B10" i="25" s="1"/>
  <c r="B16" i="25" a="1"/>
  <c r="B16" i="25" s="1"/>
  <c r="B24" i="25" a="1"/>
  <c r="B24" i="25" s="1"/>
  <c r="B20" i="25" a="1"/>
  <c r="B20" i="25" s="1"/>
  <c r="B5" i="25" a="1"/>
  <c r="B5" i="25" s="1"/>
  <c r="B12" i="25" a="1"/>
  <c r="B12" i="25" s="1"/>
  <c r="B7" i="25" a="1"/>
  <c r="B7" i="25" s="1"/>
  <c r="B23" i="25" a="1"/>
  <c r="B23" i="25" s="1"/>
  <c r="B8" i="25" a="1"/>
  <c r="B8" i="25" s="1"/>
  <c r="B11" i="25" a="1"/>
  <c r="B11" i="25" s="1"/>
  <c r="B19" i="25" a="1"/>
  <c r="B19" i="25" s="1"/>
  <c r="B22" i="25" a="1"/>
  <c r="B22" i="25" s="1"/>
  <c r="B17" i="25" a="1"/>
  <c r="B17" i="25" s="1"/>
  <c r="B21" i="25" a="1"/>
  <c r="B21" i="25" s="1"/>
  <c r="B6" i="25" a="1"/>
  <c r="B6" i="25" s="1"/>
  <c r="I26" i="25" a="1"/>
  <c r="I26" i="25" s="1"/>
  <c r="F24" i="25" a="1"/>
  <c r="F24" i="25" s="1"/>
  <c r="G21" i="25" a="1"/>
  <c r="G21" i="25" s="1"/>
  <c r="H18" i="25" a="1"/>
  <c r="H18" i="25" s="1"/>
  <c r="I15" i="25" a="1"/>
  <c r="I15" i="25" s="1"/>
  <c r="F13" i="25" a="1"/>
  <c r="F13" i="25" s="1"/>
  <c r="G10" i="25" a="1"/>
  <c r="G10" i="25" s="1"/>
  <c r="H7" i="25" a="1"/>
  <c r="H7" i="25" s="1"/>
  <c r="I4" i="25" a="1"/>
  <c r="I4" i="25" s="1"/>
  <c r="F8" i="25" a="1"/>
  <c r="F8" i="25" s="1"/>
  <c r="I23" i="25" a="1"/>
  <c r="I23" i="25" s="1"/>
  <c r="F21" i="25" a="1"/>
  <c r="F21" i="25" s="1"/>
  <c r="H15" i="25" a="1"/>
  <c r="H15" i="25" s="1"/>
  <c r="F10" i="25" a="1"/>
  <c r="F10" i="25" s="1"/>
  <c r="H4" i="25" a="1"/>
  <c r="H4" i="25" s="1"/>
  <c r="H14" i="25" a="1"/>
  <c r="H14" i="25" s="1"/>
  <c r="G22" i="25" a="1"/>
  <c r="G22" i="25" s="1"/>
  <c r="I13" i="25" a="1"/>
  <c r="I13" i="25" s="1"/>
  <c r="G5" i="25" a="1"/>
  <c r="G5" i="25" s="1"/>
  <c r="H26" i="25" a="1"/>
  <c r="H26" i="25" s="1"/>
  <c r="G18" i="25" a="1"/>
  <c r="G18" i="25" s="1"/>
  <c r="I12" i="25" a="1"/>
  <c r="I12" i="25" s="1"/>
  <c r="G7" i="25" a="1"/>
  <c r="G7" i="25" s="1"/>
  <c r="G4" i="25" a="1"/>
  <c r="G4" i="25" s="1"/>
  <c r="G14" i="25" a="1"/>
  <c r="G14" i="25" s="1"/>
  <c r="G11" i="25" a="1"/>
  <c r="G11" i="25" s="1"/>
  <c r="H5" i="25" a="1"/>
  <c r="H5" i="25" s="1"/>
  <c r="I18" i="25" a="1"/>
  <c r="I18" i="25" s="1"/>
  <c r="H23" i="25" a="1"/>
  <c r="H23" i="25" s="1"/>
  <c r="I20" i="25" a="1"/>
  <c r="I20" i="25" s="1"/>
  <c r="G15" i="25" a="1"/>
  <c r="G15" i="25" s="1"/>
  <c r="I9" i="25" a="1"/>
  <c r="I9" i="25" s="1"/>
  <c r="H6" i="25" a="1"/>
  <c r="H6" i="25" s="1"/>
  <c r="H11" i="25" a="1"/>
  <c r="H11" i="25" s="1"/>
  <c r="I5" i="25" a="1"/>
  <c r="I5" i="25" s="1"/>
  <c r="I21" i="25" a="1"/>
  <c r="I21" i="25" s="1"/>
  <c r="F5" i="25" a="1"/>
  <c r="F5" i="25" s="1"/>
  <c r="G26" i="25" a="1"/>
  <c r="G26" i="25" s="1"/>
  <c r="F18" i="25" a="1"/>
  <c r="F18" i="25" s="1"/>
  <c r="H12" i="25" a="1"/>
  <c r="H12" i="25" s="1"/>
  <c r="F7" i="25" a="1"/>
  <c r="F7" i="25" s="1"/>
  <c r="F4" i="25" a="1"/>
  <c r="F4" i="25" s="1"/>
  <c r="I8" i="25" a="1"/>
  <c r="I8" i="25" s="1"/>
  <c r="F3" i="25" a="1"/>
  <c r="F3" i="25" s="1"/>
  <c r="F19" i="25" a="1"/>
  <c r="F19" i="25" s="1"/>
  <c r="I7" i="25" a="1"/>
  <c r="I7" i="25" s="1"/>
  <c r="F26" i="25" a="1"/>
  <c r="F26" i="25" s="1"/>
  <c r="H20" i="25" a="1"/>
  <c r="H20" i="25" s="1"/>
  <c r="F15" i="25" a="1"/>
  <c r="F15" i="25" s="1"/>
  <c r="G12" i="25" a="1"/>
  <c r="G12" i="25" s="1"/>
  <c r="I6" i="25" a="1"/>
  <c r="I6" i="25" s="1"/>
  <c r="F17" i="25" a="1"/>
  <c r="F17" i="25" s="1"/>
  <c r="H8" i="25" a="1"/>
  <c r="H8" i="25" s="1"/>
  <c r="I2" i="25" a="1"/>
  <c r="I2" i="25" s="1"/>
  <c r="H21" i="25" a="1"/>
  <c r="H21" i="25" s="1"/>
  <c r="G23" i="25" a="1"/>
  <c r="G23" i="25" s="1"/>
  <c r="I17" i="25" a="1"/>
  <c r="I17" i="25" s="1"/>
  <c r="H9" i="25" a="1"/>
  <c r="H9" i="25" s="1"/>
  <c r="G6" i="25" a="1"/>
  <c r="G6" i="25" s="1"/>
  <c r="I16" i="25" a="1"/>
  <c r="I16" i="25" s="1"/>
  <c r="F11" i="25" a="1"/>
  <c r="F11" i="25" s="1"/>
  <c r="H2" i="25" a="1"/>
  <c r="H2" i="25" s="1"/>
  <c r="I25" i="25" a="1"/>
  <c r="I25" i="25" s="1"/>
  <c r="G20" i="25" a="1"/>
  <c r="G20" i="25" s="1"/>
  <c r="I14" i="25" a="1"/>
  <c r="I14" i="25" s="1"/>
  <c r="G9" i="25" a="1"/>
  <c r="G9" i="25" s="1"/>
  <c r="I3" i="25" a="1"/>
  <c r="I3" i="25" s="1"/>
  <c r="G3" i="25" a="1"/>
  <c r="G3" i="25" s="1"/>
  <c r="F22" i="25" a="1"/>
  <c r="F22" i="25" s="1"/>
  <c r="H24" i="25" a="1"/>
  <c r="H24" i="25" s="1"/>
  <c r="F16" i="25" a="1"/>
  <c r="F16" i="25" s="1"/>
  <c r="F23" i="25" a="1"/>
  <c r="F23" i="25" s="1"/>
  <c r="H17" i="25" a="1"/>
  <c r="H17" i="25" s="1"/>
  <c r="F12" i="25" a="1"/>
  <c r="F12" i="25" s="1"/>
  <c r="I11" i="25" a="1"/>
  <c r="I11" i="25" s="1"/>
  <c r="F25" i="25" a="1"/>
  <c r="F25" i="25" s="1"/>
  <c r="G19" i="25" a="1"/>
  <c r="G19" i="25" s="1"/>
  <c r="H13" i="25" a="1"/>
  <c r="H13" i="25" s="1"/>
  <c r="G13" i="25" a="1"/>
  <c r="G13" i="25" s="1"/>
  <c r="H25" i="25" a="1"/>
  <c r="H25" i="25" s="1"/>
  <c r="F20" i="25" a="1"/>
  <c r="F20" i="25" s="1"/>
  <c r="F9" i="25" a="1"/>
  <c r="F9" i="25" s="1"/>
  <c r="F14" i="25" a="1"/>
  <c r="F14" i="25" s="1"/>
  <c r="G8" i="25" a="1"/>
  <c r="G8" i="25" s="1"/>
  <c r="G24" i="25" a="1"/>
  <c r="G24" i="25" s="1"/>
  <c r="I22" i="25" a="1"/>
  <c r="I22" i="25" s="1"/>
  <c r="G17" i="25" a="1"/>
  <c r="G17" i="25" s="1"/>
  <c r="H3" i="25" a="1"/>
  <c r="H3" i="25" s="1"/>
  <c r="H19" i="25" a="1"/>
  <c r="H19" i="25" s="1"/>
  <c r="H16" i="25" a="1"/>
  <c r="H16" i="25" s="1"/>
  <c r="I10" i="25" a="1"/>
  <c r="I10" i="25" s="1"/>
  <c r="G2" i="25" a="1"/>
  <c r="G2" i="25" s="1"/>
  <c r="G25" i="25" a="1"/>
  <c r="G25" i="25" s="1"/>
  <c r="H22" i="25" a="1"/>
  <c r="H22" i="25" s="1"/>
  <c r="I19" i="25" a="1"/>
  <c r="I19" i="25" s="1"/>
  <c r="F6" i="25" a="1"/>
  <c r="F6" i="25" s="1"/>
  <c r="I24" i="25" a="1"/>
  <c r="I24" i="25" s="1"/>
  <c r="G16" i="25" a="1"/>
  <c r="G16" i="25" s="1"/>
  <c r="H10" i="25" a="1"/>
  <c r="H10" i="25" s="1"/>
  <c r="F2" i="25" a="1"/>
  <c r="F2" i="25" s="1"/>
  <c r="B2" i="25" a="1"/>
  <c r="B2" i="25" s="1"/>
  <c r="E26" i="24" a="1"/>
  <c r="E26" i="24" s="1"/>
  <c r="C23" i="24" a="1"/>
  <c r="C23" i="24" s="1"/>
  <c r="D19" i="24" a="1"/>
  <c r="D19" i="24" s="1"/>
  <c r="E15" i="24" a="1"/>
  <c r="E15" i="24" s="1"/>
  <c r="C12" i="24" a="1"/>
  <c r="C12" i="24" s="1"/>
  <c r="D8" i="24" a="1"/>
  <c r="D8" i="24" s="1"/>
  <c r="E4" i="24" a="1"/>
  <c r="E4" i="24" s="1"/>
  <c r="E22" i="24" a="1"/>
  <c r="E22" i="24" s="1"/>
  <c r="D15" i="24" a="1"/>
  <c r="D15" i="24" s="1"/>
  <c r="C8" i="24" a="1"/>
  <c r="C8" i="24" s="1"/>
  <c r="C10" i="24" a="1"/>
  <c r="C10" i="24" s="1"/>
  <c r="D20" i="24" a="1"/>
  <c r="D20" i="24" s="1"/>
  <c r="D23" i="24" a="1"/>
  <c r="D23" i="24" s="1"/>
  <c r="D26" i="24" a="1"/>
  <c r="D26" i="24" s="1"/>
  <c r="C19" i="24" a="1"/>
  <c r="C19" i="24" s="1"/>
  <c r="E11" i="24" a="1"/>
  <c r="E11" i="24" s="1"/>
  <c r="D4" i="24" a="1"/>
  <c r="D4" i="24" s="1"/>
  <c r="D13" i="24" a="1"/>
  <c r="D13" i="24" s="1"/>
  <c r="C20" i="24" a="1"/>
  <c r="C20" i="24" s="1"/>
  <c r="D22" i="24" a="1"/>
  <c r="D22" i="24" s="1"/>
  <c r="E18" i="24" a="1"/>
  <c r="E18" i="24" s="1"/>
  <c r="D11" i="24" a="1"/>
  <c r="D11" i="24" s="1"/>
  <c r="C4" i="24" a="1"/>
  <c r="C4" i="24" s="1"/>
  <c r="D2" i="24" a="1"/>
  <c r="D2" i="24" s="1"/>
  <c r="D16" i="24" a="1"/>
  <c r="D16" i="24" s="1"/>
  <c r="C26" i="24" a="1"/>
  <c r="C26" i="24" s="1"/>
  <c r="C15" i="24" a="1"/>
  <c r="C15" i="24" s="1"/>
  <c r="E7" i="24" a="1"/>
  <c r="E7" i="24" s="1"/>
  <c r="C17" i="24" a="1"/>
  <c r="C17" i="24" s="1"/>
  <c r="D5" i="24" a="1"/>
  <c r="D5" i="24" s="1"/>
  <c r="C22" i="24" a="1"/>
  <c r="C22" i="24" s="1"/>
  <c r="E14" i="24" a="1"/>
  <c r="E14" i="24" s="1"/>
  <c r="D7" i="24" a="1"/>
  <c r="D7" i="24" s="1"/>
  <c r="E13" i="24" a="1"/>
  <c r="E13" i="24" s="1"/>
  <c r="C24" i="24" a="1"/>
  <c r="C24" i="24" s="1"/>
  <c r="E12" i="24" a="1"/>
  <c r="E12" i="24" s="1"/>
  <c r="E25" i="24" a="1"/>
  <c r="E25" i="24" s="1"/>
  <c r="D18" i="24" a="1"/>
  <c r="D18" i="24" s="1"/>
  <c r="C11" i="24" a="1"/>
  <c r="C11" i="24" s="1"/>
  <c r="E3" i="24" a="1"/>
  <c r="E3" i="24" s="1"/>
  <c r="C6" i="24" a="1"/>
  <c r="C6" i="24" s="1"/>
  <c r="E23" i="24" a="1"/>
  <c r="E23" i="24" s="1"/>
  <c r="C5" i="24" a="1"/>
  <c r="C5" i="24" s="1"/>
  <c r="E21" i="24" a="1"/>
  <c r="E21" i="24" s="1"/>
  <c r="C18" i="24" a="1"/>
  <c r="C18" i="24" s="1"/>
  <c r="E10" i="24" a="1"/>
  <c r="E10" i="24" s="1"/>
  <c r="D3" i="24" a="1"/>
  <c r="D3" i="24" s="1"/>
  <c r="D24" i="24" a="1"/>
  <c r="D24" i="24" s="1"/>
  <c r="D9" i="24" a="1"/>
  <c r="D9" i="24" s="1"/>
  <c r="D12" i="24" a="1"/>
  <c r="D12" i="24" s="1"/>
  <c r="D25" i="24" a="1"/>
  <c r="D25" i="24" s="1"/>
  <c r="D14" i="24" a="1"/>
  <c r="D14" i="24" s="1"/>
  <c r="C7" i="24" a="1"/>
  <c r="C7" i="24" s="1"/>
  <c r="C3" i="24" a="1"/>
  <c r="C3" i="24" s="1"/>
  <c r="E9" i="24" a="1"/>
  <c r="E9" i="24" s="1"/>
  <c r="E5" i="24" a="1"/>
  <c r="E5" i="24" s="1"/>
  <c r="E8" i="24" a="1"/>
  <c r="E8" i="24" s="1"/>
  <c r="C25" i="24" a="1"/>
  <c r="C25" i="24" s="1"/>
  <c r="E17" i="24" a="1"/>
  <c r="E17" i="24" s="1"/>
  <c r="D10" i="24" a="1"/>
  <c r="D10" i="24" s="1"/>
  <c r="D6" i="24" a="1"/>
  <c r="D6" i="24" s="1"/>
  <c r="E16" i="24" a="1"/>
  <c r="E16" i="24" s="1"/>
  <c r="E19" i="24" a="1"/>
  <c r="E19" i="24" s="1"/>
  <c r="D21" i="24" a="1"/>
  <c r="D21" i="24" s="1"/>
  <c r="C14" i="24" a="1"/>
  <c r="C14" i="24" s="1"/>
  <c r="E6" i="24" a="1"/>
  <c r="E6" i="24" s="1"/>
  <c r="E2" i="24" a="1"/>
  <c r="E2" i="24" s="1"/>
  <c r="C13" i="24" a="1"/>
  <c r="C13" i="24" s="1"/>
  <c r="C16" i="24" a="1"/>
  <c r="C16" i="24" s="1"/>
  <c r="E24" i="24" a="1"/>
  <c r="E24" i="24" s="1"/>
  <c r="C21" i="24" a="1"/>
  <c r="C21" i="24" s="1"/>
  <c r="D17" i="24" a="1"/>
  <c r="D17" i="24" s="1"/>
  <c r="E20" i="24" a="1"/>
  <c r="E20" i="24" s="1"/>
  <c r="C9" i="24" a="1"/>
  <c r="C9" i="24" s="1"/>
  <c r="C2" i="24" a="1"/>
  <c r="C2" i="24" s="1"/>
  <c r="I26" i="24" a="1"/>
  <c r="I26" i="24" s="1"/>
  <c r="F24" i="24" a="1"/>
  <c r="F24" i="24" s="1"/>
  <c r="G21" i="24" a="1"/>
  <c r="G21" i="24" s="1"/>
  <c r="H18" i="24" a="1"/>
  <c r="H18" i="24" s="1"/>
  <c r="I15" i="24" a="1"/>
  <c r="I15" i="24" s="1"/>
  <c r="F13" i="24" a="1"/>
  <c r="F13" i="24" s="1"/>
  <c r="G10" i="24" a="1"/>
  <c r="G10" i="24" s="1"/>
  <c r="I23" i="24" a="1"/>
  <c r="I23" i="24" s="1"/>
  <c r="G18" i="24" a="1"/>
  <c r="G18" i="24" s="1"/>
  <c r="I12" i="24" a="1"/>
  <c r="I12" i="24" s="1"/>
  <c r="G7" i="24" a="1"/>
  <c r="G7" i="24" s="1"/>
  <c r="G3" i="24" a="1"/>
  <c r="G3" i="24" s="1"/>
  <c r="F22" i="24" a="1"/>
  <c r="F22" i="24" s="1"/>
  <c r="G16" i="24" a="1"/>
  <c r="G16" i="24" s="1"/>
  <c r="H10" i="24" a="1"/>
  <c r="H10" i="24" s="1"/>
  <c r="H26" i="24" a="1"/>
  <c r="H26" i="24" s="1"/>
  <c r="F21" i="24" a="1"/>
  <c r="F21" i="24" s="1"/>
  <c r="H15" i="24" a="1"/>
  <c r="H15" i="24" s="1"/>
  <c r="F10" i="24" a="1"/>
  <c r="F10" i="24" s="1"/>
  <c r="H4" i="24" a="1"/>
  <c r="H4" i="24" s="1"/>
  <c r="G22" i="24" a="1"/>
  <c r="G22" i="24" s="1"/>
  <c r="H16" i="24" a="1"/>
  <c r="H16" i="24" s="1"/>
  <c r="I10" i="24" a="1"/>
  <c r="I10" i="24" s="1"/>
  <c r="F5" i="24" a="1"/>
  <c r="F5" i="24" s="1"/>
  <c r="H23" i="24" a="1"/>
  <c r="H23" i="24" s="1"/>
  <c r="I20" i="24" a="1"/>
  <c r="I20" i="24" s="1"/>
  <c r="G15" i="24" a="1"/>
  <c r="G15" i="24" s="1"/>
  <c r="I9" i="24" a="1"/>
  <c r="I9" i="24" s="1"/>
  <c r="G4" i="24" a="1"/>
  <c r="G4" i="24" s="1"/>
  <c r="F25" i="24" a="1"/>
  <c r="F25" i="24" s="1"/>
  <c r="I13" i="24" a="1"/>
  <c r="I13" i="24" s="1"/>
  <c r="F8" i="24" a="1"/>
  <c r="F8" i="24" s="1"/>
  <c r="G2" i="24" a="1"/>
  <c r="G2" i="24" s="1"/>
  <c r="G26" i="24" a="1"/>
  <c r="G26" i="24" s="1"/>
  <c r="F18" i="24" a="1"/>
  <c r="F18" i="24" s="1"/>
  <c r="H12" i="24" a="1"/>
  <c r="H12" i="24" s="1"/>
  <c r="F7" i="24" a="1"/>
  <c r="F7" i="24" s="1"/>
  <c r="H11" i="24" a="1"/>
  <c r="H11" i="24" s="1"/>
  <c r="H8" i="24" a="1"/>
  <c r="H8" i="24" s="1"/>
  <c r="I2" i="24" a="1"/>
  <c r="I2" i="24" s="1"/>
  <c r="I18" i="24" a="1"/>
  <c r="I18" i="24" s="1"/>
  <c r="G23" i="24" a="1"/>
  <c r="G23" i="24" s="1"/>
  <c r="H20" i="24" a="1"/>
  <c r="H20" i="24" s="1"/>
  <c r="F15" i="24" a="1"/>
  <c r="F15" i="24" s="1"/>
  <c r="H9" i="24" a="1"/>
  <c r="H9" i="24" s="1"/>
  <c r="F4" i="24" a="1"/>
  <c r="F4" i="24" s="1"/>
  <c r="F14" i="24" a="1"/>
  <c r="F14" i="24" s="1"/>
  <c r="F11" i="24" a="1"/>
  <c r="F11" i="24" s="1"/>
  <c r="G5" i="24" a="1"/>
  <c r="G5" i="24" s="1"/>
  <c r="F2" i="24" a="1"/>
  <c r="F2" i="24" s="1"/>
  <c r="F26" i="24" a="1"/>
  <c r="F26" i="24" s="1"/>
  <c r="I17" i="24" a="1"/>
  <c r="I17" i="24" s="1"/>
  <c r="G12" i="24" a="1"/>
  <c r="G12" i="24" s="1"/>
  <c r="I6" i="24" a="1"/>
  <c r="I6" i="24" s="1"/>
  <c r="I3" i="24" a="1"/>
  <c r="I3" i="24" s="1"/>
  <c r="G11" i="24" a="1"/>
  <c r="G11" i="24" s="1"/>
  <c r="H24" i="24" a="1"/>
  <c r="H24" i="24" s="1"/>
  <c r="F16" i="24" a="1"/>
  <c r="F16" i="24" s="1"/>
  <c r="F23" i="24" a="1"/>
  <c r="F23" i="24" s="1"/>
  <c r="G20" i="24" a="1"/>
  <c r="G20" i="24" s="1"/>
  <c r="H17" i="24" a="1"/>
  <c r="H17" i="24" s="1"/>
  <c r="F12" i="24" a="1"/>
  <c r="F12" i="24" s="1"/>
  <c r="H6" i="24" a="1"/>
  <c r="H6" i="24" s="1"/>
  <c r="F6" i="24" a="1"/>
  <c r="F6" i="24" s="1"/>
  <c r="I24" i="24" a="1"/>
  <c r="I24" i="24" s="1"/>
  <c r="F19" i="24" a="1"/>
  <c r="F19" i="24" s="1"/>
  <c r="G13" i="24" a="1"/>
  <c r="G13" i="24" s="1"/>
  <c r="I25" i="24" a="1"/>
  <c r="I25" i="24" s="1"/>
  <c r="I14" i="24" a="1"/>
  <c r="I14" i="24" s="1"/>
  <c r="G9" i="24" a="1"/>
  <c r="G9" i="24" s="1"/>
  <c r="I8" i="24" a="1"/>
  <c r="I8" i="24" s="1"/>
  <c r="F3" i="24" a="1"/>
  <c r="F3" i="24" s="1"/>
  <c r="I21" i="24" a="1"/>
  <c r="I21" i="24" s="1"/>
  <c r="H21" i="24" a="1"/>
  <c r="H21" i="24" s="1"/>
  <c r="I22" i="24" a="1"/>
  <c r="I22" i="24" s="1"/>
  <c r="G17" i="24" a="1"/>
  <c r="G17" i="24" s="1"/>
  <c r="I11" i="24" a="1"/>
  <c r="I11" i="24" s="1"/>
  <c r="F9" i="24" a="1"/>
  <c r="F9" i="24" s="1"/>
  <c r="H3" i="24" a="1"/>
  <c r="H3" i="24" s="1"/>
  <c r="I16" i="24" a="1"/>
  <c r="I16" i="24" s="1"/>
  <c r="G8" i="24" a="1"/>
  <c r="G8" i="24" s="1"/>
  <c r="H2" i="24" a="1"/>
  <c r="H2" i="24" s="1"/>
  <c r="I4" i="24" a="1"/>
  <c r="I4" i="24" s="1"/>
  <c r="H25" i="24" a="1"/>
  <c r="H25" i="24" s="1"/>
  <c r="F20" i="24" a="1"/>
  <c r="F20" i="24" s="1"/>
  <c r="H14" i="24" a="1"/>
  <c r="H14" i="24" s="1"/>
  <c r="G6" i="24" a="1"/>
  <c r="G6" i="24" s="1"/>
  <c r="G14" i="24" a="1"/>
  <c r="G14" i="24" s="1"/>
  <c r="H19" i="24" a="1"/>
  <c r="H19" i="24" s="1"/>
  <c r="G19" i="24" a="1"/>
  <c r="G19" i="24" s="1"/>
  <c r="H13" i="24" a="1"/>
  <c r="H13" i="24" s="1"/>
  <c r="I7" i="24" a="1"/>
  <c r="I7" i="24" s="1"/>
  <c r="G25" i="24" a="1"/>
  <c r="G25" i="24" s="1"/>
  <c r="H22" i="24" a="1"/>
  <c r="H22" i="24" s="1"/>
  <c r="I19" i="24" a="1"/>
  <c r="I19" i="24" s="1"/>
  <c r="F17" i="24" a="1"/>
  <c r="F17" i="24" s="1"/>
  <c r="I5" i="24" a="1"/>
  <c r="I5" i="24" s="1"/>
  <c r="H5" i="24" a="1"/>
  <c r="H5" i="24" s="1"/>
  <c r="G24" i="24" a="1"/>
  <c r="G24" i="24" s="1"/>
  <c r="H7" i="24" a="1"/>
  <c r="H7" i="24" s="1"/>
  <c r="B26" i="24" a="1"/>
  <c r="B26" i="24" s="1"/>
  <c r="B15" i="24" a="1"/>
  <c r="B15" i="24" s="1"/>
  <c r="B4" i="24" a="1"/>
  <c r="B4" i="24" s="1"/>
  <c r="B14" i="24" a="1"/>
  <c r="B14" i="24" s="1"/>
  <c r="B6" i="24" a="1"/>
  <c r="B6" i="24" s="1"/>
  <c r="B25" i="24" a="1"/>
  <c r="B25" i="24" s="1"/>
  <c r="B3" i="24" a="1"/>
  <c r="B3" i="24" s="1"/>
  <c r="B13" i="24" a="1"/>
  <c r="B13" i="24" s="1"/>
  <c r="B7" i="24" a="1"/>
  <c r="B7" i="24" s="1"/>
  <c r="B24" i="24" a="1"/>
  <c r="B24" i="24" s="1"/>
  <c r="B9" i="24" a="1"/>
  <c r="B9" i="24" s="1"/>
  <c r="B5" i="24" a="1"/>
  <c r="B5" i="24" s="1"/>
  <c r="B12" i="24" a="1"/>
  <c r="B12" i="24" s="1"/>
  <c r="B8" i="24" a="1"/>
  <c r="B8" i="24" s="1"/>
  <c r="B23" i="24" a="1"/>
  <c r="B23" i="24" s="1"/>
  <c r="B18" i="24" a="1"/>
  <c r="B18" i="24" s="1"/>
  <c r="B11" i="24" a="1"/>
  <c r="B11" i="24" s="1"/>
  <c r="B19" i="24" a="1"/>
  <c r="B19" i="24" s="1"/>
  <c r="B16" i="24" a="1"/>
  <c r="B16" i="24" s="1"/>
  <c r="B22" i="24" a="1"/>
  <c r="B22" i="24" s="1"/>
  <c r="B10" i="24" a="1"/>
  <c r="B10" i="24" s="1"/>
  <c r="B17" i="24" a="1"/>
  <c r="B17" i="24" s="1"/>
  <c r="B21" i="24" a="1"/>
  <c r="B21" i="24" s="1"/>
  <c r="B20" i="24" a="1"/>
  <c r="B20" i="24" s="1"/>
  <c r="B2" i="24" a="1"/>
  <c r="B2" i="24" s="1"/>
  <c r="E26" i="23" a="1"/>
  <c r="E26" i="23" s="1"/>
  <c r="C23" i="23" a="1"/>
  <c r="C23" i="23" s="1"/>
  <c r="D19" i="23" a="1"/>
  <c r="D19" i="23" s="1"/>
  <c r="E15" i="23" a="1"/>
  <c r="E15" i="23" s="1"/>
  <c r="C12" i="23" a="1"/>
  <c r="C12" i="23" s="1"/>
  <c r="D8" i="23" a="1"/>
  <c r="D8" i="23" s="1"/>
  <c r="E4" i="23" a="1"/>
  <c r="E4" i="23" s="1"/>
  <c r="E22" i="23" a="1"/>
  <c r="E22" i="23" s="1"/>
  <c r="C19" i="23" a="1"/>
  <c r="C19" i="23" s="1"/>
  <c r="E11" i="23" a="1"/>
  <c r="E11" i="23" s="1"/>
  <c r="D4" i="23" a="1"/>
  <c r="D4" i="23" s="1"/>
  <c r="D13" i="23" a="1"/>
  <c r="D13" i="23" s="1"/>
  <c r="E23" i="23" a="1"/>
  <c r="E23" i="23" s="1"/>
  <c r="D12" i="23" a="1"/>
  <c r="D12" i="23" s="1"/>
  <c r="D26" i="23" a="1"/>
  <c r="D26" i="23" s="1"/>
  <c r="D15" i="23" a="1"/>
  <c r="D15" i="23" s="1"/>
  <c r="C8" i="23" a="1"/>
  <c r="C8" i="23" s="1"/>
  <c r="D17" i="23" a="1"/>
  <c r="D17" i="23" s="1"/>
  <c r="C6" i="23" a="1"/>
  <c r="C6" i="23" s="1"/>
  <c r="D16" i="23" a="1"/>
  <c r="D16" i="23" s="1"/>
  <c r="D22" i="23" a="1"/>
  <c r="D22" i="23" s="1"/>
  <c r="C15" i="23" a="1"/>
  <c r="C15" i="23" s="1"/>
  <c r="E7" i="23" a="1"/>
  <c r="E7" i="23" s="1"/>
  <c r="C10" i="23" a="1"/>
  <c r="C10" i="23" s="1"/>
  <c r="D20" i="23" a="1"/>
  <c r="D20" i="23" s="1"/>
  <c r="C9" i="23" a="1"/>
  <c r="C9" i="23" s="1"/>
  <c r="C26" i="23" a="1"/>
  <c r="C26" i="23" s="1"/>
  <c r="E18" i="23" a="1"/>
  <c r="E18" i="23" s="1"/>
  <c r="D11" i="23" a="1"/>
  <c r="D11" i="23" s="1"/>
  <c r="C4" i="23" a="1"/>
  <c r="C4" i="23" s="1"/>
  <c r="E24" i="23" a="1"/>
  <c r="E24" i="23" s="1"/>
  <c r="E2" i="23" a="1"/>
  <c r="E2" i="23" s="1"/>
  <c r="E16" i="23" a="1"/>
  <c r="E16" i="23" s="1"/>
  <c r="D23" i="23" a="1"/>
  <c r="D23" i="23" s="1"/>
  <c r="C22" i="23" a="1"/>
  <c r="C22" i="23" s="1"/>
  <c r="D18" i="23" a="1"/>
  <c r="D18" i="23" s="1"/>
  <c r="C11" i="23" a="1"/>
  <c r="C11" i="23" s="1"/>
  <c r="E3" i="23" a="1"/>
  <c r="E3" i="23" s="1"/>
  <c r="D24" i="23" a="1"/>
  <c r="D24" i="23" s="1"/>
  <c r="C13" i="23" a="1"/>
  <c r="C13" i="23" s="1"/>
  <c r="E8" i="23" a="1"/>
  <c r="E8" i="23" s="1"/>
  <c r="E25" i="23" a="1"/>
  <c r="E25" i="23" s="1"/>
  <c r="E14" i="23" a="1"/>
  <c r="E14" i="23" s="1"/>
  <c r="D7" i="23" a="1"/>
  <c r="D7" i="23" s="1"/>
  <c r="D6" i="23" a="1"/>
  <c r="D6" i="23" s="1"/>
  <c r="C24" i="23" a="1"/>
  <c r="C24" i="23" s="1"/>
  <c r="D5" i="23" a="1"/>
  <c r="D5" i="23" s="1"/>
  <c r="E21" i="23" a="1"/>
  <c r="E21" i="23" s="1"/>
  <c r="D14" i="23" a="1"/>
  <c r="D14" i="23" s="1"/>
  <c r="C7" i="23" a="1"/>
  <c r="C7" i="23" s="1"/>
  <c r="C21" i="23" a="1"/>
  <c r="C21" i="23" s="1"/>
  <c r="D2" i="23" a="1"/>
  <c r="D2" i="23" s="1"/>
  <c r="E12" i="23" a="1"/>
  <c r="E12" i="23" s="1"/>
  <c r="C5" i="23" a="1"/>
  <c r="C5" i="23" s="1"/>
  <c r="D25" i="23" a="1"/>
  <c r="D25" i="23" s="1"/>
  <c r="C18" i="23" a="1"/>
  <c r="C18" i="23" s="1"/>
  <c r="E10" i="23" a="1"/>
  <c r="E10" i="23" s="1"/>
  <c r="D3" i="23" a="1"/>
  <c r="D3" i="23" s="1"/>
  <c r="C17" i="23" a="1"/>
  <c r="C17" i="23" s="1"/>
  <c r="E5" i="23" a="1"/>
  <c r="E5" i="23" s="1"/>
  <c r="C16" i="23" a="1"/>
  <c r="C16" i="23" s="1"/>
  <c r="C25" i="23" a="1"/>
  <c r="C25" i="23" s="1"/>
  <c r="E17" i="23" a="1"/>
  <c r="E17" i="23" s="1"/>
  <c r="D10" i="23" a="1"/>
  <c r="D10" i="23" s="1"/>
  <c r="C3" i="23" a="1"/>
  <c r="C3" i="23" s="1"/>
  <c r="E20" i="23" a="1"/>
  <c r="E20" i="23" s="1"/>
  <c r="D9" i="23" a="1"/>
  <c r="D9" i="23" s="1"/>
  <c r="E19" i="23" a="1"/>
  <c r="E19" i="23" s="1"/>
  <c r="D21" i="23" a="1"/>
  <c r="D21" i="23" s="1"/>
  <c r="C14" i="23" a="1"/>
  <c r="C14" i="23" s="1"/>
  <c r="E6" i="23" a="1"/>
  <c r="E6" i="23" s="1"/>
  <c r="E13" i="23" a="1"/>
  <c r="E13" i="23" s="1"/>
  <c r="E9" i="23" a="1"/>
  <c r="E9" i="23" s="1"/>
  <c r="C20" i="23" a="1"/>
  <c r="C20" i="23" s="1"/>
  <c r="C2" i="23" a="1"/>
  <c r="C2" i="23" s="1"/>
  <c r="I26" i="23" a="1"/>
  <c r="I26" i="23" s="1"/>
  <c r="F24" i="23" a="1"/>
  <c r="F24" i="23" s="1"/>
  <c r="G21" i="23" a="1"/>
  <c r="G21" i="23" s="1"/>
  <c r="H18" i="23" a="1"/>
  <c r="H18" i="23" s="1"/>
  <c r="I15" i="23" a="1"/>
  <c r="I15" i="23" s="1"/>
  <c r="F13" i="23" a="1"/>
  <c r="F13" i="23" s="1"/>
  <c r="G10" i="23" a="1"/>
  <c r="G10" i="23" s="1"/>
  <c r="H7" i="23" a="1"/>
  <c r="H7" i="23" s="1"/>
  <c r="I23" i="23" a="1"/>
  <c r="I23" i="23" s="1"/>
  <c r="F21" i="23" a="1"/>
  <c r="F21" i="23" s="1"/>
  <c r="H15" i="23" a="1"/>
  <c r="H15" i="23" s="1"/>
  <c r="F10" i="23" a="1"/>
  <c r="F10" i="23" s="1"/>
  <c r="H4" i="23" a="1"/>
  <c r="H4" i="23" s="1"/>
  <c r="F14" i="23" a="1"/>
  <c r="F14" i="23" s="1"/>
  <c r="G8" i="23" a="1"/>
  <c r="G8" i="23" s="1"/>
  <c r="G24" i="23" a="1"/>
  <c r="G24" i="23" s="1"/>
  <c r="H26" i="23" a="1"/>
  <c r="H26" i="23" s="1"/>
  <c r="G18" i="23" a="1"/>
  <c r="G18" i="23" s="1"/>
  <c r="I12" i="23" a="1"/>
  <c r="I12" i="23" s="1"/>
  <c r="G7" i="23" a="1"/>
  <c r="G7" i="23" s="1"/>
  <c r="F6" i="23" a="1"/>
  <c r="F6" i="23" s="1"/>
  <c r="F3" i="23" a="1"/>
  <c r="F3" i="23" s="1"/>
  <c r="I21" i="23" a="1"/>
  <c r="I21" i="23" s="1"/>
  <c r="F16" i="23" a="1"/>
  <c r="F16" i="23" s="1"/>
  <c r="H23" i="23" a="1"/>
  <c r="H23" i="23" s="1"/>
  <c r="F18" i="23" a="1"/>
  <c r="F18" i="23" s="1"/>
  <c r="H12" i="23" a="1"/>
  <c r="H12" i="23" s="1"/>
  <c r="F7" i="23" a="1"/>
  <c r="F7" i="23" s="1"/>
  <c r="H11" i="23" a="1"/>
  <c r="H11" i="23" s="1"/>
  <c r="I5" i="23" a="1"/>
  <c r="I5" i="23" s="1"/>
  <c r="H24" i="23" a="1"/>
  <c r="H24" i="23" s="1"/>
  <c r="I18" i="23" a="1"/>
  <c r="I18" i="23" s="1"/>
  <c r="G26" i="23" a="1"/>
  <c r="G26" i="23" s="1"/>
  <c r="I20" i="23" a="1"/>
  <c r="I20" i="23" s="1"/>
  <c r="G15" i="23" a="1"/>
  <c r="G15" i="23" s="1"/>
  <c r="I9" i="23" a="1"/>
  <c r="I9" i="23" s="1"/>
  <c r="G4" i="23" a="1"/>
  <c r="G4" i="23" s="1"/>
  <c r="I16" i="23" a="1"/>
  <c r="I16" i="23" s="1"/>
  <c r="H5" i="23" a="1"/>
  <c r="H5" i="23" s="1"/>
  <c r="H2" i="23" a="1"/>
  <c r="H2" i="23" s="1"/>
  <c r="F2" i="23" a="1"/>
  <c r="F2" i="23" s="1"/>
  <c r="G23" i="23" a="1"/>
  <c r="G23" i="23" s="1"/>
  <c r="H20" i="23" a="1"/>
  <c r="H20" i="23" s="1"/>
  <c r="F15" i="23" a="1"/>
  <c r="F15" i="23" s="1"/>
  <c r="H9" i="23" a="1"/>
  <c r="H9" i="23" s="1"/>
  <c r="F4" i="23" a="1"/>
  <c r="F4" i="23" s="1"/>
  <c r="H8" i="23" a="1"/>
  <c r="H8" i="23" s="1"/>
  <c r="I2" i="23" a="1"/>
  <c r="I2" i="23" s="1"/>
  <c r="H21" i="23" a="1"/>
  <c r="H21" i="23" s="1"/>
  <c r="F26" i="23" a="1"/>
  <c r="F26" i="23" s="1"/>
  <c r="I17" i="23" a="1"/>
  <c r="I17" i="23" s="1"/>
  <c r="G12" i="23" a="1"/>
  <c r="G12" i="23" s="1"/>
  <c r="I6" i="23" a="1"/>
  <c r="I6" i="23" s="1"/>
  <c r="I8" i="23" a="1"/>
  <c r="I8" i="23" s="1"/>
  <c r="I24" i="23" a="1"/>
  <c r="I24" i="23" s="1"/>
  <c r="G16" i="23" a="1"/>
  <c r="G16" i="23" s="1"/>
  <c r="I7" i="23" a="1"/>
  <c r="I7" i="23" s="1"/>
  <c r="F23" i="23" a="1"/>
  <c r="F23" i="23" s="1"/>
  <c r="H17" i="23" a="1"/>
  <c r="H17" i="23" s="1"/>
  <c r="F12" i="23" a="1"/>
  <c r="F12" i="23" s="1"/>
  <c r="H6" i="23" a="1"/>
  <c r="H6" i="23" s="1"/>
  <c r="I3" i="23" a="1"/>
  <c r="I3" i="23" s="1"/>
  <c r="H19" i="23" a="1"/>
  <c r="H19" i="23" s="1"/>
  <c r="I13" i="23" a="1"/>
  <c r="I13" i="23" s="1"/>
  <c r="H13" i="23" a="1"/>
  <c r="H13" i="23" s="1"/>
  <c r="H10" i="23" a="1"/>
  <c r="H10" i="23" s="1"/>
  <c r="I25" i="23" a="1"/>
  <c r="I25" i="23" s="1"/>
  <c r="G20" i="23" a="1"/>
  <c r="G20" i="23" s="1"/>
  <c r="I14" i="23" a="1"/>
  <c r="I14" i="23" s="1"/>
  <c r="G9" i="23" a="1"/>
  <c r="G9" i="23" s="1"/>
  <c r="H3" i="23" a="1"/>
  <c r="H3" i="23" s="1"/>
  <c r="G22" i="23" a="1"/>
  <c r="G22" i="23" s="1"/>
  <c r="G19" i="23" a="1"/>
  <c r="G19" i="23" s="1"/>
  <c r="I10" i="23" a="1"/>
  <c r="I10" i="23" s="1"/>
  <c r="F5" i="23" a="1"/>
  <c r="F5" i="23" s="1"/>
  <c r="H25" i="23" a="1"/>
  <c r="H25" i="23" s="1"/>
  <c r="F20" i="23" a="1"/>
  <c r="F20" i="23" s="1"/>
  <c r="G17" i="23" a="1"/>
  <c r="G17" i="23" s="1"/>
  <c r="I11" i="23" a="1"/>
  <c r="I11" i="23" s="1"/>
  <c r="G6" i="23" a="1"/>
  <c r="G6" i="23" s="1"/>
  <c r="F25" i="23" a="1"/>
  <c r="F25" i="23" s="1"/>
  <c r="H16" i="23" a="1"/>
  <c r="H16" i="23" s="1"/>
  <c r="F8" i="23" a="1"/>
  <c r="F8" i="23" s="1"/>
  <c r="G2" i="23" a="1"/>
  <c r="G2" i="23" s="1"/>
  <c r="I22" i="23" a="1"/>
  <c r="I22" i="23" s="1"/>
  <c r="H14" i="23" a="1"/>
  <c r="H14" i="23" s="1"/>
  <c r="F9" i="23" a="1"/>
  <c r="F9" i="23" s="1"/>
  <c r="G14" i="23" a="1"/>
  <c r="G14" i="23" s="1"/>
  <c r="G11" i="23" a="1"/>
  <c r="G11" i="23" s="1"/>
  <c r="F11" i="23" a="1"/>
  <c r="F11" i="23" s="1"/>
  <c r="G5" i="23" a="1"/>
  <c r="G5" i="23" s="1"/>
  <c r="I4" i="23" a="1"/>
  <c r="I4" i="23" s="1"/>
  <c r="G25" i="23" a="1"/>
  <c r="G25" i="23" s="1"/>
  <c r="H22" i="23" a="1"/>
  <c r="H22" i="23" s="1"/>
  <c r="I19" i="23" a="1"/>
  <c r="I19" i="23" s="1"/>
  <c r="F17" i="23" a="1"/>
  <c r="F17" i="23" s="1"/>
  <c r="G3" i="23" a="1"/>
  <c r="G3" i="23" s="1"/>
  <c r="F22" i="23" a="1"/>
  <c r="F22" i="23" s="1"/>
  <c r="F19" i="23" a="1"/>
  <c r="F19" i="23" s="1"/>
  <c r="G13" i="23" a="1"/>
  <c r="G13" i="23" s="1"/>
  <c r="B26" i="23" a="1"/>
  <c r="B26" i="23" s="1"/>
  <c r="B4" i="23" a="1"/>
  <c r="B4" i="23" s="1"/>
  <c r="B14" i="23" a="1"/>
  <c r="B14" i="23" s="1"/>
  <c r="B3" i="23" a="1"/>
  <c r="B3" i="23" s="1"/>
  <c r="B25" i="23" a="1"/>
  <c r="B25" i="23" s="1"/>
  <c r="B16" i="23" a="1"/>
  <c r="B16" i="23" s="1"/>
  <c r="B13" i="23" a="1"/>
  <c r="B13" i="23" s="1"/>
  <c r="B9" i="23" a="1"/>
  <c r="B9" i="23" s="1"/>
  <c r="B24" i="23" a="1"/>
  <c r="B24" i="23" s="1"/>
  <c r="B19" i="23" a="1"/>
  <c r="B19" i="23" s="1"/>
  <c r="B12" i="23" a="1"/>
  <c r="B12" i="23" s="1"/>
  <c r="B7" i="23" a="1"/>
  <c r="B7" i="23" s="1"/>
  <c r="B23" i="23" a="1"/>
  <c r="B23" i="23" s="1"/>
  <c r="B17" i="23" a="1"/>
  <c r="B17" i="23" s="1"/>
  <c r="B22" i="23" a="1"/>
  <c r="B22" i="23" s="1"/>
  <c r="B8" i="23" a="1"/>
  <c r="B8" i="23" s="1"/>
  <c r="B11" i="23" a="1"/>
  <c r="B11" i="23" s="1"/>
  <c r="B18" i="23" a="1"/>
  <c r="B18" i="23" s="1"/>
  <c r="B10" i="23" a="1"/>
  <c r="B10" i="23" s="1"/>
  <c r="B15" i="23" a="1"/>
  <c r="B15" i="23" s="1"/>
  <c r="B21" i="23" a="1"/>
  <c r="B21" i="23" s="1"/>
  <c r="B5" i="23" a="1"/>
  <c r="B5" i="23" s="1"/>
  <c r="B20" i="23" a="1"/>
  <c r="B20" i="23" s="1"/>
  <c r="B6" i="23" a="1"/>
  <c r="B6" i="23" s="1"/>
  <c r="B2" i="23" a="1"/>
  <c r="B2" i="23" s="1"/>
  <c r="F4" i="6" l="1"/>
  <c r="G4" i="6"/>
  <c r="H4" i="6"/>
  <c r="F6" i="6"/>
  <c r="G6" i="6"/>
  <c r="H6" i="6"/>
  <c r="H24" i="6"/>
  <c r="F25" i="6"/>
  <c r="G25" i="6"/>
  <c r="H25" i="6"/>
  <c r="F26" i="6"/>
  <c r="G26" i="6"/>
  <c r="H26" i="6"/>
  <c r="F27" i="6"/>
  <c r="G27" i="6"/>
  <c r="H27" i="6"/>
  <c r="H3" i="6"/>
  <c r="G3" i="6"/>
  <c r="F3" i="6"/>
  <c r="C15" i="6"/>
  <c r="G15" i="6" s="1"/>
  <c r="D15" i="6"/>
  <c r="E15" i="6"/>
  <c r="B15" i="6"/>
  <c r="F15" i="6" s="1"/>
  <c r="C22" i="6"/>
  <c r="G22" i="6" s="1"/>
  <c r="D22" i="6"/>
  <c r="E22" i="6"/>
  <c r="C23" i="6"/>
  <c r="G23" i="6" s="1"/>
  <c r="D23" i="6"/>
  <c r="E23" i="6"/>
  <c r="B23" i="6"/>
  <c r="F23" i="6" s="1"/>
  <c r="B22" i="6"/>
  <c r="C24" i="6"/>
  <c r="G24" i="6" s="1"/>
  <c r="D24" i="6"/>
  <c r="E24" i="6"/>
  <c r="C19" i="6"/>
  <c r="G19" i="6" s="1"/>
  <c r="D19" i="6"/>
  <c r="H19" i="6" s="1"/>
  <c r="E19" i="6"/>
  <c r="C20" i="6"/>
  <c r="G20" i="6" s="1"/>
  <c r="D20" i="6"/>
  <c r="E20" i="6"/>
  <c r="C21" i="6"/>
  <c r="G21" i="6" s="1"/>
  <c r="D21" i="6"/>
  <c r="E21" i="6"/>
  <c r="B24" i="6"/>
  <c r="B21" i="6"/>
  <c r="B20" i="6"/>
  <c r="F20" i="6" s="1"/>
  <c r="B19" i="6"/>
  <c r="F19" i="6" s="1"/>
  <c r="B18" i="6"/>
  <c r="C18" i="6"/>
  <c r="G18" i="6" s="1"/>
  <c r="D18" i="6"/>
  <c r="H18" i="6" s="1"/>
  <c r="E18" i="6"/>
  <c r="C17" i="6"/>
  <c r="G17" i="6" s="1"/>
  <c r="D17" i="6"/>
  <c r="E17" i="6"/>
  <c r="B17" i="6"/>
  <c r="F17" i="6" s="1"/>
  <c r="C16" i="6"/>
  <c r="G16" i="6" s="1"/>
  <c r="D16" i="6"/>
  <c r="H16" i="6" s="1"/>
  <c r="E16" i="6"/>
  <c r="B16" i="6"/>
  <c r="B14" i="6"/>
  <c r="C8" i="6"/>
  <c r="G8" i="6" s="1"/>
  <c r="D8" i="6"/>
  <c r="E8" i="6"/>
  <c r="H8" i="6" s="1"/>
  <c r="C9" i="6"/>
  <c r="G9" i="6" s="1"/>
  <c r="D9" i="6"/>
  <c r="E9" i="6"/>
  <c r="C10" i="6"/>
  <c r="G10" i="6" s="1"/>
  <c r="D10" i="6"/>
  <c r="E10" i="6"/>
  <c r="C11" i="6"/>
  <c r="G11" i="6" s="1"/>
  <c r="D11" i="6"/>
  <c r="E11" i="6"/>
  <c r="C12" i="6"/>
  <c r="G12" i="6" s="1"/>
  <c r="D12" i="6"/>
  <c r="E12" i="6"/>
  <c r="C13" i="6"/>
  <c r="G13" i="6" s="1"/>
  <c r="D13" i="6"/>
  <c r="E13" i="6"/>
  <c r="C14" i="6"/>
  <c r="F14" i="6" s="1"/>
  <c r="D14" i="6"/>
  <c r="E14" i="6"/>
  <c r="B12" i="6"/>
  <c r="F12" i="6" s="1"/>
  <c r="B13" i="6"/>
  <c r="B11" i="6"/>
  <c r="B10" i="6"/>
  <c r="B9" i="6"/>
  <c r="B8" i="6"/>
  <c r="F8" i="6" s="1"/>
  <c r="C7" i="6"/>
  <c r="G7" i="6" s="1"/>
  <c r="D7" i="6"/>
  <c r="E7" i="6"/>
  <c r="B7" i="6"/>
  <c r="C5" i="6"/>
  <c r="G5" i="6" s="1"/>
  <c r="D5" i="6"/>
  <c r="E5" i="6"/>
  <c r="B5" i="6"/>
  <c r="F5" i="6" s="1"/>
  <c r="H20" i="6" l="1"/>
  <c r="F22" i="6"/>
  <c r="F24" i="6"/>
  <c r="F13" i="6"/>
  <c r="F16" i="6"/>
  <c r="F7" i="6"/>
  <c r="H7" i="6"/>
  <c r="H9" i="6"/>
  <c r="H22" i="6"/>
  <c r="H14" i="6"/>
  <c r="H11" i="6"/>
  <c r="F18" i="6"/>
  <c r="H5" i="6"/>
  <c r="H13" i="6"/>
  <c r="H17" i="6"/>
  <c r="F21" i="6"/>
  <c r="H15" i="6"/>
  <c r="F10" i="6"/>
  <c r="F11" i="6"/>
  <c r="H10" i="6"/>
  <c r="H23" i="6"/>
  <c r="H12" i="6"/>
  <c r="H21" i="6"/>
  <c r="G14" i="6"/>
  <c r="F9" i="6"/>
  <c r="C10" i="33" l="1"/>
  <c r="D10" i="33"/>
  <c r="H10" i="33"/>
  <c r="F10" i="33"/>
  <c r="E10" i="33"/>
  <c r="G10" i="33"/>
  <c r="I10" i="33"/>
  <c r="B10" i="33"/>
  <c r="D9" i="33"/>
  <c r="D8" i="33" s="1"/>
  <c r="I9" i="33"/>
  <c r="I8" i="33" s="1"/>
  <c r="C9" i="33"/>
  <c r="C8" i="33" s="1"/>
  <c r="F9" i="33"/>
  <c r="F8" i="33" s="1"/>
  <c r="B9" i="33"/>
  <c r="B8" i="33" s="1"/>
  <c r="H9" i="33"/>
  <c r="H8" i="33" s="1"/>
  <c r="E9" i="33"/>
  <c r="E8" i="33" s="1"/>
  <c r="G9" i="33"/>
  <c r="G8" i="33" s="1"/>
  <c r="C6" i="33"/>
  <c r="F6" i="33"/>
  <c r="D6" i="33"/>
  <c r="I6" i="33"/>
  <c r="B6" i="33"/>
  <c r="G6" i="33"/>
  <c r="E6" i="33"/>
  <c r="H6" i="33"/>
  <c r="D5" i="33"/>
  <c r="C5" i="33"/>
  <c r="F5" i="33"/>
  <c r="G5" i="33"/>
  <c r="E5" i="33"/>
  <c r="H5" i="33"/>
  <c r="B5" i="33"/>
  <c r="I5" i="33"/>
  <c r="H4" i="33"/>
  <c r="D4" i="33"/>
  <c r="C4" i="33"/>
  <c r="B4" i="33"/>
  <c r="G4" i="33"/>
  <c r="I4" i="33"/>
  <c r="E4" i="33"/>
  <c r="F4" i="33"/>
  <c r="D3" i="33"/>
  <c r="C3" i="33"/>
  <c r="B3" i="33"/>
  <c r="H3" i="33"/>
  <c r="G3" i="33"/>
  <c r="I3" i="33"/>
  <c r="E3" i="33"/>
  <c r="F3" i="33"/>
  <c r="C2" i="33"/>
  <c r="D2" i="33"/>
  <c r="B2" i="33"/>
  <c r="H2" i="33"/>
  <c r="E2" i="33"/>
  <c r="F2" i="33"/>
  <c r="I2" i="33"/>
  <c r="G2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D1302" authorId="0" shapeId="0" xr:uid="{884671EB-D3A2-42C9-B4A2-261EB94F39DE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  <comment ref="D1346" authorId="0" shapeId="0" xr:uid="{41F16150-8EF1-4865-A064-9054717712B6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Estimated by multiplying unaccounted for direct use net electricity by 2019 MECS shares of machine drive and electrochemical processes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tc={C7C95271-66A2-484C-9350-F44A93A4DA52}</author>
  </authors>
  <commentList>
    <comment ref="D9" authorId="0" shapeId="0" xr:uid="{C7C95271-66A2-484C-9350-F44A93A4DA5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1% to 0% so figures add up to 100% (eliminating rounding error)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<sst xmlns="http://schemas.openxmlformats.org/spreadsheetml/2006/main" count="12287" uniqueCount="647">
  <si>
    <t>Source:</t>
  </si>
  <si>
    <t>EIA</t>
  </si>
  <si>
    <t>Annual Energy Outlook 2023</t>
  </si>
  <si>
    <t>Food</t>
  </si>
  <si>
    <t>Glass</t>
  </si>
  <si>
    <t>Cement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</si>
  <si>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</si>
  <si>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</si>
  <si>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</si>
  <si>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</si>
  <si>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</si>
  <si>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</si>
  <si>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</si>
  <si>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</si>
  <si>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</si>
  <si>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</si>
  <si>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</si>
  <si>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</si>
  <si>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</si>
  <si>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</si>
  <si>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</si>
  <si>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</si>
  <si>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</si>
  <si>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</si>
  <si>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</si>
  <si>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</si>
  <si>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</si>
  <si>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</si>
  <si>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</si>
  <si>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</si>
  <si>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</si>
  <si>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 xml:space="preserve"> </t>
  </si>
  <si>
    <t>Distillate</t>
  </si>
  <si>
    <t>Coal</t>
  </si>
  <si>
    <t>NAICS</t>
  </si>
  <si>
    <t>Net</t>
  </si>
  <si>
    <t>Residual</t>
  </si>
  <si>
    <t>and</t>
  </si>
  <si>
    <t xml:space="preserve">Natural </t>
  </si>
  <si>
    <t>HGL (excluding</t>
  </si>
  <si>
    <t>Total</t>
  </si>
  <si>
    <t/>
  </si>
  <si>
    <t>Total United States</t>
  </si>
  <si>
    <t xml:space="preserve">  311 - 339</t>
  </si>
  <si>
    <t>--</t>
  </si>
  <si>
    <t xml:space="preserve">  Conventional Boiler Use</t>
  </si>
  <si>
    <t xml:space="preserve">  CHP and/or Cogeneration Process</t>
  </si>
  <si>
    <t>D</t>
  </si>
  <si>
    <t xml:space="preserve">  Process Heating</t>
  </si>
  <si>
    <t xml:space="preserve">  Process Cooling and Refrigeration</t>
  </si>
  <si>
    <t>*</t>
  </si>
  <si>
    <t xml:space="preserve">  Machine Drive</t>
  </si>
  <si>
    <t xml:space="preserve">  Electro-Chemical Processes</t>
  </si>
  <si>
    <t xml:space="preserve">  Other Process Use</t>
  </si>
  <si>
    <t xml:space="preserve">  Facility Lighting</t>
  </si>
  <si>
    <t xml:space="preserve">  Other Facility Support</t>
  </si>
  <si>
    <t xml:space="preserve">  Onsite Transportation</t>
  </si>
  <si>
    <t xml:space="preserve">  Conventional Electricity Generation</t>
  </si>
  <si>
    <t xml:space="preserve">  Other Nonprocess Use</t>
  </si>
  <si>
    <t xml:space="preserve">  311</t>
  </si>
  <si>
    <t>Q</t>
  </si>
  <si>
    <t xml:space="preserve">    3112</t>
  </si>
  <si>
    <t xml:space="preserve">      311221</t>
  </si>
  <si>
    <t xml:space="preserve">     31131</t>
  </si>
  <si>
    <t xml:space="preserve">    3114</t>
  </si>
  <si>
    <t xml:space="preserve">    3115</t>
  </si>
  <si>
    <t xml:space="preserve">    3116</t>
  </si>
  <si>
    <t xml:space="preserve">  312</t>
  </si>
  <si>
    <t xml:space="preserve">    3121</t>
  </si>
  <si>
    <t xml:space="preserve">  Beverages</t>
  </si>
  <si>
    <t xml:space="preserve">    3122</t>
  </si>
  <si>
    <t xml:space="preserve">  Tobacco</t>
  </si>
  <si>
    <t xml:space="preserve">  313</t>
  </si>
  <si>
    <t xml:space="preserve">  314</t>
  </si>
  <si>
    <t xml:space="preserve">  315</t>
  </si>
  <si>
    <t xml:space="preserve">  316</t>
  </si>
  <si>
    <t xml:space="preserve">  321</t>
  </si>
  <si>
    <t xml:space="preserve">      321113</t>
  </si>
  <si>
    <t xml:space="preserve">  Sawmills</t>
  </si>
  <si>
    <t xml:space="preserve">    3212</t>
  </si>
  <si>
    <t xml:space="preserve">      321219</t>
  </si>
  <si>
    <t xml:space="preserve">    3219</t>
  </si>
  <si>
    <t xml:space="preserve">  322</t>
  </si>
  <si>
    <t xml:space="preserve">      322110</t>
  </si>
  <si>
    <t xml:space="preserve">      322130</t>
  </si>
  <si>
    <t xml:space="preserve">  323</t>
  </si>
  <si>
    <t xml:space="preserve">  324</t>
  </si>
  <si>
    <t xml:space="preserve">      324110</t>
  </si>
  <si>
    <t xml:space="preserve">      324121</t>
  </si>
  <si>
    <t xml:space="preserve">      324122</t>
  </si>
  <si>
    <t xml:space="preserve">      324191</t>
  </si>
  <si>
    <t xml:space="preserve">      324199</t>
  </si>
  <si>
    <t xml:space="preserve">  325</t>
  </si>
  <si>
    <t xml:space="preserve">      325110</t>
  </si>
  <si>
    <t xml:space="preserve">  Petrochemicals</t>
  </si>
  <si>
    <t xml:space="preserve">      325120</t>
  </si>
  <si>
    <t xml:space="preserve">      325180</t>
  </si>
  <si>
    <t xml:space="preserve">      325193</t>
  </si>
  <si>
    <t xml:space="preserve">      325194</t>
  </si>
  <si>
    <t xml:space="preserve">      325199</t>
  </si>
  <si>
    <t xml:space="preserve">      325211</t>
  </si>
  <si>
    <t xml:space="preserve">      325212</t>
  </si>
  <si>
    <t xml:space="preserve">      325220</t>
  </si>
  <si>
    <t xml:space="preserve">      325311</t>
  </si>
  <si>
    <t xml:space="preserve">      325312</t>
  </si>
  <si>
    <t xml:space="preserve">    3254</t>
  </si>
  <si>
    <t xml:space="preserve">      325412</t>
  </si>
  <si>
    <t xml:space="preserve">      325992</t>
  </si>
  <si>
    <t xml:space="preserve">  326</t>
  </si>
  <si>
    <t xml:space="preserve">  327</t>
  </si>
  <si>
    <t xml:space="preserve">      327120</t>
  </si>
  <si>
    <t xml:space="preserve">    327211</t>
  </si>
  <si>
    <t xml:space="preserve">      327212</t>
  </si>
  <si>
    <t xml:space="preserve">      327213</t>
  </si>
  <si>
    <t xml:space="preserve">      327215</t>
  </si>
  <si>
    <t xml:space="preserve">      327310</t>
  </si>
  <si>
    <t xml:space="preserve">  Cements</t>
  </si>
  <si>
    <t xml:space="preserve">      327410</t>
  </si>
  <si>
    <t xml:space="preserve">  Lime</t>
  </si>
  <si>
    <t xml:space="preserve">      327420</t>
  </si>
  <si>
    <t xml:space="preserve">  Gypsum</t>
  </si>
  <si>
    <t xml:space="preserve">      327993</t>
  </si>
  <si>
    <t xml:space="preserve">  331</t>
  </si>
  <si>
    <t xml:space="preserve">      331110</t>
  </si>
  <si>
    <t xml:space="preserve">    3312</t>
  </si>
  <si>
    <t xml:space="preserve">    3313</t>
  </si>
  <si>
    <t xml:space="preserve">      331314</t>
  </si>
  <si>
    <t xml:space="preserve">      331315</t>
  </si>
  <si>
    <t xml:space="preserve">      331318</t>
  </si>
  <si>
    <t xml:space="preserve">    3314</t>
  </si>
  <si>
    <t xml:space="preserve">      331410</t>
  </si>
  <si>
    <t xml:space="preserve">    3315</t>
  </si>
  <si>
    <t xml:space="preserve">  Foundries</t>
  </si>
  <si>
    <t xml:space="preserve">      331511</t>
  </si>
  <si>
    <t xml:space="preserve">      331523</t>
  </si>
  <si>
    <t xml:space="preserve">      331524</t>
  </si>
  <si>
    <t xml:space="preserve">  332</t>
  </si>
  <si>
    <t xml:space="preserve">  333</t>
  </si>
  <si>
    <t xml:space="preserve">  334</t>
  </si>
  <si>
    <t xml:space="preserve">      334413</t>
  </si>
  <si>
    <t xml:space="preserve">  335</t>
  </si>
  <si>
    <t xml:space="preserve">  336</t>
  </si>
  <si>
    <t xml:space="preserve">    3364</t>
  </si>
  <si>
    <t xml:space="preserve">      336411</t>
  </si>
  <si>
    <t xml:space="preserve">  Aircraft</t>
  </si>
  <si>
    <t xml:space="preserve">  337</t>
  </si>
  <si>
    <t xml:space="preserve">  339</t>
  </si>
  <si>
    <t>Table 5.2</t>
  </si>
  <si>
    <t>https://www.eia.gov/consumption/manufacturing/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</si>
  <si>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</si>
  <si>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</si>
  <si>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</si>
  <si>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</si>
  <si>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</si>
  <si>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</si>
  <si>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</si>
  <si>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&lt;100°C</t>
  </si>
  <si>
    <t>100-400°C</t>
  </si>
  <si>
    <t>400-1000°C</t>
  </si>
  <si>
    <t>&gt;1000°C</t>
  </si>
  <si>
    <t>Notes</t>
  </si>
  <si>
    <t>*assumes 100% low-temp demand</t>
  </si>
  <si>
    <t>*uses chemicals data</t>
  </si>
  <si>
    <t>*uses machinery and equipment data</t>
  </si>
  <si>
    <t>Useful Energy Demand by Temperature by Industry in the European Union in 2015</t>
  </si>
  <si>
    <t>Combustion heating</t>
  </si>
  <si>
    <t>Electric other</t>
  </si>
  <si>
    <t>Electric thermal</t>
  </si>
  <si>
    <t>Secondary Aluminum</t>
  </si>
  <si>
    <t>Other Non-Ferrous Metals</t>
  </si>
  <si>
    <t>Textiles</t>
  </si>
  <si>
    <t>Primary Aluminum</t>
  </si>
  <si>
    <t>Wood and Wood Products</t>
  </si>
  <si>
    <t>Secondary Steel</t>
  </si>
  <si>
    <t>Transport Equipment</t>
  </si>
  <si>
    <t>Ceramic</t>
  </si>
  <si>
    <t>Machinery and Equipment</t>
  </si>
  <si>
    <t>Pulp and Paper</t>
  </si>
  <si>
    <t>Primary Steel</t>
  </si>
  <si>
    <t>Chemicals</t>
  </si>
  <si>
    <t>table on industrial energy use specially requested from EIA, not available for download from EIA's website</t>
  </si>
  <si>
    <t>Manufacturing Industries</t>
  </si>
  <si>
    <t xml:space="preserve">          Total</t>
  </si>
  <si>
    <t xml:space="preserve">  Other Petroleum</t>
  </si>
  <si>
    <t xml:space="preserve">  Petroleum Coke</t>
  </si>
  <si>
    <t xml:space="preserve">  Still Gas</t>
  </si>
  <si>
    <t xml:space="preserve">  Liquid Petroleum Gases</t>
  </si>
  <si>
    <t xml:space="preserve">  Distillate</t>
  </si>
  <si>
    <t xml:space="preserve">  Residual Fuel, Low Sulfur</t>
  </si>
  <si>
    <t xml:space="preserve">  Coal</t>
  </si>
  <si>
    <t xml:space="preserve">  Natural Gas</t>
  </si>
  <si>
    <t xml:space="preserve">  Purch Elec</t>
  </si>
  <si>
    <t>TOTAL ENERGY CONSUMPTION</t>
  </si>
  <si>
    <t xml:space="preserve"> Census Region: US Total</t>
  </si>
  <si>
    <t>Energy Profile for Refining</t>
  </si>
  <si>
    <t>Other(tBtu)</t>
  </si>
  <si>
    <t>Oil(tBtu)</t>
  </si>
  <si>
    <t>Coal(tBtu)</t>
  </si>
  <si>
    <t>Natural Gas(tBtu)</t>
  </si>
  <si>
    <t xml:space="preserve">    Fuel Consumption (Trillion Btu)</t>
  </si>
  <si>
    <t xml:space="preserve">    Grid Sales</t>
  </si>
  <si>
    <t xml:space="preserve">    Own Use</t>
  </si>
  <si>
    <t xml:space="preserve"> Other(gWh)</t>
  </si>
  <si>
    <t xml:space="preserve"> Oil(gWh)</t>
  </si>
  <si>
    <t xml:space="preserve"> Coal(gWh)</t>
  </si>
  <si>
    <t xml:space="preserve"> Natural Gas(gWh)</t>
  </si>
  <si>
    <t xml:space="preserve">  Generation (GWH)</t>
  </si>
  <si>
    <t xml:space="preserve">  Other(MW)</t>
  </si>
  <si>
    <t xml:space="preserve">  Oil(MW)</t>
  </si>
  <si>
    <t xml:space="preserve">  Coal(MW)</t>
  </si>
  <si>
    <t xml:space="preserve">  Natural Gas(MW)</t>
  </si>
  <si>
    <t xml:space="preserve">  Generating Capacity (MW)</t>
  </si>
  <si>
    <t>ELECTRICITY CAPACITY, GENERATION, AND FUEL USE</t>
  </si>
  <si>
    <t xml:space="preserve">      Non-CHP Biomass Steam Generation</t>
  </si>
  <si>
    <t xml:space="preserve">      Non-CHP Fossil Steam Generation</t>
  </si>
  <si>
    <t xml:space="preserve">  Total Non-CHP Steam Generation</t>
  </si>
  <si>
    <t xml:space="preserve">  CHP Steam Generation</t>
  </si>
  <si>
    <t>Total Steam Generation (Tr. BTU)</t>
  </si>
  <si>
    <t xml:space="preserve">  Biomass</t>
  </si>
  <si>
    <t xml:space="preserve">  Other Renewables</t>
  </si>
  <si>
    <t xml:space="preserve">  Other</t>
  </si>
  <si>
    <t xml:space="preserve">  Electricity</t>
  </si>
  <si>
    <t xml:space="preserve">  Residual Fuel</t>
  </si>
  <si>
    <t>Boilers Over 10MMBTU/HR</t>
  </si>
  <si>
    <t>Boilers 10MMBTU/HR and Under</t>
  </si>
  <si>
    <t xml:space="preserve">  Biomass-Wood</t>
  </si>
  <si>
    <t xml:space="preserve">  LPGs for Heat And Power</t>
  </si>
  <si>
    <t xml:space="preserve">  Distillate Oil</t>
  </si>
  <si>
    <t xml:space="preserve">  Residual Oil</t>
  </si>
  <si>
    <t xml:space="preserve">  Steam Coal</t>
  </si>
  <si>
    <t xml:space="preserve">  Natural Gas Inter.</t>
  </si>
  <si>
    <t>Energy Consumption for Boiler/Steam/Cogeneration (Trillion BTU)</t>
  </si>
  <si>
    <t>BOILER/STEAM/COGENERATION COMPONENT</t>
  </si>
  <si>
    <t xml:space="preserve">    Steam</t>
  </si>
  <si>
    <t xml:space="preserve">    LPGs for Heat And Power</t>
  </si>
  <si>
    <t xml:space="preserve">    Distillate Oil</t>
  </si>
  <si>
    <t xml:space="preserve">    Residual Oil</t>
  </si>
  <si>
    <t xml:space="preserve">    Steam Coal</t>
  </si>
  <si>
    <t xml:space="preserve">    Natural Gas Firm</t>
  </si>
  <si>
    <t xml:space="preserve">    Electricity</t>
  </si>
  <si>
    <t xml:space="preserve">  Total Process/Assembly</t>
  </si>
  <si>
    <t xml:space="preserve">  OTHER</t>
  </si>
  <si>
    <t xml:space="preserve">  ELECTRO</t>
  </si>
  <si>
    <t xml:space="preserve">  MACHDRV</t>
  </si>
  <si>
    <t xml:space="preserve">  REFRIG</t>
  </si>
  <si>
    <t xml:space="preserve">  HEAT</t>
  </si>
  <si>
    <t>Energy Consumption for Process and Assembly (Trillion BTU)</t>
  </si>
  <si>
    <t>Product Throughput (Billion 2005$)</t>
  </si>
  <si>
    <t>PROCESS AND ASSEMBLY COMPONENT</t>
  </si>
  <si>
    <t xml:space="preserve">          Total less Steam</t>
  </si>
  <si>
    <t xml:space="preserve">          Total Building Energy Use</t>
  </si>
  <si>
    <t>Transport--LPG</t>
  </si>
  <si>
    <t>Transport--Distillate</t>
  </si>
  <si>
    <t>Transport--Natural Gas</t>
  </si>
  <si>
    <t>Transport--Electricity</t>
  </si>
  <si>
    <t>Support--LPG</t>
  </si>
  <si>
    <t>Support--Distillate</t>
  </si>
  <si>
    <t>Support--Natural Gas</t>
  </si>
  <si>
    <t>Support--Electricity</t>
  </si>
  <si>
    <t xml:space="preserve">          HVAC--Steam</t>
  </si>
  <si>
    <t>HVAC--Natural Gas</t>
  </si>
  <si>
    <t>HVAC--Electricity</t>
  </si>
  <si>
    <t>Lighting--Electricity</t>
  </si>
  <si>
    <t>Energy Consumption for Buildings (Trillion BTU)</t>
  </si>
  <si>
    <t>BUILDINGS COMPONENT</t>
  </si>
  <si>
    <t xml:space="preserve">  Hydropower</t>
  </si>
  <si>
    <t xml:space="preserve">  Natural Gas Firm</t>
  </si>
  <si>
    <t>Unit Energy Consumption (Thousand BTU/2005$)</t>
  </si>
  <si>
    <t xml:space="preserve">    Natural Gas Total</t>
  </si>
  <si>
    <t>Total Energy Consumption (Trillion BTU)</t>
  </si>
  <si>
    <t xml:space="preserve">  Employment (thousand)</t>
  </si>
  <si>
    <t xml:space="preserve">  Value of Output (billion 2005$)</t>
  </si>
  <si>
    <t>Macroeconomic Indicators</t>
  </si>
  <si>
    <t>Table 21.  Energy and Macroeconomic Profile for Manufacturing Industry - Balance of Manufacturing</t>
  </si>
  <si>
    <t>Table 20.  Energy and Macroeconomic Profile for Manufacturing Industry - Plastics &amp; Rubbers</t>
  </si>
  <si>
    <t>Table 19.  Energy and Macroeconomic Profile for Manufacturing Industry - Wood</t>
  </si>
  <si>
    <t>Table 18.  Energy and Macroeconomic Profile for Manufacturing Industry - Electrical Equipment &amp; Appliances</t>
  </si>
  <si>
    <t>Table 17.  Energy and Macroeconomic Profile for Manufacturing Industry - Transportation Equipment</t>
  </si>
  <si>
    <t>Table 16.  Energy and Macroeconomic Profile for Manufacturing Industry - Computers &amp; Electronics</t>
  </si>
  <si>
    <t>Table 15.  Energy and Macroeconomic Profile for Manufacturing Industry - Machinery</t>
  </si>
  <si>
    <t xml:space="preserve">  Coking Coal</t>
  </si>
  <si>
    <t>Table 14.  Energy and Macroeconomic Profile for Manufacturing Industry - Fabricated Metals</t>
  </si>
  <si>
    <t xml:space="preserve">    Petroleum Coke</t>
  </si>
  <si>
    <t xml:space="preserve">  BAUXITE</t>
  </si>
  <si>
    <t xml:space="preserve">  PRIMARY</t>
  </si>
  <si>
    <t xml:space="preserve">  SECONDARY</t>
  </si>
  <si>
    <t xml:space="preserve">  SEMI_OTHER</t>
  </si>
  <si>
    <t xml:space="preserve">  SEMI_SHEET</t>
  </si>
  <si>
    <t>Product Throughput (million tonnes)</t>
  </si>
  <si>
    <t>Unit Energy Consumption (MMBTU/TON)</t>
  </si>
  <si>
    <t xml:space="preserve">  Physical Output (million tonnes)</t>
  </si>
  <si>
    <t>Table 13.  Energy and Macroeconomic Profile for Manufacturing Industry - Aluminum</t>
  </si>
  <si>
    <t xml:space="preserve">    Coking Coal</t>
  </si>
  <si>
    <t xml:space="preserve">    Other Petroleum</t>
  </si>
  <si>
    <t xml:space="preserve">  COKE</t>
  </si>
  <si>
    <t xml:space="preserve">  DRI</t>
  </si>
  <si>
    <t xml:space="preserve">  EAF</t>
  </si>
  <si>
    <t xml:space="preserve">  BF/BOF</t>
  </si>
  <si>
    <t xml:space="preserve">  CONTIN</t>
  </si>
  <si>
    <t xml:space="preserve">  COLD_RL</t>
  </si>
  <si>
    <t xml:space="preserve">  HOT_RL</t>
  </si>
  <si>
    <t xml:space="preserve">  Net Coal Coke Imports</t>
  </si>
  <si>
    <t>Total Energy Consumption (Trillion BTU) (benchmarked to MECS)</t>
  </si>
  <si>
    <t>Table 12.  Energy and Macroeconomic Profile for Manufacturing Industry - Iron &amp; Steel</t>
  </si>
  <si>
    <t xml:space="preserve">  Lime Process Emissions (million metric tons)</t>
  </si>
  <si>
    <t xml:space="preserve">  Clinker Process Emissions (million metric tons)</t>
  </si>
  <si>
    <t>Process Emissions for Clinker and Lime Production</t>
  </si>
  <si>
    <t xml:space="preserve">    Municipal Solid Waste</t>
  </si>
  <si>
    <t xml:space="preserve">  DRY-BAL</t>
  </si>
  <si>
    <t xml:space="preserve">  LIME</t>
  </si>
  <si>
    <t xml:space="preserve">  WET</t>
  </si>
  <si>
    <t xml:space="preserve">  DRY</t>
  </si>
  <si>
    <t xml:space="preserve">  GRIND</t>
  </si>
  <si>
    <t xml:space="preserve">  Municipal Solid Waste</t>
  </si>
  <si>
    <t>Table 11.  Energy and Macroeconomic Profile for Manufacturing Industry - Cement</t>
  </si>
  <si>
    <t xml:space="preserve">  B_VRGN</t>
  </si>
  <si>
    <t xml:space="preserve">  B_RCYL</t>
  </si>
  <si>
    <t xml:space="preserve">  M_VRGN</t>
  </si>
  <si>
    <t xml:space="preserve">  M_RCYL</t>
  </si>
  <si>
    <t xml:space="preserve">  FORM</t>
  </si>
  <si>
    <t xml:space="preserve">  P_FORM</t>
  </si>
  <si>
    <t>Table 10.  Energy and Macroeconomic Profile for Manufacturing Industry - Glass</t>
  </si>
  <si>
    <t xml:space="preserve">      Total</t>
  </si>
  <si>
    <t xml:space="preserve">  LPGs for Feedstocks</t>
  </si>
  <si>
    <t xml:space="preserve">  Natural Gas Feedstock</t>
  </si>
  <si>
    <t xml:space="preserve">  Steam</t>
  </si>
  <si>
    <t>Total Process/Assembly</t>
  </si>
  <si>
    <t xml:space="preserve">    Petrochemical Feedstocks</t>
  </si>
  <si>
    <t xml:space="preserve">    LPGs for Feedstocks</t>
  </si>
  <si>
    <t xml:space="preserve">    Natural Gas Feedstock</t>
  </si>
  <si>
    <t xml:space="preserve">  Total Feedstock</t>
  </si>
  <si>
    <t xml:space="preserve">  AgriChem</t>
  </si>
  <si>
    <t xml:space="preserve">  ResinSynth</t>
  </si>
  <si>
    <t xml:space="preserve">  Organic</t>
  </si>
  <si>
    <t xml:space="preserve">  Inorganic</t>
  </si>
  <si>
    <t>Process/Assembly Subset:  Feedstock</t>
  </si>
  <si>
    <t xml:space="preserve">  Total Other</t>
  </si>
  <si>
    <t>Process/Assembly Subset:  Other</t>
  </si>
  <si>
    <t xml:space="preserve">  Total Electro</t>
  </si>
  <si>
    <t>Process/Assembly Subset:  Electro</t>
  </si>
  <si>
    <t xml:space="preserve">  Total MachDrv</t>
  </si>
  <si>
    <t>Process/Assembly Subset:  MachDrv</t>
  </si>
  <si>
    <t xml:space="preserve">  Total Refrig</t>
  </si>
  <si>
    <t>Process/Assembly Subset:  Refrig</t>
  </si>
  <si>
    <t xml:space="preserve">  Total Heat</t>
  </si>
  <si>
    <t>Process/Assembly Subset:  Heat</t>
  </si>
  <si>
    <t xml:space="preserve">  Total AgriChem</t>
  </si>
  <si>
    <t xml:space="preserve">  Feedstock</t>
  </si>
  <si>
    <t xml:space="preserve">  Electro</t>
  </si>
  <si>
    <t xml:space="preserve">  MachDrv</t>
  </si>
  <si>
    <t xml:space="preserve">  Refrig</t>
  </si>
  <si>
    <t xml:space="preserve">  Heat</t>
  </si>
  <si>
    <t>Process/Assembly Subset:  AgriChem</t>
  </si>
  <si>
    <t xml:space="preserve">  Total ResinSynth</t>
  </si>
  <si>
    <t>Process/Assembly Subset:  ResinSynth</t>
  </si>
  <si>
    <t xml:space="preserve">  Total Organic</t>
  </si>
  <si>
    <t>Process/Assembly Subset:  Organic</t>
  </si>
  <si>
    <t xml:space="preserve">  Total Inorganic</t>
  </si>
  <si>
    <t>Process/Assembly Subset:  Inorganic</t>
  </si>
  <si>
    <t xml:space="preserve">  AgriChem/FEED</t>
  </si>
  <si>
    <t xml:space="preserve">  AgriChem/OTHER</t>
  </si>
  <si>
    <t xml:space="preserve">  AgriChem/ELECTRO</t>
  </si>
  <si>
    <t xml:space="preserve">  AgriChem/MACHDRV</t>
  </si>
  <si>
    <t xml:space="preserve">  AgriChem/REFRIG</t>
  </si>
  <si>
    <t xml:space="preserve">  AgriChem/HEAT</t>
  </si>
  <si>
    <t xml:space="preserve">  ResinSynth/FEED</t>
  </si>
  <si>
    <t xml:space="preserve">  ResinSynth/OTHER</t>
  </si>
  <si>
    <t xml:space="preserve">  ResinSynth/ELECTRO</t>
  </si>
  <si>
    <t xml:space="preserve">  ResinSynth/MACHDRV</t>
  </si>
  <si>
    <t xml:space="preserve">  ResinSynth/REFRIG</t>
  </si>
  <si>
    <t xml:space="preserve">  ResinSynth/HEAT</t>
  </si>
  <si>
    <t xml:space="preserve">  Organic/FEED</t>
  </si>
  <si>
    <t xml:space="preserve">  Organic/OTHER</t>
  </si>
  <si>
    <t xml:space="preserve">  Organic/ELECTRO</t>
  </si>
  <si>
    <t xml:space="preserve">  Organic/MACHDRV</t>
  </si>
  <si>
    <t xml:space="preserve">  Organic/REFRIG</t>
  </si>
  <si>
    <t xml:space="preserve">  Organic/HEAT</t>
  </si>
  <si>
    <t xml:space="preserve">  Inorganic/FEED</t>
  </si>
  <si>
    <t xml:space="preserve">  Inorganic/OTHER</t>
  </si>
  <si>
    <t xml:space="preserve">  Inorganic/ELECTRO</t>
  </si>
  <si>
    <t xml:space="preserve">  Inorganic/MACHDRV</t>
  </si>
  <si>
    <t xml:space="preserve">  Inorganic/REFRIG</t>
  </si>
  <si>
    <t xml:space="preserve">  Inorganic/HEAT</t>
  </si>
  <si>
    <t xml:space="preserve">  Petrochemical Feedstocks</t>
  </si>
  <si>
    <t>Table  9.  Energy and Macroeconomic Profile for Manufacturing Industry - Bulk Chemicals</t>
  </si>
  <si>
    <t xml:space="preserve">  WOOD</t>
  </si>
  <si>
    <t xml:space="preserve">  KRAFT_P</t>
  </si>
  <si>
    <t xml:space="preserve">  CHEM_P</t>
  </si>
  <si>
    <t xml:space="preserve">  MECH_P</t>
  </si>
  <si>
    <t xml:space="preserve">  WASTE_P</t>
  </si>
  <si>
    <t xml:space="preserve">  BLEACH</t>
  </si>
  <si>
    <t xml:space="preserve">  PAPER_M</t>
  </si>
  <si>
    <t xml:space="preserve">  Biomass-Pulping Liquor</t>
  </si>
  <si>
    <t>Table  8.  Energy and Macroeconomic Profile for Manufacturing Industry - Paper</t>
  </si>
  <si>
    <t xml:space="preserve">  Total AllElse</t>
  </si>
  <si>
    <t>Process/Assembly Subset:  AllElse</t>
  </si>
  <si>
    <t xml:space="preserve">  Total Slaughter</t>
  </si>
  <si>
    <t>Process/Assembly Subset:  Slaughter</t>
  </si>
  <si>
    <t xml:space="preserve">  Total Dairy</t>
  </si>
  <si>
    <t>Process/Assembly Subset:  Dairy</t>
  </si>
  <si>
    <t xml:space="preserve">  Total Milling</t>
  </si>
  <si>
    <t>Process/Assembly Subset:  Milling</t>
  </si>
  <si>
    <t xml:space="preserve">  A/OTHER</t>
  </si>
  <si>
    <t xml:space="preserve">  A/MACHDRV</t>
  </si>
  <si>
    <t xml:space="preserve">  A/REFRIG</t>
  </si>
  <si>
    <t xml:space="preserve">  A/HEAT</t>
  </si>
  <si>
    <t xml:space="preserve">  S/OTHER</t>
  </si>
  <si>
    <t xml:space="preserve">  S/MACHDRV</t>
  </si>
  <si>
    <t xml:space="preserve">  S/REFRIG</t>
  </si>
  <si>
    <t xml:space="preserve">  S/HEAT</t>
  </si>
  <si>
    <t xml:space="preserve">  D/OTHER</t>
  </si>
  <si>
    <t xml:space="preserve">  D/MACHDRV</t>
  </si>
  <si>
    <t xml:space="preserve">  D/REFRIG</t>
  </si>
  <si>
    <t xml:space="preserve">  D/HEAT</t>
  </si>
  <si>
    <t xml:space="preserve">  M/OTHER</t>
  </si>
  <si>
    <t xml:space="preserve">  M/MACHDRV</t>
  </si>
  <si>
    <t xml:space="preserve">  M/REFRIG</t>
  </si>
  <si>
    <t xml:space="preserve">  M/HEAT</t>
  </si>
  <si>
    <t>Table  7.  Energy and Macroeconomic Profile for Manufacturing Industry - Food</t>
  </si>
  <si>
    <t xml:space="preserve">    Asphalt &amp; Road Oil</t>
  </si>
  <si>
    <t xml:space="preserve">    Motor Gasoline</t>
  </si>
  <si>
    <t xml:space="preserve">  CONSTR</t>
  </si>
  <si>
    <t xml:space="preserve">  Asphalt &amp; Road Oil</t>
  </si>
  <si>
    <t xml:space="preserve">  Motor Gasoline</t>
  </si>
  <si>
    <t>Table  6.  Energy and Macroeconomic Profile for Non-Manufacturing Industry - Construction</t>
  </si>
  <si>
    <t>Table  5.  Energy and Macroeconomic Profile for Non-Manufacturing Industry - Metallic &amp; Non-metallic Mining</t>
  </si>
  <si>
    <t xml:space="preserve">    Biomass-Wood</t>
  </si>
  <si>
    <t>Table  4.  Energy and Macroeconomic Profile for Non-Manufacturing Industry - Oil &amp; Gas Mining</t>
  </si>
  <si>
    <t>Table  3.  Energy and Macroeconomic Profile for Non-Manufacturing Industry - Coal Mining</t>
  </si>
  <si>
    <t xml:space="preserve">  AGOTHR IRR</t>
  </si>
  <si>
    <t xml:space="preserve">  AGOTHR VEH</t>
  </si>
  <si>
    <t xml:space="preserve">  AGOTHR BLDG</t>
  </si>
  <si>
    <t>Table  2.  Energy and Macroeconomic Profile for Non-Manufacturing Industry - Other Agriculture</t>
  </si>
  <si>
    <t xml:space="preserve">  AGCROP IRR</t>
  </si>
  <si>
    <t xml:space="preserve">  AGCROP VEH</t>
  </si>
  <si>
    <t xml:space="preserve">  AGCROP BLDG</t>
  </si>
  <si>
    <t>Table  1.  Energy and Macroeconomic Profile for Non-Manufacturing Industry - Crop Agriculture</t>
  </si>
  <si>
    <t xml:space="preserve"> DateCode d020623a</t>
  </si>
  <si>
    <t xml:space="preserve"> Scenario ref2023</t>
  </si>
  <si>
    <t>Feedstocks should be excluded from the calculation, as they are already separated out and handled separately.</t>
  </si>
  <si>
    <t>Madeddu et al.</t>
  </si>
  <si>
    <t>The CO2 reduction potential for the European industry via direct electrification of heat supply (power-to-heat)</t>
  </si>
  <si>
    <t>https://doi.org/10.1088/1748-9326/abbd02</t>
  </si>
  <si>
    <t>Supplementary info, Table A.2</t>
  </si>
  <si>
    <t>Other process</t>
  </si>
  <si>
    <t>*since we are looking only at thermal fuels, we use primary steel, not secondary steel</t>
  </si>
  <si>
    <t>*since we are looking only at thermal fuels, we use other nonferrous metals, not aluminum</t>
  </si>
  <si>
    <t>Thermal Fuels Only</t>
  </si>
  <si>
    <t>*uses cement data</t>
  </si>
  <si>
    <t>Data from Madeddu et al.</t>
  </si>
  <si>
    <t>Mapped Onto Three Temp Categories</t>
  </si>
  <si>
    <t>low (&lt;165°C)</t>
  </si>
  <si>
    <t>med (165-400°C)</t>
  </si>
  <si>
    <t>high (&gt;400°C)</t>
  </si>
  <si>
    <t>Nonboiler heat</t>
  </si>
  <si>
    <t>MECS Header Row Number</t>
  </si>
  <si>
    <t>MECS Row Adder</t>
  </si>
  <si>
    <t>In cases where the EPS industry category is the sum of several MECS categories, we just take the most representative and/or largest MECS category,</t>
  </si>
  <si>
    <t>which simplifies the formulas greatly and shouldn't meaningfully affect the results, as all we care about here are the percentages of energy use by industrial process,</t>
  </si>
  <si>
    <t>not the total quantities of energy use.</t>
  </si>
  <si>
    <t>Nonprocess uses (building HVAC, on-site vehicles like farm vehicles and forklifts) are omitted.</t>
  </si>
  <si>
    <t>Note on MECS Rows / Categories</t>
  </si>
  <si>
    <t>Note on Excluded Energy Uses</t>
  </si>
  <si>
    <t>Note on Water and Waste Industry</t>
  </si>
  <si>
    <t>Water treatment is mostly electricity, but fossil fuels are sometimes used for multi-effect distillation and flash distillation,</t>
  </si>
  <si>
    <t>both of which involve boiling water.  Since the fuel is being used to boil water, we categorize it as "boilers," even if the</t>
  </si>
  <si>
    <t>equipment involved may not techically be a "boiler."</t>
  </si>
  <si>
    <t>See Figure 8 on page 28 of the IEA Water-Energy Nexus report (2016) and the "Thermal" explanation on page 36, at:</t>
  </si>
  <si>
    <t>https://iea.blob.core.windows.net/assets/e4a7e1a5-b6ed-4f36-911f-b0111e49aab9/WorldEnergyOutlook2016ExcerptWaterEnergyNexus.pdf</t>
  </si>
  <si>
    <t>We arbitrarily assign "1" to boilers and "0" to other rows to achieve a 100% value for boilers.</t>
  </si>
  <si>
    <t>Solid waste is dominated by vehicles (waste hauling trucks), which are considered nonprocess uses and are excluded.</t>
  </si>
  <si>
    <t>see notes below</t>
  </si>
  <si>
    <t>uses non-MECS EIA table</t>
  </si>
  <si>
    <t>BPFUbIP BAU Percentage Fuel Use by Industrial Process</t>
  </si>
  <si>
    <t>Industry Category</t>
  </si>
  <si>
    <t>Electricity</t>
  </si>
  <si>
    <t>For electricity, energy use is dominated by pumping and water transfer, which is machine drive, and even treatment steps use electricity for machine drive.</t>
  </si>
  <si>
    <t>The energy here is assumed to be largely pipelines, not natural gas processing.  Energy use is dominated by pumps to move fluid, which is machine drive.</t>
  </si>
  <si>
    <t>See notes below on this sheet.</t>
  </si>
  <si>
    <t>Heating barns and greenhouses to grow animals and plants is considered a process use, not a non-process use, even though it is heating of buildings.</t>
  </si>
  <si>
    <t>This file breaks down percent thermal fuel and electricity use by industrial process (industrial end use), for each industry.</t>
  </si>
  <si>
    <t>We define temperature categories as:</t>
  </si>
  <si>
    <t>For the portion of electricity that is used for non-boiler process heating, we apply the same temperature breakdowns</t>
  </si>
  <si>
    <t>as for fossil fuels, which vary by industry.</t>
  </si>
  <si>
    <t>We only have process heating temperature breakdown data for thermal fuels, not for electricity.</t>
  </si>
  <si>
    <t>Temperature Breakdown for Combustible Fuels by Industry</t>
  </si>
  <si>
    <t>Residual Fuel Oil</t>
  </si>
  <si>
    <t>E</t>
  </si>
  <si>
    <t>F</t>
  </si>
  <si>
    <t>G</t>
  </si>
  <si>
    <t>H</t>
  </si>
  <si>
    <t>I</t>
  </si>
  <si>
    <t>MECS column with this fuel type:</t>
  </si>
  <si>
    <t>Diesel</t>
  </si>
  <si>
    <t>Natural Gas</t>
  </si>
  <si>
    <t>HGL (LPG Propane Butane)</t>
  </si>
  <si>
    <t>Biomass</t>
  </si>
  <si>
    <t>n/a</t>
  </si>
  <si>
    <t>Buildings is assumed to be heating for barns and greenhouses, which is process heating, not non-process heating, when it is for animals or plants in agriculture.  IRR = irrigation, which is assumed to be machine drive (for pumps). Also, we count municipal solid waste (which is not broken out as an industrial fuel in the EPS) as biomass.</t>
  </si>
  <si>
    <t>Electricity and diesel use are assumed to be machine drive (mining equipment, elevators, pumps, etc.)  Other fuels are assumed to provide process heat.</t>
  </si>
  <si>
    <t>Electricity and diesel use are assumed to be machine drive (mining equipment, elevators, pumps, etc.)  Natural gas is assumed to provide process heat.</t>
  </si>
  <si>
    <t>Electricity and diesel use are assumed to be machine drive (construction equipment).  Other fuels are assumed to provide process heat.</t>
  </si>
  <si>
    <t>For biomass, we assume energy use is split evenly between boilers and non-boiler process heating (such as drying).</t>
  </si>
  <si>
    <t>Agriculture, Mining (and biomass for all industries)</t>
  </si>
  <si>
    <t>EPS Fuel Type</t>
  </si>
  <si>
    <t>electricity if</t>
  </si>
  <si>
    <t>heavy or residual fuel oil if</t>
  </si>
  <si>
    <t>petroleum diesel if</t>
  </si>
  <si>
    <t>natural gas if</t>
  </si>
  <si>
    <t>LPG propane or butane if</t>
  </si>
  <si>
    <t>hard coal if</t>
  </si>
  <si>
    <t>biomass if</t>
  </si>
  <si>
    <t>EPS fuel type</t>
  </si>
  <si>
    <t>heat if</t>
  </si>
  <si>
    <t>crude oil if</t>
  </si>
  <si>
    <t>hydrogen if</t>
  </si>
  <si>
    <t>Unit: dimensionless (share of fuel by industrial process)</t>
  </si>
  <si>
    <t>You should strive to ensure that any fuel with non-zero use in a given industry as specified in BIFU has actual, industry-</t>
  </si>
  <si>
    <t>specific process apportionment specified in the fuel type-specific tables of this variable.</t>
  </si>
  <si>
    <t>The fallback exists so that fuel use specified in BIFU is not lost (zeroed out) if no breakdown by industrial process is provided.</t>
  </si>
  <si>
    <t>About the Fallback Apportionment</t>
  </si>
  <si>
    <t>The final dark blue tab, "BPFUbIP-fallback," designates how to divide up industrial fuel use by process when a fuel type</t>
  </si>
  <si>
    <t>has non-zero energy use in BIFU but no apportionment by process for that fuel type and industry is specified in this variable.</t>
  </si>
  <si>
    <t>green hydrogen if</t>
  </si>
  <si>
    <t>low carbon hydrogen if</t>
  </si>
  <si>
    <t xml:space="preserve">Released: August 2025 </t>
  </si>
  <si>
    <t>Next MECS will be fielded in 2027</t>
  </si>
  <si>
    <t>Table 5.2    End uses of fuel consumption, 2022</t>
  </si>
  <si>
    <t xml:space="preserve">                        Level: National data</t>
  </si>
  <si>
    <t xml:space="preserve">                        Row: End uses within NAICS codes</t>
  </si>
  <si>
    <t xml:space="preserve">                        Column: Energy sources, including net electricity</t>
  </si>
  <si>
    <t xml:space="preserve">                        Unit: Trillion British thermal units</t>
  </si>
  <si>
    <t>fuel oil</t>
  </si>
  <si>
    <t>(excluding coal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</si>
  <si>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</si>
  <si>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End use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</si>
  <si>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</si>
  <si>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diesel fuel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</si>
  <si>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</si>
  <si>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</si>
  <si>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coke and breeze)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</si>
  <si>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</si>
  <si>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>All manufacturing industries</t>
  </si>
  <si>
    <t>Total fuel consumption</t>
  </si>
  <si>
    <r>
      <t>Indirect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Boiler Fuel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</si>
  <si>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Process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</si>
  <si>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Nonprocess</t>
    </r>
  </si>
  <si>
    <r>
      <t xml:space="preserve">  Facility HVAC</t>
    </r>
    <r>
      <rPr>
        <vertAlign val="superscript"/>
        <sz val="9"/>
        <color theme="1"/>
        <rFont val="Calibri"/>
        <family val="2"/>
        <scheme val="minor"/>
      </rPr>
      <t>g</t>
    </r>
  </si>
  <si>
    <t>End use not reported</t>
  </si>
  <si>
    <t xml:space="preserve">  Grain and oilseed milling</t>
  </si>
  <si>
    <t xml:space="preserve">  Wet corn milling and starch manufacturing</t>
  </si>
  <si>
    <t xml:space="preserve">  Sugar manufacturing</t>
  </si>
  <si>
    <t xml:space="preserve">  Fruit and vegetable preserving and specialty foods</t>
  </si>
  <si>
    <t xml:space="preserve">  Dairy product manufacturing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</si>
  <si>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</si>
  <si>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</si>
  <si>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</si>
  <si>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</si>
  <si>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</si>
  <si>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</si>
  <si>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</si>
  <si>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Veneer, plywood, and engineered wood product manufacturing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</si>
  <si>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</si>
  <si>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</si>
  <si>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</si>
  <si>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</si>
  <si>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322120</t>
  </si>
  <si>
    <t xml:space="preserve">  Paper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</si>
  <si>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</si>
  <si>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</si>
  <si>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</si>
  <si>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</si>
  <si>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</si>
  <si>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</si>
  <si>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manufacturing</t>
  </si>
  <si>
    <t xml:space="preserve">  All other petroleum and coal products manufacturing</t>
  </si>
  <si>
    <t xml:space="preserve">  Industrial gases</t>
  </si>
  <si>
    <t xml:space="preserve">  Other basic inorganic chemical manufacturing</t>
  </si>
  <si>
    <t xml:space="preserve">  Ethyl alcohol</t>
  </si>
  <si>
    <t xml:space="preserve">  Cyclic crudes, intermediate and gum and wood chemicals</t>
  </si>
  <si>
    <t xml:space="preserve">  All other basic organic chemical manufacturing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</si>
  <si>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</si>
  <si>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</si>
  <si>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</si>
  <si>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</si>
  <si>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</si>
  <si>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</si>
  <si>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</si>
  <si>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flm, paper, plate, chemical, and copy toner manufacturing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</si>
  <si>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</si>
  <si>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</si>
  <si>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</si>
  <si>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</si>
  <si>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</si>
  <si>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</si>
  <si>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</si>
  <si>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</si>
  <si>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</si>
  <si>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</si>
  <si>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</si>
  <si>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 production and processing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</si>
  <si>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</si>
  <si>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</si>
  <si>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</si>
  <si>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 (except aluminum) production and processing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</si>
  <si>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</si>
  <si>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</si>
  <si>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</si>
  <si>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</si>
  <si>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</si>
  <si>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</si>
  <si>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</si>
  <si>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</si>
  <si>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Electrical equip., appliances, and components</t>
  </si>
  <si>
    <t>Transportation equipment</t>
  </si>
  <si>
    <t xml:space="preserve">      336110</t>
  </si>
  <si>
    <t xml:space="preserve">  Automobile and light duty motor vehicle manufacturing</t>
  </si>
  <si>
    <t xml:space="preserve">  Aerospace product and parts</t>
  </si>
  <si>
    <t>Furniture and related products</t>
  </si>
  <si>
    <t>Miscellaneous</t>
  </si>
  <si>
    <t>Secondary Header Row Number</t>
  </si>
  <si>
    <t>2022 Manufacturing Energy Consumption Survey</t>
  </si>
  <si>
    <t>Stationary vs. Mobile Energy Use in Construction/Mining</t>
  </si>
  <si>
    <t>https://jgcri.github.io/gcam-doc/index.html</t>
  </si>
  <si>
    <t>Global Change Analysis Model (GCAM) by JGCRI</t>
  </si>
  <si>
    <t>Model Outputs - Consult EI philanthropy team for data</t>
  </si>
  <si>
    <t>agricultural energy use</t>
  </si>
  <si>
    <t>mobile</t>
  </si>
  <si>
    <t>H2 wholesale dispensing</t>
  </si>
  <si>
    <t>hydrogen</t>
  </si>
  <si>
    <t>elect_td_ind</t>
  </si>
  <si>
    <t>electricity</t>
  </si>
  <si>
    <t>refined liquids industrial</t>
  </si>
  <si>
    <t>refined liquids</t>
  </si>
  <si>
    <t>stationary</t>
  </si>
  <si>
    <t>delivered biomass</t>
  </si>
  <si>
    <t>biomass</t>
  </si>
  <si>
    <t>delivered coal</t>
  </si>
  <si>
    <t>coal</t>
  </si>
  <si>
    <t>wholesale gas</t>
  </si>
  <si>
    <t>gas</t>
  </si>
  <si>
    <t>construction energy use</t>
  </si>
  <si>
    <t>construction feedstocks</t>
  </si>
  <si>
    <t>mining energy use</t>
  </si>
  <si>
    <t>EJ</t>
  </si>
  <si>
    <t>% mobile</t>
  </si>
  <si>
    <t>GCAM Data - USA, Energy Innovation Internal Global Emissions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</si>
</sst>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1"/>
    </font>
    <font>
      <i/>
      <sz val="11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9"/>
      <color theme="1"/>
      <name val="Aptos Narrow"/>
      <family val="2"/>
    </font>
    <font>
      <vertAlign val="superscript"/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7" fillId="0" borderId="0"/>
  </cellStyleXfs>
  <cellXfs count="88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2"/>
    <xf numFmtId="0" fontId="4" fillId="0" borderId="0" xfId="3" applyProtection="1">
      <alignment horizontal="left"/>
    </xf>
    <xf numFmtId="0" fontId="4" fillId="0" borderId="0" xfId="3">
      <alignment horizontal="left"/>
    </xf>
    <xf numFmtId="0" fontId="5" fillId="0" borderId="0" xfId="2" applyFont="1" applyAlignment="1" applyProtection="1">
      <alignment horizontal="left" indent="2"/>
    </xf>
    <xf numFmtId="0" fontId="5" fillId="0" borderId="0" xfId="2" applyFont="1" applyAlignment="1">
      <alignment horizontal="left" indent="2"/>
    </xf>
    <xf numFmtId="0" fontId="3" fillId="0" borderId="0" xfId="2" applyAlignment="1" applyProtection="1">
      <alignment horizontal="left"/>
    </xf>
    <xf numFmtId="0" fontId="5" fillId="0" borderId="0" xfId="2" applyFont="1" applyAlignment="1" applyProtection="1">
      <alignment horizontal="left"/>
    </xf>
    <xf numFmtId="0" fontId="5" fillId="0" borderId="0" xfId="2" applyFont="1" applyAlignment="1" applyProtection="1">
      <alignment horizontal="right"/>
    </xf>
    <xf numFmtId="0" fontId="5" fillId="0" borderId="0" xfId="2" applyFont="1" applyAlignment="1">
      <alignment horizontal="right"/>
    </xf>
    <xf numFmtId="0" fontId="5" fillId="0" borderId="0" xfId="2" applyFont="1"/>
    <xf numFmtId="49" fontId="3" fillId="0" borderId="1" xfId="2" applyNumberFormat="1" applyBorder="1"/>
    <xf numFmtId="0" fontId="3" fillId="0" borderId="1" xfId="2" applyBorder="1" applyProtection="1">
      <protection locked="0"/>
    </xf>
    <xf numFmtId="0" fontId="3" fillId="0" borderId="1" xfId="2" applyBorder="1"/>
    <xf numFmtId="49" fontId="5" fillId="0" borderId="2" xfId="4" applyNumberFormat="1" applyAlignment="1" applyProtection="1"/>
    <xf numFmtId="0" fontId="5" fillId="0" borderId="2" xfId="4" applyAlignment="1" applyProtection="1"/>
    <xf numFmtId="0" fontId="5" fillId="0" borderId="2" xfId="4" applyAlignment="1"/>
    <xf numFmtId="49" fontId="3" fillId="0" borderId="3" xfId="5" applyNumberFormat="1" applyProtection="1">
      <alignment wrapText="1"/>
    </xf>
    <xf numFmtId="0" fontId="3" fillId="0" borderId="3" xfId="5" applyProtection="1">
      <alignment wrapText="1"/>
    </xf>
    <xf numFmtId="0" fontId="3" fillId="0" borderId="3" xfId="5">
      <alignment wrapText="1"/>
    </xf>
    <xf numFmtId="49" fontId="5" fillId="0" borderId="3" xfId="5" applyNumberFormat="1" applyFont="1" applyAlignment="1" applyProtection="1">
      <alignment horizontal="left" wrapText="1"/>
    </xf>
    <xf numFmtId="0" fontId="5" fillId="0" borderId="3" xfId="5" applyFont="1" applyAlignment="1">
      <alignment horizontal="right" wrapText="1"/>
    </xf>
    <xf numFmtId="49" fontId="3" fillId="0" borderId="3" xfId="5" applyNumberFormat="1" applyAlignment="1" applyProtection="1">
      <alignment horizontal="left" wrapText="1"/>
    </xf>
    <xf numFmtId="3" fontId="3" fillId="0" borderId="3" xfId="5" applyNumberFormat="1" applyAlignment="1">
      <alignment horizontal="right" wrapText="1"/>
    </xf>
    <xf numFmtId="0" fontId="3" fillId="0" borderId="3" xfId="5" applyAlignment="1">
      <alignment horizontal="right" wrapText="1"/>
    </xf>
    <xf numFmtId="3" fontId="5" fillId="0" borderId="3" xfId="5" applyNumberFormat="1" applyFont="1" applyAlignment="1">
      <alignment horizontal="right" wrapText="1"/>
    </xf>
    <xf numFmtId="49" fontId="5" fillId="0" borderId="3" xfId="5" applyNumberFormat="1" applyFont="1" applyAlignment="1">
      <alignment horizontal="left" wrapText="1"/>
    </xf>
    <xf numFmtId="0" fontId="3" fillId="0" borderId="3" xfId="5" applyAlignment="1">
      <alignment horizontal="left" wrapText="1"/>
    </xf>
    <xf numFmtId="49" fontId="3" fillId="0" borderId="3" xfId="5" applyNumberFormat="1" applyAlignment="1">
      <alignment horizontal="left" wrapText="1"/>
    </xf>
    <xf numFmtId="49" fontId="3" fillId="0" borderId="0" xfId="2" applyNumberFormat="1" applyBorder="1" applyAlignment="1"/>
    <xf numFmtId="0" fontId="3" fillId="0" borderId="0" xfId="2" applyBorder="1" applyAlignment="1"/>
    <xf numFmtId="0" fontId="3" fillId="0" borderId="0" xfId="2" applyBorder="1"/>
    <xf numFmtId="49" fontId="3" fillId="0" borderId="0" xfId="2" applyNumberFormat="1" applyAlignment="1"/>
    <xf numFmtId="0" fontId="3" fillId="0" borderId="0" xfId="2" applyAlignment="1"/>
    <xf numFmtId="49" fontId="3" fillId="0" borderId="0" xfId="2" applyNumberFormat="1" applyAlignment="1" applyProtection="1"/>
    <xf numFmtId="49" fontId="3" fillId="0" borderId="0" xfId="2" applyNumberFormat="1" applyAlignment="1" applyProtection="1">
      <alignment horizontal="left"/>
    </xf>
    <xf numFmtId="0" fontId="6" fillId="0" borderId="0" xfId="7"/>
    <xf numFmtId="0" fontId="0" fillId="0" borderId="0" xfId="0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9" fontId="0" fillId="0" borderId="0" xfId="1" applyFont="1"/>
    <xf numFmtId="0" fontId="2" fillId="2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5" borderId="0" xfId="0" applyFill="1"/>
    <xf numFmtId="0" fontId="2" fillId="0" borderId="5" xfId="0" applyFont="1" applyBorder="1" applyAlignment="1">
      <alignment horizontal="right"/>
    </xf>
    <xf numFmtId="9" fontId="0" fillId="0" borderId="5" xfId="0" applyNumberFormat="1" applyBorder="1"/>
    <xf numFmtId="0" fontId="2" fillId="4" borderId="0" xfId="0" applyFont="1" applyFill="1" applyAlignment="1">
      <alignment horizontal="left"/>
    </xf>
    <xf numFmtId="9" fontId="0" fillId="0" borderId="5" xfId="1" applyFont="1" applyBorder="1"/>
    <xf numFmtId="0" fontId="8" fillId="0" borderId="0" xfId="0" applyFont="1" applyAlignment="1">
      <alignment horizontal="left"/>
    </xf>
    <xf numFmtId="0" fontId="0" fillId="3" borderId="0" xfId="0" applyFill="1"/>
    <xf numFmtId="0" fontId="6" fillId="0" borderId="0" xfId="7" applyAlignment="1">
      <alignment horizontal="left"/>
    </xf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6" xfId="0" applyFont="1" applyFill="1" applyBorder="1"/>
    <xf numFmtId="165" fontId="0" fillId="0" borderId="0" xfId="0" applyNumberFormat="1"/>
    <xf numFmtId="0" fontId="0" fillId="4" borderId="0" xfId="0" applyFill="1"/>
    <xf numFmtId="2" fontId="0" fillId="0" borderId="0" xfId="0" applyNumberFormat="1"/>
    <xf numFmtId="0" fontId="8" fillId="0" borderId="0" xfId="0" applyFont="1" applyAlignment="1">
      <alignment horizontal="left" wrapText="1"/>
    </xf>
    <xf numFmtId="0" fontId="2" fillId="8" borderId="0" xfId="0" applyFont="1" applyFill="1"/>
    <xf numFmtId="0" fontId="0" fillId="8" borderId="0" xfId="0" applyFill="1"/>
    <xf numFmtId="0" fontId="3" fillId="0" borderId="0" xfId="2" applyAlignment="1">
      <alignment horizontal="right"/>
    </xf>
    <xf numFmtId="0" fontId="5" fillId="0" borderId="0" xfId="2" applyFont="1" applyAlignment="1">
      <alignment horizontal="right" indent="2"/>
    </xf>
    <xf numFmtId="37" fontId="5" fillId="0" borderId="3" xfId="5" applyNumberFormat="1" applyFont="1" applyAlignment="1" applyProtection="1">
      <alignment horizontal="right" wrapText="1"/>
    </xf>
    <xf numFmtId="37" fontId="3" fillId="0" borderId="3" xfId="5" applyNumberFormat="1" applyAlignment="1" applyProtection="1">
      <alignment horizontal="right" wrapText="1"/>
    </xf>
    <xf numFmtId="3" fontId="3" fillId="4" borderId="3" xfId="5" applyNumberFormat="1" applyFill="1" applyAlignment="1">
      <alignment horizontal="right" wrapText="1"/>
    </xf>
    <xf numFmtId="1" fontId="0" fillId="0" borderId="0" xfId="1" applyNumberFormat="1" applyFont="1"/>
    <xf numFmtId="0" fontId="0" fillId="9" borderId="0" xfId="0" applyFill="1"/>
    <xf numFmtId="11" fontId="0" fillId="0" borderId="0" xfId="0" applyNumberFormat="1"/>
    <xf numFmtId="0" fontId="14" fillId="9" borderId="0" xfId="0" applyFont="1" applyFill="1"/>
    <xf numFmtId="0" fontId="3" fillId="0" borderId="0" xfId="2" applyAlignment="1">
      <alignment wrapText="1"/>
    </xf>
    <xf numFmtId="49" fontId="3" fillId="0" borderId="0" xfId="2" applyNumberFormat="1" applyAlignment="1" applyProtection="1">
      <alignment wrapText="1"/>
    </xf>
    <xf numFmtId="49" fontId="3" fillId="0" borderId="4" xfId="6" applyNumberFormat="1">
      <alignment vertical="top" wrapText="1"/>
    </xf>
    <xf numFmtId="49" fontId="3" fillId="0" borderId="0" xfId="2" applyNumberFormat="1" applyAlignment="1">
      <alignment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5" xfId="0" applyFont="1" applyFill="1" applyBorder="1" applyAlignment="1">
      <alignment horizontal="center"/>
    </xf>
  </cellXfs>
  <cellStyles count="9">
    <cellStyle name="Body: normal cell" xfId="5" xr:uid="{9CBF0D45-E1DA-43A4-8590-A8BBDD790AA5}"/>
    <cellStyle name="Font: Calibri, 9pt regular" xfId="2" xr:uid="{E426FB1A-5EA5-4830-B0C0-B4330985F5AF}"/>
    <cellStyle name="Footnotes: top row" xfId="6" xr:uid="{3E561AC0-8CDC-453E-978A-76F7E4B3BFC8}"/>
    <cellStyle name="Hyperlink" xfId="7" builtinId="8"/>
    <cellStyle name="Normal" xfId="0" builtinId="0"/>
    <cellStyle name="Normal 2" xfId="8" xr:uid="{B4C16846-13A5-40F8-B747-5EB3FB2E7E01}"/>
    <cellStyle name="Parent row" xfId="4" xr:uid="{99482F86-B14D-4406-9A24-86C60D6BCD1D}"/>
    <cellStyle name="Percent" xfId="1" builtinId="5"/>
    <cellStyle name="Table title" xfId="3" xr:uid="{E539729D-D9F0-4788-816E-0E3AFB776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1797</xdr:row>
          <xdr:rowOff>0</xdr:rowOff>
        </xdr:from>
        <xdr:to>
          <xdr:col>10</xdr:col>
          <xdr:colOff>419100</xdr:colOff>
          <xdr:row>1824</xdr:row>
          <xdr:rowOff>76200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90F31854-6397-4C62-9B03-C1143782CEB1}" userId="S::jeff@energyinnovation.org::f3f117cb-d7f5-455c-900f-329d977050a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3-03-22T22:56:30.46" personId="{90F31854-6397-4C62-9B03-C1143782CEB1}" id="{C7C95271-66A2-484C-9350-F44A93A4DA52}">
    <text>Changed from 1% to 0% so figures add up to 100% (eliminating rounding error)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88/1748-9326/abbd02" TargetMode="External"/><Relationship Id="rId1" Type="http://schemas.openxmlformats.org/officeDocument/2006/relationships/hyperlink" Target="https://www.eia.gov/consumption/manufacturing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a.blob.core.windows.net/assets/e4a7e1a5-b6ed-4f36-911f-b0111e49aab9/WorldEnergyOutlook2016ExcerptWaterEnergyNexus.pd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F932-1B15-4A52-AD06-8D3DCB32C304}">
  <dimension ref="A1:B47"/>
  <sheetViews>
    <sheetView workbookViewId="0"/>
  </sheetViews>
  <sheetFormatPr defaultRowHeight="15" x14ac:dyDescent="0.25"/>
  <cols>
    <col min="2" max="2" width="97.28515625" customWidth="1"/>
  </cols>
  <sheetData>
    <row r="1" spans="1:2" x14ac:dyDescent="0.25">
      <c r="A1" s="1" t="s">
        <v>473</v>
      </c>
    </row>
    <row r="3" spans="1:2" x14ac:dyDescent="0.25">
      <c r="A3" s="1" t="s">
        <v>0</v>
      </c>
      <c r="B3" s="47" t="s">
        <v>181</v>
      </c>
    </row>
    <row r="4" spans="1:2" x14ac:dyDescent="0.25">
      <c r="B4" t="s">
        <v>1</v>
      </c>
    </row>
    <row r="5" spans="1:2" x14ac:dyDescent="0.25">
      <c r="B5" s="2">
        <v>2025</v>
      </c>
    </row>
    <row r="6" spans="1:2" x14ac:dyDescent="0.25">
      <c r="B6" t="s">
        <v>621</v>
      </c>
    </row>
    <row r="7" spans="1:2" x14ac:dyDescent="0.25">
      <c r="B7" s="38" t="s">
        <v>148</v>
      </c>
    </row>
    <row r="8" spans="1:2" x14ac:dyDescent="0.25">
      <c r="B8" t="s">
        <v>147</v>
      </c>
    </row>
    <row r="10" spans="1:2" x14ac:dyDescent="0.25">
      <c r="B10" s="47" t="s">
        <v>503</v>
      </c>
    </row>
    <row r="11" spans="1:2" x14ac:dyDescent="0.25">
      <c r="B11" t="s">
        <v>1</v>
      </c>
    </row>
    <row r="12" spans="1:2" x14ac:dyDescent="0.25">
      <c r="B12" s="2">
        <v>2023</v>
      </c>
    </row>
    <row r="13" spans="1:2" x14ac:dyDescent="0.25">
      <c r="B13" t="s">
        <v>2</v>
      </c>
    </row>
    <row r="14" spans="1:2" x14ac:dyDescent="0.25">
      <c r="B14" t="s">
        <v>180</v>
      </c>
    </row>
    <row r="16" spans="1:2" x14ac:dyDescent="0.25">
      <c r="B16" s="47" t="s">
        <v>485</v>
      </c>
    </row>
    <row r="17" spans="1:2" x14ac:dyDescent="0.25">
      <c r="B17" t="s">
        <v>440</v>
      </c>
    </row>
    <row r="18" spans="1:2" x14ac:dyDescent="0.25">
      <c r="B18" s="2">
        <v>2020</v>
      </c>
    </row>
    <row r="19" spans="1:2" x14ac:dyDescent="0.25">
      <c r="B19" t="s">
        <v>441</v>
      </c>
    </row>
    <row r="20" spans="1:2" x14ac:dyDescent="0.25">
      <c r="B20" s="38" t="s">
        <v>442</v>
      </c>
    </row>
    <row r="21" spans="1:2" x14ac:dyDescent="0.25">
      <c r="B21" t="s">
        <v>443</v>
      </c>
    </row>
    <row r="23" spans="1:2" x14ac:dyDescent="0.25">
      <c r="B23" s="47" t="s">
        <v>622</v>
      </c>
    </row>
    <row r="24" spans="1:2" x14ac:dyDescent="0.25">
      <c r="B24" t="s">
        <v>624</v>
      </c>
    </row>
    <row r="25" spans="1:2" x14ac:dyDescent="0.25">
      <c r="B25" s="2">
        <v>2025</v>
      </c>
    </row>
    <row r="26" spans="1:2" x14ac:dyDescent="0.25">
      <c r="B26" t="s">
        <v>625</v>
      </c>
    </row>
    <row r="27" spans="1:2" x14ac:dyDescent="0.25">
      <c r="B27" s="38" t="s">
        <v>623</v>
      </c>
    </row>
    <row r="29" spans="1:2" x14ac:dyDescent="0.25">
      <c r="A29" s="1" t="s">
        <v>160</v>
      </c>
    </row>
    <row r="30" spans="1:2" x14ac:dyDescent="0.25">
      <c r="A30" t="s">
        <v>480</v>
      </c>
    </row>
    <row r="31" spans="1:2" x14ac:dyDescent="0.25">
      <c r="A31" t="s">
        <v>439</v>
      </c>
    </row>
    <row r="33" spans="1:2" x14ac:dyDescent="0.25">
      <c r="A33" t="s">
        <v>481</v>
      </c>
    </row>
    <row r="34" spans="1:2" x14ac:dyDescent="0.25">
      <c r="A34" s="1" t="s">
        <v>451</v>
      </c>
    </row>
    <row r="35" spans="1:2" x14ac:dyDescent="0.25">
      <c r="A35" s="1" t="s">
        <v>452</v>
      </c>
    </row>
    <row r="36" spans="1:2" x14ac:dyDescent="0.25">
      <c r="A36" s="1" t="s">
        <v>453</v>
      </c>
    </row>
    <row r="38" spans="1:2" x14ac:dyDescent="0.25">
      <c r="A38" t="s">
        <v>484</v>
      </c>
    </row>
    <row r="39" spans="1:2" x14ac:dyDescent="0.25">
      <c r="A39" t="s">
        <v>482</v>
      </c>
    </row>
    <row r="40" spans="1:2" x14ac:dyDescent="0.25">
      <c r="A40" t="s">
        <v>483</v>
      </c>
    </row>
    <row r="42" spans="1:2" x14ac:dyDescent="0.25">
      <c r="A42" s="68" t="s">
        <v>520</v>
      </c>
      <c r="B42" s="69"/>
    </row>
    <row r="43" spans="1:2" x14ac:dyDescent="0.25">
      <c r="A43" t="s">
        <v>521</v>
      </c>
    </row>
    <row r="44" spans="1:2" x14ac:dyDescent="0.25">
      <c r="A44" t="s">
        <v>522</v>
      </c>
    </row>
    <row r="45" spans="1:2" x14ac:dyDescent="0.25">
      <c r="A45" s="1" t="s">
        <v>517</v>
      </c>
    </row>
    <row r="46" spans="1:2" x14ac:dyDescent="0.25">
      <c r="A46" s="1" t="s">
        <v>518</v>
      </c>
    </row>
    <row r="47" spans="1:2" x14ac:dyDescent="0.25">
      <c r="A47" t="s">
        <v>519</v>
      </c>
    </row>
  </sheetData>
  <hyperlinks>
    <hyperlink ref="B7" r:id="rId1" xr:uid="{CC47BE6F-AFD2-46F7-9C7E-BE1706C34615}"/>
    <hyperlink ref="B20" r:id="rId2" xr:uid="{6B797782-C6CA-4BD9-8A47-6C4865E9976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591E-38D4-48E8-A7E0-E3155B8BF3B5}">
  <dimension ref="A1:AH3615"/>
  <sheetViews>
    <sheetView topLeftCell="A1837" zoomScale="85" workbookViewId="0">
      <selection activeCell="K1926" sqref="K1926"/>
    </sheetView>
  </sheetViews>
  <sheetFormatPr defaultRowHeight="15" x14ac:dyDescent="0.25"/>
  <sheetData>
    <row r="1" spans="1:34" x14ac:dyDescent="0.25">
      <c r="A1" t="s">
        <v>438</v>
      </c>
    </row>
    <row r="2" spans="1:34" x14ac:dyDescent="0.25">
      <c r="A2" t="s">
        <v>437</v>
      </c>
      <c r="G2">
        <f t="shared" ref="G2" si="0">SUM(G46,G55,G63,G191,G200,G208)</f>
        <v>435.26400000000001</v>
      </c>
    </row>
    <row r="4" spans="1:34" s="56" customFormat="1" x14ac:dyDescent="0.25">
      <c r="A4" s="56" t="s">
        <v>436</v>
      </c>
    </row>
    <row r="5" spans="1:34" x14ac:dyDescent="0.25">
      <c r="A5" t="s">
        <v>193</v>
      </c>
    </row>
    <row r="6" spans="1:34" x14ac:dyDescent="0.2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25">
      <c r="A8" t="s">
        <v>272</v>
      </c>
    </row>
    <row r="9" spans="1:34" x14ac:dyDescent="0.25">
      <c r="A9" t="s">
        <v>271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25">
      <c r="A10" t="s">
        <v>270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25">
      <c r="A12" t="s">
        <v>269</v>
      </c>
    </row>
    <row r="13" spans="1:34" x14ac:dyDescent="0.25">
      <c r="A13" t="s">
        <v>221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25">
      <c r="A14" t="s">
        <v>266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25">
      <c r="A15" t="s">
        <v>230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25">
      <c r="A16" t="s">
        <v>268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25">
      <c r="A17" t="s">
        <v>228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25">
      <c r="A18" t="s">
        <v>227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25">
      <c r="A19" t="s">
        <v>226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25">
      <c r="A20" t="s">
        <v>423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25">
      <c r="A21" t="s">
        <v>183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25">
      <c r="A22" t="s">
        <v>265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25">
      <c r="A23" t="s">
        <v>225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25">
      <c r="A24" t="s">
        <v>313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25">
      <c r="A25" t="s">
        <v>182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25">
      <c r="A27" t="s">
        <v>267</v>
      </c>
    </row>
    <row r="28" spans="1:34" x14ac:dyDescent="0.25">
      <c r="A28" t="s">
        <v>221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25">
      <c r="A29" t="s">
        <v>266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25">
      <c r="A30" t="s">
        <v>230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25">
      <c r="A31" t="s">
        <v>228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227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25">
      <c r="A33" t="s">
        <v>226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25">
      <c r="A34" t="s">
        <v>423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25">
      <c r="A35" t="s">
        <v>183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25">
      <c r="A36" t="s">
        <v>265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25">
      <c r="A37" t="s">
        <v>225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25">
      <c r="A38" t="s">
        <v>313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25">
      <c r="A40" t="s">
        <v>248</v>
      </c>
    </row>
    <row r="42" spans="1:34" x14ac:dyDescent="0.25">
      <c r="A42" s="50" t="s">
        <v>246</v>
      </c>
      <c r="B42" s="50"/>
      <c r="C42" s="50"/>
      <c r="D42" s="50"/>
      <c r="E42" s="50"/>
      <c r="F42" s="50"/>
      <c r="H42">
        <f>SUM(H55,H57:H58)/SUM(H46,H48:H49,H55,H57:H58,H63,H65:H66)</f>
        <v>0.70319737538879179</v>
      </c>
    </row>
    <row r="43" spans="1:34" x14ac:dyDescent="0.25">
      <c r="A43" t="s">
        <v>435</v>
      </c>
    </row>
    <row r="44" spans="1:34" x14ac:dyDescent="0.25">
      <c r="A44" t="s">
        <v>239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25">
      <c r="A45" t="s">
        <v>238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25">
      <c r="A46" t="s">
        <v>235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25">
      <c r="A47" t="s">
        <v>234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25">
      <c r="A48" t="s">
        <v>420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25">
      <c r="A49" t="s">
        <v>293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25">
      <c r="A50" t="s">
        <v>233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25">
      <c r="A51" t="s">
        <v>307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25">
      <c r="A52" t="s">
        <v>434</v>
      </c>
    </row>
    <row r="53" spans="1:34" x14ac:dyDescent="0.25">
      <c r="A53" t="s">
        <v>239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238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25">
      <c r="A55" t="s">
        <v>235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25">
      <c r="A56" t="s">
        <v>234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25">
      <c r="A57" t="s">
        <v>420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25">
      <c r="A58" t="s">
        <v>293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25">
      <c r="A59" t="s">
        <v>233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433</v>
      </c>
    </row>
    <row r="61" spans="1:34" x14ac:dyDescent="0.25">
      <c r="A61" t="s">
        <v>239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25">
      <c r="A62" t="s">
        <v>238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25">
      <c r="A63" t="s">
        <v>235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25">
      <c r="A64" t="s">
        <v>234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25">
      <c r="A65" t="s">
        <v>420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25">
      <c r="A66" t="s">
        <v>293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25">
      <c r="A67" t="s">
        <v>233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25">
      <c r="A68" t="s">
        <v>240</v>
      </c>
    </row>
    <row r="69" spans="1:34" x14ac:dyDescent="0.25">
      <c r="A69" t="s">
        <v>239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25">
      <c r="A70" t="s">
        <v>238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25">
      <c r="A71" t="s">
        <v>235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25">
      <c r="A72" t="s">
        <v>234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25">
      <c r="A73" t="s">
        <v>420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25">
      <c r="A74" t="s">
        <v>293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25">
      <c r="A75" t="s">
        <v>233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25">
      <c r="A76" t="s">
        <v>307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25">
      <c r="A77" t="s">
        <v>182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25">
      <c r="A79" s="65" t="s">
        <v>232</v>
      </c>
      <c r="B79" s="65"/>
      <c r="C79" s="65"/>
      <c r="D79" s="65"/>
      <c r="E79" s="65"/>
    </row>
    <row r="81" spans="1:34" x14ac:dyDescent="0.25">
      <c r="A81" t="s">
        <v>231</v>
      </c>
    </row>
    <row r="82" spans="1:34" x14ac:dyDescent="0.25">
      <c r="A82" t="s">
        <v>221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230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25">
      <c r="A84" t="s">
        <v>229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228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227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226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184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183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225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25">
      <c r="A91" t="s">
        <v>182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25">
      <c r="A94" t="s">
        <v>224</v>
      </c>
    </row>
    <row r="95" spans="1:34" x14ac:dyDescent="0.25">
      <c r="A95" t="s">
        <v>190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189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25">
      <c r="A97" t="s">
        <v>222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187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186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221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184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220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25">
      <c r="A103" t="s">
        <v>219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218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25">
      <c r="A105" t="s">
        <v>223</v>
      </c>
    </row>
    <row r="106" spans="1:34" x14ac:dyDescent="0.25">
      <c r="A106" t="s">
        <v>190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25">
      <c r="A107" t="s">
        <v>189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222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187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186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221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184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25">
      <c r="A113" t="s">
        <v>220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219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25">
      <c r="A115" t="s">
        <v>218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25">
      <c r="A117" t="s">
        <v>217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25">
      <c r="A118" t="s">
        <v>216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25">
      <c r="A119" t="s">
        <v>215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25">
      <c r="A120" t="s">
        <v>214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213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25">
      <c r="A123" t="s">
        <v>212</v>
      </c>
    </row>
    <row r="124" spans="1:34" x14ac:dyDescent="0.25">
      <c r="A124" t="s">
        <v>211</v>
      </c>
    </row>
    <row r="125" spans="1:34" x14ac:dyDescent="0.25">
      <c r="A125" t="s">
        <v>210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25">
      <c r="A126" t="s">
        <v>209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25">
      <c r="A127" t="s">
        <v>208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25">
      <c r="A128" t="s">
        <v>207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25">
      <c r="A129" t="s">
        <v>182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25">
      <c r="A130" t="s">
        <v>206</v>
      </c>
    </row>
    <row r="131" spans="1:34" x14ac:dyDescent="0.25">
      <c r="A131" t="s">
        <v>205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25">
      <c r="A132" t="s">
        <v>204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203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25">
      <c r="A134" t="s">
        <v>202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25">
      <c r="A135" t="s">
        <v>182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25">
      <c r="A137" t="s">
        <v>201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25">
      <c r="A138" t="s">
        <v>200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25">
      <c r="A140" t="s">
        <v>199</v>
      </c>
    </row>
    <row r="141" spans="1:34" x14ac:dyDescent="0.25">
      <c r="A141" t="s">
        <v>198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25">
      <c r="A142" t="s">
        <v>197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25">
      <c r="A143" t="s">
        <v>196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195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25">
      <c r="A145" t="s">
        <v>182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25">
      <c r="A147" s="56" t="s">
        <v>432</v>
      </c>
    </row>
    <row r="148" spans="1:34" x14ac:dyDescent="0.25">
      <c r="A148" t="s">
        <v>193</v>
      </c>
    </row>
    <row r="149" spans="1:34" x14ac:dyDescent="0.2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25">
      <c r="A151" t="s">
        <v>272</v>
      </c>
    </row>
    <row r="152" spans="1:34" x14ac:dyDescent="0.25">
      <c r="A152" t="s">
        <v>271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25">
      <c r="A153" t="s">
        <v>270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25">
      <c r="A155" t="s">
        <v>269</v>
      </c>
    </row>
    <row r="156" spans="1:34" x14ac:dyDescent="0.25">
      <c r="A156" t="s">
        <v>221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25">
      <c r="A157" t="s">
        <v>266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25">
      <c r="A158" t="s">
        <v>230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25">
      <c r="A159" t="s">
        <v>268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25">
      <c r="A160" t="s">
        <v>229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25">
      <c r="A161" t="s">
        <v>228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227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25">
      <c r="A163" t="s">
        <v>226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25">
      <c r="A164" t="s">
        <v>423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25">
      <c r="A165" t="s">
        <v>183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25">
      <c r="A166" t="s">
        <v>265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25">
      <c r="A167" t="s">
        <v>225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25">
      <c r="A168" t="s">
        <v>313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25">
      <c r="A169" t="s">
        <v>182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25">
      <c r="A171" t="s">
        <v>267</v>
      </c>
    </row>
    <row r="172" spans="1:34" x14ac:dyDescent="0.25">
      <c r="A172" t="s">
        <v>221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25">
      <c r="A173" t="s">
        <v>266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25">
      <c r="A174" t="s">
        <v>230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25">
      <c r="A175" t="s">
        <v>229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228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227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25">
      <c r="A178" t="s">
        <v>226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25">
      <c r="A179" t="s">
        <v>423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25">
      <c r="A180" t="s">
        <v>183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25">
      <c r="A181" t="s">
        <v>265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25">
      <c r="A182" t="s">
        <v>225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25">
      <c r="A183" t="s">
        <v>313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25">
      <c r="A185" t="s">
        <v>248</v>
      </c>
      <c r="L185">
        <f>0.51/(0.51+0.121)</f>
        <v>0.80824088748019018</v>
      </c>
    </row>
    <row r="186" spans="1:34" x14ac:dyDescent="0.25">
      <c r="H186">
        <f>SUM(H200,H202:H203,H55,H57:H58)/SUM(H191,H193:H194,H200,H202:H203,H208,H210:H211,H46,H48:H49,H55,H57:H58,H63,H65:H66)</f>
        <v>0.7476748725184198</v>
      </c>
    </row>
    <row r="187" spans="1:34" x14ac:dyDescent="0.25">
      <c r="A187" s="50" t="s">
        <v>246</v>
      </c>
      <c r="B187" s="50"/>
      <c r="C187" s="50"/>
      <c r="D187" s="50"/>
      <c r="E187" s="50"/>
      <c r="F187" s="50"/>
    </row>
    <row r="188" spans="1:34" x14ac:dyDescent="0.25">
      <c r="A188" t="s">
        <v>431</v>
      </c>
    </row>
    <row r="189" spans="1:34" x14ac:dyDescent="0.25">
      <c r="A189" t="s">
        <v>239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25">
      <c r="A190" t="s">
        <v>238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25">
      <c r="A191" t="s">
        <v>235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25">
      <c r="A192" t="s">
        <v>234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25">
      <c r="A193" t="s">
        <v>420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293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25">
      <c r="A195" t="s">
        <v>233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25">
      <c r="A196" t="s">
        <v>307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25">
      <c r="A197" t="s">
        <v>430</v>
      </c>
    </row>
    <row r="198" spans="1:34" x14ac:dyDescent="0.25">
      <c r="A198" t="s">
        <v>239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238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25">
      <c r="A200" t="s">
        <v>235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25">
      <c r="A201" t="s">
        <v>234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25">
      <c r="A202" t="s">
        <v>420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25">
      <c r="A203" t="s">
        <v>293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25">
      <c r="A204" t="s">
        <v>233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429</v>
      </c>
    </row>
    <row r="206" spans="1:34" x14ac:dyDescent="0.25">
      <c r="A206" t="s">
        <v>239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25">
      <c r="A207" t="s">
        <v>238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25">
      <c r="A208" t="s">
        <v>235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25">
      <c r="A209" t="s">
        <v>234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25">
      <c r="A210" t="s">
        <v>420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25">
      <c r="A211" t="s">
        <v>293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25">
      <c r="A212" t="s">
        <v>233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25">
      <c r="A213" t="s">
        <v>240</v>
      </c>
    </row>
    <row r="214" spans="1:34" x14ac:dyDescent="0.25">
      <c r="A214" t="s">
        <v>239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25">
      <c r="A215" t="s">
        <v>238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25">
      <c r="A216" t="s">
        <v>235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25">
      <c r="A217" t="s">
        <v>234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25">
      <c r="A218" t="s">
        <v>420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25">
      <c r="A219" t="s">
        <v>293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25">
      <c r="A220" t="s">
        <v>233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25">
      <c r="A221" t="s">
        <v>307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25">
      <c r="A222" t="s">
        <v>182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25">
      <c r="A224" s="65" t="s">
        <v>232</v>
      </c>
      <c r="B224" s="65"/>
      <c r="C224" s="65"/>
      <c r="D224" s="65"/>
      <c r="E224" s="65"/>
    </row>
    <row r="226" spans="1:34" x14ac:dyDescent="0.25">
      <c r="A226" t="s">
        <v>231</v>
      </c>
    </row>
    <row r="227" spans="1:34" x14ac:dyDescent="0.25">
      <c r="A227" t="s">
        <v>221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230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25">
      <c r="A229" t="s">
        <v>229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228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227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226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184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183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225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25">
      <c r="A236" t="s">
        <v>182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25">
      <c r="A239" t="s">
        <v>224</v>
      </c>
    </row>
    <row r="240" spans="1:34" x14ac:dyDescent="0.25">
      <c r="A240" t="s">
        <v>190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189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222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187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186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221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184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220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219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218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223</v>
      </c>
    </row>
    <row r="251" spans="1:34" x14ac:dyDescent="0.25">
      <c r="A251" t="s">
        <v>190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189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222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187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186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221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184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220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219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218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25">
      <c r="A262" t="s">
        <v>217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25">
      <c r="A263" t="s">
        <v>216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215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25">
      <c r="A265" t="s">
        <v>214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213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25">
      <c r="A268" t="s">
        <v>212</v>
      </c>
    </row>
    <row r="269" spans="1:34" x14ac:dyDescent="0.25">
      <c r="A269" t="s">
        <v>211</v>
      </c>
    </row>
    <row r="270" spans="1:34" x14ac:dyDescent="0.25">
      <c r="A270" t="s">
        <v>210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25">
      <c r="A271" t="s">
        <v>209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208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25">
      <c r="A273" t="s">
        <v>207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25">
      <c r="A274" t="s">
        <v>182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25">
      <c r="A275" t="s">
        <v>206</v>
      </c>
    </row>
    <row r="276" spans="1:34" x14ac:dyDescent="0.25">
      <c r="A276" t="s">
        <v>205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25">
      <c r="A277" t="s">
        <v>204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203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202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25">
      <c r="A280" t="s">
        <v>182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25">
      <c r="A282" t="s">
        <v>201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25">
      <c r="A283" t="s">
        <v>200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25">
      <c r="A285" t="s">
        <v>199</v>
      </c>
    </row>
    <row r="286" spans="1:34" x14ac:dyDescent="0.25">
      <c r="A286" t="s">
        <v>198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25">
      <c r="A287" t="s">
        <v>197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196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195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25">
      <c r="A290" t="s">
        <v>182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25">
      <c r="A292" s="56" t="s">
        <v>428</v>
      </c>
    </row>
    <row r="293" spans="1:34" x14ac:dyDescent="0.25">
      <c r="A293" t="s">
        <v>193</v>
      </c>
    </row>
    <row r="294" spans="1:34" x14ac:dyDescent="0.2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25">
      <c r="A296" t="s">
        <v>272</v>
      </c>
    </row>
    <row r="297" spans="1:34" x14ac:dyDescent="0.25">
      <c r="A297" t="s">
        <v>271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25">
      <c r="A298" t="s">
        <v>270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25">
      <c r="A300" t="s">
        <v>269</v>
      </c>
    </row>
    <row r="301" spans="1:34" x14ac:dyDescent="0.25">
      <c r="A301" t="s">
        <v>221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25">
      <c r="A302" t="s">
        <v>266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25">
      <c r="A303" t="s">
        <v>268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25">
      <c r="A304" t="s">
        <v>229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25">
      <c r="A305" t="s">
        <v>228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25">
      <c r="A306" t="s">
        <v>227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25">
      <c r="A307" t="s">
        <v>423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25">
      <c r="A308" t="s">
        <v>183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25">
      <c r="A309" t="s">
        <v>182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25">
      <c r="A311" t="s">
        <v>267</v>
      </c>
    </row>
    <row r="312" spans="1:34" x14ac:dyDescent="0.25">
      <c r="A312" t="s">
        <v>221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25">
      <c r="A313" t="s">
        <v>266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25">
      <c r="A314" t="s">
        <v>229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228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227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25">
      <c r="A317" t="s">
        <v>423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25">
      <c r="A318" t="s">
        <v>183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25">
      <c r="A320" t="s">
        <v>248</v>
      </c>
    </row>
    <row r="322" spans="1:34" x14ac:dyDescent="0.25">
      <c r="A322" s="50" t="s">
        <v>246</v>
      </c>
      <c r="B322" s="50"/>
      <c r="C322" s="50"/>
      <c r="D322" s="50"/>
      <c r="E322" s="50"/>
      <c r="F322" s="50"/>
    </row>
    <row r="323" spans="1:34" x14ac:dyDescent="0.25">
      <c r="A323" t="s">
        <v>239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25">
      <c r="A324" t="s">
        <v>238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25">
      <c r="A325" t="s">
        <v>235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25">
      <c r="A326" t="s">
        <v>420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25">
      <c r="A327" t="s">
        <v>293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25">
      <c r="A328" t="s">
        <v>182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25">
      <c r="A330" s="65" t="s">
        <v>232</v>
      </c>
      <c r="B330" s="65"/>
      <c r="C330" s="65"/>
      <c r="D330" s="65"/>
      <c r="E330" s="65"/>
    </row>
    <row r="332" spans="1:34" x14ac:dyDescent="0.25">
      <c r="A332" t="s">
        <v>231</v>
      </c>
    </row>
    <row r="333" spans="1:34" x14ac:dyDescent="0.25">
      <c r="A333" t="s">
        <v>221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25">
      <c r="A334" t="s">
        <v>230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229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25">
      <c r="A336" t="s">
        <v>228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25">
      <c r="A337" t="s">
        <v>227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226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25">
      <c r="A339" t="s">
        <v>184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183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25">
      <c r="A341" t="s">
        <v>182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25">
      <c r="A344" t="s">
        <v>224</v>
      </c>
    </row>
    <row r="345" spans="1:34" x14ac:dyDescent="0.25">
      <c r="A345" t="s">
        <v>190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25">
      <c r="A346" t="s">
        <v>189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25">
      <c r="A347" t="s">
        <v>222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187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25">
      <c r="A349" t="s">
        <v>186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221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25">
      <c r="A351" t="s">
        <v>184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25">
      <c r="A352" t="s">
        <v>220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219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25">
      <c r="A354" t="s">
        <v>218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223</v>
      </c>
    </row>
    <row r="356" spans="1:34" x14ac:dyDescent="0.25">
      <c r="A356" t="s">
        <v>190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189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222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25">
      <c r="A359" t="s">
        <v>187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186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25">
      <c r="A361" t="s">
        <v>221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25">
      <c r="A362" t="s">
        <v>184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220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25">
      <c r="A364" t="s">
        <v>219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218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25">
      <c r="A367" t="s">
        <v>217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216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215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214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213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25">
      <c r="A373" t="s">
        <v>212</v>
      </c>
    </row>
    <row r="374" spans="1:34" x14ac:dyDescent="0.25">
      <c r="A374" t="s">
        <v>211</v>
      </c>
    </row>
    <row r="375" spans="1:34" x14ac:dyDescent="0.25">
      <c r="A375" t="s">
        <v>210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209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208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207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182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206</v>
      </c>
    </row>
    <row r="381" spans="1:34" x14ac:dyDescent="0.25">
      <c r="A381" t="s">
        <v>205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204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203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25">
      <c r="A384" t="s">
        <v>202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182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25">
      <c r="A387" t="s">
        <v>201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200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25">
      <c r="A390" t="s">
        <v>199</v>
      </c>
    </row>
    <row r="391" spans="1:34" x14ac:dyDescent="0.25">
      <c r="A391" t="s">
        <v>198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25">
      <c r="A392" t="s">
        <v>197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196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25">
      <c r="A394" t="s">
        <v>195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182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25">
      <c r="A397" s="56" t="s">
        <v>427</v>
      </c>
    </row>
    <row r="398" spans="1:34" x14ac:dyDescent="0.25">
      <c r="A398" t="s">
        <v>193</v>
      </c>
    </row>
    <row r="399" spans="1:34" x14ac:dyDescent="0.2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25">
      <c r="A401" t="s">
        <v>272</v>
      </c>
    </row>
    <row r="402" spans="1:34" x14ac:dyDescent="0.25">
      <c r="A402" t="s">
        <v>271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25">
      <c r="A403" t="s">
        <v>270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25">
      <c r="A405" t="s">
        <v>269</v>
      </c>
    </row>
    <row r="406" spans="1:34" x14ac:dyDescent="0.25">
      <c r="A406" t="s">
        <v>221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25">
      <c r="A407" t="s">
        <v>266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25">
      <c r="A408" t="s">
        <v>230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25">
      <c r="A409" t="s">
        <v>268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25">
      <c r="A410" t="s">
        <v>229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25">
      <c r="A411" t="s">
        <v>228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25">
      <c r="A412" t="s">
        <v>227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25">
      <c r="A413" t="s">
        <v>423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25">
      <c r="A414" t="s">
        <v>183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25">
      <c r="A415" t="s">
        <v>225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25">
      <c r="A416" t="s">
        <v>182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25">
      <c r="A418" t="s">
        <v>267</v>
      </c>
    </row>
    <row r="419" spans="1:34" x14ac:dyDescent="0.25">
      <c r="A419" t="s">
        <v>221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25">
      <c r="A420" t="s">
        <v>266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25">
      <c r="A421" t="s">
        <v>230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25">
      <c r="A422" t="s">
        <v>229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228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25">
      <c r="A424" t="s">
        <v>227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25">
      <c r="A425" t="s">
        <v>423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25">
      <c r="A426" t="s">
        <v>183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25">
      <c r="A427" t="s">
        <v>225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25">
      <c r="A429" t="s">
        <v>248</v>
      </c>
    </row>
    <row r="431" spans="1:34" x14ac:dyDescent="0.25">
      <c r="A431" s="50" t="s">
        <v>246</v>
      </c>
      <c r="B431" s="50"/>
      <c r="C431" s="50"/>
      <c r="D431" s="50"/>
      <c r="E431" s="50"/>
      <c r="F431" s="50"/>
    </row>
    <row r="432" spans="1:34" x14ac:dyDescent="0.25">
      <c r="A432" t="s">
        <v>239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25">
      <c r="A433" t="s">
        <v>238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25">
      <c r="A434" t="s">
        <v>237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25">
      <c r="A435" t="s">
        <v>236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25">
      <c r="A436" t="s">
        <v>235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25">
      <c r="A437" t="s">
        <v>420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25">
      <c r="A438" t="s">
        <v>293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25">
      <c r="A439" t="s">
        <v>233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25">
      <c r="A440" t="s">
        <v>426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25">
      <c r="A441" t="s">
        <v>182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25">
      <c r="A443" t="s">
        <v>232</v>
      </c>
    </row>
    <row r="445" spans="1:34" x14ac:dyDescent="0.25">
      <c r="A445" s="65" t="s">
        <v>231</v>
      </c>
      <c r="B445" s="65"/>
      <c r="C445" s="65"/>
      <c r="D445" s="65"/>
      <c r="E445" s="65"/>
      <c r="F445" s="65"/>
      <c r="G445" s="65"/>
    </row>
    <row r="446" spans="1:34" x14ac:dyDescent="0.25">
      <c r="A446" t="s">
        <v>221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25">
      <c r="A447" t="s">
        <v>230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25">
      <c r="A448" t="s">
        <v>229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25">
      <c r="A449" t="s">
        <v>228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227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25">
      <c r="A451" t="s">
        <v>226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25">
      <c r="A452" t="s">
        <v>184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183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25">
      <c r="A454" t="s">
        <v>182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25">
      <c r="A457" t="s">
        <v>224</v>
      </c>
    </row>
    <row r="458" spans="1:34" x14ac:dyDescent="0.25">
      <c r="A458" t="s">
        <v>190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25">
      <c r="A459" t="s">
        <v>189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222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25">
      <c r="A461" t="s">
        <v>187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25">
      <c r="A462" t="s">
        <v>186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221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25">
      <c r="A464" t="s">
        <v>184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220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25">
      <c r="A466" t="s">
        <v>219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25">
      <c r="A467" t="s">
        <v>218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223</v>
      </c>
    </row>
    <row r="469" spans="1:34" x14ac:dyDescent="0.25">
      <c r="A469" t="s">
        <v>190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189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25">
      <c r="A471" t="s">
        <v>222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25">
      <c r="A472" t="s">
        <v>187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186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25">
      <c r="A474" t="s">
        <v>221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184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25">
      <c r="A476" t="s">
        <v>220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25">
      <c r="A477" t="s">
        <v>219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218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25">
      <c r="A480" t="s">
        <v>217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25">
      <c r="A481" t="s">
        <v>216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25">
      <c r="A482" t="s">
        <v>215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25">
      <c r="A483" t="s">
        <v>214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25">
      <c r="A484" t="s">
        <v>213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25">
      <c r="A486" t="s">
        <v>212</v>
      </c>
    </row>
    <row r="487" spans="1:34" x14ac:dyDescent="0.25">
      <c r="A487" t="s">
        <v>211</v>
      </c>
    </row>
    <row r="488" spans="1:34" x14ac:dyDescent="0.25">
      <c r="A488" t="s">
        <v>210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25">
      <c r="A489" t="s">
        <v>209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208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25">
      <c r="A491" t="s">
        <v>207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25">
      <c r="A492" t="s">
        <v>182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25">
      <c r="A493" t="s">
        <v>206</v>
      </c>
    </row>
    <row r="494" spans="1:34" x14ac:dyDescent="0.25">
      <c r="A494" t="s">
        <v>205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25">
      <c r="A495" t="s">
        <v>204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25">
      <c r="A496" t="s">
        <v>203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25">
      <c r="A497" t="s">
        <v>202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182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25">
      <c r="A500" t="s">
        <v>201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25">
      <c r="A501" t="s">
        <v>200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25">
      <c r="A503" t="s">
        <v>199</v>
      </c>
    </row>
    <row r="504" spans="1:34" x14ac:dyDescent="0.25">
      <c r="A504" t="s">
        <v>198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25">
      <c r="A505" t="s">
        <v>197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25">
      <c r="A506" t="s">
        <v>196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25">
      <c r="A507" t="s">
        <v>195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182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25">
      <c r="A510" s="56" t="s">
        <v>425</v>
      </c>
    </row>
    <row r="511" spans="1:34" x14ac:dyDescent="0.25">
      <c r="A511" t="s">
        <v>193</v>
      </c>
    </row>
    <row r="512" spans="1:34" x14ac:dyDescent="0.2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25">
      <c r="A514" t="s">
        <v>272</v>
      </c>
    </row>
    <row r="515" spans="1:34" x14ac:dyDescent="0.25">
      <c r="A515" t="s">
        <v>271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25">
      <c r="A516" t="s">
        <v>270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25">
      <c r="A518" t="s">
        <v>269</v>
      </c>
    </row>
    <row r="519" spans="1:34" x14ac:dyDescent="0.25">
      <c r="A519" t="s">
        <v>221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25">
      <c r="A520" t="s">
        <v>266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25">
      <c r="A521" t="s">
        <v>230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25">
      <c r="A522" t="s">
        <v>268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25">
      <c r="A523" t="s">
        <v>229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25">
      <c r="A524" t="s">
        <v>228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227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25">
      <c r="A526" t="s">
        <v>423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25">
      <c r="A527" t="s">
        <v>182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25">
      <c r="A529" t="s">
        <v>267</v>
      </c>
    </row>
    <row r="530" spans="1:34" x14ac:dyDescent="0.25">
      <c r="A530" t="s">
        <v>221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25">
      <c r="A531" t="s">
        <v>266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25">
      <c r="A532" t="s">
        <v>230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25">
      <c r="A533" t="s">
        <v>229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25">
      <c r="A534" t="s">
        <v>228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A535" t="s">
        <v>227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25">
      <c r="A536" t="s">
        <v>423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25">
      <c r="A538" t="s">
        <v>248</v>
      </c>
    </row>
    <row r="540" spans="1:34" x14ac:dyDescent="0.25">
      <c r="A540" s="50" t="s">
        <v>246</v>
      </c>
      <c r="B540" s="50"/>
      <c r="C540" s="50"/>
      <c r="D540" s="50"/>
      <c r="E540" s="50"/>
      <c r="F540" s="50"/>
    </row>
    <row r="541" spans="1:34" x14ac:dyDescent="0.25">
      <c r="A541" t="s">
        <v>239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25">
      <c r="A542" t="s">
        <v>238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25">
      <c r="A543" t="s">
        <v>237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25">
      <c r="A544" t="s">
        <v>235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25">
      <c r="A545" t="s">
        <v>420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25">
      <c r="A546" t="s">
        <v>233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25">
      <c r="A547" t="s">
        <v>182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25">
      <c r="A549" t="s">
        <v>232</v>
      </c>
    </row>
    <row r="551" spans="1:34" x14ac:dyDescent="0.25">
      <c r="A551" s="65" t="s">
        <v>231</v>
      </c>
      <c r="B551" s="65"/>
      <c r="C551" s="65"/>
      <c r="D551" s="65"/>
      <c r="E551" s="65"/>
      <c r="F551" s="65"/>
      <c r="G551" s="65"/>
    </row>
    <row r="552" spans="1:34" x14ac:dyDescent="0.25">
      <c r="A552" t="s">
        <v>221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25">
      <c r="A553" t="s">
        <v>230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25">
      <c r="A554" t="s">
        <v>229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25">
      <c r="A555" t="s">
        <v>228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25">
      <c r="A556" t="s">
        <v>227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25">
      <c r="A557" t="s">
        <v>226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25">
      <c r="A558" t="s">
        <v>184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25">
      <c r="A559" t="s">
        <v>183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25">
      <c r="A560" t="s">
        <v>182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25">
      <c r="A563" t="s">
        <v>224</v>
      </c>
    </row>
    <row r="564" spans="1:34" x14ac:dyDescent="0.25">
      <c r="A564" t="s">
        <v>190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25">
      <c r="A565" t="s">
        <v>189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25">
      <c r="A566" t="s">
        <v>222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25">
      <c r="A567" t="s">
        <v>187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25">
      <c r="A568" t="s">
        <v>186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25">
      <c r="A569" t="s">
        <v>221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25">
      <c r="A570" t="s">
        <v>184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25">
      <c r="A571" t="s">
        <v>220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25">
      <c r="A572" t="s">
        <v>219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25">
      <c r="A573" t="s">
        <v>218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25">
      <c r="A574" t="s">
        <v>223</v>
      </c>
    </row>
    <row r="575" spans="1:34" x14ac:dyDescent="0.25">
      <c r="A575" t="s">
        <v>190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25">
      <c r="A576" t="s">
        <v>189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25">
      <c r="A577" t="s">
        <v>222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25">
      <c r="A578" t="s">
        <v>187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25">
      <c r="A579" t="s">
        <v>186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25">
      <c r="A580" t="s">
        <v>221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25">
      <c r="A581" t="s">
        <v>184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25">
      <c r="A582" t="s">
        <v>220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25">
      <c r="A583" t="s">
        <v>219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25">
      <c r="A584" t="s">
        <v>218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25">
      <c r="A586" t="s">
        <v>217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25">
      <c r="A587" t="s">
        <v>216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25">
      <c r="A588" t="s">
        <v>215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25">
      <c r="A589" t="s">
        <v>214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25">
      <c r="A590" t="s">
        <v>213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25">
      <c r="A592" t="s">
        <v>212</v>
      </c>
    </row>
    <row r="593" spans="1:34" x14ac:dyDescent="0.25">
      <c r="A593" t="s">
        <v>211</v>
      </c>
    </row>
    <row r="594" spans="1:34" x14ac:dyDescent="0.25">
      <c r="A594" t="s">
        <v>210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25">
      <c r="A595" t="s">
        <v>209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25">
      <c r="A596" t="s">
        <v>208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25">
      <c r="A597" t="s">
        <v>207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25">
      <c r="A598" t="s">
        <v>182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25">
      <c r="A599" t="s">
        <v>206</v>
      </c>
    </row>
    <row r="600" spans="1:34" x14ac:dyDescent="0.25">
      <c r="A600" t="s">
        <v>205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25">
      <c r="A601" t="s">
        <v>204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25">
      <c r="A602" t="s">
        <v>203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25">
      <c r="A603" t="s">
        <v>202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25">
      <c r="A604" t="s">
        <v>182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25">
      <c r="A606" t="s">
        <v>201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25">
      <c r="A607" t="s">
        <v>200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25">
      <c r="A609" t="s">
        <v>199</v>
      </c>
    </row>
    <row r="610" spans="1:34" x14ac:dyDescent="0.25">
      <c r="A610" t="s">
        <v>198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25">
      <c r="A611" t="s">
        <v>197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25">
      <c r="A612" t="s">
        <v>196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25">
      <c r="A613" t="s">
        <v>195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25">
      <c r="A614" t="s">
        <v>182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25">
      <c r="A616" s="56" t="s">
        <v>424</v>
      </c>
    </row>
    <row r="617" spans="1:34" x14ac:dyDescent="0.25">
      <c r="A617" t="s">
        <v>193</v>
      </c>
    </row>
    <row r="618" spans="1:34" x14ac:dyDescent="0.2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25">
      <c r="A620" t="s">
        <v>272</v>
      </c>
    </row>
    <row r="621" spans="1:34" x14ac:dyDescent="0.25">
      <c r="A621" t="s">
        <v>271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25">
      <c r="A622" t="s">
        <v>270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25">
      <c r="A624" t="s">
        <v>269</v>
      </c>
    </row>
    <row r="625" spans="1:34" x14ac:dyDescent="0.25">
      <c r="A625" t="s">
        <v>221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25">
      <c r="A626" t="s">
        <v>266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25">
      <c r="A627" t="s">
        <v>268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25">
      <c r="A628" t="s">
        <v>227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25">
      <c r="A629" t="s">
        <v>226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25">
      <c r="A630" t="s">
        <v>423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25">
      <c r="A631" t="s">
        <v>422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25">
      <c r="A632" t="s">
        <v>183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25">
      <c r="A633" t="s">
        <v>182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25">
      <c r="A635" t="s">
        <v>267</v>
      </c>
    </row>
    <row r="636" spans="1:34" x14ac:dyDescent="0.25">
      <c r="A636" t="s">
        <v>221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25">
      <c r="A637" t="s">
        <v>266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25">
      <c r="A638" t="s">
        <v>227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25">
      <c r="A639" t="s">
        <v>226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25">
      <c r="A640" t="s">
        <v>423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25">
      <c r="A641" t="s">
        <v>422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25">
      <c r="A642" t="s">
        <v>183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25">
      <c r="A644" t="s">
        <v>248</v>
      </c>
    </row>
    <row r="646" spans="1:34" x14ac:dyDescent="0.25">
      <c r="A646" s="50" t="s">
        <v>246</v>
      </c>
      <c r="B646" s="50"/>
      <c r="C646" s="50"/>
      <c r="D646" s="50"/>
      <c r="E646" s="50"/>
      <c r="F646" s="50"/>
    </row>
    <row r="647" spans="1:34" x14ac:dyDescent="0.25">
      <c r="A647" t="s">
        <v>421</v>
      </c>
    </row>
    <row r="648" spans="1:34" x14ac:dyDescent="0.25">
      <c r="A648" t="s">
        <v>239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25">
      <c r="A649" t="s">
        <v>238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25">
      <c r="A650" t="s">
        <v>235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25">
      <c r="A651" t="s">
        <v>234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25">
      <c r="A652" t="s">
        <v>420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25">
      <c r="A653" t="s">
        <v>419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25">
      <c r="A654" t="s">
        <v>293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25">
      <c r="A655" t="s">
        <v>240</v>
      </c>
    </row>
    <row r="656" spans="1:34" x14ac:dyDescent="0.25">
      <c r="A656" t="s">
        <v>239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25">
      <c r="A657" t="s">
        <v>238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25">
      <c r="A658" t="s">
        <v>235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25">
      <c r="A659" t="s">
        <v>234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25">
      <c r="A660" t="s">
        <v>420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25">
      <c r="A661" t="s">
        <v>419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25">
      <c r="A662" t="s">
        <v>293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25">
      <c r="A663" t="s">
        <v>182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25">
      <c r="A665" t="s">
        <v>232</v>
      </c>
    </row>
    <row r="667" spans="1:34" x14ac:dyDescent="0.25">
      <c r="A667" s="65" t="s">
        <v>231</v>
      </c>
      <c r="B667" s="65"/>
      <c r="C667" s="65"/>
      <c r="D667" s="65"/>
      <c r="E667" s="65"/>
      <c r="F667" s="65"/>
      <c r="G667" s="65"/>
    </row>
    <row r="668" spans="1:34" x14ac:dyDescent="0.25">
      <c r="A668" t="s">
        <v>221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25">
      <c r="A669" t="s">
        <v>230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25">
      <c r="A670" t="s">
        <v>229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25">
      <c r="A671" t="s">
        <v>228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25">
      <c r="A672" t="s">
        <v>227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25">
      <c r="A673" t="s">
        <v>226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25">
      <c r="A674" t="s">
        <v>184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25">
      <c r="A675" t="s">
        <v>183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25">
      <c r="A676" t="s">
        <v>182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25">
      <c r="A679" t="s">
        <v>224</v>
      </c>
    </row>
    <row r="680" spans="1:34" x14ac:dyDescent="0.25">
      <c r="A680" t="s">
        <v>190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25">
      <c r="A681" t="s">
        <v>189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25">
      <c r="A682" t="s">
        <v>222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25">
      <c r="A683" t="s">
        <v>187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25">
      <c r="A684" t="s">
        <v>186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25">
      <c r="A685" t="s">
        <v>221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25">
      <c r="A686" t="s">
        <v>184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25">
      <c r="A687" t="s">
        <v>220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25">
      <c r="A688" t="s">
        <v>219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25">
      <c r="A689" t="s">
        <v>218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25">
      <c r="A690" t="s">
        <v>223</v>
      </c>
    </row>
    <row r="691" spans="1:34" x14ac:dyDescent="0.25">
      <c r="A691" t="s">
        <v>190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25">
      <c r="A692" t="s">
        <v>189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25">
      <c r="A693" t="s">
        <v>222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25">
      <c r="A694" t="s">
        <v>187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25">
      <c r="A695" t="s">
        <v>186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25">
      <c r="A696" t="s">
        <v>221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25">
      <c r="A697" t="s">
        <v>184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25">
      <c r="A698" t="s">
        <v>220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25">
      <c r="A699" t="s">
        <v>219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25">
      <c r="A700" t="s">
        <v>218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25">
      <c r="A702" t="s">
        <v>217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25">
      <c r="A703" t="s">
        <v>216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25">
      <c r="A704" t="s">
        <v>215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25">
      <c r="A705" t="s">
        <v>214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25">
      <c r="A706" t="s">
        <v>213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25">
      <c r="A708" t="s">
        <v>212</v>
      </c>
    </row>
    <row r="709" spans="1:34" x14ac:dyDescent="0.25">
      <c r="A709" t="s">
        <v>211</v>
      </c>
    </row>
    <row r="710" spans="1:34" x14ac:dyDescent="0.25">
      <c r="A710" t="s">
        <v>210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25">
      <c r="A711" t="s">
        <v>209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25">
      <c r="A712" t="s">
        <v>208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25">
      <c r="A713" t="s">
        <v>207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25">
      <c r="A714" t="s">
        <v>182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25">
      <c r="A715" t="s">
        <v>206</v>
      </c>
    </row>
    <row r="716" spans="1:34" x14ac:dyDescent="0.25">
      <c r="A716" t="s">
        <v>205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25">
      <c r="A717" t="s">
        <v>204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25">
      <c r="A718" t="s">
        <v>203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25">
      <c r="A719" t="s">
        <v>202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25">
      <c r="A720" t="s">
        <v>182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25">
      <c r="A722" t="s">
        <v>201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25">
      <c r="A723" t="s">
        <v>200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25">
      <c r="A725" t="s">
        <v>199</v>
      </c>
    </row>
    <row r="726" spans="1:34" x14ac:dyDescent="0.25">
      <c r="A726" t="s">
        <v>198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25">
      <c r="A727" t="s">
        <v>197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25">
      <c r="A728" t="s">
        <v>196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25">
      <c r="A729" t="s">
        <v>195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25">
      <c r="A730" t="s">
        <v>182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25">
      <c r="A732" s="56" t="s">
        <v>418</v>
      </c>
    </row>
    <row r="733" spans="1:34" x14ac:dyDescent="0.25">
      <c r="A733" t="s">
        <v>193</v>
      </c>
    </row>
    <row r="734" spans="1:34" x14ac:dyDescent="0.2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25">
      <c r="A736" t="s">
        <v>272</v>
      </c>
    </row>
    <row r="737" spans="1:34" x14ac:dyDescent="0.25">
      <c r="A737" t="s">
        <v>271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25">
      <c r="A738" t="s">
        <v>270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25">
      <c r="A740" t="s">
        <v>269</v>
      </c>
    </row>
    <row r="741" spans="1:34" x14ac:dyDescent="0.25">
      <c r="A741" t="s">
        <v>221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25">
      <c r="A742" t="s">
        <v>266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25">
      <c r="A743" t="s">
        <v>230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25">
      <c r="A744" t="s">
        <v>268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25">
      <c r="A745" t="s">
        <v>229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25">
      <c r="A746" t="s">
        <v>228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25">
      <c r="A747" t="s">
        <v>227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25">
      <c r="A748" t="s">
        <v>226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25">
      <c r="A749" t="s">
        <v>265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25">
      <c r="A750" t="s">
        <v>225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25">
      <c r="A751" t="s">
        <v>313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25">
      <c r="A752" t="s">
        <v>182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25">
      <c r="A754" t="s">
        <v>267</v>
      </c>
    </row>
    <row r="755" spans="1:34" x14ac:dyDescent="0.25">
      <c r="A755" t="s">
        <v>221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25">
      <c r="A756" t="s">
        <v>266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25">
      <c r="A757" t="s">
        <v>230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25">
      <c r="A758" t="s">
        <v>229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25">
      <c r="A759" t="s">
        <v>228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25">
      <c r="A760" t="s">
        <v>227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25">
      <c r="A761" t="s">
        <v>226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25">
      <c r="A762" t="s">
        <v>265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25">
      <c r="A763" t="s">
        <v>225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25">
      <c r="A764" t="s">
        <v>313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25">
      <c r="A766" t="s">
        <v>264</v>
      </c>
    </row>
    <row r="768" spans="1:34" x14ac:dyDescent="0.25">
      <c r="A768" t="s">
        <v>263</v>
      </c>
    </row>
    <row r="769" spans="1:34" x14ac:dyDescent="0.25">
      <c r="A769" t="s">
        <v>262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25">
      <c r="A770" t="s">
        <v>261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25">
      <c r="A771" t="s">
        <v>260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25">
      <c r="A772" t="s">
        <v>259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25">
      <c r="A773" t="s">
        <v>258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25">
      <c r="A774" t="s">
        <v>257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25">
      <c r="A775" t="s">
        <v>256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25">
      <c r="A776" t="s">
        <v>255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25">
      <c r="A777" t="s">
        <v>254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25">
      <c r="A778" t="s">
        <v>253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25">
      <c r="A779" t="s">
        <v>252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25">
      <c r="A780" t="s">
        <v>251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25">
      <c r="A781" t="s">
        <v>250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25">
      <c r="A782" t="s">
        <v>249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25">
      <c r="A784" t="s">
        <v>248</v>
      </c>
    </row>
    <row r="786" spans="1:34" x14ac:dyDescent="0.25">
      <c r="A786" t="s">
        <v>247</v>
      </c>
    </row>
    <row r="787" spans="1:34" x14ac:dyDescent="0.25">
      <c r="A787" t="s">
        <v>417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25">
      <c r="A788" t="s">
        <v>416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25">
      <c r="A789" t="s">
        <v>415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25">
      <c r="A790" t="s">
        <v>414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25">
      <c r="A791" t="s">
        <v>413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25">
      <c r="A792" t="s">
        <v>412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25">
      <c r="A793" t="s">
        <v>411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25">
      <c r="A794" t="s">
        <v>410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25">
      <c r="A795" t="s">
        <v>409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25">
      <c r="A796" t="s">
        <v>408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25">
      <c r="A797" t="s">
        <v>407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25">
      <c r="A798" t="s">
        <v>406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25">
      <c r="A799" t="s">
        <v>405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25">
      <c r="A800" t="s">
        <v>404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25">
      <c r="A801" t="s">
        <v>403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25">
      <c r="A802" t="s">
        <v>402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25">
      <c r="A804" t="s">
        <v>246</v>
      </c>
    </row>
    <row r="806" spans="1:34" x14ac:dyDescent="0.25">
      <c r="A806" t="s">
        <v>401</v>
      </c>
    </row>
    <row r="807" spans="1:34" x14ac:dyDescent="0.25">
      <c r="A807" t="s">
        <v>351</v>
      </c>
    </row>
    <row r="808" spans="1:34" x14ac:dyDescent="0.25">
      <c r="A808" t="s">
        <v>239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25">
      <c r="A809" t="s">
        <v>238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25">
      <c r="A810" t="s">
        <v>237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25">
      <c r="A811" t="s">
        <v>235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25">
      <c r="A812" t="s">
        <v>234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25">
      <c r="A813" t="s">
        <v>233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25">
      <c r="A814" t="s">
        <v>182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25">
      <c r="A815" t="s">
        <v>350</v>
      </c>
    </row>
    <row r="816" spans="1:34" x14ac:dyDescent="0.25">
      <c r="A816" t="s">
        <v>239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25">
      <c r="A817" t="s">
        <v>349</v>
      </c>
    </row>
    <row r="818" spans="1:34" x14ac:dyDescent="0.25">
      <c r="A818" t="s">
        <v>239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25">
      <c r="A819" t="s">
        <v>238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25">
      <c r="A820" t="s">
        <v>235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25">
      <c r="A821" t="s">
        <v>234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25">
      <c r="A822" t="s">
        <v>182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25">
      <c r="A823" t="s">
        <v>220</v>
      </c>
    </row>
    <row r="824" spans="1:34" x14ac:dyDescent="0.25">
      <c r="A824" t="s">
        <v>239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25">
      <c r="A825" t="s">
        <v>238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25">
      <c r="A826" t="s">
        <v>235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25">
      <c r="A827" t="s">
        <v>182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25">
      <c r="A828" t="s">
        <v>400</v>
      </c>
    </row>
    <row r="829" spans="1:34" x14ac:dyDescent="0.25">
      <c r="A829" t="s">
        <v>239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25">
      <c r="A830" t="s">
        <v>238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25">
      <c r="A831" t="s">
        <v>237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25">
      <c r="A832" t="s">
        <v>235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25">
      <c r="A833" t="s">
        <v>234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25">
      <c r="A834" t="s">
        <v>233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25">
      <c r="A835" t="s">
        <v>182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25">
      <c r="A837" t="s">
        <v>399</v>
      </c>
    </row>
    <row r="838" spans="1:34" x14ac:dyDescent="0.25">
      <c r="A838" t="s">
        <v>351</v>
      </c>
    </row>
    <row r="839" spans="1:34" x14ac:dyDescent="0.25">
      <c r="A839" t="s">
        <v>239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25">
      <c r="A840" t="s">
        <v>238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25">
      <c r="A841" t="s">
        <v>237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25">
      <c r="A842" t="s">
        <v>235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25">
      <c r="A843" t="s">
        <v>234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25">
      <c r="A844" t="s">
        <v>233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25">
      <c r="A845" t="s">
        <v>182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25">
      <c r="A846" t="s">
        <v>350</v>
      </c>
    </row>
    <row r="847" spans="1:34" x14ac:dyDescent="0.25">
      <c r="A847" t="s">
        <v>239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25">
      <c r="A848" t="s">
        <v>238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25">
      <c r="A849" t="s">
        <v>182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25">
      <c r="A850" t="s">
        <v>349</v>
      </c>
    </row>
    <row r="851" spans="1:34" x14ac:dyDescent="0.25">
      <c r="A851" t="s">
        <v>239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25">
      <c r="A852" t="s">
        <v>238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25">
      <c r="A853" t="s">
        <v>235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25">
      <c r="A854" t="s">
        <v>234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25">
      <c r="A855" t="s">
        <v>182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25">
      <c r="A856" t="s">
        <v>220</v>
      </c>
    </row>
    <row r="857" spans="1:34" x14ac:dyDescent="0.25">
      <c r="A857" t="s">
        <v>238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25">
      <c r="A858" t="s">
        <v>235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25">
      <c r="A859" t="s">
        <v>182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25">
      <c r="A860" t="s">
        <v>398</v>
      </c>
    </row>
    <row r="861" spans="1:34" x14ac:dyDescent="0.25">
      <c r="A861" t="s">
        <v>239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25">
      <c r="A862" t="s">
        <v>238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25">
      <c r="A863" t="s">
        <v>237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25">
      <c r="A864" t="s">
        <v>235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25">
      <c r="A865" t="s">
        <v>234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25">
      <c r="A866" t="s">
        <v>233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25">
      <c r="A867" t="s">
        <v>182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25">
      <c r="A869" t="s">
        <v>397</v>
      </c>
    </row>
    <row r="870" spans="1:34" x14ac:dyDescent="0.25">
      <c r="A870" t="s">
        <v>351</v>
      </c>
    </row>
    <row r="871" spans="1:34" x14ac:dyDescent="0.25">
      <c r="A871" t="s">
        <v>239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25">
      <c r="A872" t="s">
        <v>238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25">
      <c r="A873" t="s">
        <v>237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25">
      <c r="A874" t="s">
        <v>235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25">
      <c r="A875" t="s">
        <v>234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25">
      <c r="A876" t="s">
        <v>233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25">
      <c r="A877" t="s">
        <v>182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25">
      <c r="A878" t="s">
        <v>350</v>
      </c>
    </row>
    <row r="879" spans="1:34" x14ac:dyDescent="0.25">
      <c r="A879" t="s">
        <v>239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25">
      <c r="A880" t="s">
        <v>238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25">
      <c r="A881" t="s">
        <v>182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25">
      <c r="A882" t="s">
        <v>349</v>
      </c>
    </row>
    <row r="883" spans="1:34" x14ac:dyDescent="0.25">
      <c r="A883" t="s">
        <v>239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25">
      <c r="A884" t="s">
        <v>238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25">
      <c r="A885" t="s">
        <v>235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25">
      <c r="A886" t="s">
        <v>234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25">
      <c r="A887" t="s">
        <v>182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25">
      <c r="A888" t="s">
        <v>220</v>
      </c>
    </row>
    <row r="889" spans="1:34" x14ac:dyDescent="0.25">
      <c r="A889" t="s">
        <v>239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25">
      <c r="A890" t="s">
        <v>238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25">
      <c r="A891" t="s">
        <v>235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25">
      <c r="A892" t="s">
        <v>182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25">
      <c r="A893" t="s">
        <v>396</v>
      </c>
    </row>
    <row r="894" spans="1:34" x14ac:dyDescent="0.25">
      <c r="A894" t="s">
        <v>239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25">
      <c r="A895" t="s">
        <v>238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25">
      <c r="A896" t="s">
        <v>237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25">
      <c r="A897" t="s">
        <v>235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25">
      <c r="A898" t="s">
        <v>234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25">
      <c r="A899" t="s">
        <v>233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25">
      <c r="A900" t="s">
        <v>182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25">
      <c r="A902" t="s">
        <v>395</v>
      </c>
    </row>
    <row r="903" spans="1:34" x14ac:dyDescent="0.25">
      <c r="A903" t="s">
        <v>351</v>
      </c>
    </row>
    <row r="904" spans="1:34" x14ac:dyDescent="0.25">
      <c r="A904" t="s">
        <v>239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25">
      <c r="A905" t="s">
        <v>238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25">
      <c r="A906" t="s">
        <v>237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25">
      <c r="A907" t="s">
        <v>235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25">
      <c r="A908" t="s">
        <v>234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25">
      <c r="A909" t="s">
        <v>233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25">
      <c r="A910" t="s">
        <v>182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25">
      <c r="A911" t="s">
        <v>350</v>
      </c>
    </row>
    <row r="912" spans="1:34" x14ac:dyDescent="0.25">
      <c r="A912" t="s">
        <v>239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25">
      <c r="A913" t="s">
        <v>238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25">
      <c r="A914" t="s">
        <v>182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25">
      <c r="A915" t="s">
        <v>349</v>
      </c>
    </row>
    <row r="916" spans="1:34" x14ac:dyDescent="0.25">
      <c r="A916" t="s">
        <v>239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25">
      <c r="A917" t="s">
        <v>238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25">
      <c r="A918" t="s">
        <v>235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25">
      <c r="A919" t="s">
        <v>234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25">
      <c r="A920" t="s">
        <v>182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25">
      <c r="A921" t="s">
        <v>220</v>
      </c>
    </row>
    <row r="922" spans="1:34" x14ac:dyDescent="0.25">
      <c r="A922" t="s">
        <v>239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25">
      <c r="A923" t="s">
        <v>238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25">
      <c r="A924" t="s">
        <v>235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25">
      <c r="A925" t="s">
        <v>182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25">
      <c r="A926" t="s">
        <v>394</v>
      </c>
    </row>
    <row r="927" spans="1:34" x14ac:dyDescent="0.25">
      <c r="A927" t="s">
        <v>239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25">
      <c r="A928" t="s">
        <v>238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25">
      <c r="A929" t="s">
        <v>237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25">
      <c r="A930" t="s">
        <v>235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25">
      <c r="A931" t="s">
        <v>234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25">
      <c r="A932" t="s">
        <v>233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25">
      <c r="A933" t="s">
        <v>182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25">
      <c r="A935" t="s">
        <v>326</v>
      </c>
    </row>
    <row r="936" spans="1:34" x14ac:dyDescent="0.25">
      <c r="A936" t="s">
        <v>221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25">
      <c r="A937" t="s">
        <v>266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25">
      <c r="A938" t="s">
        <v>229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25">
      <c r="A939" t="s">
        <v>227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25">
      <c r="A940" t="s">
        <v>226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25">
      <c r="A941" t="s">
        <v>325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25">
      <c r="A942" t="s">
        <v>322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25">
      <c r="A944" t="s">
        <v>232</v>
      </c>
    </row>
    <row r="946" spans="1:34" x14ac:dyDescent="0.25">
      <c r="A946" t="s">
        <v>231</v>
      </c>
    </row>
    <row r="947" spans="1:34" x14ac:dyDescent="0.25">
      <c r="A947" t="s">
        <v>221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25">
      <c r="A948" t="s">
        <v>230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25">
      <c r="A949" t="s">
        <v>229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25">
      <c r="A950" t="s">
        <v>228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25">
      <c r="A951" t="s">
        <v>227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25">
      <c r="A952" t="s">
        <v>226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25">
      <c r="A953" t="s">
        <v>184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25">
      <c r="A954" t="s">
        <v>183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25">
      <c r="A955" t="s">
        <v>225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25">
      <c r="A956" t="s">
        <v>182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25">
      <c r="A959" t="s">
        <v>224</v>
      </c>
    </row>
    <row r="960" spans="1:34" x14ac:dyDescent="0.25">
      <c r="A960" t="s">
        <v>190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25">
      <c r="A961" t="s">
        <v>189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25">
      <c r="A962" t="s">
        <v>222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25">
      <c r="A963" t="s">
        <v>187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25">
      <c r="A964" t="s">
        <v>186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25">
      <c r="A965" t="s">
        <v>221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25">
      <c r="A966" t="s">
        <v>184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25">
      <c r="A967" t="s">
        <v>220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25">
      <c r="A968" t="s">
        <v>219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25">
      <c r="A969" t="s">
        <v>218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25">
      <c r="A970" t="s">
        <v>223</v>
      </c>
    </row>
    <row r="971" spans="1:34" x14ac:dyDescent="0.25">
      <c r="A971" t="s">
        <v>190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25">
      <c r="A972" t="s">
        <v>189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25">
      <c r="A973" t="s">
        <v>222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25">
      <c r="A974" t="s">
        <v>187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25">
      <c r="A975" t="s">
        <v>186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25">
      <c r="A976" t="s">
        <v>221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25">
      <c r="A977" t="s">
        <v>184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25">
      <c r="A978" t="s">
        <v>220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25">
      <c r="A979" t="s">
        <v>219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25">
      <c r="A980" t="s">
        <v>218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25">
      <c r="A982" t="s">
        <v>217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25">
      <c r="A983" t="s">
        <v>216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25">
      <c r="A984" t="s">
        <v>215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25">
      <c r="A985" t="s">
        <v>214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25">
      <c r="A986" t="s">
        <v>213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25">
      <c r="A988" t="s">
        <v>212</v>
      </c>
    </row>
    <row r="989" spans="1:34" x14ac:dyDescent="0.25">
      <c r="A989" t="s">
        <v>211</v>
      </c>
    </row>
    <row r="990" spans="1:34" x14ac:dyDescent="0.25">
      <c r="A990" t="s">
        <v>210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25">
      <c r="A991" t="s">
        <v>209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25">
      <c r="A992" t="s">
        <v>208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25">
      <c r="A993" t="s">
        <v>207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25">
      <c r="A994" t="s">
        <v>182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25">
      <c r="A995" t="s">
        <v>206</v>
      </c>
    </row>
    <row r="996" spans="1:34" x14ac:dyDescent="0.25">
      <c r="A996" t="s">
        <v>205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25">
      <c r="A997" t="s">
        <v>204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25">
      <c r="A998" t="s">
        <v>203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25">
      <c r="A999" t="s">
        <v>202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25">
      <c r="A1000" t="s">
        <v>182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25">
      <c r="A1002" t="s">
        <v>201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25">
      <c r="A1003" t="s">
        <v>200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25">
      <c r="A1005" t="s">
        <v>199</v>
      </c>
    </row>
    <row r="1006" spans="1:34" x14ac:dyDescent="0.25">
      <c r="A1006" t="s">
        <v>198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25">
      <c r="A1007" t="s">
        <v>197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25">
      <c r="A1008" t="s">
        <v>196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25">
      <c r="A1009" t="s">
        <v>195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25">
      <c r="A1010" t="s">
        <v>182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25">
      <c r="A1012" s="56" t="s">
        <v>393</v>
      </c>
    </row>
    <row r="1013" spans="1:34" x14ac:dyDescent="0.25">
      <c r="A1013" t="s">
        <v>193</v>
      </c>
    </row>
    <row r="1014" spans="1:34" x14ac:dyDescent="0.2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25">
      <c r="A1016" t="s">
        <v>272</v>
      </c>
    </row>
    <row r="1017" spans="1:34" x14ac:dyDescent="0.25">
      <c r="A1017" t="s">
        <v>271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25">
      <c r="A1018" t="s">
        <v>290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25">
      <c r="A1019" t="s">
        <v>270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25">
      <c r="A1021" t="s">
        <v>269</v>
      </c>
    </row>
    <row r="1022" spans="1:34" x14ac:dyDescent="0.25">
      <c r="A1022" t="s">
        <v>221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25">
      <c r="A1023" t="s">
        <v>266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25">
      <c r="A1024" t="s">
        <v>230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25">
      <c r="A1025" t="s">
        <v>268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25">
      <c r="A1026" t="s">
        <v>229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25">
      <c r="A1027" t="s">
        <v>228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25">
      <c r="A1028" t="s">
        <v>227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25">
      <c r="A1029" t="s">
        <v>226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25">
      <c r="A1030" t="s">
        <v>184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25">
      <c r="A1031" t="s">
        <v>183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25">
      <c r="A1032" t="s">
        <v>265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25">
      <c r="A1033" t="s">
        <v>225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25">
      <c r="A1034" t="s">
        <v>392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25">
      <c r="A1035" t="s">
        <v>313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25">
      <c r="A1036" t="s">
        <v>182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25">
      <c r="A1038" t="s">
        <v>289</v>
      </c>
    </row>
    <row r="1039" spans="1:34" x14ac:dyDescent="0.25">
      <c r="A1039" t="s">
        <v>221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25">
      <c r="A1040" t="s">
        <v>266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25">
      <c r="A1041" t="s">
        <v>230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25">
      <c r="A1042" t="s">
        <v>229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25">
      <c r="A1043" t="s">
        <v>228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25">
      <c r="A1044" t="s">
        <v>227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25">
      <c r="A1045" t="s">
        <v>226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25">
      <c r="A1046" t="s">
        <v>184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25">
      <c r="A1047" t="s">
        <v>183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25">
      <c r="A1048" t="s">
        <v>265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25">
      <c r="A1049" t="s">
        <v>225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25">
      <c r="A1050" t="s">
        <v>392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25">
      <c r="A1051" t="s">
        <v>313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25">
      <c r="A1053" t="s">
        <v>264</v>
      </c>
    </row>
    <row r="1055" spans="1:34" x14ac:dyDescent="0.25">
      <c r="A1055" t="s">
        <v>263</v>
      </c>
    </row>
    <row r="1056" spans="1:34" x14ac:dyDescent="0.25">
      <c r="A1056" t="s">
        <v>262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25">
      <c r="A1057" t="s">
        <v>261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25">
      <c r="A1058" t="s">
        <v>260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25">
      <c r="A1059" t="s">
        <v>259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25">
      <c r="A1060" t="s">
        <v>258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25">
      <c r="A1061" t="s">
        <v>257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25">
      <c r="A1062" t="s">
        <v>256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25">
      <c r="A1063" t="s">
        <v>255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25">
      <c r="A1064" t="s">
        <v>254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25">
      <c r="A1065" t="s">
        <v>253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25">
      <c r="A1066" t="s">
        <v>252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25">
      <c r="A1067" t="s">
        <v>251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25">
      <c r="A1068" t="s">
        <v>250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25">
      <c r="A1069" t="s">
        <v>249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25">
      <c r="A1071" t="s">
        <v>248</v>
      </c>
    </row>
    <row r="1073" spans="1:34" x14ac:dyDescent="0.25">
      <c r="A1073" t="s">
        <v>288</v>
      </c>
    </row>
    <row r="1074" spans="1:34" x14ac:dyDescent="0.25">
      <c r="A1074" t="s">
        <v>391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25">
      <c r="A1075" t="s">
        <v>390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25">
      <c r="A1076" t="s">
        <v>389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25">
      <c r="A1077" t="s">
        <v>388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25">
      <c r="A1078" t="s">
        <v>387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25">
      <c r="A1079" t="s">
        <v>386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25">
      <c r="A1080" t="s">
        <v>385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25">
      <c r="A1082" t="s">
        <v>246</v>
      </c>
    </row>
    <row r="1083" spans="1:34" x14ac:dyDescent="0.25">
      <c r="A1083" t="s">
        <v>391</v>
      </c>
    </row>
    <row r="1084" spans="1:34" x14ac:dyDescent="0.25">
      <c r="A1084" t="s">
        <v>239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25">
      <c r="A1085" t="s">
        <v>238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25">
      <c r="A1086" t="s">
        <v>390</v>
      </c>
    </row>
    <row r="1087" spans="1:34" x14ac:dyDescent="0.25">
      <c r="A1087" t="s">
        <v>239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25">
      <c r="A1088" t="s">
        <v>389</v>
      </c>
    </row>
    <row r="1089" spans="1:34" x14ac:dyDescent="0.25">
      <c r="A1089" t="s">
        <v>239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25">
      <c r="A1090" t="s">
        <v>388</v>
      </c>
    </row>
    <row r="1091" spans="1:34" x14ac:dyDescent="0.25">
      <c r="A1091" t="s">
        <v>239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25">
      <c r="A1092" t="s">
        <v>387</v>
      </c>
    </row>
    <row r="1093" spans="1:34" x14ac:dyDescent="0.25">
      <c r="A1093" t="s">
        <v>239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25">
      <c r="A1094" t="s">
        <v>233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25">
      <c r="A1095" t="s">
        <v>386</v>
      </c>
    </row>
    <row r="1096" spans="1:34" x14ac:dyDescent="0.25">
      <c r="A1096" t="s">
        <v>239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25">
      <c r="A1097" t="s">
        <v>233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25">
      <c r="A1098" t="s">
        <v>385</v>
      </c>
    </row>
    <row r="1099" spans="1:34" x14ac:dyDescent="0.25">
      <c r="A1099" t="s">
        <v>239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25">
      <c r="A1100" t="s">
        <v>240</v>
      </c>
    </row>
    <row r="1101" spans="1:34" x14ac:dyDescent="0.25">
      <c r="A1101" t="s">
        <v>239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25">
      <c r="A1102" t="s">
        <v>238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25">
      <c r="A1103" t="s">
        <v>233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25">
      <c r="A1104" t="s">
        <v>182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25">
      <c r="A1106" t="s">
        <v>232</v>
      </c>
    </row>
    <row r="1108" spans="1:34" x14ac:dyDescent="0.25">
      <c r="A1108" t="s">
        <v>231</v>
      </c>
    </row>
    <row r="1109" spans="1:34" x14ac:dyDescent="0.25">
      <c r="A1109" t="s">
        <v>221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25">
      <c r="A1110" t="s">
        <v>230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25">
      <c r="A1111" t="s">
        <v>229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25">
      <c r="A1112" t="s">
        <v>228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25">
      <c r="A1113" t="s">
        <v>227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25">
      <c r="A1114" t="s">
        <v>226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25">
      <c r="A1115" t="s">
        <v>184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25">
      <c r="A1116" t="s">
        <v>183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25">
      <c r="A1117" t="s">
        <v>182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25">
      <c r="A1120" t="s">
        <v>224</v>
      </c>
    </row>
    <row r="1121" spans="1:34" x14ac:dyDescent="0.25">
      <c r="A1121" t="s">
        <v>190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25">
      <c r="A1122" t="s">
        <v>189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25">
      <c r="A1123" t="s">
        <v>222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25">
      <c r="A1124" t="s">
        <v>187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25">
      <c r="A1125" t="s">
        <v>186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25">
      <c r="A1126" t="s">
        <v>221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25">
      <c r="A1127" t="s">
        <v>184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25">
      <c r="A1128" t="s">
        <v>220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25">
      <c r="A1129" t="s">
        <v>219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25">
      <c r="A1130" t="s">
        <v>218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25">
      <c r="A1131" t="s">
        <v>223</v>
      </c>
    </row>
    <row r="1132" spans="1:34" x14ac:dyDescent="0.25">
      <c r="A1132" t="s">
        <v>190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25">
      <c r="A1133" t="s">
        <v>189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25">
      <c r="A1134" t="s">
        <v>222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25">
      <c r="A1135" t="s">
        <v>187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25">
      <c r="A1136" t="s">
        <v>186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25">
      <c r="A1137" t="s">
        <v>221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25">
      <c r="A1138" t="s">
        <v>184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25">
      <c r="A1139" t="s">
        <v>220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25">
      <c r="A1140" t="s">
        <v>219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25">
      <c r="A1141" t="s">
        <v>218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25">
      <c r="A1143" t="s">
        <v>217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25">
      <c r="A1144" t="s">
        <v>216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25">
      <c r="A1145" t="s">
        <v>215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25">
      <c r="A1146" t="s">
        <v>214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25">
      <c r="A1147" t="s">
        <v>213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25">
      <c r="A1149" t="s">
        <v>212</v>
      </c>
    </row>
    <row r="1150" spans="1:34" x14ac:dyDescent="0.25">
      <c r="A1150" t="s">
        <v>211</v>
      </c>
    </row>
    <row r="1151" spans="1:34" x14ac:dyDescent="0.25">
      <c r="A1151" t="s">
        <v>210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25">
      <c r="A1152" t="s">
        <v>209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25">
      <c r="A1153" t="s">
        <v>208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25">
      <c r="A1154" t="s">
        <v>207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25">
      <c r="A1155" t="s">
        <v>182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25">
      <c r="A1156" t="s">
        <v>206</v>
      </c>
    </row>
    <row r="1157" spans="1:34" x14ac:dyDescent="0.25">
      <c r="A1157" t="s">
        <v>205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25">
      <c r="A1158" t="s">
        <v>204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25">
      <c r="A1159" t="s">
        <v>203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25">
      <c r="A1160" t="s">
        <v>202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25">
      <c r="A1161" t="s">
        <v>182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25">
      <c r="A1163" t="s">
        <v>201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25">
      <c r="A1164" t="s">
        <v>200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25">
      <c r="A1166" t="s">
        <v>199</v>
      </c>
    </row>
    <row r="1167" spans="1:34" x14ac:dyDescent="0.25">
      <c r="A1167" t="s">
        <v>198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25">
      <c r="A1168" t="s">
        <v>197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25">
      <c r="A1169" t="s">
        <v>196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25">
      <c r="A1170" t="s">
        <v>195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25">
      <c r="A1171" t="s">
        <v>182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25">
      <c r="A1173" s="56" t="s">
        <v>384</v>
      </c>
    </row>
    <row r="1174" spans="1:34" x14ac:dyDescent="0.25">
      <c r="A1174" t="s">
        <v>193</v>
      </c>
    </row>
    <row r="1175" spans="1:34" x14ac:dyDescent="0.2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25">
      <c r="A1177" t="s">
        <v>272</v>
      </c>
    </row>
    <row r="1178" spans="1:34" x14ac:dyDescent="0.25">
      <c r="A1178" t="s">
        <v>271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25">
      <c r="A1179" t="s">
        <v>270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25">
      <c r="A1181" t="s">
        <v>269</v>
      </c>
    </row>
    <row r="1182" spans="1:34" x14ac:dyDescent="0.25">
      <c r="A1182" t="s">
        <v>221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25">
      <c r="A1183" t="s">
        <v>266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25">
      <c r="A1184" t="s">
        <v>230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25">
      <c r="A1185" t="s">
        <v>324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25">
      <c r="A1186" t="s">
        <v>268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25">
      <c r="A1187" t="s">
        <v>229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25">
      <c r="A1188" t="s">
        <v>228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25">
      <c r="A1189" t="s">
        <v>227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25">
      <c r="A1190" t="s">
        <v>226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25">
      <c r="A1191" t="s">
        <v>323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25">
      <c r="A1192" t="s">
        <v>184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25">
      <c r="A1193" t="s">
        <v>383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25">
      <c r="A1194" t="s">
        <v>183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25">
      <c r="A1195" t="s">
        <v>313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25">
      <c r="A1196" t="s">
        <v>182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25">
      <c r="A1198" t="s">
        <v>267</v>
      </c>
    </row>
    <row r="1199" spans="1:34" x14ac:dyDescent="0.25">
      <c r="A1199" t="s">
        <v>221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25">
      <c r="A1200" t="s">
        <v>266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25">
      <c r="A1201" t="s">
        <v>230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25">
      <c r="A1202" t="s">
        <v>324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25">
      <c r="A1203" t="s">
        <v>229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25">
      <c r="A1204" t="s">
        <v>228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25">
      <c r="A1205" t="s">
        <v>227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25">
      <c r="A1206" t="s">
        <v>226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25">
      <c r="A1207" t="s">
        <v>323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25">
      <c r="A1208" t="s">
        <v>184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25">
      <c r="A1209" t="s">
        <v>383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25">
      <c r="A1210" t="s">
        <v>183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25">
      <c r="A1211" t="s">
        <v>313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25">
      <c r="A1213" t="s">
        <v>264</v>
      </c>
    </row>
    <row r="1215" spans="1:34" x14ac:dyDescent="0.25">
      <c r="A1215" t="s">
        <v>263</v>
      </c>
    </row>
    <row r="1216" spans="1:34" x14ac:dyDescent="0.25">
      <c r="A1216" t="s">
        <v>262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25">
      <c r="A1217" t="s">
        <v>261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25">
      <c r="A1218" t="s">
        <v>260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25">
      <c r="A1219" t="s">
        <v>259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25">
      <c r="A1220" t="s">
        <v>258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25">
      <c r="A1221" t="s">
        <v>257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25">
      <c r="A1222" t="s">
        <v>256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25">
      <c r="A1223" t="s">
        <v>255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25">
      <c r="A1224" t="s">
        <v>254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25">
      <c r="A1225" t="s">
        <v>253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25">
      <c r="A1226" t="s">
        <v>252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25">
      <c r="A1227" t="s">
        <v>251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25">
      <c r="A1228" t="s">
        <v>250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25">
      <c r="A1229" t="s">
        <v>249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25">
      <c r="A1231" t="s">
        <v>248</v>
      </c>
    </row>
    <row r="1233" spans="1:34" x14ac:dyDescent="0.25">
      <c r="A1233" t="s">
        <v>247</v>
      </c>
    </row>
    <row r="1234" spans="1:34" x14ac:dyDescent="0.25">
      <c r="A1234" t="s">
        <v>382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25">
      <c r="A1235" t="s">
        <v>381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25">
      <c r="A1236" t="s">
        <v>380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25">
      <c r="A1237" t="s">
        <v>379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25">
      <c r="A1238" t="s">
        <v>378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25">
      <c r="A1239" t="s">
        <v>377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25">
      <c r="A1240" t="s">
        <v>376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25">
      <c r="A1241" t="s">
        <v>375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25">
      <c r="A1242" t="s">
        <v>374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25">
      <c r="A1243" t="s">
        <v>373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25">
      <c r="A1244" t="s">
        <v>372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25">
      <c r="A1245" t="s">
        <v>371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25">
      <c r="A1246" t="s">
        <v>370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25">
      <c r="A1247" t="s">
        <v>369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25">
      <c r="A1248" t="s">
        <v>368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25">
      <c r="A1249" t="s">
        <v>367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25">
      <c r="A1250" t="s">
        <v>366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25">
      <c r="A1251" t="s">
        <v>365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25">
      <c r="A1252" t="s">
        <v>364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25">
      <c r="A1253" t="s">
        <v>363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25">
      <c r="A1254" t="s">
        <v>362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25">
      <c r="A1255" t="s">
        <v>361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25">
      <c r="A1256" t="s">
        <v>360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25">
      <c r="A1257" t="s">
        <v>359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25">
      <c r="A1259" t="s">
        <v>246</v>
      </c>
    </row>
    <row r="1261" spans="1:34" x14ac:dyDescent="0.25">
      <c r="A1261" t="s">
        <v>358</v>
      </c>
    </row>
    <row r="1262" spans="1:34" x14ac:dyDescent="0.25">
      <c r="A1262" t="s">
        <v>351</v>
      </c>
    </row>
    <row r="1263" spans="1:34" x14ac:dyDescent="0.25">
      <c r="A1263" t="s">
        <v>239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25">
      <c r="A1264" t="s">
        <v>238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25">
      <c r="A1265" t="s">
        <v>237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25">
      <c r="A1266" t="s">
        <v>236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25">
      <c r="A1267" t="s">
        <v>235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25">
      <c r="A1268" t="s">
        <v>234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25">
      <c r="A1269" t="s">
        <v>233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25">
      <c r="A1270" t="s">
        <v>182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25">
      <c r="A1271" t="s">
        <v>350</v>
      </c>
    </row>
    <row r="1272" spans="1:34" x14ac:dyDescent="0.25">
      <c r="A1272" t="s">
        <v>239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25">
      <c r="A1273" t="s">
        <v>238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25">
      <c r="A1274" t="s">
        <v>182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25">
      <c r="A1275" t="s">
        <v>349</v>
      </c>
    </row>
    <row r="1276" spans="1:34" x14ac:dyDescent="0.25">
      <c r="A1276" t="s">
        <v>239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25">
      <c r="A1277" t="s">
        <v>238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25">
      <c r="A1278" t="s">
        <v>235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25">
      <c r="A1279" t="s">
        <v>234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25">
      <c r="A1280" t="s">
        <v>182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25">
      <c r="A1281" t="s">
        <v>348</v>
      </c>
    </row>
    <row r="1282" spans="1:34" x14ac:dyDescent="0.25">
      <c r="A1282" t="s">
        <v>239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25">
      <c r="A1283" t="s">
        <v>220</v>
      </c>
    </row>
    <row r="1284" spans="1:34" x14ac:dyDescent="0.25">
      <c r="A1284" t="s">
        <v>239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25">
      <c r="A1285" t="s">
        <v>238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25">
      <c r="A1286" t="s">
        <v>237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25">
      <c r="A1287" t="s">
        <v>235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25">
      <c r="A1288" t="s">
        <v>182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25">
      <c r="A1289" t="s">
        <v>347</v>
      </c>
    </row>
    <row r="1290" spans="1:34" x14ac:dyDescent="0.25">
      <c r="A1290" t="s">
        <v>329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25">
      <c r="A1291" t="s">
        <v>328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25">
      <c r="A1292" t="s">
        <v>327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25">
      <c r="A1293" t="s">
        <v>182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25">
      <c r="A1294" t="s">
        <v>357</v>
      </c>
    </row>
    <row r="1295" spans="1:34" x14ac:dyDescent="0.25">
      <c r="A1295" t="s">
        <v>239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25">
      <c r="A1296" t="s">
        <v>238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25">
      <c r="A1297" t="s">
        <v>237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25">
      <c r="A1298" t="s">
        <v>236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25">
      <c r="A1299" t="s">
        <v>235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25">
      <c r="A1300" t="s">
        <v>234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25">
      <c r="A1301" t="s">
        <v>233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25">
      <c r="A1302" t="s">
        <v>329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25">
      <c r="A1303" t="s">
        <v>328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25">
      <c r="A1304" t="s">
        <v>327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25">
      <c r="A1305" t="s">
        <v>182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25">
      <c r="A1307" t="s">
        <v>356</v>
      </c>
    </row>
    <row r="1308" spans="1:34" x14ac:dyDescent="0.25">
      <c r="A1308" t="s">
        <v>351</v>
      </c>
    </row>
    <row r="1309" spans="1:34" x14ac:dyDescent="0.25">
      <c r="A1309" t="s">
        <v>239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25">
      <c r="A1310" t="s">
        <v>238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25">
      <c r="A1311" t="s">
        <v>236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25">
      <c r="A1312" t="s">
        <v>235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25">
      <c r="A1313" t="s">
        <v>234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25">
      <c r="A1314" t="s">
        <v>233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25">
      <c r="A1315" t="s">
        <v>182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25">
      <c r="A1316" t="s">
        <v>350</v>
      </c>
    </row>
    <row r="1317" spans="1:34" x14ac:dyDescent="0.25">
      <c r="A1317" t="s">
        <v>239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25">
      <c r="A1318" t="s">
        <v>238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25">
      <c r="A1319" t="s">
        <v>182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25">
      <c r="A1320" t="s">
        <v>349</v>
      </c>
    </row>
    <row r="1321" spans="1:34" x14ac:dyDescent="0.25">
      <c r="A1321" t="s">
        <v>239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25">
      <c r="A1322" t="s">
        <v>238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25">
      <c r="A1323" t="s">
        <v>235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25">
      <c r="A1324" t="s">
        <v>234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25">
      <c r="A1325" t="s">
        <v>182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25">
      <c r="A1326" t="s">
        <v>348</v>
      </c>
    </row>
    <row r="1327" spans="1:34" x14ac:dyDescent="0.25">
      <c r="A1327" t="s">
        <v>239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25">
      <c r="A1328" t="s">
        <v>220</v>
      </c>
    </row>
    <row r="1329" spans="1:34" x14ac:dyDescent="0.25">
      <c r="A1329" t="s">
        <v>239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25">
      <c r="A1330" t="s">
        <v>238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25">
      <c r="A1331" t="s">
        <v>235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25">
      <c r="A1332" t="s">
        <v>182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25">
      <c r="A1333" t="s">
        <v>347</v>
      </c>
    </row>
    <row r="1334" spans="1:34" x14ac:dyDescent="0.25">
      <c r="A1334" t="s">
        <v>329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25">
      <c r="A1335" t="s">
        <v>328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25">
      <c r="A1336" t="s">
        <v>327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25">
      <c r="A1337" t="s">
        <v>182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25">
      <c r="A1338" t="s">
        <v>355</v>
      </c>
    </row>
    <row r="1339" spans="1:34" x14ac:dyDescent="0.25">
      <c r="A1339" t="s">
        <v>239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25">
      <c r="A1340" t="s">
        <v>238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25">
      <c r="A1341" t="s">
        <v>236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25">
      <c r="A1342" t="s">
        <v>235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25">
      <c r="A1343" t="s">
        <v>234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25">
      <c r="A1344" t="s">
        <v>233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25">
      <c r="A1345" t="s">
        <v>329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25">
      <c r="A1346" t="s">
        <v>328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25">
      <c r="A1347" t="s">
        <v>327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25">
      <c r="A1348" t="s">
        <v>182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25">
      <c r="A1350" t="s">
        <v>354</v>
      </c>
    </row>
    <row r="1351" spans="1:34" x14ac:dyDescent="0.25">
      <c r="A1351" t="s">
        <v>351</v>
      </c>
    </row>
    <row r="1352" spans="1:34" x14ac:dyDescent="0.25">
      <c r="A1352" t="s">
        <v>239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25">
      <c r="A1353" t="s">
        <v>238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25">
      <c r="A1354" t="s">
        <v>236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25">
      <c r="A1355" t="s">
        <v>235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25">
      <c r="A1356" t="s">
        <v>234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25">
      <c r="A1357" t="s">
        <v>233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25">
      <c r="A1358" t="s">
        <v>182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25">
      <c r="A1359" t="s">
        <v>350</v>
      </c>
    </row>
    <row r="1360" spans="1:34" x14ac:dyDescent="0.25">
      <c r="A1360" t="s">
        <v>239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25">
      <c r="A1361" t="s">
        <v>238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25">
      <c r="A1362" t="s">
        <v>182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25">
      <c r="A1363" t="s">
        <v>349</v>
      </c>
    </row>
    <row r="1364" spans="1:34" x14ac:dyDescent="0.25">
      <c r="A1364" t="s">
        <v>239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25">
      <c r="A1365" t="s">
        <v>238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25">
      <c r="A1366" t="s">
        <v>236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25">
      <c r="A1367" t="s">
        <v>235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25">
      <c r="A1368" t="s">
        <v>234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25">
      <c r="A1369" t="s">
        <v>182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25">
      <c r="A1370" t="s">
        <v>348</v>
      </c>
    </row>
    <row r="1371" spans="1:34" x14ac:dyDescent="0.25">
      <c r="A1371" t="s">
        <v>239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25">
      <c r="A1372" t="s">
        <v>220</v>
      </c>
    </row>
    <row r="1373" spans="1:34" x14ac:dyDescent="0.25">
      <c r="A1373" t="s">
        <v>239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25">
      <c r="A1374" t="s">
        <v>238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25">
      <c r="A1375" t="s">
        <v>236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25">
      <c r="A1376" t="s">
        <v>235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25">
      <c r="A1377" t="s">
        <v>182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25">
      <c r="A1378" t="s">
        <v>347</v>
      </c>
    </row>
    <row r="1379" spans="1:34" x14ac:dyDescent="0.25">
      <c r="A1379" t="s">
        <v>329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25">
      <c r="A1380" t="s">
        <v>328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25">
      <c r="A1381" t="s">
        <v>327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25">
      <c r="A1382" t="s">
        <v>182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25">
      <c r="A1383" t="s">
        <v>353</v>
      </c>
    </row>
    <row r="1384" spans="1:34" x14ac:dyDescent="0.25">
      <c r="A1384" t="s">
        <v>239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25">
      <c r="A1385" t="s">
        <v>238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25">
      <c r="A1386" t="s">
        <v>236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25">
      <c r="A1387" t="s">
        <v>235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25">
      <c r="A1388" t="s">
        <v>234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25">
      <c r="A1389" t="s">
        <v>233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25">
      <c r="A1390" t="s">
        <v>329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25">
      <c r="A1391" t="s">
        <v>328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25">
      <c r="A1392" t="s">
        <v>327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25">
      <c r="A1393" t="s">
        <v>182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25">
      <c r="A1395" t="s">
        <v>352</v>
      </c>
    </row>
    <row r="1396" spans="1:34" x14ac:dyDescent="0.25">
      <c r="A1396" t="s">
        <v>351</v>
      </c>
    </row>
    <row r="1397" spans="1:34" x14ac:dyDescent="0.25">
      <c r="A1397" t="s">
        <v>238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25">
      <c r="A1398" t="s">
        <v>236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25">
      <c r="A1399" t="s">
        <v>235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25">
      <c r="A1400" t="s">
        <v>234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25">
      <c r="A1401" t="s">
        <v>233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25">
      <c r="A1402" t="s">
        <v>182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25">
      <c r="A1403" t="s">
        <v>350</v>
      </c>
    </row>
    <row r="1404" spans="1:34" x14ac:dyDescent="0.25">
      <c r="A1404" t="s">
        <v>239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25">
      <c r="A1405" t="s">
        <v>238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25">
      <c r="A1406" t="s">
        <v>182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25">
      <c r="A1407" t="s">
        <v>349</v>
      </c>
    </row>
    <row r="1408" spans="1:34" x14ac:dyDescent="0.25">
      <c r="A1408" t="s">
        <v>239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25">
      <c r="A1409" t="s">
        <v>238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25">
      <c r="A1410" t="s">
        <v>235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25">
      <c r="A1411" t="s">
        <v>234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25">
      <c r="A1412" t="s">
        <v>182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25">
      <c r="A1413" t="s">
        <v>348</v>
      </c>
    </row>
    <row r="1414" spans="1:34" x14ac:dyDescent="0.25">
      <c r="A1414" t="s">
        <v>239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25">
      <c r="A1415" t="s">
        <v>220</v>
      </c>
    </row>
    <row r="1416" spans="1:34" x14ac:dyDescent="0.25">
      <c r="A1416" t="s">
        <v>238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25">
      <c r="A1417" t="s">
        <v>235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25">
      <c r="A1418" t="s">
        <v>182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25">
      <c r="A1419" t="s">
        <v>347</v>
      </c>
    </row>
    <row r="1420" spans="1:34" x14ac:dyDescent="0.25">
      <c r="A1420" t="s">
        <v>329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25">
      <c r="A1421" t="s">
        <v>327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25">
      <c r="A1422" t="s">
        <v>182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25">
      <c r="A1423" t="s">
        <v>346</v>
      </c>
    </row>
    <row r="1424" spans="1:34" x14ac:dyDescent="0.25">
      <c r="A1424" t="s">
        <v>238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25">
      <c r="A1425" t="s">
        <v>236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25">
      <c r="A1426" t="s">
        <v>235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25">
      <c r="A1427" t="s">
        <v>234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25">
      <c r="A1428" t="s">
        <v>233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25">
      <c r="A1429" t="s">
        <v>239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25">
      <c r="A1430" t="s">
        <v>329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25">
      <c r="A1431" t="s">
        <v>327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25">
      <c r="A1432" t="s">
        <v>182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25">
      <c r="A1434" t="s">
        <v>345</v>
      </c>
    </row>
    <row r="1435" spans="1:34" x14ac:dyDescent="0.25">
      <c r="A1435" t="s">
        <v>334</v>
      </c>
    </row>
    <row r="1436" spans="1:34" x14ac:dyDescent="0.25">
      <c r="A1436" t="s">
        <v>239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25">
      <c r="A1437" t="s">
        <v>238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25">
      <c r="A1438" t="s">
        <v>237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25">
      <c r="A1439" t="s">
        <v>236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25">
      <c r="A1440" t="s">
        <v>235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25">
      <c r="A1441" t="s">
        <v>234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25">
      <c r="A1442" t="s">
        <v>233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25">
      <c r="A1443" t="s">
        <v>182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25">
      <c r="A1444" t="s">
        <v>333</v>
      </c>
    </row>
    <row r="1445" spans="1:34" x14ac:dyDescent="0.25">
      <c r="A1445" t="s">
        <v>239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25">
      <c r="A1446" t="s">
        <v>238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25">
      <c r="A1447" t="s">
        <v>236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25">
      <c r="A1448" t="s">
        <v>235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25">
      <c r="A1449" t="s">
        <v>234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25">
      <c r="A1450" t="s">
        <v>233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25">
      <c r="A1451" t="s">
        <v>182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25">
      <c r="A1452" t="s">
        <v>332</v>
      </c>
    </row>
    <row r="1453" spans="1:34" x14ac:dyDescent="0.25">
      <c r="A1453" t="s">
        <v>239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25">
      <c r="A1454" t="s">
        <v>238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25">
      <c r="A1455" t="s">
        <v>236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25">
      <c r="A1456" t="s">
        <v>235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25">
      <c r="A1457" t="s">
        <v>234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25">
      <c r="A1458" t="s">
        <v>233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25">
      <c r="A1459" t="s">
        <v>182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25">
      <c r="A1460" t="s">
        <v>331</v>
      </c>
    </row>
    <row r="1461" spans="1:34" x14ac:dyDescent="0.25">
      <c r="A1461" t="s">
        <v>238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25">
      <c r="A1462" t="s">
        <v>236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25">
      <c r="A1463" t="s">
        <v>235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25">
      <c r="A1464" t="s">
        <v>234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25">
      <c r="A1465" t="s">
        <v>233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25">
      <c r="A1466" t="s">
        <v>182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25">
      <c r="A1467" t="s">
        <v>344</v>
      </c>
    </row>
    <row r="1468" spans="1:34" x14ac:dyDescent="0.25">
      <c r="A1468" t="s">
        <v>239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25">
      <c r="A1469" t="s">
        <v>238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25">
      <c r="A1470" t="s">
        <v>237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25">
      <c r="A1471" t="s">
        <v>236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25">
      <c r="A1472" t="s">
        <v>235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25">
      <c r="A1473" t="s">
        <v>234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25">
      <c r="A1474" t="s">
        <v>233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25">
      <c r="A1475" t="s">
        <v>182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25">
      <c r="A1477" t="s">
        <v>343</v>
      </c>
    </row>
    <row r="1478" spans="1:34" x14ac:dyDescent="0.25">
      <c r="A1478" t="s">
        <v>334</v>
      </c>
    </row>
    <row r="1479" spans="1:34" x14ac:dyDescent="0.25">
      <c r="A1479" t="s">
        <v>239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25">
      <c r="A1480" t="s">
        <v>238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25">
      <c r="A1481" t="s">
        <v>182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25">
      <c r="A1482" t="s">
        <v>333</v>
      </c>
    </row>
    <row r="1483" spans="1:34" x14ac:dyDescent="0.25">
      <c r="A1483" t="s">
        <v>239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25">
      <c r="A1484" t="s">
        <v>238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25">
      <c r="A1485" t="s">
        <v>182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25">
      <c r="A1486" t="s">
        <v>332</v>
      </c>
    </row>
    <row r="1487" spans="1:34" x14ac:dyDescent="0.25">
      <c r="A1487" t="s">
        <v>239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25">
      <c r="A1488" t="s">
        <v>238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25">
      <c r="A1489" t="s">
        <v>182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25">
      <c r="A1490" t="s">
        <v>331</v>
      </c>
    </row>
    <row r="1491" spans="1:34" x14ac:dyDescent="0.25">
      <c r="A1491" t="s">
        <v>239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25">
      <c r="A1492" t="s">
        <v>238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25">
      <c r="A1493" t="s">
        <v>182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25">
      <c r="A1494" t="s">
        <v>342</v>
      </c>
    </row>
    <row r="1495" spans="1:34" x14ac:dyDescent="0.25">
      <c r="A1495" t="s">
        <v>239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25">
      <c r="A1496" t="s">
        <v>238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25">
      <c r="A1497" t="s">
        <v>182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25">
      <c r="A1499" t="s">
        <v>341</v>
      </c>
    </row>
    <row r="1500" spans="1:34" x14ac:dyDescent="0.25">
      <c r="A1500" t="s">
        <v>334</v>
      </c>
    </row>
    <row r="1501" spans="1:34" x14ac:dyDescent="0.25">
      <c r="A1501" t="s">
        <v>239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25">
      <c r="A1502" t="s">
        <v>238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25">
      <c r="A1503" t="s">
        <v>235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25">
      <c r="A1504" t="s">
        <v>234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25">
      <c r="A1505" t="s">
        <v>182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25">
      <c r="A1506" t="s">
        <v>333</v>
      </c>
    </row>
    <row r="1507" spans="1:34" x14ac:dyDescent="0.25">
      <c r="A1507" t="s">
        <v>239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25">
      <c r="A1508" t="s">
        <v>238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25">
      <c r="A1509" t="s">
        <v>235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25">
      <c r="A1510" t="s">
        <v>234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25">
      <c r="A1511" t="s">
        <v>182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25">
      <c r="A1512" t="s">
        <v>332</v>
      </c>
    </row>
    <row r="1513" spans="1:34" x14ac:dyDescent="0.25">
      <c r="A1513" t="s">
        <v>239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25">
      <c r="A1514" t="s">
        <v>238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25">
      <c r="A1515" t="s">
        <v>236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25">
      <c r="A1516" t="s">
        <v>235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25">
      <c r="A1517" t="s">
        <v>234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25">
      <c r="A1518" t="s">
        <v>182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25">
      <c r="A1519" t="s">
        <v>331</v>
      </c>
    </row>
    <row r="1520" spans="1:34" x14ac:dyDescent="0.25">
      <c r="A1520" t="s">
        <v>239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25">
      <c r="A1521" t="s">
        <v>238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25">
      <c r="A1522" t="s">
        <v>235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25">
      <c r="A1523" t="s">
        <v>234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25">
      <c r="A1524" t="s">
        <v>182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25">
      <c r="A1525" t="s">
        <v>340</v>
      </c>
    </row>
    <row r="1526" spans="1:34" x14ac:dyDescent="0.25">
      <c r="A1526" t="s">
        <v>239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25">
      <c r="A1527" t="s">
        <v>238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25">
      <c r="A1528" t="s">
        <v>235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25">
      <c r="A1529" t="s">
        <v>234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25">
      <c r="A1530" t="s">
        <v>236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25">
      <c r="A1531" t="s">
        <v>182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25">
      <c r="A1533" t="s">
        <v>339</v>
      </c>
    </row>
    <row r="1534" spans="1:34" x14ac:dyDescent="0.25">
      <c r="A1534" t="s">
        <v>334</v>
      </c>
    </row>
    <row r="1535" spans="1:34" x14ac:dyDescent="0.25">
      <c r="A1535" t="s">
        <v>239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25">
      <c r="A1536" t="s">
        <v>333</v>
      </c>
    </row>
    <row r="1537" spans="1:34" x14ac:dyDescent="0.25">
      <c r="A1537" t="s">
        <v>239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25">
      <c r="A1538" t="s">
        <v>332</v>
      </c>
    </row>
    <row r="1539" spans="1:34" x14ac:dyDescent="0.25">
      <c r="A1539" t="s">
        <v>239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25">
      <c r="A1540" t="s">
        <v>331</v>
      </c>
    </row>
    <row r="1541" spans="1:34" x14ac:dyDescent="0.25">
      <c r="A1541" t="s">
        <v>239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25">
      <c r="A1542" t="s">
        <v>338</v>
      </c>
    </row>
    <row r="1543" spans="1:34" x14ac:dyDescent="0.25">
      <c r="A1543" t="s">
        <v>239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25">
      <c r="A1545" t="s">
        <v>337</v>
      </c>
    </row>
    <row r="1546" spans="1:34" x14ac:dyDescent="0.25">
      <c r="A1546" t="s">
        <v>334</v>
      </c>
    </row>
    <row r="1547" spans="1:34" x14ac:dyDescent="0.25">
      <c r="A1547" t="s">
        <v>239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25">
      <c r="A1548" t="s">
        <v>238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25">
      <c r="A1549" t="s">
        <v>237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25">
      <c r="A1550" t="s">
        <v>235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25">
      <c r="A1551" t="s">
        <v>182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25">
      <c r="A1552" t="s">
        <v>333</v>
      </c>
    </row>
    <row r="1553" spans="1:34" x14ac:dyDescent="0.25">
      <c r="A1553" t="s">
        <v>239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25">
      <c r="A1554" t="s">
        <v>238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25">
      <c r="A1555" t="s">
        <v>235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25">
      <c r="A1556" t="s">
        <v>182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25">
      <c r="A1557" t="s">
        <v>332</v>
      </c>
    </row>
    <row r="1558" spans="1:34" x14ac:dyDescent="0.25">
      <c r="A1558" t="s">
        <v>239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25">
      <c r="A1559" t="s">
        <v>238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25">
      <c r="A1560" t="s">
        <v>236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25">
      <c r="A1561" t="s">
        <v>235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25">
      <c r="A1562" t="s">
        <v>182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25">
      <c r="A1563" t="s">
        <v>331</v>
      </c>
    </row>
    <row r="1564" spans="1:34" x14ac:dyDescent="0.25">
      <c r="A1564" t="s">
        <v>238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25">
      <c r="A1565" t="s">
        <v>235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25">
      <c r="A1566" t="s">
        <v>182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25">
      <c r="A1567" t="s">
        <v>336</v>
      </c>
    </row>
    <row r="1568" spans="1:34" x14ac:dyDescent="0.25">
      <c r="A1568" t="s">
        <v>239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25">
      <c r="A1569" t="s">
        <v>238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25">
      <c r="A1570" t="s">
        <v>237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25">
      <c r="A1571" t="s">
        <v>235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25">
      <c r="A1572" t="s">
        <v>236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25">
      <c r="A1573" t="s">
        <v>182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25">
      <c r="A1575" t="s">
        <v>335</v>
      </c>
    </row>
    <row r="1576" spans="1:34" x14ac:dyDescent="0.25">
      <c r="A1576" t="s">
        <v>334</v>
      </c>
    </row>
    <row r="1577" spans="1:34" x14ac:dyDescent="0.25">
      <c r="A1577" t="s">
        <v>329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25">
      <c r="A1578" t="s">
        <v>328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25">
      <c r="A1579" t="s">
        <v>327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25">
      <c r="A1580" t="s">
        <v>182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25">
      <c r="A1581" t="s">
        <v>333</v>
      </c>
    </row>
    <row r="1582" spans="1:34" x14ac:dyDescent="0.25">
      <c r="A1582" t="s">
        <v>329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25">
      <c r="A1583" t="s">
        <v>328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25">
      <c r="A1584" t="s">
        <v>327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25">
      <c r="A1585" t="s">
        <v>182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25">
      <c r="A1586" t="s">
        <v>332</v>
      </c>
    </row>
    <row r="1587" spans="1:34" x14ac:dyDescent="0.25">
      <c r="A1587" t="s">
        <v>329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25">
      <c r="A1588" t="s">
        <v>328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25">
      <c r="A1589" t="s">
        <v>327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25">
      <c r="A1590" t="s">
        <v>182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25">
      <c r="A1591" t="s">
        <v>331</v>
      </c>
    </row>
    <row r="1592" spans="1:34" x14ac:dyDescent="0.25">
      <c r="A1592" t="s">
        <v>329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25">
      <c r="A1593" t="s">
        <v>327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25">
      <c r="A1594" t="s">
        <v>182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25">
      <c r="A1595" t="s">
        <v>330</v>
      </c>
    </row>
    <row r="1596" spans="1:34" x14ac:dyDescent="0.25">
      <c r="A1596" t="s">
        <v>329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25">
      <c r="A1597" t="s">
        <v>328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25">
      <c r="A1598" t="s">
        <v>327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25">
      <c r="A1599" t="s">
        <v>182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25">
      <c r="A1601" t="s">
        <v>326</v>
      </c>
    </row>
    <row r="1602" spans="1:34" x14ac:dyDescent="0.25">
      <c r="A1602" t="s">
        <v>221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25">
      <c r="A1603" t="s">
        <v>266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25">
      <c r="A1604" t="s">
        <v>229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25">
      <c r="A1605" t="s">
        <v>226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25">
      <c r="A1606" t="s">
        <v>325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25">
      <c r="A1607" t="s">
        <v>324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25">
      <c r="A1608" t="s">
        <v>323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25">
      <c r="A1609" t="s">
        <v>322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25">
      <c r="A1611" t="s">
        <v>232</v>
      </c>
    </row>
    <row r="1613" spans="1:34" x14ac:dyDescent="0.25">
      <c r="A1613" t="s">
        <v>231</v>
      </c>
    </row>
    <row r="1614" spans="1:34" x14ac:dyDescent="0.25">
      <c r="A1614" t="s">
        <v>221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25">
      <c r="A1615" t="s">
        <v>230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25">
      <c r="A1616" t="s">
        <v>229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25">
      <c r="A1617" t="s">
        <v>228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25">
      <c r="A1618" t="s">
        <v>227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25">
      <c r="A1619" t="s">
        <v>226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25">
      <c r="A1620" t="s">
        <v>184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25">
      <c r="A1621" t="s">
        <v>183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25">
      <c r="A1622" t="s">
        <v>182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25">
      <c r="A1625" t="s">
        <v>224</v>
      </c>
    </row>
    <row r="1626" spans="1:34" x14ac:dyDescent="0.25">
      <c r="A1626" t="s">
        <v>190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25">
      <c r="A1627" t="s">
        <v>189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25">
      <c r="A1628" t="s">
        <v>222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25">
      <c r="A1629" t="s">
        <v>187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25">
      <c r="A1630" t="s">
        <v>186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25">
      <c r="A1631" t="s">
        <v>221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25">
      <c r="A1632" t="s">
        <v>184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25">
      <c r="A1633" t="s">
        <v>220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25">
      <c r="A1634" t="s">
        <v>219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25">
      <c r="A1635" t="s">
        <v>218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25">
      <c r="A1636" t="s">
        <v>223</v>
      </c>
    </row>
    <row r="1637" spans="1:34" x14ac:dyDescent="0.25">
      <c r="A1637" t="s">
        <v>190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25">
      <c r="A1638" t="s">
        <v>189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25">
      <c r="A1639" t="s">
        <v>222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25">
      <c r="A1640" t="s">
        <v>187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25">
      <c r="A1641" t="s">
        <v>186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25">
      <c r="A1642" t="s">
        <v>221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25">
      <c r="A1643" t="s">
        <v>184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25">
      <c r="A1644" t="s">
        <v>220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25">
      <c r="A1645" t="s">
        <v>219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25">
      <c r="A1646" t="s">
        <v>218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25">
      <c r="A1648" t="s">
        <v>217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25">
      <c r="A1649" t="s">
        <v>216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25">
      <c r="A1650" t="s">
        <v>215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25">
      <c r="A1651" t="s">
        <v>214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25">
      <c r="A1652" t="s">
        <v>213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25">
      <c r="A1654" t="s">
        <v>212</v>
      </c>
    </row>
    <row r="1655" spans="1:34" x14ac:dyDescent="0.25">
      <c r="A1655" t="s">
        <v>211</v>
      </c>
    </row>
    <row r="1656" spans="1:34" x14ac:dyDescent="0.25">
      <c r="A1656" t="s">
        <v>210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25">
      <c r="A1657" t="s">
        <v>209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25">
      <c r="A1658" t="s">
        <v>208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25">
      <c r="A1659" t="s">
        <v>207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25">
      <c r="A1660" t="s">
        <v>182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25">
      <c r="A1661" t="s">
        <v>206</v>
      </c>
    </row>
    <row r="1662" spans="1:34" x14ac:dyDescent="0.25">
      <c r="A1662" t="s">
        <v>205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25">
      <c r="A1663" t="s">
        <v>204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25">
      <c r="A1664" t="s">
        <v>203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25">
      <c r="A1665" t="s">
        <v>202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25">
      <c r="A1666" t="s">
        <v>182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25">
      <c r="A1668" t="s">
        <v>201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25">
      <c r="A1669" t="s">
        <v>200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25">
      <c r="A1671" t="s">
        <v>199</v>
      </c>
    </row>
    <row r="1672" spans="1:34" x14ac:dyDescent="0.25">
      <c r="A1672" t="s">
        <v>198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25">
      <c r="A1673" t="s">
        <v>197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25">
      <c r="A1674" t="s">
        <v>196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25">
      <c r="A1675" t="s">
        <v>195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25">
      <c r="A1676" t="s">
        <v>182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25">
      <c r="A1678" s="56" t="s">
        <v>321</v>
      </c>
    </row>
    <row r="1679" spans="1:34" x14ac:dyDescent="0.25">
      <c r="A1679" t="s">
        <v>193</v>
      </c>
    </row>
    <row r="1680" spans="1:34" x14ac:dyDescent="0.2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25">
      <c r="A1682" t="s">
        <v>272</v>
      </c>
    </row>
    <row r="1683" spans="1:34" x14ac:dyDescent="0.25">
      <c r="A1683" t="s">
        <v>271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25">
      <c r="A1684" t="s">
        <v>290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25">
      <c r="A1685" t="s">
        <v>270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25">
      <c r="A1687" t="s">
        <v>269</v>
      </c>
    </row>
    <row r="1688" spans="1:34" x14ac:dyDescent="0.25">
      <c r="A1688" t="s">
        <v>221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25">
      <c r="A1689" t="s">
        <v>266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25">
      <c r="A1690" t="s">
        <v>230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25">
      <c r="A1691" t="s">
        <v>268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25">
      <c r="A1692" t="s">
        <v>229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25">
      <c r="A1693" t="s">
        <v>228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25">
      <c r="A1694" t="s">
        <v>227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25">
      <c r="A1695" t="s">
        <v>226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25">
      <c r="A1696" t="s">
        <v>182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25">
      <c r="A1698" t="s">
        <v>289</v>
      </c>
    </row>
    <row r="1699" spans="1:34" x14ac:dyDescent="0.25">
      <c r="A1699" t="s">
        <v>221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25">
      <c r="A1700" t="s">
        <v>266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25">
      <c r="A1701" t="s">
        <v>230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25">
      <c r="A1702" t="s">
        <v>229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25">
      <c r="A1703" t="s">
        <v>228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25">
      <c r="A1704" t="s">
        <v>227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25">
      <c r="A1705" t="s">
        <v>226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25">
      <c r="A1707" t="s">
        <v>264</v>
      </c>
    </row>
    <row r="1709" spans="1:34" x14ac:dyDescent="0.25">
      <c r="A1709" t="s">
        <v>263</v>
      </c>
    </row>
    <row r="1710" spans="1:34" x14ac:dyDescent="0.25">
      <c r="A1710" t="s">
        <v>262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25">
      <c r="A1711" t="s">
        <v>261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25">
      <c r="A1712" t="s">
        <v>260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25">
      <c r="A1713" t="s">
        <v>259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25">
      <c r="A1714" t="s">
        <v>258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25">
      <c r="A1715" t="s">
        <v>257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25">
      <c r="A1716" t="s">
        <v>256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25">
      <c r="A1717" t="s">
        <v>255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25">
      <c r="A1718" t="s">
        <v>254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25">
      <c r="A1719" t="s">
        <v>253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25">
      <c r="A1720" t="s">
        <v>252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25">
      <c r="A1721" t="s">
        <v>251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25">
      <c r="A1722" t="s">
        <v>250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25">
      <c r="A1723" t="s">
        <v>249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25">
      <c r="A1725" t="s">
        <v>248</v>
      </c>
    </row>
    <row r="1727" spans="1:34" x14ac:dyDescent="0.25">
      <c r="A1727" t="s">
        <v>288</v>
      </c>
    </row>
    <row r="1728" spans="1:34" x14ac:dyDescent="0.25">
      <c r="A1728" t="s">
        <v>320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25">
      <c r="A1729" t="s">
        <v>319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25">
      <c r="A1730" t="s">
        <v>318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25">
      <c r="A1731" t="s">
        <v>317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25">
      <c r="A1732" t="s">
        <v>316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25">
      <c r="A1733" t="s">
        <v>315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25">
      <c r="A1735" t="s">
        <v>246</v>
      </c>
    </row>
    <row r="1736" spans="1:34" x14ac:dyDescent="0.25">
      <c r="A1736" t="s">
        <v>320</v>
      </c>
    </row>
    <row r="1737" spans="1:34" x14ac:dyDescent="0.25">
      <c r="A1737" t="s">
        <v>239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25">
      <c r="A1738" t="s">
        <v>238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25">
      <c r="A1739" t="s">
        <v>236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25">
      <c r="A1740" t="s">
        <v>235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25">
      <c r="A1741" t="s">
        <v>234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25">
      <c r="A1742" t="s">
        <v>233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25">
      <c r="A1743" t="s">
        <v>319</v>
      </c>
    </row>
    <row r="1744" spans="1:34" x14ac:dyDescent="0.25">
      <c r="A1744" t="s">
        <v>239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25">
      <c r="A1745" t="s">
        <v>238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25">
      <c r="A1746" t="s">
        <v>236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25">
      <c r="A1747" t="s">
        <v>235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25">
      <c r="A1748" t="s">
        <v>234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25">
      <c r="A1749" t="s">
        <v>233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25">
      <c r="A1750" t="s">
        <v>318</v>
      </c>
    </row>
    <row r="1751" spans="1:34" x14ac:dyDescent="0.25">
      <c r="A1751" t="s">
        <v>239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25">
      <c r="A1752" t="s">
        <v>238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25">
      <c r="A1753" t="s">
        <v>236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25">
      <c r="A1754" t="s">
        <v>235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25">
      <c r="A1755" t="s">
        <v>234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25">
      <c r="A1756" t="s">
        <v>233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25">
      <c r="A1757" t="s">
        <v>317</v>
      </c>
    </row>
    <row r="1758" spans="1:34" x14ac:dyDescent="0.25">
      <c r="A1758" t="s">
        <v>239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25">
      <c r="A1759" t="s">
        <v>238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25">
      <c r="A1760" t="s">
        <v>236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25">
      <c r="A1761" t="s">
        <v>235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25">
      <c r="A1762" t="s">
        <v>234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25">
      <c r="A1763" t="s">
        <v>233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25">
      <c r="A1764" t="s">
        <v>316</v>
      </c>
    </row>
    <row r="1765" spans="1:34" x14ac:dyDescent="0.25">
      <c r="A1765" t="s">
        <v>239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25">
      <c r="A1766" t="s">
        <v>315</v>
      </c>
    </row>
    <row r="1767" spans="1:34" x14ac:dyDescent="0.25">
      <c r="A1767" t="s">
        <v>239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25">
      <c r="A1768" t="s">
        <v>240</v>
      </c>
    </row>
    <row r="1769" spans="1:34" x14ac:dyDescent="0.25">
      <c r="A1769" t="s">
        <v>239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25">
      <c r="A1770" t="s">
        <v>238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25">
      <c r="A1771" t="s">
        <v>236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25">
      <c r="A1772" t="s">
        <v>235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25">
      <c r="A1773" t="s">
        <v>234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25">
      <c r="A1774" t="s">
        <v>233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25">
      <c r="A1775" t="s">
        <v>182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25">
      <c r="A1777" t="s">
        <v>232</v>
      </c>
    </row>
    <row r="1779" spans="1:34" x14ac:dyDescent="0.25">
      <c r="A1779" t="s">
        <v>231</v>
      </c>
    </row>
    <row r="1780" spans="1:34" x14ac:dyDescent="0.25">
      <c r="A1780" t="s">
        <v>221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25">
      <c r="A1781" t="s">
        <v>230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25">
      <c r="A1782" t="s">
        <v>229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25">
      <c r="A1783" t="s">
        <v>228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25">
      <c r="A1784" t="s">
        <v>227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25">
      <c r="A1785" t="s">
        <v>226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25">
      <c r="A1786" t="s">
        <v>184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25">
      <c r="A1787" t="s">
        <v>183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25">
      <c r="A1788" t="s">
        <v>182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25">
      <c r="A1791" t="s">
        <v>224</v>
      </c>
    </row>
    <row r="1792" spans="1:34" x14ac:dyDescent="0.25">
      <c r="A1792" t="s">
        <v>190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25">
      <c r="A1793" t="s">
        <v>189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25">
      <c r="A1794" t="s">
        <v>222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25">
      <c r="A1795" t="s">
        <v>187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25">
      <c r="A1796" t="s">
        <v>186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25">
      <c r="A1797" t="s">
        <v>221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25">
      <c r="A1798" t="s">
        <v>184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25">
      <c r="A1799" t="s">
        <v>220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25">
      <c r="A1800" t="s">
        <v>219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25">
      <c r="A1801" t="s">
        <v>218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25">
      <c r="A1802" t="s">
        <v>223</v>
      </c>
    </row>
    <row r="1803" spans="1:34" x14ac:dyDescent="0.25">
      <c r="A1803" t="s">
        <v>190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25">
      <c r="A1804" t="s">
        <v>189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25">
      <c r="A1805" t="s">
        <v>222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25">
      <c r="A1806" t="s">
        <v>187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25">
      <c r="A1807" t="s">
        <v>186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25">
      <c r="A1808" t="s">
        <v>221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25">
      <c r="A1809" t="s">
        <v>184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25">
      <c r="A1810" t="s">
        <v>220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25">
      <c r="A1811" t="s">
        <v>219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25">
      <c r="A1812" t="s">
        <v>218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25">
      <c r="A1814" t="s">
        <v>217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25">
      <c r="A1815" t="s">
        <v>216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25">
      <c r="A1816" t="s">
        <v>215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25">
      <c r="A1817" t="s">
        <v>214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25">
      <c r="A1818" t="s">
        <v>213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25">
      <c r="A1820" t="s">
        <v>212</v>
      </c>
    </row>
    <row r="1821" spans="1:34" x14ac:dyDescent="0.25">
      <c r="A1821" t="s">
        <v>211</v>
      </c>
    </row>
    <row r="1822" spans="1:34" x14ac:dyDescent="0.25">
      <c r="A1822" t="s">
        <v>210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25">
      <c r="A1823" t="s">
        <v>209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25">
      <c r="A1824" t="s">
        <v>208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25">
      <c r="A1825" t="s">
        <v>207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25">
      <c r="A1826" t="s">
        <v>182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25">
      <c r="A1827" t="s">
        <v>206</v>
      </c>
    </row>
    <row r="1828" spans="1:34" x14ac:dyDescent="0.25">
      <c r="A1828" t="s">
        <v>205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25">
      <c r="A1829" t="s">
        <v>204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25">
      <c r="A1830" t="s">
        <v>203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25">
      <c r="A1831" t="s">
        <v>202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25">
      <c r="A1832" t="s">
        <v>182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25">
      <c r="A1834" t="s">
        <v>201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25">
      <c r="A1835" t="s">
        <v>200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25">
      <c r="A1837" t="s">
        <v>199</v>
      </c>
    </row>
    <row r="1838" spans="1:34" x14ac:dyDescent="0.25">
      <c r="A1838" t="s">
        <v>198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25">
      <c r="A1839" t="s">
        <v>197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25">
      <c r="A1840" t="s">
        <v>196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25">
      <c r="A1841" t="s">
        <v>195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25">
      <c r="A1842" t="s">
        <v>182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25">
      <c r="A1844" s="56" t="s">
        <v>314</v>
      </c>
    </row>
    <row r="1845" spans="1:34" x14ac:dyDescent="0.25">
      <c r="A1845" t="s">
        <v>193</v>
      </c>
    </row>
    <row r="1846" spans="1:34" x14ac:dyDescent="0.2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25">
      <c r="A1848" t="s">
        <v>272</v>
      </c>
    </row>
    <row r="1849" spans="1:34" x14ac:dyDescent="0.25">
      <c r="A1849" t="s">
        <v>271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25">
      <c r="A1850" t="s">
        <v>290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25">
      <c r="A1851" t="s">
        <v>270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25">
      <c r="A1853" t="s">
        <v>269</v>
      </c>
    </row>
    <row r="1854" spans="1:34" x14ac:dyDescent="0.25">
      <c r="A1854" t="s">
        <v>221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25">
      <c r="A1855" t="s">
        <v>266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25">
      <c r="A1856" t="s">
        <v>230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25">
      <c r="A1857" t="s">
        <v>268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25">
      <c r="A1858" t="s">
        <v>229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25">
      <c r="A1859" t="s">
        <v>280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25">
      <c r="A1860" t="s">
        <v>228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25">
      <c r="A1861" t="s">
        <v>227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25">
      <c r="A1862" t="s">
        <v>226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25">
      <c r="A1863" t="s">
        <v>184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25">
      <c r="A1864" t="s">
        <v>183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25">
      <c r="A1865" t="s">
        <v>313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25">
      <c r="A1866" t="s">
        <v>182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25">
      <c r="A1868" t="s">
        <v>289</v>
      </c>
    </row>
    <row r="1869" spans="1:34" x14ac:dyDescent="0.25">
      <c r="A1869" t="s">
        <v>221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25">
      <c r="A1870" t="s">
        <v>266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25">
      <c r="A1871" t="s">
        <v>230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25">
      <c r="A1872" t="s">
        <v>229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25">
      <c r="A1873" t="s">
        <v>280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25">
      <c r="A1874" t="s">
        <v>228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25">
      <c r="A1875" t="s">
        <v>227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25">
      <c r="A1876" t="s">
        <v>226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25">
      <c r="A1877" t="s">
        <v>184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25">
      <c r="A1878" t="s">
        <v>183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25">
      <c r="A1879" t="s">
        <v>313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25">
      <c r="A1881" t="s">
        <v>264</v>
      </c>
    </row>
    <row r="1883" spans="1:34" x14ac:dyDescent="0.25">
      <c r="A1883" t="s">
        <v>263</v>
      </c>
    </row>
    <row r="1884" spans="1:34" x14ac:dyDescent="0.25">
      <c r="A1884" t="s">
        <v>262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25">
      <c r="A1885" t="s">
        <v>261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25">
      <c r="A1886" t="s">
        <v>260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25">
      <c r="A1887" t="s">
        <v>259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25">
      <c r="A1888" t="s">
        <v>258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25">
      <c r="A1889" t="s">
        <v>257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25">
      <c r="A1890" t="s">
        <v>256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25">
      <c r="A1891" t="s">
        <v>255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25">
      <c r="A1892" t="s">
        <v>254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25">
      <c r="A1893" t="s">
        <v>253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25">
      <c r="A1894" t="s">
        <v>252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25">
      <c r="A1895" t="s">
        <v>251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25">
      <c r="A1896" t="s">
        <v>250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25">
      <c r="A1897" t="s">
        <v>249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25">
      <c r="A1899" t="s">
        <v>248</v>
      </c>
    </row>
    <row r="1901" spans="1:34" x14ac:dyDescent="0.25">
      <c r="A1901" t="s">
        <v>288</v>
      </c>
    </row>
    <row r="1902" spans="1:34" x14ac:dyDescent="0.25">
      <c r="A1902" t="s">
        <v>312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25">
      <c r="A1903" t="s">
        <v>311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25">
      <c r="A1904" t="s">
        <v>310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25">
      <c r="A1905" t="s">
        <v>309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25">
      <c r="A1906" t="s">
        <v>308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25">
      <c r="A1908" t="s">
        <v>246</v>
      </c>
    </row>
    <row r="1909" spans="1:34" x14ac:dyDescent="0.25">
      <c r="A1909" t="s">
        <v>312</v>
      </c>
    </row>
    <row r="1910" spans="1:34" x14ac:dyDescent="0.25">
      <c r="A1910" t="s">
        <v>239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25">
      <c r="A1911" t="s">
        <v>311</v>
      </c>
    </row>
    <row r="1912" spans="1:34" x14ac:dyDescent="0.25">
      <c r="A1912" t="s">
        <v>239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25">
      <c r="A1913" t="s">
        <v>238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25">
      <c r="A1914" t="s">
        <v>237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25">
      <c r="A1915" t="s">
        <v>292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25">
      <c r="A1916" t="s">
        <v>236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25">
      <c r="A1917" t="s">
        <v>235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25">
      <c r="A1918" t="s">
        <v>282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25">
      <c r="A1919" t="s">
        <v>293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25">
      <c r="A1920" t="s">
        <v>307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25">
      <c r="A1921" t="s">
        <v>310</v>
      </c>
    </row>
    <row r="1922" spans="1:34" x14ac:dyDescent="0.25">
      <c r="A1922" t="s">
        <v>239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25">
      <c r="A1923" t="s">
        <v>238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25">
      <c r="A1924" t="s">
        <v>237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25">
      <c r="A1925" t="s">
        <v>292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25">
      <c r="A1926" t="s">
        <v>236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25">
      <c r="A1927" t="s">
        <v>235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25">
      <c r="A1928" t="s">
        <v>282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25">
      <c r="A1929" t="s">
        <v>293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25">
      <c r="A1930" t="s">
        <v>233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25">
      <c r="A1931" t="s">
        <v>307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25">
      <c r="A1932" t="s">
        <v>309</v>
      </c>
    </row>
    <row r="1933" spans="1:34" x14ac:dyDescent="0.25">
      <c r="A1933" t="s">
        <v>239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25">
      <c r="A1934" t="s">
        <v>238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25">
      <c r="A1935" t="s">
        <v>237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25">
      <c r="A1936" t="s">
        <v>292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25">
      <c r="A1937" t="s">
        <v>236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25">
      <c r="A1938" t="s">
        <v>235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25">
      <c r="A1939" t="s">
        <v>282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25">
      <c r="A1940" t="s">
        <v>308</v>
      </c>
    </row>
    <row r="1941" spans="1:34" x14ac:dyDescent="0.25">
      <c r="A1941" t="s">
        <v>239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25">
      <c r="A1942" t="s">
        <v>238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25">
      <c r="A1943" t="s">
        <v>237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25">
      <c r="A1944" t="s">
        <v>292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25">
      <c r="A1945" t="s">
        <v>236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25">
      <c r="A1946" t="s">
        <v>235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25">
      <c r="A1947" t="s">
        <v>282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25">
      <c r="A1948" t="s">
        <v>293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25">
      <c r="A1949" t="s">
        <v>240</v>
      </c>
    </row>
    <row r="1950" spans="1:34" x14ac:dyDescent="0.25">
      <c r="A1950" t="s">
        <v>239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25">
      <c r="A1951" t="s">
        <v>238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25">
      <c r="A1952" t="s">
        <v>237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25">
      <c r="A1953" t="s">
        <v>292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25">
      <c r="A1954" t="s">
        <v>236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25">
      <c r="A1955" t="s">
        <v>235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25">
      <c r="A1956" t="s">
        <v>282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25">
      <c r="A1957" t="s">
        <v>293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25">
      <c r="A1958" t="s">
        <v>307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25">
      <c r="A1959" t="s">
        <v>233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25">
      <c r="A1960" t="s">
        <v>182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25">
      <c r="A1962" t="s">
        <v>232</v>
      </c>
    </row>
    <row r="1964" spans="1:34" x14ac:dyDescent="0.25">
      <c r="A1964" t="s">
        <v>231</v>
      </c>
    </row>
    <row r="1965" spans="1:34" x14ac:dyDescent="0.25">
      <c r="A1965" t="s">
        <v>221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25">
      <c r="A1966" t="s">
        <v>230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25">
      <c r="A1967" t="s">
        <v>229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25">
      <c r="A1968" t="s">
        <v>228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25">
      <c r="A1969" t="s">
        <v>227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25">
      <c r="A1970" t="s">
        <v>226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25">
      <c r="A1971" t="s">
        <v>184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25">
      <c r="A1972" t="s">
        <v>183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25">
      <c r="A1973" t="s">
        <v>182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25">
      <c r="A1976" t="s">
        <v>224</v>
      </c>
    </row>
    <row r="1977" spans="1:34" x14ac:dyDescent="0.25">
      <c r="A1977" t="s">
        <v>190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25">
      <c r="A1978" t="s">
        <v>189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25">
      <c r="A1979" t="s">
        <v>222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25">
      <c r="A1980" t="s">
        <v>187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25">
      <c r="A1981" t="s">
        <v>186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25">
      <c r="A1982" t="s">
        <v>221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25">
      <c r="A1983" t="s">
        <v>184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25">
      <c r="A1984" t="s">
        <v>220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25">
      <c r="A1985" t="s">
        <v>219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25">
      <c r="A1986" t="s">
        <v>218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25">
      <c r="A1987" t="s">
        <v>223</v>
      </c>
    </row>
    <row r="1988" spans="1:34" x14ac:dyDescent="0.25">
      <c r="A1988" t="s">
        <v>190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25">
      <c r="A1989" t="s">
        <v>189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25">
      <c r="A1990" t="s">
        <v>222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25">
      <c r="A1991" t="s">
        <v>187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25">
      <c r="A1992" t="s">
        <v>186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25">
      <c r="A1993" t="s">
        <v>221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25">
      <c r="A1994" t="s">
        <v>184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25">
      <c r="A1995" t="s">
        <v>220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25">
      <c r="A1996" t="s">
        <v>219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25">
      <c r="A1997" t="s">
        <v>218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25">
      <c r="A1999" t="s">
        <v>217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25">
      <c r="A2000" t="s">
        <v>216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25">
      <c r="A2001" t="s">
        <v>215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25">
      <c r="A2002" t="s">
        <v>214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25">
      <c r="A2003" t="s">
        <v>213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25">
      <c r="A2005" t="s">
        <v>212</v>
      </c>
    </row>
    <row r="2006" spans="1:34" x14ac:dyDescent="0.25">
      <c r="A2006" t="s">
        <v>211</v>
      </c>
    </row>
    <row r="2007" spans="1:34" x14ac:dyDescent="0.25">
      <c r="A2007" t="s">
        <v>210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25">
      <c r="A2008" t="s">
        <v>209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25">
      <c r="A2009" t="s">
        <v>208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25">
      <c r="A2010" t="s">
        <v>207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25">
      <c r="A2011" t="s">
        <v>182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25">
      <c r="A2012" t="s">
        <v>206</v>
      </c>
    </row>
    <row r="2013" spans="1:34" x14ac:dyDescent="0.25">
      <c r="A2013" t="s">
        <v>205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25">
      <c r="A2014" t="s">
        <v>204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25">
      <c r="A2015" t="s">
        <v>203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25">
      <c r="A2016" t="s">
        <v>202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25">
      <c r="A2017" t="s">
        <v>182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25">
      <c r="A2019" t="s">
        <v>201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25">
      <c r="A2020" t="s">
        <v>200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25">
      <c r="A2022" t="s">
        <v>199</v>
      </c>
    </row>
    <row r="2023" spans="1:34" x14ac:dyDescent="0.25">
      <c r="A2023" t="s">
        <v>198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25">
      <c r="A2024" t="s">
        <v>197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25">
      <c r="A2025" t="s">
        <v>196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25">
      <c r="A2026" t="s">
        <v>195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25">
      <c r="A2027" t="s">
        <v>182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25">
      <c r="A2029" t="s">
        <v>306</v>
      </c>
    </row>
    <row r="2030" spans="1:34" x14ac:dyDescent="0.25">
      <c r="A2030" t="s">
        <v>305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25">
      <c r="A2031" t="s">
        <v>304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25">
      <c r="A2033" s="56" t="s">
        <v>303</v>
      </c>
    </row>
    <row r="2034" spans="1:34" x14ac:dyDescent="0.25">
      <c r="A2034" t="s">
        <v>193</v>
      </c>
    </row>
    <row r="2035" spans="1:34" x14ac:dyDescent="0.2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25">
      <c r="A2037" t="s">
        <v>272</v>
      </c>
    </row>
    <row r="2038" spans="1:34" x14ac:dyDescent="0.25">
      <c r="A2038" t="s">
        <v>271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25">
      <c r="A2039" t="s">
        <v>290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25">
      <c r="A2040" t="s">
        <v>270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25">
      <c r="A2042" t="s">
        <v>302</v>
      </c>
    </row>
    <row r="2043" spans="1:34" x14ac:dyDescent="0.25">
      <c r="A2043" t="s">
        <v>221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25">
      <c r="A2044" t="s">
        <v>266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25">
      <c r="A2045" t="s">
        <v>230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25">
      <c r="A2046" t="s">
        <v>268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25">
      <c r="A2047" t="s">
        <v>229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25">
      <c r="A2048" t="s">
        <v>280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25">
      <c r="A2049" t="s">
        <v>301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25">
      <c r="A2050" t="s">
        <v>228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25">
      <c r="A2051" t="s">
        <v>227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25">
      <c r="A2052" t="s">
        <v>226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25">
      <c r="A2053" t="s">
        <v>183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25">
      <c r="A2054" t="s">
        <v>265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25">
      <c r="A2055" t="s">
        <v>182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25">
      <c r="A2057" t="s">
        <v>289</v>
      </c>
    </row>
    <row r="2058" spans="1:34" x14ac:dyDescent="0.25">
      <c r="A2058" t="s">
        <v>221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25">
      <c r="A2059" t="s">
        <v>266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25">
      <c r="A2060" t="s">
        <v>230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25">
      <c r="A2061" t="s">
        <v>229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25">
      <c r="A2062" t="s">
        <v>280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25">
      <c r="A2063" t="s">
        <v>301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25">
      <c r="A2064" t="s">
        <v>228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25">
      <c r="A2065" t="s">
        <v>227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25">
      <c r="A2066" t="s">
        <v>226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25">
      <c r="A2067" t="s">
        <v>183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25">
      <c r="A2068" t="s">
        <v>265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25">
      <c r="A2070" t="s">
        <v>264</v>
      </c>
    </row>
    <row r="2072" spans="1:34" x14ac:dyDescent="0.25">
      <c r="A2072" t="s">
        <v>263</v>
      </c>
    </row>
    <row r="2073" spans="1:34" x14ac:dyDescent="0.25">
      <c r="A2073" t="s">
        <v>262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25">
      <c r="A2074" t="s">
        <v>261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25">
      <c r="A2075" t="s">
        <v>260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25">
      <c r="A2076" t="s">
        <v>259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25">
      <c r="A2077" t="s">
        <v>258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25">
      <c r="A2078" t="s">
        <v>257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25">
      <c r="A2079" t="s">
        <v>256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25">
      <c r="A2080" t="s">
        <v>255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25">
      <c r="A2081" t="s">
        <v>254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25">
      <c r="A2082" t="s">
        <v>253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25">
      <c r="A2083" t="s">
        <v>252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25">
      <c r="A2084" t="s">
        <v>251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25">
      <c r="A2085" t="s">
        <v>250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25">
      <c r="A2086" t="s">
        <v>249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25">
      <c r="A2088" t="s">
        <v>248</v>
      </c>
    </row>
    <row r="2090" spans="1:34" x14ac:dyDescent="0.25">
      <c r="A2090" t="s">
        <v>288</v>
      </c>
    </row>
    <row r="2091" spans="1:34" x14ac:dyDescent="0.25">
      <c r="A2091" t="s">
        <v>300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25">
      <c r="A2092" t="s">
        <v>299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25">
      <c r="A2093" t="s">
        <v>298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25">
      <c r="A2094" t="s">
        <v>297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25">
      <c r="A2095" t="s">
        <v>296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25">
      <c r="A2096" t="s">
        <v>295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25">
      <c r="A2097" t="s">
        <v>294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25">
      <c r="A2099" t="s">
        <v>246</v>
      </c>
    </row>
    <row r="2100" spans="1:34" x14ac:dyDescent="0.25">
      <c r="A2100" t="s">
        <v>300</v>
      </c>
    </row>
    <row r="2101" spans="1:34" x14ac:dyDescent="0.25">
      <c r="A2101" t="s">
        <v>239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25">
      <c r="A2102" t="s">
        <v>238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25">
      <c r="A2103" t="s">
        <v>236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25">
      <c r="A2104" t="s">
        <v>293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25">
      <c r="A2105" t="s">
        <v>299</v>
      </c>
    </row>
    <row r="2106" spans="1:34" x14ac:dyDescent="0.25">
      <c r="A2106" t="s">
        <v>239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25">
      <c r="A2107" t="s">
        <v>238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25">
      <c r="A2108" t="s">
        <v>236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25">
      <c r="A2109" t="s">
        <v>293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25">
      <c r="A2110" t="s">
        <v>298</v>
      </c>
    </row>
    <row r="2111" spans="1:34" x14ac:dyDescent="0.25">
      <c r="A2111" t="s">
        <v>239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25">
      <c r="A2112" t="s">
        <v>238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25">
      <c r="A2113" t="s">
        <v>236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25">
      <c r="A2114" t="s">
        <v>293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25">
      <c r="A2115" t="s">
        <v>297</v>
      </c>
    </row>
    <row r="2116" spans="1:34" x14ac:dyDescent="0.25">
      <c r="A2116" t="s">
        <v>239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25">
      <c r="A2117" t="s">
        <v>238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25">
      <c r="A2118" t="s">
        <v>237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25">
      <c r="A2119" t="s">
        <v>236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25">
      <c r="A2120" t="s">
        <v>293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25">
      <c r="A2121" t="s">
        <v>296</v>
      </c>
    </row>
    <row r="2122" spans="1:34" x14ac:dyDescent="0.25">
      <c r="A2122" t="s">
        <v>239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25">
      <c r="A2123" t="s">
        <v>238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25">
      <c r="A2124" t="s">
        <v>295</v>
      </c>
    </row>
    <row r="2125" spans="1:34" x14ac:dyDescent="0.25">
      <c r="A2125" t="s">
        <v>239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25">
      <c r="A2126" t="s">
        <v>238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25">
      <c r="A2127" t="s">
        <v>237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25">
      <c r="A2128" t="s">
        <v>292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25">
      <c r="A2129" t="s">
        <v>236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25">
      <c r="A2130" t="s">
        <v>293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25">
      <c r="A2131" t="s">
        <v>294</v>
      </c>
    </row>
    <row r="2132" spans="1:34" x14ac:dyDescent="0.25">
      <c r="A2132" t="s">
        <v>239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25">
      <c r="A2133" t="s">
        <v>238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25">
      <c r="A2134" t="s">
        <v>237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25">
      <c r="A2135" t="s">
        <v>292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25">
      <c r="A2136" t="s">
        <v>236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25">
      <c r="A2137" t="s">
        <v>293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25">
      <c r="A2138" t="s">
        <v>240</v>
      </c>
    </row>
    <row r="2139" spans="1:34" x14ac:dyDescent="0.25">
      <c r="A2139" t="s">
        <v>239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25">
      <c r="A2140" t="s">
        <v>238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25">
      <c r="A2141" t="s">
        <v>236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25">
      <c r="A2142" t="s">
        <v>293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25">
      <c r="A2143" t="s">
        <v>237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25">
      <c r="A2144" t="s">
        <v>292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25">
      <c r="A2145" t="s">
        <v>182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25">
      <c r="A2147" t="s">
        <v>232</v>
      </c>
    </row>
    <row r="2149" spans="1:34" x14ac:dyDescent="0.25">
      <c r="A2149" t="s">
        <v>231</v>
      </c>
    </row>
    <row r="2150" spans="1:34" x14ac:dyDescent="0.25">
      <c r="A2150" t="s">
        <v>221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25">
      <c r="A2151" t="s">
        <v>230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25">
      <c r="A2152" t="s">
        <v>229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25">
      <c r="A2153" t="s">
        <v>228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25">
      <c r="A2154" t="s">
        <v>227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25">
      <c r="A2155" t="s">
        <v>226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25">
      <c r="A2156" t="s">
        <v>184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25">
      <c r="A2157" t="s">
        <v>183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25">
      <c r="A2158" t="s">
        <v>182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25">
      <c r="A2161" t="s">
        <v>224</v>
      </c>
    </row>
    <row r="2162" spans="1:34" x14ac:dyDescent="0.25">
      <c r="A2162" t="s">
        <v>190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25">
      <c r="A2163" t="s">
        <v>189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25">
      <c r="A2164" t="s">
        <v>222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25">
      <c r="A2165" t="s">
        <v>187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25">
      <c r="A2166" t="s">
        <v>186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25">
      <c r="A2167" t="s">
        <v>221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25">
      <c r="A2168" t="s">
        <v>184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25">
      <c r="A2169" t="s">
        <v>220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25">
      <c r="A2170" t="s">
        <v>219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25">
      <c r="A2171" t="s">
        <v>218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25">
      <c r="A2172" t="s">
        <v>223</v>
      </c>
    </row>
    <row r="2173" spans="1:34" x14ac:dyDescent="0.25">
      <c r="A2173" t="s">
        <v>190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25">
      <c r="A2174" t="s">
        <v>189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25">
      <c r="A2175" t="s">
        <v>222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25">
      <c r="A2176" t="s">
        <v>187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25">
      <c r="A2177" t="s">
        <v>186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25">
      <c r="A2178" t="s">
        <v>221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25">
      <c r="A2179" t="s">
        <v>184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25">
      <c r="A2180" t="s">
        <v>220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25">
      <c r="A2181" t="s">
        <v>219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25">
      <c r="A2182" t="s">
        <v>218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25">
      <c r="A2184" t="s">
        <v>217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25">
      <c r="A2185" t="s">
        <v>216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25">
      <c r="A2186" t="s">
        <v>215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25">
      <c r="A2187" t="s">
        <v>214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25">
      <c r="A2188" t="s">
        <v>213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25">
      <c r="A2190" t="s">
        <v>212</v>
      </c>
    </row>
    <row r="2191" spans="1:34" x14ac:dyDescent="0.25">
      <c r="A2191" t="s">
        <v>211</v>
      </c>
    </row>
    <row r="2192" spans="1:34" x14ac:dyDescent="0.25">
      <c r="A2192" t="s">
        <v>210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25">
      <c r="A2193" t="s">
        <v>209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25">
      <c r="A2194" t="s">
        <v>208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25">
      <c r="A2195" t="s">
        <v>207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25">
      <c r="A2196" t="s">
        <v>182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25">
      <c r="A2197" t="s">
        <v>206</v>
      </c>
    </row>
    <row r="2198" spans="1:34" x14ac:dyDescent="0.25">
      <c r="A2198" t="s">
        <v>205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25">
      <c r="A2199" t="s">
        <v>204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25">
      <c r="A2200" t="s">
        <v>203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25">
      <c r="A2201" t="s">
        <v>202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25">
      <c r="A2202" t="s">
        <v>182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25">
      <c r="A2204" t="s">
        <v>201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25">
      <c r="A2205" t="s">
        <v>200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25">
      <c r="A2207" t="s">
        <v>199</v>
      </c>
    </row>
    <row r="2208" spans="1:34" x14ac:dyDescent="0.25">
      <c r="A2208" t="s">
        <v>198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25">
      <c r="A2209" t="s">
        <v>197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25">
      <c r="A2210" t="s">
        <v>196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25">
      <c r="A2211" t="s">
        <v>195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25">
      <c r="A2212" t="s">
        <v>182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25">
      <c r="A2214" s="56" t="s">
        <v>291</v>
      </c>
    </row>
    <row r="2215" spans="1:34" x14ac:dyDescent="0.25">
      <c r="A2215" t="s">
        <v>193</v>
      </c>
    </row>
    <row r="2216" spans="1:34" x14ac:dyDescent="0.2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25">
      <c r="A2218" t="s">
        <v>272</v>
      </c>
    </row>
    <row r="2219" spans="1:34" x14ac:dyDescent="0.25">
      <c r="A2219" t="s">
        <v>271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25">
      <c r="A2220" t="s">
        <v>290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25">
      <c r="A2221" t="s">
        <v>270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25">
      <c r="A2223" t="s">
        <v>269</v>
      </c>
    </row>
    <row r="2224" spans="1:34" x14ac:dyDescent="0.25">
      <c r="A2224" t="s">
        <v>221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25">
      <c r="A2225" t="s">
        <v>266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25">
      <c r="A2226" t="s">
        <v>230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25">
      <c r="A2227" t="s">
        <v>268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25">
      <c r="A2228" t="s">
        <v>229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25">
      <c r="A2229" t="s">
        <v>228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25">
      <c r="A2230" t="s">
        <v>227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25">
      <c r="A2231" t="s">
        <v>226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25">
      <c r="A2232" t="s">
        <v>184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25">
      <c r="A2233" t="s">
        <v>265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25">
      <c r="A2234" t="s">
        <v>182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25">
      <c r="A2236" t="s">
        <v>289</v>
      </c>
    </row>
    <row r="2237" spans="1:34" x14ac:dyDescent="0.25">
      <c r="A2237" t="s">
        <v>221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25">
      <c r="A2238" t="s">
        <v>266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25">
      <c r="A2239" t="s">
        <v>230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25">
      <c r="A2240" t="s">
        <v>229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25">
      <c r="A2241" t="s">
        <v>228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25">
      <c r="A2242" t="s">
        <v>227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25">
      <c r="A2243" t="s">
        <v>226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25">
      <c r="A2244" t="s">
        <v>184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25">
      <c r="A2245" t="s">
        <v>265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25">
      <c r="A2247" t="s">
        <v>264</v>
      </c>
    </row>
    <row r="2249" spans="1:34" x14ac:dyDescent="0.25">
      <c r="A2249" t="s">
        <v>263</v>
      </c>
    </row>
    <row r="2250" spans="1:34" x14ac:dyDescent="0.25">
      <c r="A2250" t="s">
        <v>262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25">
      <c r="A2251" t="s">
        <v>261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25">
      <c r="A2252" t="s">
        <v>260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25">
      <c r="A2253" t="s">
        <v>259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25">
      <c r="A2254" t="s">
        <v>258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25">
      <c r="A2255" t="s">
        <v>257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25">
      <c r="A2256" t="s">
        <v>256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25">
      <c r="A2257" t="s">
        <v>255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25">
      <c r="A2258" t="s">
        <v>254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25">
      <c r="A2259" t="s">
        <v>253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25">
      <c r="A2260" t="s">
        <v>252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25">
      <c r="A2261" t="s">
        <v>251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25">
      <c r="A2262" t="s">
        <v>250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25">
      <c r="A2263" t="s">
        <v>249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25">
      <c r="A2265" t="s">
        <v>248</v>
      </c>
    </row>
    <row r="2267" spans="1:34" x14ac:dyDescent="0.25">
      <c r="A2267" t="s">
        <v>288</v>
      </c>
    </row>
    <row r="2268" spans="1:34" x14ac:dyDescent="0.25">
      <c r="A2268" t="s">
        <v>287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25">
      <c r="A2269" t="s">
        <v>286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25">
      <c r="A2270" t="s">
        <v>285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25">
      <c r="A2271" t="s">
        <v>284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25">
      <c r="A2272" t="s">
        <v>283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25">
      <c r="A2274" t="s">
        <v>246</v>
      </c>
    </row>
    <row r="2275" spans="1:34" x14ac:dyDescent="0.25">
      <c r="A2275" t="s">
        <v>287</v>
      </c>
    </row>
    <row r="2276" spans="1:34" x14ac:dyDescent="0.25">
      <c r="A2276" t="s">
        <v>239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25">
      <c r="A2277" t="s">
        <v>238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25">
      <c r="A2278" t="s">
        <v>235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25">
      <c r="A2279" t="s">
        <v>234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25">
      <c r="A2280" t="s">
        <v>286</v>
      </c>
    </row>
    <row r="2281" spans="1:34" x14ac:dyDescent="0.25">
      <c r="A2281" t="s">
        <v>239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25">
      <c r="A2282" t="s">
        <v>238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25">
      <c r="A2283" t="s">
        <v>235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25">
      <c r="A2284" t="s">
        <v>234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25">
      <c r="A2285" t="s">
        <v>285</v>
      </c>
    </row>
    <row r="2286" spans="1:34" x14ac:dyDescent="0.25">
      <c r="A2286" t="s">
        <v>239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25">
      <c r="A2287" t="s">
        <v>238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25">
      <c r="A2288" t="s">
        <v>235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25">
      <c r="A2289" t="s">
        <v>234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25">
      <c r="A2290" t="s">
        <v>284</v>
      </c>
    </row>
    <row r="2291" spans="1:34" x14ac:dyDescent="0.25">
      <c r="A2291" t="s">
        <v>239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25">
      <c r="A2292" t="s">
        <v>238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25">
      <c r="A2293" t="s">
        <v>235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25">
      <c r="A2294" t="s">
        <v>234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25">
      <c r="A2295" t="s">
        <v>282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25">
      <c r="A2296" t="s">
        <v>233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25">
      <c r="A2297" t="s">
        <v>283</v>
      </c>
    </row>
    <row r="2298" spans="1:34" x14ac:dyDescent="0.25">
      <c r="A2298" t="s">
        <v>239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25">
      <c r="A2299" t="s">
        <v>238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25">
      <c r="A2300" t="s">
        <v>235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25">
      <c r="A2301" t="s">
        <v>234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25">
      <c r="A2302" t="s">
        <v>233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25">
      <c r="A2303" t="s">
        <v>240</v>
      </c>
    </row>
    <row r="2304" spans="1:34" x14ac:dyDescent="0.25">
      <c r="A2304" t="s">
        <v>239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25">
      <c r="A2305" t="s">
        <v>238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25">
      <c r="A2306" t="s">
        <v>235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25">
      <c r="A2307" t="s">
        <v>234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25">
      <c r="A2308" t="s">
        <v>282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25">
      <c r="A2309" t="s">
        <v>233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25">
      <c r="A2310" t="s">
        <v>182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25">
      <c r="A2312" t="s">
        <v>232</v>
      </c>
    </row>
    <row r="2314" spans="1:34" x14ac:dyDescent="0.25">
      <c r="A2314" t="s">
        <v>231</v>
      </c>
    </row>
    <row r="2315" spans="1:34" x14ac:dyDescent="0.25">
      <c r="A2315" t="s">
        <v>221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25">
      <c r="A2316" t="s">
        <v>230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25">
      <c r="A2317" t="s">
        <v>229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25">
      <c r="A2318" t="s">
        <v>228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25">
      <c r="A2319" t="s">
        <v>227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25">
      <c r="A2320" t="s">
        <v>226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25">
      <c r="A2321" t="s">
        <v>184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25">
      <c r="A2322" t="s">
        <v>183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25">
      <c r="A2323" t="s">
        <v>182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25">
      <c r="A2326" t="s">
        <v>224</v>
      </c>
    </row>
    <row r="2327" spans="1:34" x14ac:dyDescent="0.25">
      <c r="A2327" t="s">
        <v>190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25">
      <c r="A2328" t="s">
        <v>189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25">
      <c r="A2329" t="s">
        <v>222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25">
      <c r="A2330" t="s">
        <v>187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25">
      <c r="A2331" t="s">
        <v>186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25">
      <c r="A2332" t="s">
        <v>221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25">
      <c r="A2333" t="s">
        <v>184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25">
      <c r="A2334" t="s">
        <v>220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25">
      <c r="A2335" t="s">
        <v>219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25">
      <c r="A2336" t="s">
        <v>218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25">
      <c r="A2337" t="s">
        <v>223</v>
      </c>
    </row>
    <row r="2338" spans="1:34" x14ac:dyDescent="0.25">
      <c r="A2338" t="s">
        <v>190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25">
      <c r="A2339" t="s">
        <v>189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25">
      <c r="A2340" t="s">
        <v>222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25">
      <c r="A2341" t="s">
        <v>187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25">
      <c r="A2342" t="s">
        <v>186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25">
      <c r="A2343" t="s">
        <v>221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25">
      <c r="A2344" t="s">
        <v>184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25">
      <c r="A2345" t="s">
        <v>220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25">
      <c r="A2346" t="s">
        <v>219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25">
      <c r="A2347" t="s">
        <v>218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25">
      <c r="A2349" t="s">
        <v>217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25">
      <c r="A2350" t="s">
        <v>216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25">
      <c r="A2351" t="s">
        <v>215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25">
      <c r="A2352" t="s">
        <v>214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25">
      <c r="A2353" t="s">
        <v>213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25">
      <c r="A2355" t="s">
        <v>212</v>
      </c>
    </row>
    <row r="2356" spans="1:34" x14ac:dyDescent="0.25">
      <c r="A2356" t="s">
        <v>211</v>
      </c>
    </row>
    <row r="2357" spans="1:34" x14ac:dyDescent="0.25">
      <c r="A2357" t="s">
        <v>210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25">
      <c r="A2358" t="s">
        <v>209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25">
      <c r="A2359" t="s">
        <v>208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25">
      <c r="A2360" t="s">
        <v>207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25">
      <c r="A2361" t="s">
        <v>182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25">
      <c r="A2362" t="s">
        <v>206</v>
      </c>
    </row>
    <row r="2363" spans="1:34" x14ac:dyDescent="0.25">
      <c r="A2363" t="s">
        <v>205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25">
      <c r="A2364" t="s">
        <v>204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25">
      <c r="A2365" t="s">
        <v>203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25">
      <c r="A2366" t="s">
        <v>202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25">
      <c r="A2367" t="s">
        <v>182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25">
      <c r="A2369" t="s">
        <v>201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25">
      <c r="A2370" t="s">
        <v>200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25">
      <c r="A2372" t="s">
        <v>199</v>
      </c>
    </row>
    <row r="2373" spans="1:34" x14ac:dyDescent="0.25">
      <c r="A2373" t="s">
        <v>198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25">
      <c r="A2374" t="s">
        <v>197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25">
      <c r="A2375" t="s">
        <v>196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25">
      <c r="A2376" t="s">
        <v>195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25">
      <c r="A2377" t="s">
        <v>182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25">
      <c r="A2379" s="56" t="s">
        <v>281</v>
      </c>
    </row>
    <row r="2380" spans="1:34" x14ac:dyDescent="0.25">
      <c r="A2380" t="s">
        <v>193</v>
      </c>
    </row>
    <row r="2381" spans="1:34" x14ac:dyDescent="0.2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25">
      <c r="A2383" t="s">
        <v>272</v>
      </c>
    </row>
    <row r="2384" spans="1:34" x14ac:dyDescent="0.25">
      <c r="A2384" t="s">
        <v>271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25">
      <c r="A2385" t="s">
        <v>270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25">
      <c r="A2387" t="s">
        <v>269</v>
      </c>
    </row>
    <row r="2388" spans="1:34" x14ac:dyDescent="0.25">
      <c r="A2388" t="s">
        <v>221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25">
      <c r="A2389" t="s">
        <v>266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25">
      <c r="A2390" t="s">
        <v>230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25">
      <c r="A2391" t="s">
        <v>268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25">
      <c r="A2392" t="s">
        <v>229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25">
      <c r="A2393" t="s">
        <v>280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25">
      <c r="A2394" t="s">
        <v>228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25">
      <c r="A2395" t="s">
        <v>227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25">
      <c r="A2396" t="s">
        <v>226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25">
      <c r="A2397" t="s">
        <v>265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25">
      <c r="A2398" t="s">
        <v>225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25">
      <c r="A2399" t="s">
        <v>182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25">
      <c r="A2401" t="s">
        <v>267</v>
      </c>
    </row>
    <row r="2402" spans="1:34" x14ac:dyDescent="0.25">
      <c r="A2402" t="s">
        <v>221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25">
      <c r="A2403" t="s">
        <v>266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25">
      <c r="A2404" t="s">
        <v>230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25">
      <c r="A2405" t="s">
        <v>229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25">
      <c r="A2406" t="s">
        <v>280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25">
      <c r="A2407" t="s">
        <v>228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25">
      <c r="A2408" t="s">
        <v>227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25">
      <c r="A2409" t="s">
        <v>226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25">
      <c r="A2410" t="s">
        <v>265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25">
      <c r="A2411" t="s">
        <v>225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25">
      <c r="A2413" t="s">
        <v>264</v>
      </c>
    </row>
    <row r="2415" spans="1:34" x14ac:dyDescent="0.25">
      <c r="A2415" t="s">
        <v>263</v>
      </c>
    </row>
    <row r="2416" spans="1:34" x14ac:dyDescent="0.25">
      <c r="A2416" t="s">
        <v>262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25">
      <c r="A2417" t="s">
        <v>261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25">
      <c r="A2418" t="s">
        <v>260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25">
      <c r="A2419" t="s">
        <v>259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25">
      <c r="A2420" t="s">
        <v>258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25">
      <c r="A2421" t="s">
        <v>257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25">
      <c r="A2422" t="s">
        <v>256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25">
      <c r="A2423" t="s">
        <v>255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25">
      <c r="A2424" t="s">
        <v>254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25">
      <c r="A2425" t="s">
        <v>253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25">
      <c r="A2426" t="s">
        <v>252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25">
      <c r="A2427" t="s">
        <v>251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25">
      <c r="A2428" t="s">
        <v>250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25">
      <c r="A2429" t="s">
        <v>249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25">
      <c r="A2431" t="s">
        <v>248</v>
      </c>
    </row>
    <row r="2433" spans="1:34" x14ac:dyDescent="0.25">
      <c r="A2433" t="s">
        <v>247</v>
      </c>
    </row>
    <row r="2434" spans="1:34" x14ac:dyDescent="0.25">
      <c r="A2434" t="s">
        <v>245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25">
      <c r="A2435" t="s">
        <v>244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25">
      <c r="A2436" t="s">
        <v>243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25">
      <c r="A2437" t="s">
        <v>242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25">
      <c r="A2438" t="s">
        <v>241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25">
      <c r="A2440" t="s">
        <v>246</v>
      </c>
    </row>
    <row r="2441" spans="1:34" x14ac:dyDescent="0.25">
      <c r="A2441" t="s">
        <v>245</v>
      </c>
    </row>
    <row r="2442" spans="1:34" x14ac:dyDescent="0.25">
      <c r="A2442" t="s">
        <v>239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25">
      <c r="A2443" t="s">
        <v>238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25">
      <c r="A2444" t="s">
        <v>234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25">
      <c r="A2445" t="s">
        <v>233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25">
      <c r="A2446" t="s">
        <v>244</v>
      </c>
    </row>
    <row r="2447" spans="1:34" x14ac:dyDescent="0.25">
      <c r="A2447" t="s">
        <v>239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25">
      <c r="A2448" t="s">
        <v>243</v>
      </c>
    </row>
    <row r="2449" spans="1:34" x14ac:dyDescent="0.25">
      <c r="A2449" t="s">
        <v>239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25">
      <c r="A2450" t="s">
        <v>242</v>
      </c>
    </row>
    <row r="2451" spans="1:34" x14ac:dyDescent="0.25">
      <c r="A2451" t="s">
        <v>241</v>
      </c>
    </row>
    <row r="2452" spans="1:34" x14ac:dyDescent="0.25">
      <c r="A2452" t="s">
        <v>239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25">
      <c r="A2453" t="s">
        <v>240</v>
      </c>
    </row>
    <row r="2454" spans="1:34" x14ac:dyDescent="0.25">
      <c r="A2454" t="s">
        <v>239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25">
      <c r="A2455" t="s">
        <v>238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25">
      <c r="A2456" t="s">
        <v>234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25">
      <c r="A2457" t="s">
        <v>233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25">
      <c r="A2458" t="s">
        <v>182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25">
      <c r="A2460" t="s">
        <v>232</v>
      </c>
    </row>
    <row r="2462" spans="1:34" x14ac:dyDescent="0.25">
      <c r="A2462" t="s">
        <v>231</v>
      </c>
    </row>
    <row r="2463" spans="1:34" x14ac:dyDescent="0.25">
      <c r="A2463" t="s">
        <v>221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25">
      <c r="A2464" t="s">
        <v>230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25">
      <c r="A2465" t="s">
        <v>229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25">
      <c r="A2466" t="s">
        <v>228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25">
      <c r="A2467" t="s">
        <v>227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25">
      <c r="A2468" t="s">
        <v>226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25">
      <c r="A2469" t="s">
        <v>184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25">
      <c r="A2470" t="s">
        <v>183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25">
      <c r="A2471" t="s">
        <v>182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25">
      <c r="A2474" t="s">
        <v>224</v>
      </c>
    </row>
    <row r="2475" spans="1:34" x14ac:dyDescent="0.25">
      <c r="A2475" t="s">
        <v>190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25">
      <c r="A2476" t="s">
        <v>189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25">
      <c r="A2477" t="s">
        <v>222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25">
      <c r="A2478" t="s">
        <v>187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25">
      <c r="A2479" t="s">
        <v>186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25">
      <c r="A2480" t="s">
        <v>221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25">
      <c r="A2481" t="s">
        <v>184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25">
      <c r="A2482" t="s">
        <v>220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25">
      <c r="A2483" t="s">
        <v>219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25">
      <c r="A2484" t="s">
        <v>218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25">
      <c r="A2485" t="s">
        <v>223</v>
      </c>
    </row>
    <row r="2486" spans="1:34" x14ac:dyDescent="0.25">
      <c r="A2486" t="s">
        <v>190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25">
      <c r="A2487" t="s">
        <v>189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25">
      <c r="A2488" t="s">
        <v>222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25">
      <c r="A2489" t="s">
        <v>187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25">
      <c r="A2490" t="s">
        <v>186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25">
      <c r="A2491" t="s">
        <v>221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25">
      <c r="A2492" t="s">
        <v>184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25">
      <c r="A2493" t="s">
        <v>220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25">
      <c r="A2494" t="s">
        <v>219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25">
      <c r="A2495" t="s">
        <v>218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25">
      <c r="A2497" t="s">
        <v>217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25">
      <c r="A2498" t="s">
        <v>216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25">
      <c r="A2499" t="s">
        <v>215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25">
      <c r="A2500" t="s">
        <v>214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25">
      <c r="A2501" t="s">
        <v>213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25">
      <c r="A2503" t="s">
        <v>212</v>
      </c>
    </row>
    <row r="2504" spans="1:34" x14ac:dyDescent="0.25">
      <c r="A2504" t="s">
        <v>211</v>
      </c>
    </row>
    <row r="2505" spans="1:34" x14ac:dyDescent="0.25">
      <c r="A2505" t="s">
        <v>210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25">
      <c r="A2506" t="s">
        <v>209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25">
      <c r="A2507" t="s">
        <v>208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25">
      <c r="A2508" t="s">
        <v>207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25">
      <c r="A2509" t="s">
        <v>182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25">
      <c r="A2510" t="s">
        <v>206</v>
      </c>
    </row>
    <row r="2511" spans="1:34" x14ac:dyDescent="0.25">
      <c r="A2511" t="s">
        <v>205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25">
      <c r="A2512" t="s">
        <v>204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25">
      <c r="A2513" t="s">
        <v>203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25">
      <c r="A2514" t="s">
        <v>202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25">
      <c r="A2515" t="s">
        <v>182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25">
      <c r="A2517" t="s">
        <v>201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25">
      <c r="A2518" t="s">
        <v>200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25">
      <c r="A2520" t="s">
        <v>199</v>
      </c>
    </row>
    <row r="2521" spans="1:34" x14ac:dyDescent="0.25">
      <c r="A2521" t="s">
        <v>198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25">
      <c r="A2522" t="s">
        <v>197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25">
      <c r="A2523" t="s">
        <v>196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25">
      <c r="A2524" t="s">
        <v>195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25">
      <c r="A2525" t="s">
        <v>182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25">
      <c r="A2527" s="56" t="s">
        <v>279</v>
      </c>
    </row>
    <row r="2528" spans="1:34" x14ac:dyDescent="0.25">
      <c r="A2528" t="s">
        <v>193</v>
      </c>
    </row>
    <row r="2529" spans="1:34" x14ac:dyDescent="0.2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25">
      <c r="A2531" t="s">
        <v>272</v>
      </c>
    </row>
    <row r="2532" spans="1:34" x14ac:dyDescent="0.25">
      <c r="A2532" t="s">
        <v>271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25">
      <c r="A2533" t="s">
        <v>270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25">
      <c r="A2535" t="s">
        <v>269</v>
      </c>
    </row>
    <row r="2536" spans="1:34" x14ac:dyDescent="0.25">
      <c r="A2536" t="s">
        <v>221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25">
      <c r="A2537" t="s">
        <v>266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25">
      <c r="A2538" t="s">
        <v>230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25">
      <c r="A2539" t="s">
        <v>268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25">
      <c r="A2540" t="s">
        <v>229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25">
      <c r="A2541" t="s">
        <v>228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25">
      <c r="A2542" t="s">
        <v>227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25">
      <c r="A2543" t="s">
        <v>226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25">
      <c r="A2544" t="s">
        <v>265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25">
      <c r="A2545" t="s">
        <v>225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25">
      <c r="A2546" t="s">
        <v>182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25">
      <c r="A2548" t="s">
        <v>267</v>
      </c>
    </row>
    <row r="2549" spans="1:34" x14ac:dyDescent="0.25">
      <c r="A2549" t="s">
        <v>221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25">
      <c r="A2550" t="s">
        <v>266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25">
      <c r="A2551" t="s">
        <v>230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25">
      <c r="A2552" t="s">
        <v>229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25">
      <c r="A2553" t="s">
        <v>228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25">
      <c r="A2554" t="s">
        <v>227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25">
      <c r="A2555" t="s">
        <v>226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25">
      <c r="A2556" t="s">
        <v>265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25">
      <c r="A2557" t="s">
        <v>225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25">
      <c r="A2559" t="s">
        <v>264</v>
      </c>
    </row>
    <row r="2561" spans="1:34" x14ac:dyDescent="0.25">
      <c r="A2561" t="s">
        <v>263</v>
      </c>
    </row>
    <row r="2562" spans="1:34" x14ac:dyDescent="0.25">
      <c r="A2562" t="s">
        <v>262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25">
      <c r="A2563" t="s">
        <v>261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25">
      <c r="A2564" t="s">
        <v>260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25">
      <c r="A2565" t="s">
        <v>259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25">
      <c r="A2566" t="s">
        <v>258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25">
      <c r="A2567" t="s">
        <v>257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25">
      <c r="A2568" t="s">
        <v>256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25">
      <c r="A2569" t="s">
        <v>255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25">
      <c r="A2570" t="s">
        <v>254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25">
      <c r="A2571" t="s">
        <v>253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25">
      <c r="A2572" t="s">
        <v>252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25">
      <c r="A2573" t="s">
        <v>251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25">
      <c r="A2574" t="s">
        <v>250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25">
      <c r="A2575" t="s">
        <v>249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25">
      <c r="A2577" t="s">
        <v>248</v>
      </c>
    </row>
    <row r="2579" spans="1:34" x14ac:dyDescent="0.25">
      <c r="A2579" t="s">
        <v>247</v>
      </c>
    </row>
    <row r="2580" spans="1:34" x14ac:dyDescent="0.25">
      <c r="A2580" t="s">
        <v>245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25">
      <c r="A2581" t="s">
        <v>244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25">
      <c r="A2582" t="s">
        <v>243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25">
      <c r="A2583" t="s">
        <v>242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25">
      <c r="A2584" t="s">
        <v>241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25">
      <c r="A2586" t="s">
        <v>246</v>
      </c>
    </row>
    <row r="2587" spans="1:34" x14ac:dyDescent="0.25">
      <c r="A2587" t="s">
        <v>245</v>
      </c>
    </row>
    <row r="2588" spans="1:34" x14ac:dyDescent="0.25">
      <c r="A2588" t="s">
        <v>239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25">
      <c r="A2589" t="s">
        <v>238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25">
      <c r="A2590" t="s">
        <v>244</v>
      </c>
    </row>
    <row r="2591" spans="1:34" x14ac:dyDescent="0.25">
      <c r="A2591" t="s">
        <v>239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25">
      <c r="A2592" t="s">
        <v>243</v>
      </c>
    </row>
    <row r="2593" spans="1:34" x14ac:dyDescent="0.25">
      <c r="A2593" t="s">
        <v>239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25">
      <c r="A2594" t="s">
        <v>238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25">
      <c r="A2595" t="s">
        <v>242</v>
      </c>
    </row>
    <row r="2596" spans="1:34" x14ac:dyDescent="0.25">
      <c r="A2596" t="s">
        <v>241</v>
      </c>
    </row>
    <row r="2597" spans="1:34" x14ac:dyDescent="0.25">
      <c r="A2597" t="s">
        <v>239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25">
      <c r="A2598" t="s">
        <v>238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25">
      <c r="A2599" t="s">
        <v>235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25">
      <c r="A2600" t="s">
        <v>240</v>
      </c>
    </row>
    <row r="2601" spans="1:34" x14ac:dyDescent="0.25">
      <c r="A2601" t="s">
        <v>239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25">
      <c r="A2602" t="s">
        <v>238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25">
      <c r="A2603" t="s">
        <v>235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25">
      <c r="A2604" t="s">
        <v>182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25">
      <c r="A2606" t="s">
        <v>232</v>
      </c>
    </row>
    <row r="2608" spans="1:34" x14ac:dyDescent="0.25">
      <c r="A2608" t="s">
        <v>231</v>
      </c>
    </row>
    <row r="2609" spans="1:34" x14ac:dyDescent="0.25">
      <c r="A2609" t="s">
        <v>221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25">
      <c r="A2610" t="s">
        <v>230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25">
      <c r="A2611" t="s">
        <v>229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25">
      <c r="A2612" t="s">
        <v>228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25">
      <c r="A2613" t="s">
        <v>227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25">
      <c r="A2614" t="s">
        <v>226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25">
      <c r="A2615" t="s">
        <v>184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25">
      <c r="A2616" t="s">
        <v>183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25">
      <c r="A2617" t="s">
        <v>182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25">
      <c r="A2620" t="s">
        <v>224</v>
      </c>
    </row>
    <row r="2621" spans="1:34" x14ac:dyDescent="0.25">
      <c r="A2621" t="s">
        <v>190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25">
      <c r="A2622" t="s">
        <v>189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25">
      <c r="A2623" t="s">
        <v>222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25">
      <c r="A2624" t="s">
        <v>187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25">
      <c r="A2625" t="s">
        <v>186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25">
      <c r="A2626" t="s">
        <v>221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25">
      <c r="A2627" t="s">
        <v>184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25">
      <c r="A2628" t="s">
        <v>220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25">
      <c r="A2629" t="s">
        <v>219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25">
      <c r="A2630" t="s">
        <v>218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25">
      <c r="A2631" t="s">
        <v>223</v>
      </c>
    </row>
    <row r="2632" spans="1:34" x14ac:dyDescent="0.25">
      <c r="A2632" t="s">
        <v>190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25">
      <c r="A2633" t="s">
        <v>189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25">
      <c r="A2634" t="s">
        <v>222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25">
      <c r="A2635" t="s">
        <v>187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25">
      <c r="A2636" t="s">
        <v>186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25">
      <c r="A2637" t="s">
        <v>221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25">
      <c r="A2638" t="s">
        <v>184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25">
      <c r="A2639" t="s">
        <v>220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25">
      <c r="A2640" t="s">
        <v>219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25">
      <c r="A2641" t="s">
        <v>218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25">
      <c r="A2643" t="s">
        <v>217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25">
      <c r="A2644" t="s">
        <v>216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25">
      <c r="A2645" t="s">
        <v>215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25">
      <c r="A2646" t="s">
        <v>214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25">
      <c r="A2647" t="s">
        <v>213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25">
      <c r="A2649" t="s">
        <v>212</v>
      </c>
    </row>
    <row r="2650" spans="1:34" x14ac:dyDescent="0.25">
      <c r="A2650" t="s">
        <v>211</v>
      </c>
    </row>
    <row r="2651" spans="1:34" x14ac:dyDescent="0.25">
      <c r="A2651" t="s">
        <v>210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25">
      <c r="A2652" t="s">
        <v>209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25">
      <c r="A2653" t="s">
        <v>208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25">
      <c r="A2654" t="s">
        <v>207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25">
      <c r="A2655" t="s">
        <v>182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25">
      <c r="A2656" t="s">
        <v>206</v>
      </c>
    </row>
    <row r="2657" spans="1:34" x14ac:dyDescent="0.25">
      <c r="A2657" t="s">
        <v>205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25">
      <c r="A2658" t="s">
        <v>204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25">
      <c r="A2659" t="s">
        <v>203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25">
      <c r="A2660" t="s">
        <v>202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25">
      <c r="A2661" t="s">
        <v>182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25">
      <c r="A2663" t="s">
        <v>201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25">
      <c r="A2664" t="s">
        <v>200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25">
      <c r="A2666" t="s">
        <v>199</v>
      </c>
    </row>
    <row r="2667" spans="1:34" x14ac:dyDescent="0.25">
      <c r="A2667" t="s">
        <v>198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25">
      <c r="A2668" t="s">
        <v>197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25">
      <c r="A2669" t="s">
        <v>196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25">
      <c r="A2670" t="s">
        <v>195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25">
      <c r="A2671" t="s">
        <v>182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25">
      <c r="A2673" s="56" t="s">
        <v>278</v>
      </c>
    </row>
    <row r="2674" spans="1:34" x14ac:dyDescent="0.25">
      <c r="A2674" t="s">
        <v>193</v>
      </c>
    </row>
    <row r="2675" spans="1:34" x14ac:dyDescent="0.2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25">
      <c r="A2677" t="s">
        <v>272</v>
      </c>
    </row>
    <row r="2678" spans="1:34" x14ac:dyDescent="0.25">
      <c r="A2678" t="s">
        <v>271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25">
      <c r="A2679" t="s">
        <v>270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25">
      <c r="A2681" t="s">
        <v>269</v>
      </c>
    </row>
    <row r="2682" spans="1:34" x14ac:dyDescent="0.25">
      <c r="A2682" t="s">
        <v>221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25">
      <c r="A2683" t="s">
        <v>266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25">
      <c r="A2684" t="s">
        <v>230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25">
      <c r="A2685" t="s">
        <v>268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25">
      <c r="A2686" t="s">
        <v>229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25">
      <c r="A2687" t="s">
        <v>228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25">
      <c r="A2688" t="s">
        <v>227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25">
      <c r="A2689" t="s">
        <v>226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25">
      <c r="A2690" t="s">
        <v>265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25">
      <c r="A2691" t="s">
        <v>225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25">
      <c r="A2692" t="s">
        <v>182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25">
      <c r="A2694" t="s">
        <v>267</v>
      </c>
    </row>
    <row r="2695" spans="1:34" x14ac:dyDescent="0.25">
      <c r="A2695" t="s">
        <v>221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25">
      <c r="A2696" t="s">
        <v>266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25">
      <c r="A2697" t="s">
        <v>230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25">
      <c r="A2698" t="s">
        <v>229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25">
      <c r="A2699" t="s">
        <v>228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25">
      <c r="A2700" t="s">
        <v>227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25">
      <c r="A2701" t="s">
        <v>226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25">
      <c r="A2702" t="s">
        <v>265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25">
      <c r="A2703" t="s">
        <v>225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25">
      <c r="A2705" t="s">
        <v>264</v>
      </c>
    </row>
    <row r="2707" spans="1:34" x14ac:dyDescent="0.25">
      <c r="A2707" t="s">
        <v>263</v>
      </c>
    </row>
    <row r="2708" spans="1:34" x14ac:dyDescent="0.25">
      <c r="A2708" t="s">
        <v>262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25">
      <c r="A2709" t="s">
        <v>261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25">
      <c r="A2710" t="s">
        <v>260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25">
      <c r="A2711" t="s">
        <v>259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25">
      <c r="A2712" t="s">
        <v>258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25">
      <c r="A2713" t="s">
        <v>257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25">
      <c r="A2714" t="s">
        <v>256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25">
      <c r="A2715" t="s">
        <v>255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25">
      <c r="A2716" t="s">
        <v>254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25">
      <c r="A2717" t="s">
        <v>253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25">
      <c r="A2718" t="s">
        <v>252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25">
      <c r="A2719" t="s">
        <v>251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25">
      <c r="A2720" t="s">
        <v>250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25">
      <c r="A2721" t="s">
        <v>249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25">
      <c r="A2723" t="s">
        <v>248</v>
      </c>
    </row>
    <row r="2725" spans="1:34" x14ac:dyDescent="0.25">
      <c r="A2725" t="s">
        <v>247</v>
      </c>
    </row>
    <row r="2726" spans="1:34" x14ac:dyDescent="0.25">
      <c r="A2726" t="s">
        <v>245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25">
      <c r="A2727" t="s">
        <v>244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25">
      <c r="A2728" t="s">
        <v>243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25">
      <c r="A2729" t="s">
        <v>242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25">
      <c r="A2730" t="s">
        <v>241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25">
      <c r="A2732" t="s">
        <v>246</v>
      </c>
    </row>
    <row r="2733" spans="1:34" x14ac:dyDescent="0.25">
      <c r="A2733" t="s">
        <v>245</v>
      </c>
    </row>
    <row r="2734" spans="1:34" x14ac:dyDescent="0.25">
      <c r="A2734" t="s">
        <v>239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25">
      <c r="A2735" t="s">
        <v>238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25">
      <c r="A2736" t="s">
        <v>244</v>
      </c>
    </row>
    <row r="2737" spans="1:34" x14ac:dyDescent="0.25">
      <c r="A2737" t="s">
        <v>239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25">
      <c r="A2738" t="s">
        <v>243</v>
      </c>
    </row>
    <row r="2739" spans="1:34" x14ac:dyDescent="0.25">
      <c r="A2739" t="s">
        <v>239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25">
      <c r="A2740" t="s">
        <v>242</v>
      </c>
    </row>
    <row r="2741" spans="1:34" x14ac:dyDescent="0.25">
      <c r="A2741" t="s">
        <v>239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25">
      <c r="A2742" t="s">
        <v>241</v>
      </c>
    </row>
    <row r="2743" spans="1:34" x14ac:dyDescent="0.25">
      <c r="A2743" t="s">
        <v>239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25">
      <c r="A2744" t="s">
        <v>238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25">
      <c r="A2745" t="s">
        <v>240</v>
      </c>
    </row>
    <row r="2746" spans="1:34" x14ac:dyDescent="0.25">
      <c r="A2746" t="s">
        <v>239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25">
      <c r="A2747" t="s">
        <v>238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25">
      <c r="A2748" t="s">
        <v>182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25">
      <c r="A2750" t="s">
        <v>232</v>
      </c>
    </row>
    <row r="2752" spans="1:34" x14ac:dyDescent="0.25">
      <c r="A2752" t="s">
        <v>231</v>
      </c>
    </row>
    <row r="2753" spans="1:34" x14ac:dyDescent="0.25">
      <c r="A2753" t="s">
        <v>221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25">
      <c r="A2754" t="s">
        <v>230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25">
      <c r="A2755" t="s">
        <v>229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25">
      <c r="A2756" t="s">
        <v>228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25">
      <c r="A2757" t="s">
        <v>227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25">
      <c r="A2758" t="s">
        <v>226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25">
      <c r="A2759" t="s">
        <v>184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25">
      <c r="A2760" t="s">
        <v>183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25">
      <c r="A2761" t="s">
        <v>182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25">
      <c r="A2764" t="s">
        <v>224</v>
      </c>
    </row>
    <row r="2765" spans="1:34" x14ac:dyDescent="0.25">
      <c r="A2765" t="s">
        <v>190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25">
      <c r="A2766" t="s">
        <v>189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25">
      <c r="A2767" t="s">
        <v>222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25">
      <c r="A2768" t="s">
        <v>187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25">
      <c r="A2769" t="s">
        <v>186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25">
      <c r="A2770" t="s">
        <v>221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25">
      <c r="A2771" t="s">
        <v>184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25">
      <c r="A2772" t="s">
        <v>220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25">
      <c r="A2773" t="s">
        <v>219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25">
      <c r="A2774" t="s">
        <v>218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25">
      <c r="A2775" t="s">
        <v>223</v>
      </c>
    </row>
    <row r="2776" spans="1:34" x14ac:dyDescent="0.25">
      <c r="A2776" t="s">
        <v>190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25">
      <c r="A2777" t="s">
        <v>189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25">
      <c r="A2778" t="s">
        <v>222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25">
      <c r="A2779" t="s">
        <v>187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25">
      <c r="A2780" t="s">
        <v>186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25">
      <c r="A2781" t="s">
        <v>221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25">
      <c r="A2782" t="s">
        <v>184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25">
      <c r="A2783" t="s">
        <v>220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25">
      <c r="A2784" t="s">
        <v>219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25">
      <c r="A2785" t="s">
        <v>218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25">
      <c r="A2787" t="s">
        <v>217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25">
      <c r="A2788" t="s">
        <v>216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25">
      <c r="A2789" t="s">
        <v>215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25">
      <c r="A2790" t="s">
        <v>214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25">
      <c r="A2791" t="s">
        <v>213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25">
      <c r="A2793" t="s">
        <v>212</v>
      </c>
    </row>
    <row r="2794" spans="1:34" x14ac:dyDescent="0.25">
      <c r="A2794" t="s">
        <v>211</v>
      </c>
    </row>
    <row r="2795" spans="1:34" x14ac:dyDescent="0.25">
      <c r="A2795" t="s">
        <v>210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25">
      <c r="A2796" t="s">
        <v>209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25">
      <c r="A2797" t="s">
        <v>208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25">
      <c r="A2798" t="s">
        <v>207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25">
      <c r="A2799" t="s">
        <v>182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25">
      <c r="A2800" t="s">
        <v>206</v>
      </c>
    </row>
    <row r="2801" spans="1:34" x14ac:dyDescent="0.25">
      <c r="A2801" t="s">
        <v>205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25">
      <c r="A2802" t="s">
        <v>204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25">
      <c r="A2803" t="s">
        <v>203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25">
      <c r="A2804" t="s">
        <v>202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25">
      <c r="A2805" t="s">
        <v>182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25">
      <c r="A2807" t="s">
        <v>201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25">
      <c r="A2808" t="s">
        <v>200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25">
      <c r="A2810" t="s">
        <v>199</v>
      </c>
    </row>
    <row r="2811" spans="1:34" x14ac:dyDescent="0.25">
      <c r="A2811" t="s">
        <v>198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25">
      <c r="A2812" t="s">
        <v>197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25">
      <c r="A2813" t="s">
        <v>196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25">
      <c r="A2814" t="s">
        <v>195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25">
      <c r="A2815" t="s">
        <v>182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25">
      <c r="A2817" s="56" t="s">
        <v>277</v>
      </c>
    </row>
    <row r="2818" spans="1:34" x14ac:dyDescent="0.25">
      <c r="A2818" t="s">
        <v>193</v>
      </c>
    </row>
    <row r="2819" spans="1:34" x14ac:dyDescent="0.2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25">
      <c r="A2821" t="s">
        <v>272</v>
      </c>
    </row>
    <row r="2822" spans="1:34" x14ac:dyDescent="0.25">
      <c r="A2822" t="s">
        <v>271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25">
      <c r="A2823" t="s">
        <v>270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25">
      <c r="A2825" t="s">
        <v>269</v>
      </c>
    </row>
    <row r="2826" spans="1:34" x14ac:dyDescent="0.25">
      <c r="A2826" t="s">
        <v>221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25">
      <c r="A2827" t="s">
        <v>266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25">
      <c r="A2828" t="s">
        <v>230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25">
      <c r="A2829" t="s">
        <v>268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25">
      <c r="A2830" t="s">
        <v>229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25">
      <c r="A2831" t="s">
        <v>228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25">
      <c r="A2832" t="s">
        <v>227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25">
      <c r="A2833" t="s">
        <v>226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25">
      <c r="A2834" t="s">
        <v>265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25">
      <c r="A2835" t="s">
        <v>225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25">
      <c r="A2836" t="s">
        <v>182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25">
      <c r="A2838" t="s">
        <v>267</v>
      </c>
    </row>
    <row r="2839" spans="1:34" x14ac:dyDescent="0.25">
      <c r="A2839" t="s">
        <v>221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25">
      <c r="A2840" t="s">
        <v>266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25">
      <c r="A2841" t="s">
        <v>230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25">
      <c r="A2842" t="s">
        <v>229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25">
      <c r="A2843" t="s">
        <v>228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25">
      <c r="A2844" t="s">
        <v>227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25">
      <c r="A2845" t="s">
        <v>226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25">
      <c r="A2846" t="s">
        <v>265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25">
      <c r="A2847" t="s">
        <v>225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25">
      <c r="A2849" t="s">
        <v>264</v>
      </c>
    </row>
    <row r="2851" spans="1:34" x14ac:dyDescent="0.25">
      <c r="A2851" t="s">
        <v>263</v>
      </c>
    </row>
    <row r="2852" spans="1:34" x14ac:dyDescent="0.25">
      <c r="A2852" t="s">
        <v>262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25">
      <c r="A2853" t="s">
        <v>261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25">
      <c r="A2854" t="s">
        <v>260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25">
      <c r="A2855" t="s">
        <v>259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25">
      <c r="A2856" t="s">
        <v>258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25">
      <c r="A2857" t="s">
        <v>257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25">
      <c r="A2858" t="s">
        <v>256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25">
      <c r="A2859" t="s">
        <v>255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25">
      <c r="A2860" t="s">
        <v>254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25">
      <c r="A2861" t="s">
        <v>253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25">
      <c r="A2862" t="s">
        <v>252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25">
      <c r="A2863" t="s">
        <v>251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25">
      <c r="A2864" t="s">
        <v>250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25">
      <c r="A2865" t="s">
        <v>249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25">
      <c r="A2867" t="s">
        <v>248</v>
      </c>
    </row>
    <row r="2869" spans="1:34" x14ac:dyDescent="0.25">
      <c r="A2869" t="s">
        <v>247</v>
      </c>
    </row>
    <row r="2870" spans="1:34" x14ac:dyDescent="0.25">
      <c r="A2870" t="s">
        <v>245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25">
      <c r="A2871" t="s">
        <v>244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25">
      <c r="A2872" t="s">
        <v>243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25">
      <c r="A2873" t="s">
        <v>242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25">
      <c r="A2874" t="s">
        <v>241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25">
      <c r="A2876" t="s">
        <v>246</v>
      </c>
    </row>
    <row r="2877" spans="1:34" x14ac:dyDescent="0.25">
      <c r="A2877" t="s">
        <v>245</v>
      </c>
    </row>
    <row r="2878" spans="1:34" x14ac:dyDescent="0.25">
      <c r="A2878" t="s">
        <v>239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25">
      <c r="A2879" t="s">
        <v>238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25">
      <c r="A2880" t="s">
        <v>234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25">
      <c r="A2881" t="s">
        <v>233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25">
      <c r="A2882" t="s">
        <v>244</v>
      </c>
    </row>
    <row r="2883" spans="1:34" x14ac:dyDescent="0.25">
      <c r="A2883" t="s">
        <v>239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25">
      <c r="A2884" t="s">
        <v>238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25">
      <c r="A2885" t="s">
        <v>243</v>
      </c>
    </row>
    <row r="2886" spans="1:34" x14ac:dyDescent="0.25">
      <c r="A2886" t="s">
        <v>239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25">
      <c r="A2887" t="s">
        <v>238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25">
      <c r="A2888" t="s">
        <v>235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25">
      <c r="A2889" t="s">
        <v>242</v>
      </c>
    </row>
    <row r="2890" spans="1:34" x14ac:dyDescent="0.25">
      <c r="A2890" t="s">
        <v>239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25">
      <c r="A2891" t="s">
        <v>241</v>
      </c>
    </row>
    <row r="2892" spans="1:34" x14ac:dyDescent="0.25">
      <c r="A2892" t="s">
        <v>239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25">
      <c r="A2893" t="s">
        <v>238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25">
      <c r="A2894" t="s">
        <v>240</v>
      </c>
    </row>
    <row r="2895" spans="1:34" x14ac:dyDescent="0.25">
      <c r="A2895" t="s">
        <v>239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25">
      <c r="A2896" t="s">
        <v>238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25">
      <c r="A2897" t="s">
        <v>235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25">
      <c r="A2898" t="s">
        <v>234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25">
      <c r="A2899" t="s">
        <v>233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25">
      <c r="A2900" t="s">
        <v>182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25">
      <c r="A2902" t="s">
        <v>232</v>
      </c>
    </row>
    <row r="2904" spans="1:34" x14ac:dyDescent="0.25">
      <c r="A2904" t="s">
        <v>231</v>
      </c>
    </row>
    <row r="2905" spans="1:34" x14ac:dyDescent="0.25">
      <c r="A2905" t="s">
        <v>221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25">
      <c r="A2906" t="s">
        <v>230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25">
      <c r="A2907" t="s">
        <v>229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25">
      <c r="A2908" t="s">
        <v>228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25">
      <c r="A2909" t="s">
        <v>227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25">
      <c r="A2910" t="s">
        <v>226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25">
      <c r="A2911" t="s">
        <v>184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25">
      <c r="A2912" t="s">
        <v>183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25">
      <c r="A2913" t="s">
        <v>182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25">
      <c r="A2916" t="s">
        <v>224</v>
      </c>
    </row>
    <row r="2917" spans="1:34" x14ac:dyDescent="0.25">
      <c r="A2917" t="s">
        <v>190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25">
      <c r="A2918" t="s">
        <v>189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25">
      <c r="A2919" t="s">
        <v>222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25">
      <c r="A2920" t="s">
        <v>187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25">
      <c r="A2921" t="s">
        <v>186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25">
      <c r="A2922" t="s">
        <v>221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25">
      <c r="A2923" t="s">
        <v>184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25">
      <c r="A2924" t="s">
        <v>220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25">
      <c r="A2925" t="s">
        <v>219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25">
      <c r="A2926" t="s">
        <v>218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25">
      <c r="A2927" t="s">
        <v>223</v>
      </c>
    </row>
    <row r="2928" spans="1:34" x14ac:dyDescent="0.25">
      <c r="A2928" t="s">
        <v>190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25">
      <c r="A2929" t="s">
        <v>189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25">
      <c r="A2930" t="s">
        <v>222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25">
      <c r="A2931" t="s">
        <v>187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25">
      <c r="A2932" t="s">
        <v>186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25">
      <c r="A2933" t="s">
        <v>221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25">
      <c r="A2934" t="s">
        <v>184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25">
      <c r="A2935" t="s">
        <v>220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25">
      <c r="A2936" t="s">
        <v>219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25">
      <c r="A2937" t="s">
        <v>218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25">
      <c r="A2939" t="s">
        <v>217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25">
      <c r="A2940" t="s">
        <v>216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25">
      <c r="A2941" t="s">
        <v>215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25">
      <c r="A2942" t="s">
        <v>214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25">
      <c r="A2943" t="s">
        <v>213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25">
      <c r="A2945" t="s">
        <v>212</v>
      </c>
    </row>
    <row r="2946" spans="1:34" x14ac:dyDescent="0.25">
      <c r="A2946" t="s">
        <v>211</v>
      </c>
    </row>
    <row r="2947" spans="1:34" x14ac:dyDescent="0.25">
      <c r="A2947" t="s">
        <v>210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25">
      <c r="A2948" t="s">
        <v>209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25">
      <c r="A2949" t="s">
        <v>208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25">
      <c r="A2950" t="s">
        <v>207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25">
      <c r="A2951" t="s">
        <v>182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25">
      <c r="A2952" t="s">
        <v>206</v>
      </c>
    </row>
    <row r="2953" spans="1:34" x14ac:dyDescent="0.25">
      <c r="A2953" t="s">
        <v>205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25">
      <c r="A2954" t="s">
        <v>204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25">
      <c r="A2955" t="s">
        <v>203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25">
      <c r="A2956" t="s">
        <v>202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25">
      <c r="A2957" t="s">
        <v>182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25">
      <c r="A2959" t="s">
        <v>201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25">
      <c r="A2960" t="s">
        <v>200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25">
      <c r="A2962" t="s">
        <v>199</v>
      </c>
    </row>
    <row r="2963" spans="1:34" x14ac:dyDescent="0.25">
      <c r="A2963" t="s">
        <v>198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25">
      <c r="A2964" t="s">
        <v>197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25">
      <c r="A2965" t="s">
        <v>196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25">
      <c r="A2966" t="s">
        <v>195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25">
      <c r="A2967" t="s">
        <v>182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25">
      <c r="A2969" s="56" t="s">
        <v>276</v>
      </c>
    </row>
    <row r="2970" spans="1:34" x14ac:dyDescent="0.25">
      <c r="A2970" t="s">
        <v>193</v>
      </c>
    </row>
    <row r="2971" spans="1:34" x14ac:dyDescent="0.2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25">
      <c r="A2973" t="s">
        <v>272</v>
      </c>
    </row>
    <row r="2974" spans="1:34" x14ac:dyDescent="0.25">
      <c r="A2974" t="s">
        <v>271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25">
      <c r="A2975" t="s">
        <v>270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25">
      <c r="A2977" t="s">
        <v>269</v>
      </c>
    </row>
    <row r="2978" spans="1:34" x14ac:dyDescent="0.25">
      <c r="A2978" t="s">
        <v>221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25">
      <c r="A2979" t="s">
        <v>266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25">
      <c r="A2980" t="s">
        <v>230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25">
      <c r="A2981" t="s">
        <v>268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25">
      <c r="A2982" t="s">
        <v>229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25">
      <c r="A2983" t="s">
        <v>228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25">
      <c r="A2984" t="s">
        <v>227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25">
      <c r="A2985" t="s">
        <v>226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25">
      <c r="A2986" t="s">
        <v>184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25">
      <c r="A2987" t="s">
        <v>265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25">
      <c r="A2988" t="s">
        <v>225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25">
      <c r="A2989" t="s">
        <v>182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25">
      <c r="A2991" t="s">
        <v>267</v>
      </c>
    </row>
    <row r="2992" spans="1:34" x14ac:dyDescent="0.25">
      <c r="A2992" t="s">
        <v>221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25">
      <c r="A2993" t="s">
        <v>266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25">
      <c r="A2994" t="s">
        <v>230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25">
      <c r="A2995" t="s">
        <v>229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25">
      <c r="A2996" t="s">
        <v>228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25">
      <c r="A2997" t="s">
        <v>227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25">
      <c r="A2998" t="s">
        <v>226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25">
      <c r="A2999" t="s">
        <v>184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25">
      <c r="A3000" t="s">
        <v>265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25">
      <c r="A3001" t="s">
        <v>225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25">
      <c r="A3003" t="s">
        <v>264</v>
      </c>
    </row>
    <row r="3005" spans="1:34" x14ac:dyDescent="0.25">
      <c r="A3005" t="s">
        <v>263</v>
      </c>
    </row>
    <row r="3006" spans="1:34" x14ac:dyDescent="0.25">
      <c r="A3006" t="s">
        <v>262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25">
      <c r="A3007" t="s">
        <v>261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25">
      <c r="A3008" t="s">
        <v>260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25">
      <c r="A3009" t="s">
        <v>259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25">
      <c r="A3010" t="s">
        <v>258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25">
      <c r="A3011" t="s">
        <v>257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25">
      <c r="A3012" t="s">
        <v>256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25">
      <c r="A3013" t="s">
        <v>255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25">
      <c r="A3014" t="s">
        <v>254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25">
      <c r="A3015" t="s">
        <v>253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25">
      <c r="A3016" t="s">
        <v>252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25">
      <c r="A3017" t="s">
        <v>251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25">
      <c r="A3018" t="s">
        <v>250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25">
      <c r="A3019" t="s">
        <v>249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25">
      <c r="A3021" t="s">
        <v>248</v>
      </c>
    </row>
    <row r="3023" spans="1:34" x14ac:dyDescent="0.25">
      <c r="A3023" t="s">
        <v>247</v>
      </c>
    </row>
    <row r="3024" spans="1:34" x14ac:dyDescent="0.25">
      <c r="A3024" t="s">
        <v>245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25">
      <c r="A3025" t="s">
        <v>244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25">
      <c r="A3026" t="s">
        <v>243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25">
      <c r="A3027" t="s">
        <v>242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25">
      <c r="A3028" t="s">
        <v>241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25">
      <c r="A3030" t="s">
        <v>246</v>
      </c>
    </row>
    <row r="3031" spans="1:34" x14ac:dyDescent="0.25">
      <c r="A3031" t="s">
        <v>245</v>
      </c>
    </row>
    <row r="3032" spans="1:34" x14ac:dyDescent="0.25">
      <c r="A3032" t="s">
        <v>239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25">
      <c r="A3033" t="s">
        <v>238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25">
      <c r="A3034" t="s">
        <v>237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25">
      <c r="A3035" t="s">
        <v>236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25">
      <c r="A3036" t="s">
        <v>235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25">
      <c r="A3037" t="s">
        <v>234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25">
      <c r="A3038" t="s">
        <v>233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25">
      <c r="A3039" t="s">
        <v>244</v>
      </c>
    </row>
    <row r="3040" spans="1:34" x14ac:dyDescent="0.25">
      <c r="A3040" t="s">
        <v>239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25">
      <c r="A3041" t="s">
        <v>243</v>
      </c>
    </row>
    <row r="3042" spans="1:34" x14ac:dyDescent="0.25">
      <c r="A3042" t="s">
        <v>239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25">
      <c r="A3043" t="s">
        <v>235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25">
      <c r="A3044" t="s">
        <v>234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25">
      <c r="A3045" t="s">
        <v>242</v>
      </c>
    </row>
    <row r="3046" spans="1:34" x14ac:dyDescent="0.25">
      <c r="A3046" t="s">
        <v>239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25">
      <c r="A3047" t="s">
        <v>241</v>
      </c>
    </row>
    <row r="3048" spans="1:34" x14ac:dyDescent="0.25">
      <c r="A3048" t="s">
        <v>239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25">
      <c r="A3049" t="s">
        <v>235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25">
      <c r="A3050" t="s">
        <v>240</v>
      </c>
    </row>
    <row r="3051" spans="1:34" x14ac:dyDescent="0.25">
      <c r="A3051" t="s">
        <v>239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25">
      <c r="A3052" t="s">
        <v>238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25">
      <c r="A3053" t="s">
        <v>237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25">
      <c r="A3054" t="s">
        <v>236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25">
      <c r="A3055" t="s">
        <v>235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25">
      <c r="A3056" t="s">
        <v>234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25">
      <c r="A3057" t="s">
        <v>233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25">
      <c r="A3058" t="s">
        <v>182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25">
      <c r="A3060" t="s">
        <v>232</v>
      </c>
    </row>
    <row r="3062" spans="1:34" x14ac:dyDescent="0.25">
      <c r="A3062" t="s">
        <v>231</v>
      </c>
    </row>
    <row r="3063" spans="1:34" x14ac:dyDescent="0.25">
      <c r="A3063" t="s">
        <v>221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25">
      <c r="A3064" t="s">
        <v>230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25">
      <c r="A3065" t="s">
        <v>229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25">
      <c r="A3066" t="s">
        <v>228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25">
      <c r="A3067" t="s">
        <v>227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25">
      <c r="A3068" t="s">
        <v>226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25">
      <c r="A3069" t="s">
        <v>184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25">
      <c r="A3070" t="s">
        <v>183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25">
      <c r="A3071" t="s">
        <v>182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25">
      <c r="A3074" t="s">
        <v>224</v>
      </c>
    </row>
    <row r="3075" spans="1:34" x14ac:dyDescent="0.25">
      <c r="A3075" t="s">
        <v>190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25">
      <c r="A3076" t="s">
        <v>189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25">
      <c r="A3077" t="s">
        <v>222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25">
      <c r="A3078" t="s">
        <v>187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25">
      <c r="A3079" t="s">
        <v>186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25">
      <c r="A3080" t="s">
        <v>221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25">
      <c r="A3081" t="s">
        <v>184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25">
      <c r="A3082" t="s">
        <v>220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25">
      <c r="A3083" t="s">
        <v>219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25">
      <c r="A3084" t="s">
        <v>218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25">
      <c r="A3085" t="s">
        <v>223</v>
      </c>
    </row>
    <row r="3086" spans="1:34" x14ac:dyDescent="0.25">
      <c r="A3086" t="s">
        <v>190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25">
      <c r="A3087" t="s">
        <v>189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25">
      <c r="A3088" t="s">
        <v>222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25">
      <c r="A3089" t="s">
        <v>187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25">
      <c r="A3090" t="s">
        <v>186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25">
      <c r="A3091" t="s">
        <v>221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25">
      <c r="A3092" t="s">
        <v>184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25">
      <c r="A3093" t="s">
        <v>220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25">
      <c r="A3094" t="s">
        <v>219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25">
      <c r="A3095" t="s">
        <v>218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25">
      <c r="A3097" t="s">
        <v>217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25">
      <c r="A3098" t="s">
        <v>216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25">
      <c r="A3099" t="s">
        <v>215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25">
      <c r="A3100" t="s">
        <v>214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25">
      <c r="A3101" t="s">
        <v>213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25">
      <c r="A3103" t="s">
        <v>212</v>
      </c>
    </row>
    <row r="3104" spans="1:34" x14ac:dyDescent="0.25">
      <c r="A3104" t="s">
        <v>211</v>
      </c>
    </row>
    <row r="3105" spans="1:34" x14ac:dyDescent="0.25">
      <c r="A3105" t="s">
        <v>210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25">
      <c r="A3106" t="s">
        <v>209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25">
      <c r="A3107" t="s">
        <v>208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25">
      <c r="A3108" t="s">
        <v>207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25">
      <c r="A3109" t="s">
        <v>182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25">
      <c r="A3110" t="s">
        <v>206</v>
      </c>
    </row>
    <row r="3111" spans="1:34" x14ac:dyDescent="0.25">
      <c r="A3111" t="s">
        <v>205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25">
      <c r="A3112" t="s">
        <v>204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25">
      <c r="A3113" t="s">
        <v>203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25">
      <c r="A3114" t="s">
        <v>202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25">
      <c r="A3115" t="s">
        <v>182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25">
      <c r="A3117" t="s">
        <v>201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25">
      <c r="A3118" t="s">
        <v>200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25">
      <c r="A3120" t="s">
        <v>199</v>
      </c>
    </row>
    <row r="3121" spans="1:34" x14ac:dyDescent="0.25">
      <c r="A3121" t="s">
        <v>198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25">
      <c r="A3122" t="s">
        <v>197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25">
      <c r="A3123" t="s">
        <v>196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25">
      <c r="A3124" t="s">
        <v>195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25">
      <c r="A3125" t="s">
        <v>182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25">
      <c r="A3127" s="56" t="s">
        <v>275</v>
      </c>
    </row>
    <row r="3128" spans="1:34" x14ac:dyDescent="0.25">
      <c r="A3128" t="s">
        <v>193</v>
      </c>
    </row>
    <row r="3129" spans="1:34" x14ac:dyDescent="0.2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25">
      <c r="A3131" t="s">
        <v>272</v>
      </c>
    </row>
    <row r="3132" spans="1:34" x14ac:dyDescent="0.25">
      <c r="A3132" t="s">
        <v>271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25">
      <c r="A3133" t="s">
        <v>270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25">
      <c r="A3135" t="s">
        <v>269</v>
      </c>
    </row>
    <row r="3136" spans="1:34" x14ac:dyDescent="0.25">
      <c r="A3136" t="s">
        <v>221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25">
      <c r="A3137" t="s">
        <v>266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25">
      <c r="A3138" t="s">
        <v>230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25">
      <c r="A3139" t="s">
        <v>268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25">
      <c r="A3140" t="s">
        <v>229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25">
      <c r="A3141" t="s">
        <v>228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25">
      <c r="A3142" t="s">
        <v>227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25">
      <c r="A3143" t="s">
        <v>226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25">
      <c r="A3144" t="s">
        <v>265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25">
      <c r="A3145" t="s">
        <v>225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25">
      <c r="A3146" t="s">
        <v>182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25">
      <c r="A3148" t="s">
        <v>267</v>
      </c>
    </row>
    <row r="3149" spans="1:34" x14ac:dyDescent="0.25">
      <c r="A3149" t="s">
        <v>221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25">
      <c r="A3150" t="s">
        <v>266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25">
      <c r="A3151" t="s">
        <v>230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25">
      <c r="A3152" t="s">
        <v>229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25">
      <c r="A3153" t="s">
        <v>228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25">
      <c r="A3154" t="s">
        <v>227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25">
      <c r="A3155" t="s">
        <v>226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25">
      <c r="A3156" t="s">
        <v>265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25">
      <c r="A3157" t="s">
        <v>225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25">
      <c r="A3159" t="s">
        <v>264</v>
      </c>
    </row>
    <row r="3161" spans="1:34" x14ac:dyDescent="0.25">
      <c r="A3161" t="s">
        <v>263</v>
      </c>
    </row>
    <row r="3162" spans="1:34" x14ac:dyDescent="0.25">
      <c r="A3162" t="s">
        <v>262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25">
      <c r="A3163" t="s">
        <v>261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25">
      <c r="A3164" t="s">
        <v>260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25">
      <c r="A3165" t="s">
        <v>259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25">
      <c r="A3166" t="s">
        <v>258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25">
      <c r="A3167" t="s">
        <v>257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25">
      <c r="A3168" t="s">
        <v>256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25">
      <c r="A3169" t="s">
        <v>255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25">
      <c r="A3170" t="s">
        <v>254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25">
      <c r="A3171" t="s">
        <v>253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25">
      <c r="A3172" t="s">
        <v>252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25">
      <c r="A3173" t="s">
        <v>251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25">
      <c r="A3174" t="s">
        <v>250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25">
      <c r="A3175" t="s">
        <v>249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25">
      <c r="A3177" t="s">
        <v>248</v>
      </c>
    </row>
    <row r="3179" spans="1:34" x14ac:dyDescent="0.25">
      <c r="A3179" t="s">
        <v>247</v>
      </c>
    </row>
    <row r="3180" spans="1:34" x14ac:dyDescent="0.25">
      <c r="A3180" t="s">
        <v>245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25">
      <c r="A3181" t="s">
        <v>244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25">
      <c r="A3182" t="s">
        <v>243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25">
      <c r="A3183" t="s">
        <v>242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25">
      <c r="A3184" t="s">
        <v>241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25">
      <c r="A3186" t="s">
        <v>246</v>
      </c>
    </row>
    <row r="3187" spans="1:34" x14ac:dyDescent="0.25">
      <c r="A3187" t="s">
        <v>245</v>
      </c>
    </row>
    <row r="3188" spans="1:34" x14ac:dyDescent="0.25">
      <c r="A3188" t="s">
        <v>239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25">
      <c r="A3189" t="s">
        <v>238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25">
      <c r="A3190" t="s">
        <v>236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25">
      <c r="A3191" t="s">
        <v>235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25">
      <c r="A3192" t="s">
        <v>233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25">
      <c r="A3193" t="s">
        <v>244</v>
      </c>
    </row>
    <row r="3194" spans="1:34" x14ac:dyDescent="0.25">
      <c r="A3194" t="s">
        <v>239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25">
      <c r="A3195" t="s">
        <v>243</v>
      </c>
    </row>
    <row r="3196" spans="1:34" x14ac:dyDescent="0.25">
      <c r="A3196" t="s">
        <v>239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25">
      <c r="A3197" t="s">
        <v>238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25">
      <c r="A3198" t="s">
        <v>236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25">
      <c r="A3199" t="s">
        <v>242</v>
      </c>
    </row>
    <row r="3200" spans="1:34" x14ac:dyDescent="0.25">
      <c r="A3200" t="s">
        <v>241</v>
      </c>
    </row>
    <row r="3201" spans="1:34" x14ac:dyDescent="0.25">
      <c r="A3201" t="s">
        <v>238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25">
      <c r="A3202" t="s">
        <v>240</v>
      </c>
    </row>
    <row r="3203" spans="1:34" x14ac:dyDescent="0.25">
      <c r="A3203" t="s">
        <v>239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25">
      <c r="A3204" t="s">
        <v>238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25">
      <c r="A3205" t="s">
        <v>236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25">
      <c r="A3206" t="s">
        <v>235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25">
      <c r="A3207" t="s">
        <v>233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25">
      <c r="A3208" t="s">
        <v>182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25">
      <c r="A3210" t="s">
        <v>232</v>
      </c>
    </row>
    <row r="3212" spans="1:34" x14ac:dyDescent="0.25">
      <c r="A3212" t="s">
        <v>231</v>
      </c>
    </row>
    <row r="3213" spans="1:34" x14ac:dyDescent="0.25">
      <c r="A3213" t="s">
        <v>221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25">
      <c r="A3214" t="s">
        <v>230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25">
      <c r="A3215" t="s">
        <v>229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25">
      <c r="A3216" t="s">
        <v>228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25">
      <c r="A3217" t="s">
        <v>227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25">
      <c r="A3218" t="s">
        <v>226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25">
      <c r="A3219" t="s">
        <v>184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25">
      <c r="A3220" t="s">
        <v>183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25">
      <c r="A3221" t="s">
        <v>225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25">
      <c r="A3222" t="s">
        <v>182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25">
      <c r="A3225" t="s">
        <v>224</v>
      </c>
    </row>
    <row r="3226" spans="1:34" x14ac:dyDescent="0.25">
      <c r="A3226" t="s">
        <v>190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25">
      <c r="A3227" t="s">
        <v>189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25">
      <c r="A3228" t="s">
        <v>222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25">
      <c r="A3229" t="s">
        <v>187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25">
      <c r="A3230" t="s">
        <v>186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25">
      <c r="A3231" t="s">
        <v>221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25">
      <c r="A3232" t="s">
        <v>184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25">
      <c r="A3233" t="s">
        <v>220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25">
      <c r="A3234" t="s">
        <v>219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25">
      <c r="A3235" t="s">
        <v>218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25">
      <c r="A3236" t="s">
        <v>223</v>
      </c>
    </row>
    <row r="3237" spans="1:34" x14ac:dyDescent="0.25">
      <c r="A3237" t="s">
        <v>190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25">
      <c r="A3238" t="s">
        <v>189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25">
      <c r="A3239" t="s">
        <v>222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25">
      <c r="A3240" t="s">
        <v>187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25">
      <c r="A3241" t="s">
        <v>186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25">
      <c r="A3242" t="s">
        <v>221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25">
      <c r="A3243" t="s">
        <v>184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25">
      <c r="A3244" t="s">
        <v>220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25">
      <c r="A3245" t="s">
        <v>219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25">
      <c r="A3246" t="s">
        <v>218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25">
      <c r="A3248" t="s">
        <v>217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25">
      <c r="A3249" t="s">
        <v>216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25">
      <c r="A3250" t="s">
        <v>215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25">
      <c r="A3251" t="s">
        <v>214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25">
      <c r="A3252" t="s">
        <v>213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25">
      <c r="A3254" t="s">
        <v>212</v>
      </c>
    </row>
    <row r="3255" spans="1:34" x14ac:dyDescent="0.25">
      <c r="A3255" t="s">
        <v>211</v>
      </c>
    </row>
    <row r="3256" spans="1:34" x14ac:dyDescent="0.25">
      <c r="A3256" t="s">
        <v>210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25">
      <c r="A3257" t="s">
        <v>209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25">
      <c r="A3258" t="s">
        <v>208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25">
      <c r="A3259" t="s">
        <v>207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25">
      <c r="A3260" t="s">
        <v>182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25">
      <c r="A3261" t="s">
        <v>206</v>
      </c>
    </row>
    <row r="3262" spans="1:34" x14ac:dyDescent="0.25">
      <c r="A3262" t="s">
        <v>205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25">
      <c r="A3263" t="s">
        <v>204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25">
      <c r="A3264" t="s">
        <v>203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25">
      <c r="A3265" t="s">
        <v>202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25">
      <c r="A3266" t="s">
        <v>182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25">
      <c r="A3268" t="s">
        <v>201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25">
      <c r="A3269" t="s">
        <v>200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25">
      <c r="A3271" t="s">
        <v>199</v>
      </c>
    </row>
    <row r="3272" spans="1:34" x14ac:dyDescent="0.25">
      <c r="A3272" t="s">
        <v>198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25">
      <c r="A3273" t="s">
        <v>197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25">
      <c r="A3274" t="s">
        <v>196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25">
      <c r="A3275" t="s">
        <v>195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25">
      <c r="A3276" t="s">
        <v>182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25">
      <c r="A3278" s="56" t="s">
        <v>274</v>
      </c>
    </row>
    <row r="3279" spans="1:34" x14ac:dyDescent="0.25">
      <c r="A3279" t="s">
        <v>193</v>
      </c>
    </row>
    <row r="3280" spans="1:34" x14ac:dyDescent="0.2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25">
      <c r="A3282" t="s">
        <v>272</v>
      </c>
    </row>
    <row r="3283" spans="1:34" x14ac:dyDescent="0.25">
      <c r="A3283" t="s">
        <v>271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25">
      <c r="A3284" t="s">
        <v>270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25">
      <c r="A3286" t="s">
        <v>269</v>
      </c>
    </row>
    <row r="3287" spans="1:34" x14ac:dyDescent="0.25">
      <c r="A3287" t="s">
        <v>221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25">
      <c r="A3288" t="s">
        <v>266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25">
      <c r="A3289" t="s">
        <v>230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25">
      <c r="A3290" t="s">
        <v>268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25">
      <c r="A3291" t="s">
        <v>229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25">
      <c r="A3292" t="s">
        <v>228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25">
      <c r="A3293" t="s">
        <v>227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25">
      <c r="A3294" t="s">
        <v>226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25">
      <c r="A3295" t="s">
        <v>265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25">
      <c r="A3296" t="s">
        <v>225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25">
      <c r="A3297" t="s">
        <v>182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25">
      <c r="A3299" t="s">
        <v>267</v>
      </c>
    </row>
    <row r="3300" spans="1:34" x14ac:dyDescent="0.25">
      <c r="A3300" t="s">
        <v>221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25">
      <c r="A3301" t="s">
        <v>266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25">
      <c r="A3302" t="s">
        <v>230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25">
      <c r="A3303" t="s">
        <v>229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25">
      <c r="A3304" t="s">
        <v>228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25">
      <c r="A3305" t="s">
        <v>227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25">
      <c r="A3306" t="s">
        <v>226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25">
      <c r="A3307" t="s">
        <v>265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25">
      <c r="A3308" t="s">
        <v>225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25">
      <c r="A3310" t="s">
        <v>264</v>
      </c>
    </row>
    <row r="3312" spans="1:34" x14ac:dyDescent="0.25">
      <c r="A3312" t="s">
        <v>263</v>
      </c>
    </row>
    <row r="3313" spans="1:34" x14ac:dyDescent="0.25">
      <c r="A3313" t="s">
        <v>262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25">
      <c r="A3314" t="s">
        <v>261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25">
      <c r="A3315" t="s">
        <v>260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25">
      <c r="A3316" t="s">
        <v>259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25">
      <c r="A3317" t="s">
        <v>258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25">
      <c r="A3318" t="s">
        <v>257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25">
      <c r="A3319" t="s">
        <v>256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25">
      <c r="A3320" t="s">
        <v>255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25">
      <c r="A3321" t="s">
        <v>254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25">
      <c r="A3322" t="s">
        <v>253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25">
      <c r="A3323" t="s">
        <v>252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25">
      <c r="A3324" t="s">
        <v>251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25">
      <c r="A3325" t="s">
        <v>250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25">
      <c r="A3326" t="s">
        <v>249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25">
      <c r="A3328" t="s">
        <v>248</v>
      </c>
    </row>
    <row r="3330" spans="1:34" x14ac:dyDescent="0.25">
      <c r="A3330" t="s">
        <v>247</v>
      </c>
    </row>
    <row r="3331" spans="1:34" x14ac:dyDescent="0.25">
      <c r="A3331" t="s">
        <v>245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25">
      <c r="A3332" t="s">
        <v>244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25">
      <c r="A3333" t="s">
        <v>243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25">
      <c r="A3334" t="s">
        <v>242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25">
      <c r="A3335" t="s">
        <v>241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25">
      <c r="A3337" t="s">
        <v>246</v>
      </c>
    </row>
    <row r="3338" spans="1:34" x14ac:dyDescent="0.25">
      <c r="A3338" t="s">
        <v>245</v>
      </c>
    </row>
    <row r="3339" spans="1:34" x14ac:dyDescent="0.25">
      <c r="A3339" t="s">
        <v>239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25">
      <c r="A3340" t="s">
        <v>238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25">
      <c r="A3341" t="s">
        <v>235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25">
      <c r="A3342" t="s">
        <v>234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25">
      <c r="A3343" t="s">
        <v>233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25">
      <c r="A3344" t="s">
        <v>244</v>
      </c>
    </row>
    <row r="3345" spans="1:34" x14ac:dyDescent="0.25">
      <c r="A3345" t="s">
        <v>239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25">
      <c r="A3346" t="s">
        <v>243</v>
      </c>
    </row>
    <row r="3347" spans="1:34" x14ac:dyDescent="0.25">
      <c r="A3347" t="s">
        <v>239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25">
      <c r="A3348" t="s">
        <v>242</v>
      </c>
    </row>
    <row r="3349" spans="1:34" x14ac:dyDescent="0.25">
      <c r="A3349" t="s">
        <v>241</v>
      </c>
    </row>
    <row r="3350" spans="1:34" x14ac:dyDescent="0.25">
      <c r="A3350" t="s">
        <v>239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25">
      <c r="A3351" t="s">
        <v>240</v>
      </c>
    </row>
    <row r="3352" spans="1:34" x14ac:dyDescent="0.25">
      <c r="A3352" t="s">
        <v>239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25">
      <c r="A3353" t="s">
        <v>238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25">
      <c r="A3354" t="s">
        <v>235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25">
      <c r="A3355" t="s">
        <v>234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25">
      <c r="A3356" t="s">
        <v>233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25">
      <c r="A3357" t="s">
        <v>182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25">
      <c r="A3359" t="s">
        <v>232</v>
      </c>
    </row>
    <row r="3361" spans="1:34" x14ac:dyDescent="0.25">
      <c r="A3361" t="s">
        <v>231</v>
      </c>
    </row>
    <row r="3362" spans="1:34" x14ac:dyDescent="0.25">
      <c r="A3362" t="s">
        <v>221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25">
      <c r="A3363" t="s">
        <v>230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25">
      <c r="A3364" t="s">
        <v>229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25">
      <c r="A3365" t="s">
        <v>228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25">
      <c r="A3366" t="s">
        <v>227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25">
      <c r="A3367" t="s">
        <v>226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25">
      <c r="A3368" t="s">
        <v>184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25">
      <c r="A3369" t="s">
        <v>183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25">
      <c r="A3370" t="s">
        <v>182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25">
      <c r="A3373" t="s">
        <v>224</v>
      </c>
    </row>
    <row r="3374" spans="1:34" x14ac:dyDescent="0.25">
      <c r="A3374" t="s">
        <v>190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25">
      <c r="A3375" t="s">
        <v>189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25">
      <c r="A3376" t="s">
        <v>222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25">
      <c r="A3377" t="s">
        <v>187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25">
      <c r="A3378" t="s">
        <v>186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25">
      <c r="A3379" t="s">
        <v>221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25">
      <c r="A3380" t="s">
        <v>184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25">
      <c r="A3381" t="s">
        <v>220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25">
      <c r="A3382" t="s">
        <v>219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25">
      <c r="A3383" t="s">
        <v>218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25">
      <c r="A3384" t="s">
        <v>223</v>
      </c>
    </row>
    <row r="3385" spans="1:34" x14ac:dyDescent="0.25">
      <c r="A3385" t="s">
        <v>190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25">
      <c r="A3386" t="s">
        <v>189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25">
      <c r="A3387" t="s">
        <v>222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25">
      <c r="A3388" t="s">
        <v>187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25">
      <c r="A3389" t="s">
        <v>186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25">
      <c r="A3390" t="s">
        <v>221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25">
      <c r="A3391" t="s">
        <v>184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25">
      <c r="A3392" t="s">
        <v>220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25">
      <c r="A3393" t="s">
        <v>219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25">
      <c r="A3394" t="s">
        <v>218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25">
      <c r="A3396" t="s">
        <v>217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25">
      <c r="A3397" t="s">
        <v>216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25">
      <c r="A3398" t="s">
        <v>215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25">
      <c r="A3399" t="s">
        <v>214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25">
      <c r="A3400" t="s">
        <v>213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25">
      <c r="A3402" t="s">
        <v>212</v>
      </c>
    </row>
    <row r="3403" spans="1:34" x14ac:dyDescent="0.25">
      <c r="A3403" t="s">
        <v>211</v>
      </c>
    </row>
    <row r="3404" spans="1:34" x14ac:dyDescent="0.25">
      <c r="A3404" t="s">
        <v>210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25">
      <c r="A3405" t="s">
        <v>209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25">
      <c r="A3406" t="s">
        <v>208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25">
      <c r="A3407" t="s">
        <v>207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25">
      <c r="A3408" t="s">
        <v>182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25">
      <c r="A3409" t="s">
        <v>206</v>
      </c>
    </row>
    <row r="3410" spans="1:34" x14ac:dyDescent="0.25">
      <c r="A3410" t="s">
        <v>205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25">
      <c r="A3411" t="s">
        <v>204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25">
      <c r="A3412" t="s">
        <v>203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25">
      <c r="A3413" t="s">
        <v>202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25">
      <c r="A3414" t="s">
        <v>182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25">
      <c r="A3416" t="s">
        <v>201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25">
      <c r="A3417" t="s">
        <v>200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25">
      <c r="A3419" t="s">
        <v>199</v>
      </c>
    </row>
    <row r="3420" spans="1:34" x14ac:dyDescent="0.25">
      <c r="A3420" t="s">
        <v>198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25">
      <c r="A3421" t="s">
        <v>197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25">
      <c r="A3422" t="s">
        <v>196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25">
      <c r="A3423" t="s">
        <v>195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25">
      <c r="A3424" t="s">
        <v>182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25">
      <c r="A3426" s="56" t="s">
        <v>273</v>
      </c>
    </row>
    <row r="3427" spans="1:34" x14ac:dyDescent="0.25">
      <c r="A3427" t="s">
        <v>193</v>
      </c>
    </row>
    <row r="3428" spans="1:34" x14ac:dyDescent="0.2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25">
      <c r="A3430" t="s">
        <v>272</v>
      </c>
    </row>
    <row r="3431" spans="1:34" x14ac:dyDescent="0.25">
      <c r="A3431" t="s">
        <v>271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25">
      <c r="A3432" t="s">
        <v>270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25">
      <c r="A3434" t="s">
        <v>269</v>
      </c>
    </row>
    <row r="3435" spans="1:34" x14ac:dyDescent="0.25">
      <c r="A3435" t="s">
        <v>221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25">
      <c r="A3436" t="s">
        <v>266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25">
      <c r="A3437" t="s">
        <v>230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25">
      <c r="A3438" t="s">
        <v>268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25">
      <c r="A3439" t="s">
        <v>229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25">
      <c r="A3440" t="s">
        <v>228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25">
      <c r="A3441" t="s">
        <v>227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25">
      <c r="A3442" t="s">
        <v>226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25">
      <c r="A3443" t="s">
        <v>184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25">
      <c r="A3444" t="s">
        <v>183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25">
      <c r="A3445" t="s">
        <v>265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25">
      <c r="A3446" t="s">
        <v>225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25">
      <c r="A3447" t="s">
        <v>182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25">
      <c r="A3449" t="s">
        <v>267</v>
      </c>
    </row>
    <row r="3450" spans="1:34" x14ac:dyDescent="0.25">
      <c r="A3450" t="s">
        <v>221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25">
      <c r="A3451" t="s">
        <v>266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25">
      <c r="A3452" t="s">
        <v>230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25">
      <c r="A3453" t="s">
        <v>229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25">
      <c r="A3454" t="s">
        <v>228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25">
      <c r="A3455" t="s">
        <v>227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25">
      <c r="A3456" t="s">
        <v>226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25">
      <c r="A3457" t="s">
        <v>184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25">
      <c r="A3458" t="s">
        <v>183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25">
      <c r="A3459" t="s">
        <v>265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25">
      <c r="A3460" t="s">
        <v>225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25">
      <c r="A3462" t="s">
        <v>264</v>
      </c>
    </row>
    <row r="3464" spans="1:34" x14ac:dyDescent="0.25">
      <c r="A3464" t="s">
        <v>263</v>
      </c>
    </row>
    <row r="3465" spans="1:34" x14ac:dyDescent="0.25">
      <c r="A3465" t="s">
        <v>262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25">
      <c r="A3466" t="s">
        <v>261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25">
      <c r="A3467" t="s">
        <v>260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25">
      <c r="A3468" t="s">
        <v>259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25">
      <c r="A3469" t="s">
        <v>258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25">
      <c r="A3470" t="s">
        <v>257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25">
      <c r="A3471" t="s">
        <v>256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25">
      <c r="A3472" t="s">
        <v>255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25">
      <c r="A3473" t="s">
        <v>254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25">
      <c r="A3474" t="s">
        <v>253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25">
      <c r="A3475" t="s">
        <v>252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25">
      <c r="A3476" t="s">
        <v>251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25">
      <c r="A3477" t="s">
        <v>250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25">
      <c r="A3478" t="s">
        <v>249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25">
      <c r="A3480" t="s">
        <v>248</v>
      </c>
    </row>
    <row r="3482" spans="1:34" x14ac:dyDescent="0.25">
      <c r="A3482" t="s">
        <v>247</v>
      </c>
    </row>
    <row r="3483" spans="1:34" x14ac:dyDescent="0.25">
      <c r="A3483" t="s">
        <v>245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25">
      <c r="A3484" t="s">
        <v>244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25">
      <c r="A3485" t="s">
        <v>243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25">
      <c r="A3486" t="s">
        <v>242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25">
      <c r="A3487" t="s">
        <v>241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25">
      <c r="A3489" t="s">
        <v>246</v>
      </c>
    </row>
    <row r="3490" spans="1:34" x14ac:dyDescent="0.25">
      <c r="A3490" t="s">
        <v>245</v>
      </c>
    </row>
    <row r="3491" spans="1:34" x14ac:dyDescent="0.25">
      <c r="A3491" t="s">
        <v>239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25">
      <c r="A3492" t="s">
        <v>238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25">
      <c r="A3493" t="s">
        <v>237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25">
      <c r="A3494" t="s">
        <v>236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25">
      <c r="A3495" t="s">
        <v>235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25">
      <c r="A3496" t="s">
        <v>234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25">
      <c r="A3497" t="s">
        <v>233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25">
      <c r="A3498" t="s">
        <v>244</v>
      </c>
    </row>
    <row r="3499" spans="1:34" x14ac:dyDescent="0.25">
      <c r="A3499" t="s">
        <v>239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25">
      <c r="A3500" t="s">
        <v>238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25">
      <c r="A3501" t="s">
        <v>243</v>
      </c>
    </row>
    <row r="3502" spans="1:34" x14ac:dyDescent="0.25">
      <c r="A3502" t="s">
        <v>239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25">
      <c r="A3503" t="s">
        <v>238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25">
      <c r="A3504" t="s">
        <v>236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25">
      <c r="A3505" t="s">
        <v>235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25">
      <c r="A3506" t="s">
        <v>234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25">
      <c r="A3507" t="s">
        <v>242</v>
      </c>
    </row>
    <row r="3508" spans="1:34" x14ac:dyDescent="0.25">
      <c r="A3508" t="s">
        <v>239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25">
      <c r="A3509" t="s">
        <v>241</v>
      </c>
    </row>
    <row r="3510" spans="1:34" x14ac:dyDescent="0.25">
      <c r="A3510" t="s">
        <v>239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25">
      <c r="A3511" t="s">
        <v>238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25">
      <c r="A3512" t="s">
        <v>236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25">
      <c r="A3513" t="s">
        <v>235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25">
      <c r="A3514" t="s">
        <v>240</v>
      </c>
    </row>
    <row r="3515" spans="1:34" x14ac:dyDescent="0.25">
      <c r="A3515" t="s">
        <v>239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25">
      <c r="A3516" t="s">
        <v>238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25">
      <c r="A3517" t="s">
        <v>237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25">
      <c r="A3518" t="s">
        <v>236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25">
      <c r="A3519" t="s">
        <v>235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25">
      <c r="A3520" t="s">
        <v>234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25">
      <c r="A3521" t="s">
        <v>233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25">
      <c r="A3522" t="s">
        <v>182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25">
      <c r="A3524" t="s">
        <v>232</v>
      </c>
    </row>
    <row r="3526" spans="1:34" x14ac:dyDescent="0.25">
      <c r="A3526" t="s">
        <v>231</v>
      </c>
    </row>
    <row r="3527" spans="1:34" x14ac:dyDescent="0.25">
      <c r="A3527" t="s">
        <v>221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25">
      <c r="A3528" t="s">
        <v>230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25">
      <c r="A3529" t="s">
        <v>229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25">
      <c r="A3530" t="s">
        <v>228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25">
      <c r="A3531" t="s">
        <v>227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25">
      <c r="A3532" t="s">
        <v>226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25">
      <c r="A3533" t="s">
        <v>184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25">
      <c r="A3534" t="s">
        <v>183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25">
      <c r="A3535" t="s">
        <v>225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25">
      <c r="A3536" t="s">
        <v>182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25">
      <c r="A3539" t="s">
        <v>224</v>
      </c>
    </row>
    <row r="3540" spans="1:34" x14ac:dyDescent="0.25">
      <c r="A3540" t="s">
        <v>190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25">
      <c r="A3541" t="s">
        <v>189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25">
      <c r="A3542" t="s">
        <v>222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25">
      <c r="A3543" t="s">
        <v>187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25">
      <c r="A3544" t="s">
        <v>186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25">
      <c r="A3545" t="s">
        <v>221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25">
      <c r="A3546" t="s">
        <v>184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25">
      <c r="A3547" t="s">
        <v>220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25">
      <c r="A3548" t="s">
        <v>219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25">
      <c r="A3549" t="s">
        <v>218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25">
      <c r="A3550" t="s">
        <v>223</v>
      </c>
    </row>
    <row r="3551" spans="1:34" x14ac:dyDescent="0.25">
      <c r="A3551" t="s">
        <v>190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25">
      <c r="A3552" t="s">
        <v>189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25">
      <c r="A3553" t="s">
        <v>222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25">
      <c r="A3554" t="s">
        <v>187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25">
      <c r="A3555" t="s">
        <v>186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25">
      <c r="A3556" t="s">
        <v>221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25">
      <c r="A3557" t="s">
        <v>184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25">
      <c r="A3558" t="s">
        <v>220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25">
      <c r="A3559" t="s">
        <v>219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25">
      <c r="A3560" t="s">
        <v>218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25">
      <c r="A3562" t="s">
        <v>217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25">
      <c r="A3563" t="s">
        <v>216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25">
      <c r="A3564" t="s">
        <v>215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25">
      <c r="A3565" t="s">
        <v>214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25">
      <c r="A3566" t="s">
        <v>213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25">
      <c r="A3568" t="s">
        <v>212</v>
      </c>
    </row>
    <row r="3569" spans="1:34" x14ac:dyDescent="0.25">
      <c r="A3569" t="s">
        <v>211</v>
      </c>
    </row>
    <row r="3570" spans="1:34" x14ac:dyDescent="0.25">
      <c r="A3570" t="s">
        <v>210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25">
      <c r="A3571" t="s">
        <v>209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25">
      <c r="A3572" t="s">
        <v>208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25">
      <c r="A3573" t="s">
        <v>207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25">
      <c r="A3574" t="s">
        <v>182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25">
      <c r="A3575" t="s">
        <v>206</v>
      </c>
    </row>
    <row r="3576" spans="1:34" x14ac:dyDescent="0.25">
      <c r="A3576" t="s">
        <v>205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25">
      <c r="A3577" t="s">
        <v>204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25">
      <c r="A3578" t="s">
        <v>203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25">
      <c r="A3579" t="s">
        <v>202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25">
      <c r="A3580" t="s">
        <v>182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25">
      <c r="A3582" t="s">
        <v>201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25">
      <c r="A3583" t="s">
        <v>200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25">
      <c r="A3585" t="s">
        <v>199</v>
      </c>
    </row>
    <row r="3586" spans="1:34" x14ac:dyDescent="0.25">
      <c r="A3586" t="s">
        <v>198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25">
      <c r="A3587" t="s">
        <v>197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25">
      <c r="A3588" t="s">
        <v>196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25">
      <c r="A3589" t="s">
        <v>195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25">
      <c r="A3590" t="s">
        <v>182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25">
      <c r="A3601" t="s">
        <v>194</v>
      </c>
    </row>
    <row r="3602" spans="1:34" x14ac:dyDescent="0.25">
      <c r="A3602" t="s">
        <v>193</v>
      </c>
    </row>
    <row r="3603" spans="1:34" x14ac:dyDescent="0.25">
      <c r="A3603" t="s">
        <v>192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25">
      <c r="A3606" t="s">
        <v>191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25">
      <c r="A3607" t="s">
        <v>190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25">
      <c r="A3608" t="s">
        <v>189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25">
      <c r="A3609" t="s">
        <v>188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25">
      <c r="A3610" t="s">
        <v>187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25">
      <c r="A3611" t="s">
        <v>186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25">
      <c r="A3612" t="s">
        <v>185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25">
      <c r="A3613" t="s">
        <v>184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25">
      <c r="A3614" t="s">
        <v>183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25">
      <c r="A3615" t="s">
        <v>182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447F-A183-4941-AE89-4D18260616C3}">
  <dimension ref="A2:Q30"/>
  <sheetViews>
    <sheetView workbookViewId="0">
      <selection activeCell="A3" sqref="A3"/>
    </sheetView>
  </sheetViews>
  <sheetFormatPr defaultRowHeight="15" x14ac:dyDescent="0.25"/>
  <cols>
    <col min="2" max="2" width="22.5703125" bestFit="1" customWidth="1"/>
    <col min="3" max="3" width="14.140625" bestFit="1" customWidth="1"/>
  </cols>
  <sheetData>
    <row r="2" spans="1:17" x14ac:dyDescent="0.25">
      <c r="A2" s="78" t="s">
        <v>646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</row>
    <row r="4" spans="1:17" x14ac:dyDescent="0.25">
      <c r="F4">
        <v>1990</v>
      </c>
      <c r="G4">
        <v>2005</v>
      </c>
      <c r="H4">
        <v>2010</v>
      </c>
      <c r="I4">
        <v>2015</v>
      </c>
      <c r="J4">
        <v>2020</v>
      </c>
      <c r="K4">
        <v>2025</v>
      </c>
      <c r="L4">
        <v>2030</v>
      </c>
      <c r="M4">
        <v>2035</v>
      </c>
      <c r="N4">
        <v>2040</v>
      </c>
      <c r="O4">
        <v>2045</v>
      </c>
      <c r="P4">
        <v>2050</v>
      </c>
    </row>
    <row r="5" spans="1:17" x14ac:dyDescent="0.25">
      <c r="B5" t="s">
        <v>626</v>
      </c>
      <c r="C5" t="s">
        <v>627</v>
      </c>
      <c r="D5" t="s">
        <v>628</v>
      </c>
      <c r="E5" t="s">
        <v>629</v>
      </c>
      <c r="F5">
        <v>0</v>
      </c>
      <c r="G5">
        <v>0</v>
      </c>
      <c r="H5">
        <v>0</v>
      </c>
      <c r="I5">
        <v>0</v>
      </c>
      <c r="J5">
        <v>0</v>
      </c>
      <c r="K5">
        <v>4.2913099999999996E-3</v>
      </c>
      <c r="L5">
        <v>1.5791219999999901E-2</v>
      </c>
      <c r="M5">
        <v>3.018581E-2</v>
      </c>
      <c r="N5">
        <v>4.0925309999999999E-2</v>
      </c>
      <c r="O5">
        <v>5.1022459999999999E-2</v>
      </c>
      <c r="P5">
        <v>5.7552260000000001E-2</v>
      </c>
      <c r="Q5" t="s">
        <v>644</v>
      </c>
    </row>
    <row r="6" spans="1:17" x14ac:dyDescent="0.25">
      <c r="B6" t="s">
        <v>626</v>
      </c>
      <c r="C6" t="s">
        <v>627</v>
      </c>
      <c r="D6" t="s">
        <v>630</v>
      </c>
      <c r="E6" t="s">
        <v>631</v>
      </c>
      <c r="F6">
        <v>0</v>
      </c>
      <c r="G6">
        <v>0</v>
      </c>
      <c r="H6">
        <v>0</v>
      </c>
      <c r="I6">
        <v>0</v>
      </c>
      <c r="J6">
        <v>0</v>
      </c>
      <c r="K6">
        <v>2.2921399999999998E-3</v>
      </c>
      <c r="L6">
        <v>9.4475300000000009E-3</v>
      </c>
      <c r="M6">
        <v>2.0550389999999901E-2</v>
      </c>
      <c r="N6">
        <v>3.2982503999999899E-2</v>
      </c>
      <c r="O6">
        <v>5.193159E-2</v>
      </c>
      <c r="P6">
        <v>7.4532790000000002E-2</v>
      </c>
      <c r="Q6" t="s">
        <v>644</v>
      </c>
    </row>
    <row r="7" spans="1:17" x14ac:dyDescent="0.25">
      <c r="B7" t="s">
        <v>626</v>
      </c>
      <c r="C7" t="s">
        <v>627</v>
      </c>
      <c r="D7" t="s">
        <v>632</v>
      </c>
      <c r="E7" t="s">
        <v>633</v>
      </c>
      <c r="F7">
        <v>0.48236099999999998</v>
      </c>
      <c r="G7">
        <v>0.54156800000000005</v>
      </c>
      <c r="H7">
        <v>0.52562799999999998</v>
      </c>
      <c r="I7">
        <v>0.50446299999999999</v>
      </c>
      <c r="J7">
        <v>0.51644699999999999</v>
      </c>
      <c r="K7">
        <v>0.51002360000000002</v>
      </c>
      <c r="L7">
        <v>0.48335309999999998</v>
      </c>
      <c r="M7">
        <v>0.44560869999999903</v>
      </c>
      <c r="N7">
        <v>0.41092240000000002</v>
      </c>
      <c r="O7">
        <v>0.3632358</v>
      </c>
      <c r="P7">
        <v>0.31364799999999998</v>
      </c>
      <c r="Q7" t="s">
        <v>644</v>
      </c>
    </row>
    <row r="8" spans="1:17" x14ac:dyDescent="0.25">
      <c r="B8" t="s">
        <v>626</v>
      </c>
      <c r="C8" t="s">
        <v>634</v>
      </c>
      <c r="D8" t="s">
        <v>635</v>
      </c>
      <c r="E8" t="s">
        <v>636</v>
      </c>
      <c r="F8">
        <v>0</v>
      </c>
      <c r="G8">
        <v>7.9115000000000001E-3</v>
      </c>
      <c r="H8">
        <v>5.6804E-2</v>
      </c>
      <c r="I8">
        <v>3.9766999999999997E-2</v>
      </c>
      <c r="J8">
        <v>4.1652129999999898E-2</v>
      </c>
      <c r="K8">
        <v>4.8173229999999997E-2</v>
      </c>
      <c r="L8">
        <v>5.546384E-2</v>
      </c>
      <c r="M8">
        <v>5.9785699999999997E-2</v>
      </c>
      <c r="N8">
        <v>5.8879019999999997E-2</v>
      </c>
      <c r="O8">
        <v>5.5339619999999999E-2</v>
      </c>
      <c r="P8">
        <v>5.0862939999999898E-2</v>
      </c>
      <c r="Q8" t="s">
        <v>644</v>
      </c>
    </row>
    <row r="9" spans="1:17" x14ac:dyDescent="0.25">
      <c r="B9" t="s">
        <v>626</v>
      </c>
      <c r="C9" t="s">
        <v>634</v>
      </c>
      <c r="D9" t="s">
        <v>637</v>
      </c>
      <c r="E9" t="s">
        <v>638</v>
      </c>
      <c r="F9">
        <v>0</v>
      </c>
      <c r="G9">
        <v>1.79998E-2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644</v>
      </c>
    </row>
    <row r="10" spans="1:17" x14ac:dyDescent="0.25">
      <c r="B10" t="s">
        <v>626</v>
      </c>
      <c r="C10" t="s">
        <v>634</v>
      </c>
      <c r="D10" t="s">
        <v>630</v>
      </c>
      <c r="E10" t="s">
        <v>631</v>
      </c>
      <c r="F10">
        <v>0</v>
      </c>
      <c r="G10">
        <v>8.9465699999999995E-2</v>
      </c>
      <c r="H10">
        <v>7.9559500000000005E-2</v>
      </c>
      <c r="I10">
        <v>7.2741700000000006E-2</v>
      </c>
      <c r="J10">
        <v>7.71564E-2</v>
      </c>
      <c r="K10">
        <v>8.2328899999999997E-2</v>
      </c>
      <c r="L10">
        <v>9.0449479999999999E-2</v>
      </c>
      <c r="M10">
        <v>9.44884E-2</v>
      </c>
      <c r="N10">
        <v>9.4409939999999998E-2</v>
      </c>
      <c r="O10">
        <v>9.3717529999999993E-2</v>
      </c>
      <c r="P10">
        <v>9.2163109999999895E-2</v>
      </c>
      <c r="Q10" t="s">
        <v>644</v>
      </c>
    </row>
    <row r="11" spans="1:17" x14ac:dyDescent="0.25">
      <c r="B11" t="s">
        <v>626</v>
      </c>
      <c r="C11" t="s">
        <v>634</v>
      </c>
      <c r="D11" t="s">
        <v>632</v>
      </c>
      <c r="E11" t="s">
        <v>633</v>
      </c>
      <c r="F11">
        <v>0.12059</v>
      </c>
      <c r="G11">
        <v>0.13539200000000001</v>
      </c>
      <c r="H11">
        <v>0.131407</v>
      </c>
      <c r="I11">
        <v>0.12611600000000001</v>
      </c>
      <c r="J11">
        <v>0.1261198</v>
      </c>
      <c r="K11">
        <v>0.1208002</v>
      </c>
      <c r="L11">
        <v>0.110585499999999</v>
      </c>
      <c r="M11">
        <v>0.10559375</v>
      </c>
      <c r="N11">
        <v>0.10834626999999999</v>
      </c>
      <c r="O11">
        <v>0.11519991</v>
      </c>
      <c r="P11">
        <v>0.12683116</v>
      </c>
      <c r="Q11" t="s">
        <v>644</v>
      </c>
    </row>
    <row r="12" spans="1:17" x14ac:dyDescent="0.25">
      <c r="B12" t="s">
        <v>626</v>
      </c>
      <c r="C12" t="s">
        <v>634</v>
      </c>
      <c r="D12" t="s">
        <v>639</v>
      </c>
      <c r="E12" t="s">
        <v>640</v>
      </c>
      <c r="F12">
        <v>0</v>
      </c>
      <c r="G12">
        <v>7.6938699999999999E-2</v>
      </c>
      <c r="H12">
        <v>6.2496999999999997E-2</v>
      </c>
      <c r="I12">
        <v>6.0655100000000003E-2</v>
      </c>
      <c r="J12">
        <v>6.1629699999999898E-2</v>
      </c>
      <c r="K12">
        <v>5.9060429999999997E-2</v>
      </c>
      <c r="L12">
        <v>5.8157479999999998E-2</v>
      </c>
      <c r="M12">
        <v>5.9445680000000001E-2</v>
      </c>
      <c r="N12">
        <v>6.1397569999999999E-2</v>
      </c>
      <c r="O12">
        <v>6.1151669999999998E-2</v>
      </c>
      <c r="P12">
        <v>5.7389700000000002E-2</v>
      </c>
      <c r="Q12" t="s">
        <v>644</v>
      </c>
    </row>
    <row r="13" spans="1:17" x14ac:dyDescent="0.25">
      <c r="B13" t="s">
        <v>641</v>
      </c>
      <c r="C13" t="s">
        <v>627</v>
      </c>
      <c r="D13" t="s">
        <v>628</v>
      </c>
      <c r="E13" t="s">
        <v>629</v>
      </c>
      <c r="F13">
        <v>0</v>
      </c>
      <c r="G13">
        <v>0</v>
      </c>
      <c r="H13">
        <v>0</v>
      </c>
      <c r="I13">
        <v>0</v>
      </c>
      <c r="J13">
        <v>0</v>
      </c>
      <c r="K13">
        <v>2.6706400000000002E-3</v>
      </c>
      <c r="L13">
        <v>9.3915400000000003E-3</v>
      </c>
      <c r="M13">
        <v>1.7987860000000001E-2</v>
      </c>
      <c r="N13">
        <v>2.4747112000000002E-2</v>
      </c>
      <c r="O13">
        <v>3.1811119999999998E-2</v>
      </c>
      <c r="P13">
        <v>3.7306499999999999E-2</v>
      </c>
      <c r="Q13" t="s">
        <v>644</v>
      </c>
    </row>
    <row r="14" spans="1:17" x14ac:dyDescent="0.25">
      <c r="B14" t="s">
        <v>641</v>
      </c>
      <c r="C14" t="s">
        <v>627</v>
      </c>
      <c r="D14" t="s">
        <v>630</v>
      </c>
      <c r="E14" t="s">
        <v>631</v>
      </c>
      <c r="F14">
        <v>0</v>
      </c>
      <c r="G14">
        <v>0</v>
      </c>
      <c r="H14">
        <v>0</v>
      </c>
      <c r="I14">
        <v>0</v>
      </c>
      <c r="J14">
        <v>0</v>
      </c>
      <c r="K14" s="77">
        <v>6.4778299999999997E-4</v>
      </c>
      <c r="L14">
        <v>2.6796699999999999E-3</v>
      </c>
      <c r="M14">
        <v>6.0352909999999999E-3</v>
      </c>
      <c r="N14">
        <v>1.0144502E-2</v>
      </c>
      <c r="O14">
        <v>1.7076095999999999E-2</v>
      </c>
      <c r="P14">
        <v>2.6250463000000002E-2</v>
      </c>
      <c r="Q14" t="s">
        <v>644</v>
      </c>
    </row>
    <row r="15" spans="1:17" x14ac:dyDescent="0.25">
      <c r="B15" t="s">
        <v>641</v>
      </c>
      <c r="C15" t="s">
        <v>627</v>
      </c>
      <c r="D15" t="s">
        <v>632</v>
      </c>
      <c r="E15" t="s">
        <v>633</v>
      </c>
      <c r="F15">
        <v>3.3220199999999998E-2</v>
      </c>
      <c r="G15">
        <v>5.6628199999999997E-2</v>
      </c>
      <c r="H15">
        <v>4.29316E-2</v>
      </c>
      <c r="I15">
        <v>0.24851400000000001</v>
      </c>
      <c r="J15">
        <v>0.253691</v>
      </c>
      <c r="K15">
        <v>0.25044830000000001</v>
      </c>
      <c r="L15">
        <v>0.23849779999999901</v>
      </c>
      <c r="M15">
        <v>0.221410779999999</v>
      </c>
      <c r="N15">
        <v>0.20525860000000001</v>
      </c>
      <c r="O15">
        <v>0.18261169999999999</v>
      </c>
      <c r="P15">
        <v>0.15786929999999999</v>
      </c>
      <c r="Q15" t="s">
        <v>644</v>
      </c>
    </row>
    <row r="16" spans="1:17" x14ac:dyDescent="0.25">
      <c r="B16" t="s">
        <v>641</v>
      </c>
      <c r="C16" t="s">
        <v>634</v>
      </c>
      <c r="D16" t="s">
        <v>630</v>
      </c>
      <c r="E16" t="s">
        <v>631</v>
      </c>
      <c r="F16">
        <v>0</v>
      </c>
      <c r="G16">
        <v>0.120347</v>
      </c>
      <c r="H16">
        <v>0.20088600000000001</v>
      </c>
      <c r="I16">
        <v>0.219053</v>
      </c>
      <c r="J16">
        <v>0.22620480000000001</v>
      </c>
      <c r="K16">
        <v>0.23277729999999999</v>
      </c>
      <c r="L16">
        <v>0.2416316</v>
      </c>
      <c r="M16">
        <v>0.24627265000000001</v>
      </c>
      <c r="N16">
        <v>0.24577309999999999</v>
      </c>
      <c r="O16">
        <v>0.24301110000000001</v>
      </c>
      <c r="P16">
        <v>0.2385138</v>
      </c>
      <c r="Q16" t="s">
        <v>644</v>
      </c>
    </row>
    <row r="17" spans="2:17" x14ac:dyDescent="0.25">
      <c r="B17" t="s">
        <v>641</v>
      </c>
      <c r="C17" t="s">
        <v>634</v>
      </c>
      <c r="D17" t="s">
        <v>632</v>
      </c>
      <c r="E17" t="s">
        <v>633</v>
      </c>
      <c r="F17">
        <v>8.3050199999999998E-3</v>
      </c>
      <c r="G17">
        <v>1.4157100000000001E-2</v>
      </c>
      <c r="H17">
        <v>1.07329E-2</v>
      </c>
      <c r="I17">
        <v>6.2128599999999999E-2</v>
      </c>
      <c r="J17">
        <v>6.0819600000000001E-2</v>
      </c>
      <c r="K17">
        <v>5.6391169999999997E-2</v>
      </c>
      <c r="L17">
        <v>4.8851430000000001E-2</v>
      </c>
      <c r="M17">
        <v>4.5074389999999999E-2</v>
      </c>
      <c r="N17">
        <v>4.6164759999999999E-2</v>
      </c>
      <c r="O17">
        <v>4.8856700000000003E-2</v>
      </c>
      <c r="P17">
        <v>5.3671730000000001E-2</v>
      </c>
      <c r="Q17" t="s">
        <v>644</v>
      </c>
    </row>
    <row r="18" spans="2:17" x14ac:dyDescent="0.25">
      <c r="B18" t="s">
        <v>641</v>
      </c>
      <c r="C18" t="s">
        <v>634</v>
      </c>
      <c r="D18" t="s">
        <v>639</v>
      </c>
      <c r="E18" t="s">
        <v>640</v>
      </c>
      <c r="F18">
        <v>0</v>
      </c>
      <c r="G18">
        <v>0.23253199999999999</v>
      </c>
      <c r="H18">
        <v>1.5739400000000001E-2</v>
      </c>
      <c r="I18">
        <v>1.28092E-2</v>
      </c>
      <c r="J18">
        <v>1.2720789999999999E-2</v>
      </c>
      <c r="K18">
        <v>1.180613E-2</v>
      </c>
      <c r="L18">
        <v>1.096775E-2</v>
      </c>
      <c r="M18">
        <v>1.0866646000000001E-2</v>
      </c>
      <c r="N18">
        <v>1.1210260999999999E-2</v>
      </c>
      <c r="O18">
        <v>1.1121871E-2</v>
      </c>
      <c r="P18">
        <v>1.0417183999999999E-2</v>
      </c>
      <c r="Q18" t="s">
        <v>644</v>
      </c>
    </row>
    <row r="19" spans="2:17" x14ac:dyDescent="0.25">
      <c r="B19" t="s">
        <v>642</v>
      </c>
      <c r="C19" t="s">
        <v>633</v>
      </c>
      <c r="D19" t="s">
        <v>632</v>
      </c>
      <c r="E19" t="s">
        <v>633</v>
      </c>
      <c r="F19">
        <v>1.1682300000000001</v>
      </c>
      <c r="G19">
        <v>1.3207199999999999</v>
      </c>
      <c r="H19">
        <v>0.87508300000000006</v>
      </c>
      <c r="I19">
        <v>0.82790699999999995</v>
      </c>
      <c r="J19">
        <v>0.86580199999999996</v>
      </c>
      <c r="K19">
        <v>0.89540399999999998</v>
      </c>
      <c r="L19">
        <v>0.92721900000000002</v>
      </c>
      <c r="M19">
        <v>0.96150199999999997</v>
      </c>
      <c r="N19">
        <v>0.99458899999999995</v>
      </c>
      <c r="O19">
        <v>1.0272699999999999</v>
      </c>
      <c r="P19">
        <v>1.0608900000000001</v>
      </c>
      <c r="Q19" t="s">
        <v>644</v>
      </c>
    </row>
    <row r="20" spans="2:17" x14ac:dyDescent="0.25">
      <c r="B20" t="s">
        <v>643</v>
      </c>
      <c r="C20" t="s">
        <v>627</v>
      </c>
      <c r="D20" t="s">
        <v>628</v>
      </c>
      <c r="E20" t="s">
        <v>629</v>
      </c>
      <c r="F20">
        <v>0</v>
      </c>
      <c r="G20">
        <v>0</v>
      </c>
      <c r="H20">
        <v>0</v>
      </c>
      <c r="I20">
        <v>0</v>
      </c>
      <c r="J20">
        <v>0</v>
      </c>
      <c r="K20" s="77">
        <v>8.8465799999999997E-4</v>
      </c>
      <c r="L20">
        <v>3.19068E-3</v>
      </c>
      <c r="M20">
        <v>6.1139109999999997E-3</v>
      </c>
      <c r="N20">
        <v>8.3979640000000008E-3</v>
      </c>
      <c r="O20">
        <v>1.06906449999999E-2</v>
      </c>
      <c r="P20">
        <v>1.2361591999999999E-2</v>
      </c>
      <c r="Q20" t="s">
        <v>644</v>
      </c>
    </row>
    <row r="21" spans="2:17" x14ac:dyDescent="0.25">
      <c r="B21" t="s">
        <v>643</v>
      </c>
      <c r="C21" t="s">
        <v>627</v>
      </c>
      <c r="D21" t="s">
        <v>630</v>
      </c>
      <c r="E21" t="s">
        <v>631</v>
      </c>
      <c r="F21">
        <v>0</v>
      </c>
      <c r="G21">
        <v>0</v>
      </c>
      <c r="H21">
        <v>0</v>
      </c>
      <c r="I21">
        <v>0</v>
      </c>
      <c r="J21">
        <v>0</v>
      </c>
      <c r="K21" s="77">
        <v>2.6928800000000001E-4</v>
      </c>
      <c r="L21">
        <v>1.1269019999999999E-3</v>
      </c>
      <c r="M21">
        <v>2.5147889999999999E-3</v>
      </c>
      <c r="N21">
        <v>4.1843139999999997E-3</v>
      </c>
      <c r="O21">
        <v>6.9014430000000002E-3</v>
      </c>
      <c r="P21">
        <v>1.0371052999999899E-2</v>
      </c>
      <c r="Q21" t="s">
        <v>644</v>
      </c>
    </row>
    <row r="22" spans="2:17" x14ac:dyDescent="0.25">
      <c r="B22" t="s">
        <v>643</v>
      </c>
      <c r="C22" t="s">
        <v>627</v>
      </c>
      <c r="D22" t="s">
        <v>632</v>
      </c>
      <c r="E22" t="s">
        <v>633</v>
      </c>
      <c r="F22">
        <v>0</v>
      </c>
      <c r="G22">
        <v>0</v>
      </c>
      <c r="H22">
        <v>0</v>
      </c>
      <c r="I22">
        <v>8.8106900000000002E-2</v>
      </c>
      <c r="J22">
        <v>9.0261499999999995E-2</v>
      </c>
      <c r="K22">
        <v>8.9121900000000004E-2</v>
      </c>
      <c r="L22">
        <v>8.5267349999999895E-2</v>
      </c>
      <c r="M22">
        <v>7.9310510000000001E-2</v>
      </c>
      <c r="N22">
        <v>7.3627689999999996E-2</v>
      </c>
      <c r="O22">
        <v>6.5423159999999994E-2</v>
      </c>
      <c r="P22">
        <v>5.6423509999999899E-2</v>
      </c>
      <c r="Q22" t="s">
        <v>644</v>
      </c>
    </row>
    <row r="23" spans="2:17" x14ac:dyDescent="0.25">
      <c r="B23" t="s">
        <v>643</v>
      </c>
      <c r="C23" t="s">
        <v>634</v>
      </c>
      <c r="D23" t="s">
        <v>637</v>
      </c>
      <c r="E23" t="s">
        <v>638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644</v>
      </c>
    </row>
    <row r="24" spans="2:17" x14ac:dyDescent="0.25">
      <c r="B24" t="s">
        <v>643</v>
      </c>
      <c r="C24" t="s">
        <v>634</v>
      </c>
      <c r="D24" t="s">
        <v>630</v>
      </c>
      <c r="E24" t="s">
        <v>631</v>
      </c>
      <c r="F24">
        <v>0.12085</v>
      </c>
      <c r="G24">
        <v>9.9668699999999999E-2</v>
      </c>
      <c r="H24">
        <v>0.121561</v>
      </c>
      <c r="I24">
        <v>0.14085900000000001</v>
      </c>
      <c r="J24">
        <v>0.14710029999999999</v>
      </c>
      <c r="K24">
        <v>0.1551689</v>
      </c>
      <c r="L24">
        <v>0.165272</v>
      </c>
      <c r="M24">
        <v>0.16986760000000001</v>
      </c>
      <c r="N24">
        <v>0.1698287</v>
      </c>
      <c r="O24">
        <v>0.1700711</v>
      </c>
      <c r="P24">
        <v>0.1719801</v>
      </c>
      <c r="Q24" t="s">
        <v>644</v>
      </c>
    </row>
    <row r="25" spans="2:17" x14ac:dyDescent="0.25">
      <c r="B25" t="s">
        <v>643</v>
      </c>
      <c r="C25" t="s">
        <v>634</v>
      </c>
      <c r="D25" t="s">
        <v>632</v>
      </c>
      <c r="E25" t="s">
        <v>633</v>
      </c>
      <c r="F25">
        <v>0</v>
      </c>
      <c r="G25">
        <v>0</v>
      </c>
      <c r="H25">
        <v>0</v>
      </c>
      <c r="I25">
        <v>2.20267E-2</v>
      </c>
      <c r="J25">
        <v>2.1756879999999999E-2</v>
      </c>
      <c r="K25">
        <v>2.0613090000000001E-2</v>
      </c>
      <c r="L25">
        <v>1.8327139999999999E-2</v>
      </c>
      <c r="M25">
        <v>1.7137962E-2</v>
      </c>
      <c r="N25">
        <v>1.75894799999999E-2</v>
      </c>
      <c r="O25">
        <v>1.8873769999999901E-2</v>
      </c>
      <c r="P25">
        <v>2.14099099999999E-2</v>
      </c>
      <c r="Q25" t="s">
        <v>644</v>
      </c>
    </row>
    <row r="26" spans="2:17" x14ac:dyDescent="0.25">
      <c r="B26" t="s">
        <v>643</v>
      </c>
      <c r="C26" t="s">
        <v>634</v>
      </c>
      <c r="D26" t="s">
        <v>639</v>
      </c>
      <c r="E26" t="s">
        <v>640</v>
      </c>
      <c r="F26">
        <v>0</v>
      </c>
      <c r="G26">
        <v>6.4506300000000003E-2</v>
      </c>
      <c r="H26">
        <v>7.7064300000000002E-2</v>
      </c>
      <c r="I26">
        <v>0.102515</v>
      </c>
      <c r="J26">
        <v>0.1027922</v>
      </c>
      <c r="K26">
        <v>9.7460199999999997E-2</v>
      </c>
      <c r="L26">
        <v>9.3030730000000006E-2</v>
      </c>
      <c r="M26">
        <v>9.3261960000000005E-2</v>
      </c>
      <c r="N26">
        <v>9.6409270000000005E-2</v>
      </c>
      <c r="O26">
        <v>9.6854819999999994E-2</v>
      </c>
      <c r="P26">
        <v>9.3296049999999894E-2</v>
      </c>
      <c r="Q26" t="s">
        <v>644</v>
      </c>
    </row>
    <row r="28" spans="2:17" x14ac:dyDescent="0.25">
      <c r="B28" t="s">
        <v>626</v>
      </c>
      <c r="C28" t="s">
        <v>645</v>
      </c>
      <c r="D28" t="s">
        <v>632</v>
      </c>
      <c r="E28" t="s">
        <v>632</v>
      </c>
      <c r="F28">
        <f>F7/SUM(F7,F11)</f>
        <v>0.80000033170191276</v>
      </c>
      <c r="G28">
        <f t="shared" ref="G28:P28" si="0">G7/SUM(G7,G11)</f>
        <v>0.8</v>
      </c>
      <c r="H28">
        <f t="shared" si="0"/>
        <v>0.79999999999999993</v>
      </c>
      <c r="I28">
        <f t="shared" si="0"/>
        <v>0.79999968283117573</v>
      </c>
      <c r="J28">
        <f t="shared" si="0"/>
        <v>0.80372499793017627</v>
      </c>
      <c r="K28">
        <f t="shared" si="0"/>
        <v>0.80850405453947671</v>
      </c>
      <c r="L28">
        <f t="shared" si="0"/>
        <v>0.81380987866422694</v>
      </c>
      <c r="M28">
        <f t="shared" si="0"/>
        <v>0.80843018749281648</v>
      </c>
      <c r="N28">
        <f t="shared" si="0"/>
        <v>0.79134833996435805</v>
      </c>
      <c r="O28">
        <f t="shared" si="0"/>
        <v>0.75921548581731069</v>
      </c>
      <c r="P28">
        <f t="shared" si="0"/>
        <v>0.71206092928437292</v>
      </c>
    </row>
    <row r="29" spans="2:17" x14ac:dyDescent="0.25">
      <c r="B29" t="s">
        <v>641</v>
      </c>
      <c r="C29" t="s">
        <v>645</v>
      </c>
      <c r="D29" t="s">
        <v>632</v>
      </c>
      <c r="E29" t="s">
        <v>632</v>
      </c>
      <c r="F29">
        <f>F15/SUM(F15,F17)</f>
        <v>0.80000057796201918</v>
      </c>
      <c r="G29">
        <f t="shared" ref="G29:P29" si="1">G15/SUM(G15,G17)</f>
        <v>0.79999943491092074</v>
      </c>
      <c r="H29">
        <f t="shared" si="1"/>
        <v>0.79999999999999993</v>
      </c>
      <c r="I29">
        <f t="shared" si="1"/>
        <v>0.79999974246932015</v>
      </c>
      <c r="J29">
        <f t="shared" si="1"/>
        <v>0.80662146204293284</v>
      </c>
      <c r="K29">
        <f t="shared" si="1"/>
        <v>0.81621930842208801</v>
      </c>
      <c r="L29">
        <f t="shared" si="1"/>
        <v>0.8299928278909946</v>
      </c>
      <c r="M29">
        <f t="shared" si="1"/>
        <v>0.83085591592207486</v>
      </c>
      <c r="N29">
        <f t="shared" si="1"/>
        <v>0.81638635328077724</v>
      </c>
      <c r="O29">
        <f t="shared" si="1"/>
        <v>0.78892712784984897</v>
      </c>
      <c r="P29">
        <f t="shared" si="1"/>
        <v>0.74628217514115347</v>
      </c>
    </row>
    <row r="30" spans="2:17" x14ac:dyDescent="0.25">
      <c r="B30" t="s">
        <v>643</v>
      </c>
      <c r="C30" t="s">
        <v>645</v>
      </c>
      <c r="D30" t="s">
        <v>632</v>
      </c>
      <c r="E30" t="s">
        <v>632</v>
      </c>
      <c r="F30" t="e">
        <f>F22/SUM(F22,F25)</f>
        <v>#DIV/0!</v>
      </c>
      <c r="G30" t="e">
        <f t="shared" ref="G30:P30" si="2">G22/SUM(G22,G25)</f>
        <v>#DIV/0!</v>
      </c>
      <c r="H30" t="e">
        <f t="shared" si="2"/>
        <v>#DIV/0!</v>
      </c>
      <c r="I30">
        <f t="shared" si="2"/>
        <v>0.80000018159762332</v>
      </c>
      <c r="J30">
        <f t="shared" si="2"/>
        <v>0.80577401672832616</v>
      </c>
      <c r="K30">
        <f t="shared" si="2"/>
        <v>0.81215572170736061</v>
      </c>
      <c r="L30">
        <f t="shared" si="2"/>
        <v>0.82308769510810831</v>
      </c>
      <c r="M30">
        <f t="shared" si="2"/>
        <v>0.82230965774138953</v>
      </c>
      <c r="N30">
        <f t="shared" si="2"/>
        <v>0.80716919851821833</v>
      </c>
      <c r="O30">
        <f t="shared" si="2"/>
        <v>0.77610370864039857</v>
      </c>
      <c r="P30">
        <f t="shared" si="2"/>
        <v>0.72492651614178139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4529-054F-4FCD-8BD6-20F7E34196FD}">
  <sheetPr>
    <pageSetUpPr fitToPage="1"/>
  </sheetPr>
  <dimension ref="A1:L1836"/>
  <sheetViews>
    <sheetView showGridLines="0" zoomScale="115" zoomScaleNormal="115" workbookViewId="0">
      <pane ySplit="12" topLeftCell="A1050" activePane="bottomLeft" state="frozen"/>
      <selection pane="bottomLeft" activeCell="J1053" sqref="I1053:J1053"/>
    </sheetView>
  </sheetViews>
  <sheetFormatPr defaultColWidth="11" defaultRowHeight="12" x14ac:dyDescent="0.2"/>
  <cols>
    <col min="1" max="1" width="9.140625" style="3" customWidth="1"/>
    <col min="2" max="2" width="51.85546875" style="3" customWidth="1"/>
    <col min="3" max="3" width="9.85546875" style="3" customWidth="1"/>
    <col min="4" max="4" width="11" style="3"/>
    <col min="5" max="5" width="9.85546875" style="3" customWidth="1"/>
    <col min="6" max="6" width="11" style="3"/>
    <col min="7" max="7" width="8.28515625" style="3" customWidth="1"/>
    <col min="8" max="8" width="15.85546875" style="3" customWidth="1"/>
    <col min="9" max="9" width="14.140625" style="3" customWidth="1"/>
    <col min="10" max="10" width="7.5703125" style="3" customWidth="1"/>
    <col min="11" max="16384" width="11" style="3"/>
  </cols>
  <sheetData>
    <row r="1" spans="1:10" x14ac:dyDescent="0.2">
      <c r="A1" s="3" t="s">
        <v>525</v>
      </c>
      <c r="C1" s="70"/>
    </row>
    <row r="2" spans="1:10" x14ac:dyDescent="0.2">
      <c r="A2" s="3" t="s">
        <v>526</v>
      </c>
      <c r="C2" s="70"/>
    </row>
    <row r="3" spans="1:10" s="5" customFormat="1" ht="15.75" x14ac:dyDescent="0.25">
      <c r="A3" s="4" t="s">
        <v>527</v>
      </c>
    </row>
    <row r="4" spans="1:10" s="7" customFormat="1" x14ac:dyDescent="0.2">
      <c r="A4" s="6" t="s">
        <v>528</v>
      </c>
      <c r="C4" s="71"/>
    </row>
    <row r="5" spans="1:10" s="7" customFormat="1" x14ac:dyDescent="0.2">
      <c r="A5" s="6" t="s">
        <v>529</v>
      </c>
      <c r="C5" s="71"/>
    </row>
    <row r="6" spans="1:10" s="7" customFormat="1" x14ac:dyDescent="0.2">
      <c r="A6" s="6" t="s">
        <v>530</v>
      </c>
      <c r="C6" s="71"/>
    </row>
    <row r="7" spans="1:10" s="7" customFormat="1" x14ac:dyDescent="0.2">
      <c r="A7" s="6" t="s">
        <v>531</v>
      </c>
    </row>
    <row r="8" spans="1:10" x14ac:dyDescent="0.2">
      <c r="A8" s="8"/>
    </row>
    <row r="9" spans="1:10" s="12" customFormat="1" x14ac:dyDescent="0.2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2">
      <c r="A10" s="9" t="s">
        <v>31</v>
      </c>
      <c r="B10" s="10" t="s">
        <v>31</v>
      </c>
      <c r="C10" s="10"/>
      <c r="D10" s="10"/>
      <c r="E10" s="11"/>
      <c r="F10" s="10" t="s">
        <v>532</v>
      </c>
      <c r="G10" s="10"/>
      <c r="H10" s="11"/>
      <c r="I10" s="10" t="s">
        <v>33</v>
      </c>
      <c r="J10" s="10"/>
    </row>
    <row r="11" spans="1:10" s="12" customFormat="1" x14ac:dyDescent="0.2">
      <c r="A11" s="9" t="s">
        <v>34</v>
      </c>
      <c r="B11" s="8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0" t="s">
        <v>38</v>
      </c>
      <c r="H11" s="10" t="s">
        <v>39</v>
      </c>
      <c r="I11" s="10" t="s">
        <v>533</v>
      </c>
      <c r="J11" s="10" t="s">
        <v>31</v>
      </c>
    </row>
    <row r="12" spans="1:10" s="12" customFormat="1" ht="15" thickBot="1" x14ac:dyDescent="0.25">
      <c r="A12" s="9" t="s">
        <v>534</v>
      </c>
      <c r="B12" s="9" t="s">
        <v>535</v>
      </c>
      <c r="C12" s="10" t="s">
        <v>40</v>
      </c>
      <c r="D12" s="10" t="s">
        <v>536</v>
      </c>
      <c r="E12" s="10" t="s">
        <v>532</v>
      </c>
      <c r="F12" s="10" t="s">
        <v>537</v>
      </c>
      <c r="G12" s="10" t="s">
        <v>538</v>
      </c>
      <c r="H12" s="10" t="s">
        <v>539</v>
      </c>
      <c r="I12" s="10" t="s">
        <v>540</v>
      </c>
      <c r="J12" s="10" t="s">
        <v>541</v>
      </c>
    </row>
    <row r="13" spans="1:10" ht="12.75" customHeight="1" thickTop="1" x14ac:dyDescent="0.2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2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2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2">
      <c r="A16" s="22" t="s">
        <v>43</v>
      </c>
      <c r="B16" s="22" t="s">
        <v>542</v>
      </c>
      <c r="C16" s="72"/>
      <c r="D16" s="72"/>
      <c r="E16" s="72"/>
      <c r="F16" s="72"/>
      <c r="G16" s="72"/>
      <c r="H16" s="72"/>
      <c r="I16" s="72"/>
      <c r="J16" s="72"/>
    </row>
    <row r="17" spans="1:10" ht="12.75" customHeight="1" x14ac:dyDescent="0.2">
      <c r="A17" s="24"/>
      <c r="B17" s="24"/>
      <c r="C17" s="73"/>
      <c r="D17" s="73"/>
      <c r="E17" s="73"/>
      <c r="F17" s="73"/>
      <c r="G17" s="73"/>
      <c r="H17" s="73"/>
      <c r="I17" s="73"/>
      <c r="J17" s="73"/>
    </row>
    <row r="18" spans="1:10" ht="12.75" customHeight="1" x14ac:dyDescent="0.2">
      <c r="A18" s="24"/>
      <c r="B18" s="24"/>
      <c r="C18" s="26"/>
      <c r="D18" s="26"/>
      <c r="E18" s="26"/>
      <c r="F18" s="26"/>
      <c r="G18" s="26"/>
      <c r="H18" s="26"/>
      <c r="I18" s="26"/>
      <c r="J18" s="26"/>
    </row>
    <row r="19" spans="1:10" ht="12.75" customHeight="1" x14ac:dyDescent="0.2">
      <c r="A19" s="24"/>
      <c r="B19" s="22" t="s">
        <v>543</v>
      </c>
      <c r="C19" s="25">
        <v>15742</v>
      </c>
      <c r="D19" s="25">
        <v>2674</v>
      </c>
      <c r="E19" s="25">
        <v>13</v>
      </c>
      <c r="F19" s="25">
        <v>79</v>
      </c>
      <c r="G19" s="25">
        <v>7087</v>
      </c>
      <c r="H19" s="25">
        <v>85</v>
      </c>
      <c r="I19" s="25">
        <v>398</v>
      </c>
      <c r="J19" s="25">
        <v>5405</v>
      </c>
    </row>
    <row r="20" spans="1:10" ht="12.75" customHeight="1" x14ac:dyDescent="0.2">
      <c r="A20" s="24"/>
      <c r="B20" s="22" t="s">
        <v>544</v>
      </c>
      <c r="C20" s="25" t="s">
        <v>44</v>
      </c>
      <c r="D20" s="25">
        <v>47</v>
      </c>
      <c r="E20" s="25">
        <v>8</v>
      </c>
      <c r="F20" s="25">
        <v>12</v>
      </c>
      <c r="G20" s="25">
        <v>2993</v>
      </c>
      <c r="H20" s="25">
        <v>14</v>
      </c>
      <c r="I20" s="25">
        <v>97</v>
      </c>
      <c r="J20" s="25" t="s">
        <v>44</v>
      </c>
    </row>
    <row r="21" spans="1:10" ht="12.75" customHeight="1" x14ac:dyDescent="0.2">
      <c r="A21" s="24"/>
      <c r="B21" s="24" t="s">
        <v>45</v>
      </c>
      <c r="C21" s="25" t="s">
        <v>44</v>
      </c>
      <c r="D21" s="25">
        <v>47</v>
      </c>
      <c r="E21" s="25">
        <v>2</v>
      </c>
      <c r="F21" s="25">
        <v>2</v>
      </c>
      <c r="G21" s="25">
        <v>869</v>
      </c>
      <c r="H21" s="25">
        <v>7</v>
      </c>
      <c r="I21" s="25">
        <v>14</v>
      </c>
      <c r="J21" s="25" t="s">
        <v>44</v>
      </c>
    </row>
    <row r="22" spans="1:10" ht="12.75" customHeight="1" x14ac:dyDescent="0.2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9</v>
      </c>
      <c r="G22" s="25">
        <v>2124</v>
      </c>
      <c r="H22" s="25">
        <v>7</v>
      </c>
      <c r="I22" s="25">
        <v>83</v>
      </c>
      <c r="J22" s="25" t="s">
        <v>44</v>
      </c>
    </row>
    <row r="23" spans="1:10" ht="12.75" customHeight="1" x14ac:dyDescent="0.2">
      <c r="A23" s="24"/>
      <c r="B23" s="22" t="s">
        <v>545</v>
      </c>
      <c r="C23" s="25" t="s">
        <v>44</v>
      </c>
      <c r="D23" s="25">
        <v>2029</v>
      </c>
      <c r="E23" s="25">
        <v>2</v>
      </c>
      <c r="F23" s="25">
        <v>25</v>
      </c>
      <c r="G23" s="25">
        <v>3512</v>
      </c>
      <c r="H23" s="25">
        <v>44</v>
      </c>
      <c r="I23" s="25">
        <v>224</v>
      </c>
      <c r="J23" s="25" t="s">
        <v>44</v>
      </c>
    </row>
    <row r="24" spans="1:10" ht="12.75" customHeight="1" x14ac:dyDescent="0.2">
      <c r="A24" s="24"/>
      <c r="B24" s="24" t="s">
        <v>48</v>
      </c>
      <c r="C24" s="25" t="s">
        <v>44</v>
      </c>
      <c r="D24" s="25">
        <v>241</v>
      </c>
      <c r="E24" s="25">
        <v>2</v>
      </c>
      <c r="F24" s="25">
        <v>4</v>
      </c>
      <c r="G24" s="25">
        <v>2946</v>
      </c>
      <c r="H24" s="25">
        <v>37</v>
      </c>
      <c r="I24" s="25">
        <v>205</v>
      </c>
      <c r="J24" s="25" t="s">
        <v>44</v>
      </c>
    </row>
    <row r="25" spans="1:10" ht="12.75" customHeight="1" x14ac:dyDescent="0.2">
      <c r="A25" s="24"/>
      <c r="B25" s="24" t="s">
        <v>49</v>
      </c>
      <c r="C25" s="25" t="s">
        <v>44</v>
      </c>
      <c r="D25" s="25">
        <v>217</v>
      </c>
      <c r="E25" s="25" t="s">
        <v>50</v>
      </c>
      <c r="F25" s="25" t="s">
        <v>60</v>
      </c>
      <c r="G25" s="25">
        <v>44</v>
      </c>
      <c r="H25" s="25" t="s">
        <v>50</v>
      </c>
      <c r="I25" s="25" t="s">
        <v>50</v>
      </c>
      <c r="J25" s="25" t="s">
        <v>44</v>
      </c>
    </row>
    <row r="26" spans="1:10" ht="12.75" customHeight="1" x14ac:dyDescent="0.2">
      <c r="A26" s="24"/>
      <c r="B26" s="24" t="s">
        <v>51</v>
      </c>
      <c r="C26" s="25" t="s">
        <v>44</v>
      </c>
      <c r="D26" s="25">
        <v>1352</v>
      </c>
      <c r="E26" s="25" t="s">
        <v>50</v>
      </c>
      <c r="F26" s="25">
        <v>10</v>
      </c>
      <c r="G26" s="25">
        <v>250</v>
      </c>
      <c r="H26" s="25">
        <v>3</v>
      </c>
      <c r="I26" s="25">
        <v>3</v>
      </c>
      <c r="J26" s="25" t="s">
        <v>44</v>
      </c>
    </row>
    <row r="27" spans="1:10" ht="12.75" customHeight="1" x14ac:dyDescent="0.2">
      <c r="A27" s="24"/>
      <c r="B27" s="24" t="s">
        <v>52</v>
      </c>
      <c r="C27" s="25" t="s">
        <v>44</v>
      </c>
      <c r="D27" s="25">
        <v>133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2">
      <c r="A28" s="24"/>
      <c r="B28" s="24" t="s">
        <v>53</v>
      </c>
      <c r="C28" s="25" t="s">
        <v>44</v>
      </c>
      <c r="D28" s="25">
        <v>86</v>
      </c>
      <c r="E28" s="25" t="s">
        <v>50</v>
      </c>
      <c r="F28" s="25">
        <v>9</v>
      </c>
      <c r="G28" s="25">
        <v>273</v>
      </c>
      <c r="H28" s="25">
        <v>4</v>
      </c>
      <c r="I28" s="25">
        <v>16</v>
      </c>
      <c r="J28" s="25" t="s">
        <v>44</v>
      </c>
    </row>
    <row r="29" spans="1:10" ht="12.75" customHeight="1" x14ac:dyDescent="0.2">
      <c r="A29" s="24"/>
      <c r="B29" s="22" t="s">
        <v>546</v>
      </c>
      <c r="C29" s="25" t="s">
        <v>44</v>
      </c>
      <c r="D29" s="25">
        <v>531</v>
      </c>
      <c r="E29" s="25">
        <v>3</v>
      </c>
      <c r="F29" s="25">
        <v>39</v>
      </c>
      <c r="G29" s="25">
        <v>544</v>
      </c>
      <c r="H29" s="25">
        <v>25</v>
      </c>
      <c r="I29" s="25" t="s">
        <v>50</v>
      </c>
      <c r="J29" s="25" t="s">
        <v>44</v>
      </c>
    </row>
    <row r="30" spans="1:10" ht="12.75" customHeight="1" x14ac:dyDescent="0.2">
      <c r="A30" s="24"/>
      <c r="B30" s="24" t="s">
        <v>547</v>
      </c>
      <c r="C30" s="25" t="s">
        <v>44</v>
      </c>
      <c r="D30" s="25">
        <v>273</v>
      </c>
      <c r="E30" s="25" t="s">
        <v>50</v>
      </c>
      <c r="F30" s="25">
        <v>1</v>
      </c>
      <c r="G30" s="25">
        <v>412</v>
      </c>
      <c r="H30" s="25">
        <v>6</v>
      </c>
      <c r="I30" s="25" t="s">
        <v>50</v>
      </c>
      <c r="J30" s="25" t="s">
        <v>44</v>
      </c>
    </row>
    <row r="31" spans="1:10" ht="12.75" customHeight="1" x14ac:dyDescent="0.2">
      <c r="A31" s="24"/>
      <c r="B31" s="24" t="s">
        <v>54</v>
      </c>
      <c r="C31" s="25" t="s">
        <v>44</v>
      </c>
      <c r="D31" s="25">
        <v>166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2">
      <c r="A32" s="24"/>
      <c r="B32" s="24" t="s">
        <v>55</v>
      </c>
      <c r="C32" s="25" t="s">
        <v>44</v>
      </c>
      <c r="D32" s="25">
        <v>54</v>
      </c>
      <c r="E32" s="25" t="s">
        <v>50</v>
      </c>
      <c r="F32" s="25" t="s">
        <v>50</v>
      </c>
      <c r="G32" s="25">
        <v>56</v>
      </c>
      <c r="H32" s="25">
        <v>1</v>
      </c>
      <c r="I32" s="25" t="s">
        <v>50</v>
      </c>
      <c r="J32" s="25" t="s">
        <v>44</v>
      </c>
    </row>
    <row r="33" spans="1:10" ht="12.75" customHeight="1" x14ac:dyDescent="0.2">
      <c r="A33" s="24"/>
      <c r="B33" s="24" t="s">
        <v>56</v>
      </c>
      <c r="C33" s="25" t="s">
        <v>44</v>
      </c>
      <c r="D33" s="25">
        <v>23</v>
      </c>
      <c r="E33" s="25" t="s">
        <v>44</v>
      </c>
      <c r="F33" s="25">
        <v>31</v>
      </c>
      <c r="G33" s="25">
        <v>8</v>
      </c>
      <c r="H33" s="25">
        <v>18</v>
      </c>
      <c r="I33" s="25" t="s">
        <v>44</v>
      </c>
      <c r="J33" s="25" t="s">
        <v>44</v>
      </c>
    </row>
    <row r="34" spans="1:10" ht="12.75" customHeight="1" x14ac:dyDescent="0.2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2</v>
      </c>
      <c r="G34" s="25">
        <v>43</v>
      </c>
      <c r="H34" s="25" t="s">
        <v>50</v>
      </c>
      <c r="I34" s="25" t="s">
        <v>50</v>
      </c>
      <c r="J34" s="25" t="s">
        <v>44</v>
      </c>
    </row>
    <row r="35" spans="1:10" ht="12.75" customHeight="1" x14ac:dyDescent="0.2">
      <c r="A35" s="24"/>
      <c r="B35" s="24" t="s">
        <v>58</v>
      </c>
      <c r="C35" s="25" t="s">
        <v>44</v>
      </c>
      <c r="D35" s="25">
        <v>15</v>
      </c>
      <c r="E35" s="25">
        <v>2</v>
      </c>
      <c r="F35" s="25">
        <v>5</v>
      </c>
      <c r="G35" s="25">
        <v>26</v>
      </c>
      <c r="H35" s="25">
        <v>1</v>
      </c>
      <c r="I35" s="25" t="s">
        <v>50</v>
      </c>
      <c r="J35" s="25" t="s">
        <v>44</v>
      </c>
    </row>
    <row r="36" spans="1:10" ht="12.75" customHeight="1" x14ac:dyDescent="0.2">
      <c r="A36" s="24"/>
      <c r="B36" s="22" t="s">
        <v>548</v>
      </c>
      <c r="C36" s="25">
        <v>5593</v>
      </c>
      <c r="D36" s="25">
        <v>67</v>
      </c>
      <c r="E36" s="25" t="s">
        <v>50</v>
      </c>
      <c r="F36" s="25">
        <v>4</v>
      </c>
      <c r="G36" s="25">
        <v>38</v>
      </c>
      <c r="H36" s="25">
        <v>1</v>
      </c>
      <c r="I36" s="25">
        <v>77</v>
      </c>
      <c r="J36" s="25">
        <v>5405</v>
      </c>
    </row>
    <row r="37" spans="1:10" ht="12.75" customHeight="1" x14ac:dyDescent="0.2">
      <c r="A37" s="24"/>
      <c r="B37" s="24"/>
      <c r="C37" s="26"/>
      <c r="D37" s="26"/>
      <c r="E37" s="26"/>
      <c r="F37" s="26"/>
      <c r="G37" s="26"/>
      <c r="H37" s="26"/>
      <c r="I37" s="26"/>
      <c r="J37" s="26"/>
    </row>
    <row r="38" spans="1:10" s="12" customFormat="1" ht="12.75" customHeight="1" x14ac:dyDescent="0.2">
      <c r="A38" s="22" t="s">
        <v>59</v>
      </c>
      <c r="B38" s="22" t="s">
        <v>3</v>
      </c>
      <c r="C38" s="23"/>
      <c r="D38" s="23"/>
      <c r="E38" s="23"/>
      <c r="F38" s="23"/>
      <c r="G38" s="23"/>
      <c r="H38" s="23"/>
      <c r="I38" s="23"/>
      <c r="J38" s="23"/>
    </row>
    <row r="39" spans="1:10" ht="12.75" customHeight="1" x14ac:dyDescent="0.2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0" ht="12.75" customHeight="1" x14ac:dyDescent="0.2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0" ht="12.75" customHeight="1" x14ac:dyDescent="0.2">
      <c r="A41" s="24"/>
      <c r="B41" s="22" t="s">
        <v>543</v>
      </c>
      <c r="C41" s="25">
        <v>1235</v>
      </c>
      <c r="D41" s="25">
        <v>271</v>
      </c>
      <c r="E41" s="25" t="s">
        <v>50</v>
      </c>
      <c r="F41" s="25">
        <v>14</v>
      </c>
      <c r="G41" s="25">
        <v>704</v>
      </c>
      <c r="H41" s="25">
        <v>8</v>
      </c>
      <c r="I41" s="25">
        <v>93</v>
      </c>
      <c r="J41" s="25">
        <v>144</v>
      </c>
    </row>
    <row r="42" spans="1:10" ht="12.75" customHeight="1" x14ac:dyDescent="0.2">
      <c r="A42" s="24"/>
      <c r="B42" s="22" t="s">
        <v>544</v>
      </c>
      <c r="C42" s="25" t="s">
        <v>44</v>
      </c>
      <c r="D42" s="25">
        <v>10</v>
      </c>
      <c r="E42" s="25" t="s">
        <v>50</v>
      </c>
      <c r="F42" s="25">
        <v>4</v>
      </c>
      <c r="G42" s="25">
        <v>394</v>
      </c>
      <c r="H42" s="25">
        <v>3</v>
      </c>
      <c r="I42" s="25">
        <v>46</v>
      </c>
      <c r="J42" s="25" t="s">
        <v>44</v>
      </c>
    </row>
    <row r="43" spans="1:10" ht="12.75" customHeight="1" x14ac:dyDescent="0.2">
      <c r="A43" s="24"/>
      <c r="B43" s="24" t="s">
        <v>45</v>
      </c>
      <c r="C43" s="25" t="s">
        <v>44</v>
      </c>
      <c r="D43" s="25">
        <v>10</v>
      </c>
      <c r="E43" s="25" t="s">
        <v>50</v>
      </c>
      <c r="F43" s="25">
        <v>1</v>
      </c>
      <c r="G43" s="25">
        <v>135</v>
      </c>
      <c r="H43" s="74">
        <f>H42-H44</f>
        <v>2</v>
      </c>
      <c r="I43" s="25">
        <v>6</v>
      </c>
      <c r="J43" s="25" t="s">
        <v>44</v>
      </c>
    </row>
    <row r="44" spans="1:10" ht="12.75" customHeight="1" x14ac:dyDescent="0.2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4</v>
      </c>
      <c r="G44" s="25">
        <v>258</v>
      </c>
      <c r="H44" s="25">
        <v>1</v>
      </c>
      <c r="I44" s="25">
        <v>40</v>
      </c>
      <c r="J44" s="25" t="s">
        <v>44</v>
      </c>
    </row>
    <row r="45" spans="1:10" ht="12.75" customHeight="1" x14ac:dyDescent="0.2">
      <c r="A45" s="24"/>
      <c r="B45" s="22" t="s">
        <v>545</v>
      </c>
      <c r="C45" s="25" t="s">
        <v>44</v>
      </c>
      <c r="D45" s="25">
        <v>207</v>
      </c>
      <c r="E45" s="25" t="s">
        <v>50</v>
      </c>
      <c r="F45" s="25" t="s">
        <v>60</v>
      </c>
      <c r="G45" s="25">
        <v>223</v>
      </c>
      <c r="H45" s="25">
        <v>3</v>
      </c>
      <c r="I45" s="25">
        <v>7</v>
      </c>
      <c r="J45" s="25" t="s">
        <v>44</v>
      </c>
    </row>
    <row r="46" spans="1:10" ht="12.75" customHeight="1" x14ac:dyDescent="0.2">
      <c r="A46" s="24"/>
      <c r="B46" s="24" t="s">
        <v>48</v>
      </c>
      <c r="C46" s="25" t="s">
        <v>44</v>
      </c>
      <c r="D46" s="25">
        <v>12</v>
      </c>
      <c r="E46" s="25" t="s">
        <v>50</v>
      </c>
      <c r="F46" s="25" t="s">
        <v>50</v>
      </c>
      <c r="G46" s="25">
        <v>172</v>
      </c>
      <c r="H46" s="74">
        <f>H45</f>
        <v>3</v>
      </c>
      <c r="I46" s="25">
        <v>6</v>
      </c>
      <c r="J46" s="25" t="s">
        <v>44</v>
      </c>
    </row>
    <row r="47" spans="1:10" ht="12.75" customHeight="1" x14ac:dyDescent="0.2">
      <c r="A47" s="24"/>
      <c r="B47" s="24" t="s">
        <v>49</v>
      </c>
      <c r="C47" s="25" t="s">
        <v>44</v>
      </c>
      <c r="D47" s="25">
        <v>73</v>
      </c>
      <c r="E47" s="25" t="s">
        <v>50</v>
      </c>
      <c r="F47" s="25" t="s">
        <v>60</v>
      </c>
      <c r="G47" s="25">
        <v>14</v>
      </c>
      <c r="H47" s="25" t="s">
        <v>50</v>
      </c>
      <c r="I47" s="25">
        <v>0</v>
      </c>
      <c r="J47" s="25" t="s">
        <v>44</v>
      </c>
    </row>
    <row r="48" spans="1:10" ht="12.75" customHeight="1" x14ac:dyDescent="0.2">
      <c r="A48" s="24"/>
      <c r="B48" s="24" t="s">
        <v>51</v>
      </c>
      <c r="C48" s="25" t="s">
        <v>44</v>
      </c>
      <c r="D48" s="25">
        <v>117</v>
      </c>
      <c r="E48" s="25" t="s">
        <v>50</v>
      </c>
      <c r="F48" s="25" t="s">
        <v>60</v>
      </c>
      <c r="G48" s="25">
        <v>22</v>
      </c>
      <c r="H48" s="25" t="s">
        <v>50</v>
      </c>
      <c r="I48" s="25">
        <v>1</v>
      </c>
      <c r="J48" s="25" t="s">
        <v>44</v>
      </c>
    </row>
    <row r="49" spans="1:10" ht="12.75" customHeight="1" x14ac:dyDescent="0.2">
      <c r="A49" s="24"/>
      <c r="B49" s="24" t="s">
        <v>52</v>
      </c>
      <c r="C49" s="25" t="s">
        <v>44</v>
      </c>
      <c r="D49" s="25">
        <v>1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2">
      <c r="A50" s="24"/>
      <c r="B50" s="24" t="s">
        <v>53</v>
      </c>
      <c r="C50" s="25" t="s">
        <v>44</v>
      </c>
      <c r="D50" s="25">
        <v>5</v>
      </c>
      <c r="E50" s="25">
        <v>0</v>
      </c>
      <c r="F50" s="25" t="s">
        <v>50</v>
      </c>
      <c r="G50" s="25">
        <v>15</v>
      </c>
      <c r="H50" s="25" t="s">
        <v>50</v>
      </c>
      <c r="I50" s="25">
        <v>0</v>
      </c>
      <c r="J50" s="25" t="s">
        <v>44</v>
      </c>
    </row>
    <row r="51" spans="1:10" ht="12.75" customHeight="1" x14ac:dyDescent="0.2">
      <c r="A51" s="24"/>
      <c r="B51" s="22" t="s">
        <v>546</v>
      </c>
      <c r="C51" s="25" t="s">
        <v>44</v>
      </c>
      <c r="D51" s="25">
        <v>49</v>
      </c>
      <c r="E51" s="25" t="s">
        <v>50</v>
      </c>
      <c r="F51" s="25">
        <v>7</v>
      </c>
      <c r="G51" s="25">
        <v>74</v>
      </c>
      <c r="H51" s="25">
        <v>1</v>
      </c>
      <c r="I51" s="25">
        <v>0</v>
      </c>
      <c r="J51" s="25" t="s">
        <v>44</v>
      </c>
    </row>
    <row r="52" spans="1:10" ht="12.75" customHeight="1" x14ac:dyDescent="0.2">
      <c r="A52" s="24"/>
      <c r="B52" s="24" t="s">
        <v>547</v>
      </c>
      <c r="C52" s="25" t="s">
        <v>44</v>
      </c>
      <c r="D52" s="25">
        <v>23</v>
      </c>
      <c r="E52" s="25" t="s">
        <v>50</v>
      </c>
      <c r="F52" s="25" t="s">
        <v>50</v>
      </c>
      <c r="G52" s="25">
        <v>51</v>
      </c>
      <c r="H52" s="25" t="s">
        <v>50</v>
      </c>
      <c r="I52" s="25">
        <v>0</v>
      </c>
      <c r="J52" s="25" t="s">
        <v>44</v>
      </c>
    </row>
    <row r="53" spans="1:10" ht="12.75" customHeight="1" x14ac:dyDescent="0.2">
      <c r="A53" s="24"/>
      <c r="B53" s="24" t="s">
        <v>54</v>
      </c>
      <c r="C53" s="25" t="s">
        <v>44</v>
      </c>
      <c r="D53" s="25">
        <v>16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2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19</v>
      </c>
      <c r="H54" s="25" t="s">
        <v>50</v>
      </c>
      <c r="I54" s="25">
        <v>0</v>
      </c>
      <c r="J54" s="25" t="s">
        <v>44</v>
      </c>
    </row>
    <row r="55" spans="1:10" ht="12.75" customHeight="1" x14ac:dyDescent="0.2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4</v>
      </c>
      <c r="G55" s="25">
        <v>1</v>
      </c>
      <c r="H55" s="25">
        <v>1</v>
      </c>
      <c r="I55" s="25" t="s">
        <v>44</v>
      </c>
      <c r="J55" s="25" t="s">
        <v>44</v>
      </c>
    </row>
    <row r="56" spans="1:10" ht="12.75" customHeight="1" x14ac:dyDescent="0.2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1</v>
      </c>
      <c r="G56" s="25">
        <v>1</v>
      </c>
      <c r="H56" s="25" t="s">
        <v>50</v>
      </c>
      <c r="I56" s="25">
        <v>0</v>
      </c>
      <c r="J56" s="25" t="s">
        <v>44</v>
      </c>
    </row>
    <row r="57" spans="1:10" ht="12.75" customHeight="1" x14ac:dyDescent="0.2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2</v>
      </c>
      <c r="G57" s="25">
        <v>2</v>
      </c>
      <c r="H57" s="25" t="s">
        <v>50</v>
      </c>
      <c r="I57" s="25">
        <v>0</v>
      </c>
      <c r="J57" s="25" t="s">
        <v>44</v>
      </c>
    </row>
    <row r="58" spans="1:10" ht="12.75" customHeight="1" x14ac:dyDescent="0.2">
      <c r="A58" s="24"/>
      <c r="B58" s="22" t="s">
        <v>548</v>
      </c>
      <c r="C58" s="25">
        <v>203</v>
      </c>
      <c r="D58" s="25">
        <v>5</v>
      </c>
      <c r="E58" s="25">
        <v>0</v>
      </c>
      <c r="F58" s="25" t="s">
        <v>60</v>
      </c>
      <c r="G58" s="25">
        <v>14</v>
      </c>
      <c r="H58" s="25" t="s">
        <v>50</v>
      </c>
      <c r="I58" s="25">
        <v>40</v>
      </c>
      <c r="J58" s="25">
        <v>144</v>
      </c>
    </row>
    <row r="59" spans="1:10" ht="12.75" customHeight="1" x14ac:dyDescent="0.2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2">
      <c r="A60" s="22" t="s">
        <v>61</v>
      </c>
      <c r="B60" s="22" t="s">
        <v>549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2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2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2">
      <c r="A63" s="24"/>
      <c r="B63" s="22" t="s">
        <v>543</v>
      </c>
      <c r="C63" s="25">
        <v>338</v>
      </c>
      <c r="D63" s="25">
        <v>60</v>
      </c>
      <c r="E63" s="25" t="s">
        <v>50</v>
      </c>
      <c r="F63" s="25">
        <v>1</v>
      </c>
      <c r="G63" s="25">
        <v>170</v>
      </c>
      <c r="H63" s="25" t="s">
        <v>50</v>
      </c>
      <c r="I63" s="25">
        <v>67</v>
      </c>
      <c r="J63" s="25">
        <v>40</v>
      </c>
    </row>
    <row r="64" spans="1:10" ht="12.75" customHeight="1" x14ac:dyDescent="0.2">
      <c r="A64" s="24"/>
      <c r="B64" s="22" t="s">
        <v>544</v>
      </c>
      <c r="C64" s="25" t="s">
        <v>44</v>
      </c>
      <c r="D64" s="25">
        <v>2</v>
      </c>
      <c r="E64" s="25" t="s">
        <v>50</v>
      </c>
      <c r="F64" s="25" t="s">
        <v>50</v>
      </c>
      <c r="G64" s="25">
        <v>122</v>
      </c>
      <c r="H64" s="25" t="s">
        <v>50</v>
      </c>
      <c r="I64" s="25">
        <v>26</v>
      </c>
      <c r="J64" s="25" t="s">
        <v>44</v>
      </c>
    </row>
    <row r="65" spans="1:10" ht="12.75" customHeight="1" x14ac:dyDescent="0.2">
      <c r="A65" s="24"/>
      <c r="B65" s="24" t="s">
        <v>45</v>
      </c>
      <c r="C65" s="25" t="s">
        <v>44</v>
      </c>
      <c r="D65" s="25">
        <v>2</v>
      </c>
      <c r="E65" s="25" t="s">
        <v>50</v>
      </c>
      <c r="F65" s="25" t="s">
        <v>50</v>
      </c>
      <c r="G65" s="25">
        <v>62</v>
      </c>
      <c r="H65" s="25">
        <v>0</v>
      </c>
      <c r="I65" s="25">
        <v>3</v>
      </c>
      <c r="J65" s="25" t="s">
        <v>44</v>
      </c>
    </row>
    <row r="66" spans="1:10" ht="12.75" customHeight="1" x14ac:dyDescent="0.2">
      <c r="A66" s="24"/>
      <c r="B66" s="24" t="s">
        <v>46</v>
      </c>
      <c r="C66" s="25" t="s">
        <v>44</v>
      </c>
      <c r="D66" s="25">
        <v>0</v>
      </c>
      <c r="E66" s="25">
        <v>0</v>
      </c>
      <c r="F66" s="25">
        <v>0</v>
      </c>
      <c r="G66" s="25">
        <v>59</v>
      </c>
      <c r="H66" s="25" t="s">
        <v>50</v>
      </c>
      <c r="I66" s="25">
        <v>24</v>
      </c>
      <c r="J66" s="25" t="s">
        <v>44</v>
      </c>
    </row>
    <row r="67" spans="1:10" ht="12.75" customHeight="1" x14ac:dyDescent="0.2">
      <c r="A67" s="24"/>
      <c r="B67" s="22" t="s">
        <v>545</v>
      </c>
      <c r="C67" s="25" t="s">
        <v>44</v>
      </c>
      <c r="D67" s="25">
        <v>53</v>
      </c>
      <c r="E67" s="25" t="s">
        <v>50</v>
      </c>
      <c r="F67" s="25" t="s">
        <v>50</v>
      </c>
      <c r="G67" s="25">
        <v>43</v>
      </c>
      <c r="H67" s="25" t="s">
        <v>50</v>
      </c>
      <c r="I67" s="25">
        <v>0</v>
      </c>
      <c r="J67" s="25" t="s">
        <v>44</v>
      </c>
    </row>
    <row r="68" spans="1:10" ht="12.75" customHeight="1" x14ac:dyDescent="0.2">
      <c r="A68" s="24"/>
      <c r="B68" s="24" t="s">
        <v>48</v>
      </c>
      <c r="C68" s="25" t="s">
        <v>44</v>
      </c>
      <c r="D68" s="25">
        <v>3</v>
      </c>
      <c r="E68" s="25" t="s">
        <v>50</v>
      </c>
      <c r="F68" s="25" t="s">
        <v>50</v>
      </c>
      <c r="G68" s="25">
        <v>41</v>
      </c>
      <c r="H68" s="25" t="s">
        <v>50</v>
      </c>
      <c r="I68" s="25">
        <v>0</v>
      </c>
      <c r="J68" s="25" t="s">
        <v>44</v>
      </c>
    </row>
    <row r="69" spans="1:10" ht="12.75" customHeight="1" x14ac:dyDescent="0.2">
      <c r="A69" s="24"/>
      <c r="B69" s="24" t="s">
        <v>49</v>
      </c>
      <c r="C69" s="25" t="s">
        <v>44</v>
      </c>
      <c r="D69" s="25">
        <v>6</v>
      </c>
      <c r="E69" s="25">
        <v>0</v>
      </c>
      <c r="F69" s="25">
        <v>0</v>
      </c>
      <c r="G69" s="25" t="s">
        <v>50</v>
      </c>
      <c r="H69" s="25">
        <v>0</v>
      </c>
      <c r="I69" s="25">
        <v>0</v>
      </c>
      <c r="J69" s="25" t="s">
        <v>44</v>
      </c>
    </row>
    <row r="70" spans="1:10" ht="12.75" customHeight="1" x14ac:dyDescent="0.2">
      <c r="A70" s="24"/>
      <c r="B70" s="24" t="s">
        <v>51</v>
      </c>
      <c r="C70" s="25" t="s">
        <v>44</v>
      </c>
      <c r="D70" s="25">
        <v>42</v>
      </c>
      <c r="E70" s="25">
        <v>0</v>
      </c>
      <c r="F70" s="25" t="s">
        <v>50</v>
      </c>
      <c r="G70" s="25">
        <v>2</v>
      </c>
      <c r="H70" s="25" t="s">
        <v>50</v>
      </c>
      <c r="I70" s="25">
        <v>0</v>
      </c>
      <c r="J70" s="25" t="s">
        <v>44</v>
      </c>
    </row>
    <row r="71" spans="1:10" ht="12.75" customHeight="1" x14ac:dyDescent="0.2">
      <c r="A71" s="24"/>
      <c r="B71" s="24" t="s">
        <v>52</v>
      </c>
      <c r="C71" s="25" t="s">
        <v>44</v>
      </c>
      <c r="D71" s="25">
        <v>1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2">
      <c r="A72" s="24"/>
      <c r="B72" s="24" t="s">
        <v>53</v>
      </c>
      <c r="C72" s="25" t="s">
        <v>44</v>
      </c>
      <c r="D72" s="25">
        <v>1</v>
      </c>
      <c r="E72" s="25">
        <v>0</v>
      </c>
      <c r="F72" s="25">
        <v>0</v>
      </c>
      <c r="G72" s="25">
        <v>1</v>
      </c>
      <c r="H72" s="25" t="s">
        <v>50</v>
      </c>
      <c r="I72" s="25">
        <v>0</v>
      </c>
      <c r="J72" s="25" t="s">
        <v>44</v>
      </c>
    </row>
    <row r="73" spans="1:10" ht="12.75" customHeight="1" x14ac:dyDescent="0.2">
      <c r="A73" s="24"/>
      <c r="B73" s="22" t="s">
        <v>546</v>
      </c>
      <c r="C73" s="25" t="s">
        <v>44</v>
      </c>
      <c r="D73" s="25">
        <v>6</v>
      </c>
      <c r="E73" s="25" t="s">
        <v>50</v>
      </c>
      <c r="F73" s="25" t="s">
        <v>50</v>
      </c>
      <c r="G73" s="25">
        <v>4</v>
      </c>
      <c r="H73" s="25" t="s">
        <v>50</v>
      </c>
      <c r="I73" s="25">
        <v>0</v>
      </c>
      <c r="J73" s="25" t="s">
        <v>44</v>
      </c>
    </row>
    <row r="74" spans="1:10" ht="12.75" customHeight="1" x14ac:dyDescent="0.2">
      <c r="A74" s="24"/>
      <c r="B74" s="24" t="s">
        <v>547</v>
      </c>
      <c r="C74" s="25" t="s">
        <v>44</v>
      </c>
      <c r="D74" s="25">
        <v>3</v>
      </c>
      <c r="E74" s="25" t="s">
        <v>50</v>
      </c>
      <c r="F74" s="25" t="s">
        <v>50</v>
      </c>
      <c r="G74" s="25">
        <v>3</v>
      </c>
      <c r="H74" s="25" t="s">
        <v>50</v>
      </c>
      <c r="I74" s="25">
        <v>0</v>
      </c>
      <c r="J74" s="25" t="s">
        <v>44</v>
      </c>
    </row>
    <row r="75" spans="1:10" ht="12.75" customHeight="1" x14ac:dyDescent="0.2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2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>
        <v>1</v>
      </c>
      <c r="H76" s="25" t="s">
        <v>50</v>
      </c>
      <c r="I76" s="25">
        <v>0</v>
      </c>
      <c r="J76" s="25" t="s">
        <v>44</v>
      </c>
    </row>
    <row r="77" spans="1:10" ht="12.75" customHeight="1" x14ac:dyDescent="0.2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2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2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>
        <v>0</v>
      </c>
      <c r="H79" s="25" t="s">
        <v>50</v>
      </c>
      <c r="I79" s="25">
        <v>0</v>
      </c>
      <c r="J79" s="25" t="s">
        <v>44</v>
      </c>
    </row>
    <row r="80" spans="1:10" ht="12.75" customHeight="1" x14ac:dyDescent="0.2">
      <c r="A80" s="24"/>
      <c r="B80" s="22" t="s">
        <v>548</v>
      </c>
      <c r="C80" s="25">
        <v>81</v>
      </c>
      <c r="D80" s="25" t="s">
        <v>50</v>
      </c>
      <c r="E80" s="25">
        <v>0</v>
      </c>
      <c r="F80" s="25">
        <v>0</v>
      </c>
      <c r="G80" s="25">
        <v>1</v>
      </c>
      <c r="H80" s="25" t="s">
        <v>50</v>
      </c>
      <c r="I80" s="25">
        <v>40</v>
      </c>
      <c r="J80" s="25">
        <v>40</v>
      </c>
    </row>
    <row r="81" spans="1:10" ht="12.75" customHeight="1" x14ac:dyDescent="0.2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2">
      <c r="A82" s="22" t="s">
        <v>62</v>
      </c>
      <c r="B82" s="22" t="s">
        <v>550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2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2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2">
      <c r="A85" s="24"/>
      <c r="B85" s="22" t="s">
        <v>543</v>
      </c>
      <c r="C85" s="25">
        <v>169</v>
      </c>
      <c r="D85" s="25">
        <v>27</v>
      </c>
      <c r="E85" s="25">
        <v>0</v>
      </c>
      <c r="F85" s="25" t="s">
        <v>50</v>
      </c>
      <c r="G85" s="25">
        <v>69</v>
      </c>
      <c r="H85" s="25" t="s">
        <v>50</v>
      </c>
      <c r="I85" s="25">
        <v>40</v>
      </c>
      <c r="J85" s="25">
        <v>32</v>
      </c>
    </row>
    <row r="86" spans="1:10" ht="12.75" customHeight="1" x14ac:dyDescent="0.2">
      <c r="A86" s="24"/>
      <c r="B86" s="22" t="s">
        <v>544</v>
      </c>
      <c r="C86" s="25" t="s">
        <v>44</v>
      </c>
      <c r="D86" s="25">
        <v>1</v>
      </c>
      <c r="E86" s="25">
        <v>0</v>
      </c>
      <c r="F86" s="25">
        <v>0</v>
      </c>
      <c r="G86" s="25">
        <v>49</v>
      </c>
      <c r="H86" s="25">
        <v>0</v>
      </c>
      <c r="I86" s="25" t="s">
        <v>50</v>
      </c>
      <c r="J86" s="25" t="s">
        <v>44</v>
      </c>
    </row>
    <row r="87" spans="1:10" ht="12.75" customHeight="1" x14ac:dyDescent="0.2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16</v>
      </c>
      <c r="H87" s="25">
        <v>0</v>
      </c>
      <c r="I87" s="25">
        <v>0</v>
      </c>
      <c r="J87" s="25" t="s">
        <v>44</v>
      </c>
    </row>
    <row r="88" spans="1:10" ht="12.75" customHeight="1" x14ac:dyDescent="0.2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33</v>
      </c>
      <c r="H88" s="25">
        <v>0</v>
      </c>
      <c r="I88" s="25" t="s">
        <v>50</v>
      </c>
      <c r="J88" s="25" t="s">
        <v>44</v>
      </c>
    </row>
    <row r="89" spans="1:10" ht="12.75" customHeight="1" x14ac:dyDescent="0.2">
      <c r="A89" s="24"/>
      <c r="B89" s="22" t="s">
        <v>545</v>
      </c>
      <c r="C89" s="25" t="s">
        <v>44</v>
      </c>
      <c r="D89" s="25">
        <v>25</v>
      </c>
      <c r="E89" s="25">
        <v>0</v>
      </c>
      <c r="F89" s="25" t="s">
        <v>50</v>
      </c>
      <c r="G89" s="25">
        <v>20</v>
      </c>
      <c r="H89" s="25" t="s">
        <v>50</v>
      </c>
      <c r="I89" s="25">
        <v>0</v>
      </c>
      <c r="J89" s="25" t="s">
        <v>44</v>
      </c>
    </row>
    <row r="90" spans="1:10" ht="12.75" customHeight="1" x14ac:dyDescent="0.2">
      <c r="A90" s="24"/>
      <c r="B90" s="24" t="s">
        <v>48</v>
      </c>
      <c r="C90" s="25" t="s">
        <v>44</v>
      </c>
      <c r="D90" s="25">
        <v>1</v>
      </c>
      <c r="E90" s="25">
        <v>0</v>
      </c>
      <c r="F90" s="25" t="s">
        <v>50</v>
      </c>
      <c r="G90" s="25">
        <v>20</v>
      </c>
      <c r="H90" s="25" t="s">
        <v>50</v>
      </c>
      <c r="I90" s="25">
        <v>0</v>
      </c>
      <c r="J90" s="25" t="s">
        <v>44</v>
      </c>
    </row>
    <row r="91" spans="1:10" ht="12.75" customHeight="1" x14ac:dyDescent="0.2">
      <c r="A91" s="24"/>
      <c r="B91" s="24" t="s">
        <v>49</v>
      </c>
      <c r="C91" s="25" t="s">
        <v>44</v>
      </c>
      <c r="D91" s="25">
        <v>5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2">
      <c r="A92" s="24"/>
      <c r="B92" s="24" t="s">
        <v>51</v>
      </c>
      <c r="C92" s="25" t="s">
        <v>44</v>
      </c>
      <c r="D92" s="25">
        <v>19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2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2">
      <c r="A94" s="24"/>
      <c r="B94" s="24" t="s">
        <v>53</v>
      </c>
      <c r="C94" s="25" t="s">
        <v>44</v>
      </c>
      <c r="D94" s="25">
        <v>0</v>
      </c>
      <c r="E94" s="25">
        <v>0</v>
      </c>
      <c r="F94" s="25">
        <v>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2">
      <c r="A95" s="24"/>
      <c r="B95" s="22" t="s">
        <v>546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2">
      <c r="A96" s="24"/>
      <c r="B96" s="24" t="s">
        <v>547</v>
      </c>
      <c r="C96" s="25" t="s">
        <v>44</v>
      </c>
      <c r="D96" s="25">
        <v>1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2">
      <c r="A97" s="24"/>
      <c r="B97" s="24" t="s">
        <v>54</v>
      </c>
      <c r="C97" s="25" t="s">
        <v>44</v>
      </c>
      <c r="D97" s="25">
        <v>1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2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2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2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>
        <v>0</v>
      </c>
      <c r="H100" s="25">
        <v>0</v>
      </c>
      <c r="I100" s="25">
        <v>0</v>
      </c>
      <c r="J100" s="25" t="s">
        <v>44</v>
      </c>
    </row>
    <row r="101" spans="1:10" ht="12.75" customHeight="1" x14ac:dyDescent="0.2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2">
      <c r="A102" s="24"/>
      <c r="B102" s="22" t="s">
        <v>548</v>
      </c>
      <c r="C102" s="25">
        <v>72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40</v>
      </c>
      <c r="J102" s="25">
        <v>32</v>
      </c>
    </row>
    <row r="103" spans="1:10" ht="12.75" customHeight="1" x14ac:dyDescent="0.2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2">
      <c r="A104" s="22" t="s">
        <v>63</v>
      </c>
      <c r="B104" s="22" t="s">
        <v>551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2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2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2">
      <c r="A107" s="24"/>
      <c r="B107" s="22" t="s">
        <v>543</v>
      </c>
      <c r="C107" s="25">
        <v>167</v>
      </c>
      <c r="D107" s="25">
        <v>5</v>
      </c>
      <c r="E107" s="25" t="s">
        <v>50</v>
      </c>
      <c r="F107" s="25" t="s">
        <v>50</v>
      </c>
      <c r="G107" s="25">
        <v>39</v>
      </c>
      <c r="H107" s="25" t="s">
        <v>50</v>
      </c>
      <c r="I107" s="25">
        <v>26</v>
      </c>
      <c r="J107" s="25">
        <v>96</v>
      </c>
    </row>
    <row r="108" spans="1:10" ht="12.75" customHeight="1" x14ac:dyDescent="0.2">
      <c r="A108" s="24"/>
      <c r="B108" s="22" t="s">
        <v>544</v>
      </c>
      <c r="C108" s="25" t="s">
        <v>44</v>
      </c>
      <c r="D108" s="25" t="s">
        <v>50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19</v>
      </c>
      <c r="J108" s="25" t="s">
        <v>44</v>
      </c>
    </row>
    <row r="109" spans="1:10" ht="12.75" customHeight="1" x14ac:dyDescent="0.2">
      <c r="A109" s="24"/>
      <c r="B109" s="24" t="s">
        <v>45</v>
      </c>
      <c r="C109" s="25" t="s">
        <v>44</v>
      </c>
      <c r="D109" s="25" t="s">
        <v>50</v>
      </c>
      <c r="E109" s="25" t="s">
        <v>50</v>
      </c>
      <c r="F109" s="25">
        <v>0</v>
      </c>
      <c r="G109" s="25">
        <v>4</v>
      </c>
      <c r="H109" s="25">
        <v>0</v>
      </c>
      <c r="I109" s="25">
        <v>3</v>
      </c>
      <c r="J109" s="25" t="s">
        <v>44</v>
      </c>
    </row>
    <row r="110" spans="1:10" ht="12.75" customHeight="1" x14ac:dyDescent="0.2">
      <c r="A110" s="24"/>
      <c r="B110" s="24" t="s">
        <v>46</v>
      </c>
      <c r="C110" s="25" t="s">
        <v>44</v>
      </c>
      <c r="D110" s="25">
        <v>0</v>
      </c>
      <c r="E110" s="25">
        <v>0</v>
      </c>
      <c r="F110" s="25" t="s">
        <v>50</v>
      </c>
      <c r="G110" s="25">
        <v>21</v>
      </c>
      <c r="H110" s="25">
        <v>0</v>
      </c>
      <c r="I110" s="25">
        <v>16</v>
      </c>
      <c r="J110" s="25" t="s">
        <v>44</v>
      </c>
    </row>
    <row r="111" spans="1:10" ht="12.75" customHeight="1" x14ac:dyDescent="0.2">
      <c r="A111" s="24"/>
      <c r="B111" s="22" t="s">
        <v>545</v>
      </c>
      <c r="C111" s="25" t="s">
        <v>44</v>
      </c>
      <c r="D111" s="25">
        <v>4</v>
      </c>
      <c r="E111" s="25">
        <v>0</v>
      </c>
      <c r="F111" s="25" t="s">
        <v>50</v>
      </c>
      <c r="G111" s="25">
        <v>14</v>
      </c>
      <c r="H111" s="25" t="s">
        <v>50</v>
      </c>
      <c r="I111" s="25">
        <v>7</v>
      </c>
      <c r="J111" s="25" t="s">
        <v>44</v>
      </c>
    </row>
    <row r="112" spans="1:10" ht="12.75" customHeight="1" x14ac:dyDescent="0.2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12</v>
      </c>
      <c r="H112" s="25">
        <v>0</v>
      </c>
      <c r="I112" s="25">
        <v>6</v>
      </c>
      <c r="J112" s="25" t="s">
        <v>44</v>
      </c>
    </row>
    <row r="113" spans="1:10" ht="12.75" customHeight="1" x14ac:dyDescent="0.2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 t="s">
        <v>44</v>
      </c>
    </row>
    <row r="114" spans="1:10" ht="12.75" customHeight="1" x14ac:dyDescent="0.2">
      <c r="A114" s="24"/>
      <c r="B114" s="24" t="s">
        <v>51</v>
      </c>
      <c r="C114" s="25" t="s">
        <v>44</v>
      </c>
      <c r="D114" s="25">
        <v>4</v>
      </c>
      <c r="E114" s="25">
        <v>0</v>
      </c>
      <c r="F114" s="25" t="s">
        <v>50</v>
      </c>
      <c r="G114" s="25">
        <v>1</v>
      </c>
      <c r="H114" s="25" t="s">
        <v>50</v>
      </c>
      <c r="I114" s="25">
        <v>1</v>
      </c>
      <c r="J114" s="25" t="s">
        <v>44</v>
      </c>
    </row>
    <row r="115" spans="1:10" ht="12.75" customHeight="1" x14ac:dyDescent="0.2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2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>
        <v>0</v>
      </c>
      <c r="H116" s="25">
        <v>0</v>
      </c>
      <c r="I116" s="25">
        <v>0</v>
      </c>
      <c r="J116" s="25" t="s">
        <v>44</v>
      </c>
    </row>
    <row r="117" spans="1:10" ht="12.75" customHeight="1" x14ac:dyDescent="0.2">
      <c r="A117" s="24"/>
      <c r="B117" s="22" t="s">
        <v>546</v>
      </c>
      <c r="C117" s="25" t="s">
        <v>44</v>
      </c>
      <c r="D117" s="25">
        <v>1</v>
      </c>
      <c r="E117" s="25">
        <v>0</v>
      </c>
      <c r="F117" s="25" t="s">
        <v>50</v>
      </c>
      <c r="G117" s="25">
        <v>1</v>
      </c>
      <c r="H117" s="25" t="s">
        <v>50</v>
      </c>
      <c r="I117" s="25">
        <v>0</v>
      </c>
      <c r="J117" s="25" t="s">
        <v>44</v>
      </c>
    </row>
    <row r="118" spans="1:10" ht="12.75" customHeight="1" x14ac:dyDescent="0.2">
      <c r="A118" s="24"/>
      <c r="B118" s="24" t="s">
        <v>547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2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2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>
        <v>0</v>
      </c>
      <c r="G120" s="25" t="s">
        <v>50</v>
      </c>
      <c r="H120" s="25">
        <v>0</v>
      </c>
      <c r="I120" s="25">
        <v>0</v>
      </c>
      <c r="J120" s="25" t="s">
        <v>44</v>
      </c>
    </row>
    <row r="121" spans="1:10" ht="12.75" customHeight="1" x14ac:dyDescent="0.2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2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 t="s">
        <v>50</v>
      </c>
      <c r="H122" s="25" t="s">
        <v>50</v>
      </c>
      <c r="I122" s="25">
        <v>0</v>
      </c>
      <c r="J122" s="25" t="s">
        <v>44</v>
      </c>
    </row>
    <row r="123" spans="1:10" ht="12.75" customHeight="1" x14ac:dyDescent="0.2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>
        <v>0</v>
      </c>
      <c r="G123" s="25">
        <v>0</v>
      </c>
      <c r="H123" s="25" t="s">
        <v>50</v>
      </c>
      <c r="I123" s="25">
        <v>0</v>
      </c>
      <c r="J123" s="25" t="s">
        <v>44</v>
      </c>
    </row>
    <row r="124" spans="1:10" ht="12.75" customHeight="1" x14ac:dyDescent="0.2">
      <c r="A124" s="24"/>
      <c r="B124" s="22" t="s">
        <v>548</v>
      </c>
      <c r="C124" s="25">
        <v>96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96</v>
      </c>
    </row>
    <row r="125" spans="1:10" ht="12.75" customHeight="1" x14ac:dyDescent="0.2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2">
      <c r="A126" s="22" t="s">
        <v>64</v>
      </c>
      <c r="B126" s="22" t="s">
        <v>552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2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2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2">
      <c r="A129" s="24"/>
      <c r="B129" s="22" t="s">
        <v>543</v>
      </c>
      <c r="C129" s="25">
        <v>121</v>
      </c>
      <c r="D129" s="25">
        <v>31</v>
      </c>
      <c r="E129" s="25" t="s">
        <v>50</v>
      </c>
      <c r="F129" s="25" t="s">
        <v>50</v>
      </c>
      <c r="G129" s="25">
        <v>88</v>
      </c>
      <c r="H129" s="25">
        <v>1</v>
      </c>
      <c r="I129" s="25">
        <v>0</v>
      </c>
      <c r="J129" s="25">
        <v>1</v>
      </c>
    </row>
    <row r="130" spans="1:10" ht="12.75" customHeight="1" x14ac:dyDescent="0.2">
      <c r="A130" s="24"/>
      <c r="B130" s="22" t="s">
        <v>544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58</v>
      </c>
      <c r="H130" s="25" t="s">
        <v>50</v>
      </c>
      <c r="I130" s="25">
        <v>0</v>
      </c>
      <c r="J130" s="25" t="s">
        <v>44</v>
      </c>
    </row>
    <row r="131" spans="1:10" ht="12.75" customHeight="1" x14ac:dyDescent="0.2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 t="s">
        <v>50</v>
      </c>
      <c r="G131" s="25">
        <v>17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2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2">
      <c r="A133" s="24"/>
      <c r="B133" s="22" t="s">
        <v>545</v>
      </c>
      <c r="C133" s="25" t="s">
        <v>44</v>
      </c>
      <c r="D133" s="25">
        <v>22</v>
      </c>
      <c r="E133" s="25" t="s">
        <v>50</v>
      </c>
      <c r="F133" s="25" t="s">
        <v>50</v>
      </c>
      <c r="G133" s="25">
        <v>19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2">
      <c r="A134" s="24"/>
      <c r="B134" s="24" t="s">
        <v>48</v>
      </c>
      <c r="C134" s="25" t="s">
        <v>44</v>
      </c>
      <c r="D134" s="25">
        <v>2</v>
      </c>
      <c r="E134" s="25" t="s">
        <v>50</v>
      </c>
      <c r="F134" s="25">
        <v>0</v>
      </c>
      <c r="G134" s="25">
        <v>16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2">
      <c r="A135" s="24"/>
      <c r="B135" s="24" t="s">
        <v>49</v>
      </c>
      <c r="C135" s="25" t="s">
        <v>44</v>
      </c>
      <c r="D135" s="25">
        <v>11</v>
      </c>
      <c r="E135" s="25">
        <v>0</v>
      </c>
      <c r="F135" s="25" t="s">
        <v>50</v>
      </c>
      <c r="G135" s="25" t="s">
        <v>50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2">
      <c r="A136" s="24"/>
      <c r="B136" s="24" t="s">
        <v>51</v>
      </c>
      <c r="C136" s="25" t="s">
        <v>44</v>
      </c>
      <c r="D136" s="25">
        <v>9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2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2">
      <c r="A138" s="24"/>
      <c r="B138" s="24" t="s">
        <v>53</v>
      </c>
      <c r="C138" s="25" t="s">
        <v>44</v>
      </c>
      <c r="D138" s="25" t="s">
        <v>50</v>
      </c>
      <c r="E138" s="25">
        <v>0</v>
      </c>
      <c r="F138" s="25" t="s">
        <v>50</v>
      </c>
      <c r="G138" s="25">
        <v>2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2">
      <c r="A139" s="24"/>
      <c r="B139" s="22" t="s">
        <v>546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11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2">
      <c r="A140" s="24"/>
      <c r="B140" s="24" t="s">
        <v>547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8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2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2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1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2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2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>
        <v>0</v>
      </c>
      <c r="I144" s="25">
        <v>0</v>
      </c>
      <c r="J144" s="25" t="s">
        <v>44</v>
      </c>
    </row>
    <row r="145" spans="1:10" ht="12.75" customHeight="1" x14ac:dyDescent="0.2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>
        <v>1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2">
      <c r="A146" s="24"/>
      <c r="B146" s="22" t="s">
        <v>548</v>
      </c>
      <c r="C146" s="25">
        <v>2</v>
      </c>
      <c r="D146" s="25" t="s">
        <v>50</v>
      </c>
      <c r="E146" s="25">
        <v>0</v>
      </c>
      <c r="F146" s="25" t="s">
        <v>50</v>
      </c>
      <c r="G146" s="25">
        <v>1</v>
      </c>
      <c r="H146" s="25" t="s">
        <v>50</v>
      </c>
      <c r="I146" s="25">
        <v>0</v>
      </c>
      <c r="J146" s="25">
        <v>1</v>
      </c>
    </row>
    <row r="147" spans="1:10" ht="12.75" customHeight="1" x14ac:dyDescent="0.2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2">
      <c r="A148" s="22" t="s">
        <v>65</v>
      </c>
      <c r="B148" s="22" t="s">
        <v>553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2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2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2">
      <c r="A151" s="24"/>
      <c r="B151" s="22" t="s">
        <v>543</v>
      </c>
      <c r="C151" s="25">
        <v>171</v>
      </c>
      <c r="D151" s="25">
        <v>45</v>
      </c>
      <c r="E151" s="25" t="s">
        <v>50</v>
      </c>
      <c r="F151" s="25">
        <v>2</v>
      </c>
      <c r="G151" s="25">
        <v>118</v>
      </c>
      <c r="H151" s="25" t="s">
        <v>60</v>
      </c>
      <c r="I151" s="25">
        <v>0</v>
      </c>
      <c r="J151" s="25" t="s">
        <v>60</v>
      </c>
    </row>
    <row r="152" spans="1:10" ht="12.75" customHeight="1" x14ac:dyDescent="0.2">
      <c r="A152" s="24"/>
      <c r="B152" s="22" t="s">
        <v>544</v>
      </c>
      <c r="C152" s="25" t="s">
        <v>44</v>
      </c>
      <c r="D152" s="25">
        <v>2</v>
      </c>
      <c r="E152" s="25" t="s">
        <v>50</v>
      </c>
      <c r="F152" s="25" t="s">
        <v>50</v>
      </c>
      <c r="G152" s="25">
        <v>77</v>
      </c>
      <c r="H152" s="25" t="s">
        <v>60</v>
      </c>
      <c r="I152" s="25">
        <v>0</v>
      </c>
      <c r="J152" s="25" t="s">
        <v>44</v>
      </c>
    </row>
    <row r="153" spans="1:10" ht="12.75" customHeight="1" x14ac:dyDescent="0.2">
      <c r="A153" s="24"/>
      <c r="B153" s="24" t="s">
        <v>45</v>
      </c>
      <c r="C153" s="25" t="s">
        <v>44</v>
      </c>
      <c r="D153" s="25">
        <v>2</v>
      </c>
      <c r="E153" s="25">
        <v>0</v>
      </c>
      <c r="F153" s="25" t="s">
        <v>50</v>
      </c>
      <c r="G153" s="25">
        <v>24</v>
      </c>
      <c r="H153" s="25" t="s">
        <v>60</v>
      </c>
      <c r="I153" s="25">
        <v>0</v>
      </c>
      <c r="J153" s="25" t="s">
        <v>44</v>
      </c>
    </row>
    <row r="154" spans="1:10" ht="12.75" customHeight="1" x14ac:dyDescent="0.2">
      <c r="A154" s="24"/>
      <c r="B154" s="24" t="s">
        <v>46</v>
      </c>
      <c r="C154" s="25" t="s">
        <v>44</v>
      </c>
      <c r="D154" s="25">
        <v>0</v>
      </c>
      <c r="E154" s="25" t="s">
        <v>50</v>
      </c>
      <c r="F154" s="25" t="s">
        <v>50</v>
      </c>
      <c r="G154" s="25">
        <v>53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2">
      <c r="A155" s="24"/>
      <c r="B155" s="22" t="s">
        <v>545</v>
      </c>
      <c r="C155" s="25" t="s">
        <v>44</v>
      </c>
      <c r="D155" s="25">
        <v>33</v>
      </c>
      <c r="E155" s="25" t="s">
        <v>50</v>
      </c>
      <c r="F155" s="25" t="s">
        <v>50</v>
      </c>
      <c r="G155" s="25">
        <v>31</v>
      </c>
      <c r="H155" s="25" t="s">
        <v>60</v>
      </c>
      <c r="I155" s="25">
        <v>0</v>
      </c>
      <c r="J155" s="25" t="s">
        <v>44</v>
      </c>
    </row>
    <row r="156" spans="1:10" ht="12.75" customHeight="1" x14ac:dyDescent="0.2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20</v>
      </c>
      <c r="H156" s="25" t="s">
        <v>60</v>
      </c>
      <c r="I156" s="25">
        <v>0</v>
      </c>
      <c r="J156" s="25" t="s">
        <v>44</v>
      </c>
    </row>
    <row r="157" spans="1:10" ht="12.75" customHeight="1" x14ac:dyDescent="0.2">
      <c r="A157" s="24"/>
      <c r="B157" s="24" t="s">
        <v>49</v>
      </c>
      <c r="C157" s="25" t="s">
        <v>44</v>
      </c>
      <c r="D157" s="25">
        <v>13</v>
      </c>
      <c r="E157" s="25" t="s">
        <v>50</v>
      </c>
      <c r="F157" s="25" t="s">
        <v>50</v>
      </c>
      <c r="G157" s="25">
        <v>3</v>
      </c>
      <c r="H157" s="25">
        <v>0</v>
      </c>
      <c r="I157" s="25">
        <v>0</v>
      </c>
      <c r="J157" s="25" t="s">
        <v>44</v>
      </c>
    </row>
    <row r="158" spans="1:10" ht="12.75" customHeight="1" x14ac:dyDescent="0.2">
      <c r="A158" s="24"/>
      <c r="B158" s="24" t="s">
        <v>51</v>
      </c>
      <c r="C158" s="25" t="s">
        <v>44</v>
      </c>
      <c r="D158" s="25">
        <v>17</v>
      </c>
      <c r="E158" s="25" t="s">
        <v>50</v>
      </c>
      <c r="F158" s="25" t="s">
        <v>50</v>
      </c>
      <c r="G158" s="25">
        <v>5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2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2">
      <c r="A160" s="24"/>
      <c r="B160" s="24" t="s">
        <v>53</v>
      </c>
      <c r="C160" s="25" t="s">
        <v>44</v>
      </c>
      <c r="D160" s="25">
        <v>1</v>
      </c>
      <c r="E160" s="25">
        <v>0</v>
      </c>
      <c r="F160" s="25" t="s">
        <v>50</v>
      </c>
      <c r="G160" s="25">
        <v>4</v>
      </c>
      <c r="H160" s="25" t="s">
        <v>50</v>
      </c>
      <c r="I160" s="25">
        <v>0</v>
      </c>
      <c r="J160" s="25" t="s">
        <v>44</v>
      </c>
    </row>
    <row r="161" spans="1:10" ht="12.75" customHeight="1" x14ac:dyDescent="0.2">
      <c r="A161" s="24"/>
      <c r="B161" s="22" t="s">
        <v>546</v>
      </c>
      <c r="C161" s="25" t="s">
        <v>44</v>
      </c>
      <c r="D161" s="25">
        <v>9</v>
      </c>
      <c r="E161" s="25" t="s">
        <v>50</v>
      </c>
      <c r="F161" s="25">
        <v>2</v>
      </c>
      <c r="G161" s="25">
        <v>8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2">
      <c r="A162" s="24"/>
      <c r="B162" s="24" t="s">
        <v>547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7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2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2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>
        <v>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2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>
        <v>2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2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2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2">
      <c r="A168" s="24"/>
      <c r="B168" s="22" t="s">
        <v>548</v>
      </c>
      <c r="C168" s="25" t="s">
        <v>60</v>
      </c>
      <c r="D168" s="25">
        <v>1</v>
      </c>
      <c r="E168" s="25">
        <v>0</v>
      </c>
      <c r="F168" s="25">
        <v>0</v>
      </c>
      <c r="G168" s="25" t="s">
        <v>60</v>
      </c>
      <c r="H168" s="25" t="s">
        <v>50</v>
      </c>
      <c r="I168" s="25">
        <v>0</v>
      </c>
      <c r="J168" s="25" t="s">
        <v>60</v>
      </c>
    </row>
    <row r="169" spans="1:10" ht="12.75" customHeight="1" x14ac:dyDescent="0.2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2">
      <c r="A170" s="22" t="s">
        <v>66</v>
      </c>
      <c r="B170" s="22" t="s">
        <v>554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2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2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2">
      <c r="A173" s="24"/>
      <c r="B173" s="22" t="s">
        <v>543</v>
      </c>
      <c r="C173" s="25">
        <v>246</v>
      </c>
      <c r="D173" s="25">
        <v>76</v>
      </c>
      <c r="E173" s="25" t="s">
        <v>50</v>
      </c>
      <c r="F173" s="25">
        <v>3</v>
      </c>
      <c r="G173" s="25">
        <v>163</v>
      </c>
      <c r="H173" s="25">
        <v>2</v>
      </c>
      <c r="I173" s="25">
        <v>0</v>
      </c>
      <c r="J173" s="25">
        <v>2</v>
      </c>
    </row>
    <row r="174" spans="1:10" ht="12.75" customHeight="1" x14ac:dyDescent="0.2">
      <c r="A174" s="24"/>
      <c r="B174" s="22" t="s">
        <v>544</v>
      </c>
      <c r="C174" s="25" t="s">
        <v>44</v>
      </c>
      <c r="D174" s="25">
        <v>3</v>
      </c>
      <c r="E174" s="25" t="s">
        <v>50</v>
      </c>
      <c r="F174" s="25">
        <v>2</v>
      </c>
      <c r="G174" s="25">
        <v>79</v>
      </c>
      <c r="H174" s="25">
        <v>1</v>
      </c>
      <c r="I174" s="25">
        <v>0</v>
      </c>
      <c r="J174" s="25" t="s">
        <v>44</v>
      </c>
    </row>
    <row r="175" spans="1:10" ht="12.75" customHeight="1" x14ac:dyDescent="0.2">
      <c r="A175" s="24"/>
      <c r="B175" s="24" t="s">
        <v>45</v>
      </c>
      <c r="C175" s="25" t="s">
        <v>44</v>
      </c>
      <c r="D175" s="25">
        <v>3</v>
      </c>
      <c r="E175" s="25">
        <v>0</v>
      </c>
      <c r="F175" s="25" t="s">
        <v>50</v>
      </c>
      <c r="G175" s="25">
        <v>21</v>
      </c>
      <c r="H175" s="25">
        <v>1</v>
      </c>
      <c r="I175" s="25">
        <v>0</v>
      </c>
      <c r="J175" s="25" t="s">
        <v>44</v>
      </c>
    </row>
    <row r="176" spans="1:10" ht="12.75" customHeight="1" x14ac:dyDescent="0.2">
      <c r="A176" s="24"/>
      <c r="B176" s="24" t="s">
        <v>46</v>
      </c>
      <c r="C176" s="25" t="s">
        <v>44</v>
      </c>
      <c r="D176" s="25">
        <v>0</v>
      </c>
      <c r="E176" s="25" t="s">
        <v>50</v>
      </c>
      <c r="F176" s="25">
        <v>1</v>
      </c>
      <c r="G176" s="25">
        <v>58</v>
      </c>
      <c r="H176" s="25" t="s">
        <v>50</v>
      </c>
      <c r="I176" s="25">
        <v>0</v>
      </c>
      <c r="J176" s="25" t="s">
        <v>44</v>
      </c>
    </row>
    <row r="177" spans="1:10" ht="12.75" customHeight="1" x14ac:dyDescent="0.2">
      <c r="A177" s="24"/>
      <c r="B177" s="22" t="s">
        <v>545</v>
      </c>
      <c r="C177" s="25" t="s">
        <v>44</v>
      </c>
      <c r="D177" s="25">
        <v>57</v>
      </c>
      <c r="E177" s="25">
        <v>0</v>
      </c>
      <c r="F177" s="25" t="s">
        <v>50</v>
      </c>
      <c r="G177" s="25">
        <v>45</v>
      </c>
      <c r="H177" s="25" t="s">
        <v>50</v>
      </c>
      <c r="I177" s="25">
        <v>0</v>
      </c>
      <c r="J177" s="25" t="s">
        <v>44</v>
      </c>
    </row>
    <row r="178" spans="1:10" ht="12.75" customHeight="1" x14ac:dyDescent="0.2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36</v>
      </c>
      <c r="H178" s="25" t="s">
        <v>50</v>
      </c>
      <c r="I178" s="25">
        <v>0</v>
      </c>
      <c r="J178" s="25" t="s">
        <v>44</v>
      </c>
    </row>
    <row r="179" spans="1:10" ht="12.75" customHeight="1" x14ac:dyDescent="0.2">
      <c r="A179" s="24"/>
      <c r="B179" s="24" t="s">
        <v>49</v>
      </c>
      <c r="C179" s="25" t="s">
        <v>44</v>
      </c>
      <c r="D179" s="25">
        <v>31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0" ht="12.75" customHeight="1" x14ac:dyDescent="0.2">
      <c r="A180" s="24"/>
      <c r="B180" s="24" t="s">
        <v>51</v>
      </c>
      <c r="C180" s="25" t="s">
        <v>44</v>
      </c>
      <c r="D180" s="25">
        <v>24</v>
      </c>
      <c r="E180" s="25">
        <v>0</v>
      </c>
      <c r="F180" s="25" t="s">
        <v>50</v>
      </c>
      <c r="G180" s="25">
        <v>4</v>
      </c>
      <c r="H180" s="25" t="s">
        <v>50</v>
      </c>
      <c r="I180" s="25">
        <v>0</v>
      </c>
      <c r="J180" s="25" t="s">
        <v>44</v>
      </c>
    </row>
    <row r="181" spans="1:10" ht="12.75" customHeight="1" x14ac:dyDescent="0.2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0" ht="12.75" customHeight="1" x14ac:dyDescent="0.2">
      <c r="A182" s="24"/>
      <c r="B182" s="24" t="s">
        <v>53</v>
      </c>
      <c r="C182" s="25" t="s">
        <v>44</v>
      </c>
      <c r="D182" s="25" t="s">
        <v>50</v>
      </c>
      <c r="E182" s="25">
        <v>0</v>
      </c>
      <c r="F182" s="25" t="s">
        <v>50</v>
      </c>
      <c r="G182" s="25">
        <v>2</v>
      </c>
      <c r="H182" s="25" t="s">
        <v>50</v>
      </c>
      <c r="I182" s="25">
        <v>0</v>
      </c>
      <c r="J182" s="25" t="s">
        <v>44</v>
      </c>
    </row>
    <row r="183" spans="1:10" ht="12.75" customHeight="1" x14ac:dyDescent="0.2">
      <c r="A183" s="24"/>
      <c r="B183" s="22" t="s">
        <v>546</v>
      </c>
      <c r="C183" s="25" t="s">
        <v>44</v>
      </c>
      <c r="D183" s="25">
        <v>13</v>
      </c>
      <c r="E183" s="25">
        <v>0</v>
      </c>
      <c r="F183" s="25">
        <v>1</v>
      </c>
      <c r="G183" s="25">
        <v>28</v>
      </c>
      <c r="H183" s="25" t="s">
        <v>50</v>
      </c>
      <c r="I183" s="25">
        <v>0</v>
      </c>
      <c r="J183" s="25" t="s">
        <v>44</v>
      </c>
    </row>
    <row r="184" spans="1:10" ht="12.75" customHeight="1" x14ac:dyDescent="0.2">
      <c r="A184" s="24"/>
      <c r="B184" s="24" t="s">
        <v>547</v>
      </c>
      <c r="C184" s="25" t="s">
        <v>44</v>
      </c>
      <c r="D184" s="25">
        <v>6</v>
      </c>
      <c r="E184" s="25">
        <v>0</v>
      </c>
      <c r="F184" s="25">
        <v>0</v>
      </c>
      <c r="G184" s="25">
        <v>16</v>
      </c>
      <c r="H184" s="25" t="s">
        <v>50</v>
      </c>
      <c r="I184" s="25">
        <v>0</v>
      </c>
      <c r="J184" s="25" t="s">
        <v>44</v>
      </c>
    </row>
    <row r="185" spans="1:10" ht="12.75" customHeight="1" x14ac:dyDescent="0.2">
      <c r="A185" s="24"/>
      <c r="B185" s="24" t="s">
        <v>54</v>
      </c>
      <c r="C185" s="25" t="s">
        <v>44</v>
      </c>
      <c r="D185" s="25">
        <v>4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0" ht="12.75" customHeight="1" x14ac:dyDescent="0.2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11</v>
      </c>
      <c r="H186" s="25" t="s">
        <v>50</v>
      </c>
      <c r="I186" s="25">
        <v>0</v>
      </c>
      <c r="J186" s="25" t="s">
        <v>44</v>
      </c>
    </row>
    <row r="187" spans="1:10" ht="12.75" customHeight="1" x14ac:dyDescent="0.2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0" ht="12.75" customHeight="1" x14ac:dyDescent="0.2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>
        <v>0</v>
      </c>
      <c r="I188" s="25">
        <v>0</v>
      </c>
      <c r="J188" s="25" t="s">
        <v>44</v>
      </c>
    </row>
    <row r="189" spans="1:10" ht="12.75" customHeight="1" x14ac:dyDescent="0.2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0" ht="12.75" customHeight="1" x14ac:dyDescent="0.2">
      <c r="A190" s="24"/>
      <c r="B190" s="22" t="s">
        <v>548</v>
      </c>
      <c r="C190" s="25">
        <v>16</v>
      </c>
      <c r="D190" s="25">
        <v>2</v>
      </c>
      <c r="E190" s="25">
        <v>0</v>
      </c>
      <c r="F190" s="25" t="s">
        <v>50</v>
      </c>
      <c r="G190" s="25">
        <v>11</v>
      </c>
      <c r="H190" s="25" t="s">
        <v>50</v>
      </c>
      <c r="I190" s="25">
        <v>0</v>
      </c>
      <c r="J190" s="25">
        <v>2</v>
      </c>
    </row>
    <row r="191" spans="1:10" ht="12.75" customHeight="1" x14ac:dyDescent="0.2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0" ht="12.75" customHeight="1" x14ac:dyDescent="0.2">
      <c r="A192" s="22" t="s">
        <v>67</v>
      </c>
      <c r="B192" s="22" t="s">
        <v>555</v>
      </c>
      <c r="C192" s="25"/>
      <c r="D192" s="25"/>
      <c r="E192" s="25"/>
      <c r="F192" s="25"/>
      <c r="G192" s="25"/>
      <c r="H192" s="25"/>
      <c r="I192" s="25"/>
      <c r="J192" s="25"/>
    </row>
    <row r="193" spans="1:10" ht="12.75" customHeight="1" x14ac:dyDescent="0.2">
      <c r="A193" s="22"/>
      <c r="B193" s="22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2">
      <c r="A194" s="22"/>
      <c r="B194" s="22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2">
      <c r="A195" s="22"/>
      <c r="B195" s="22" t="s">
        <v>543</v>
      </c>
      <c r="C195" s="25">
        <v>265</v>
      </c>
      <c r="D195" s="25">
        <v>51</v>
      </c>
      <c r="E195" s="25">
        <v>0</v>
      </c>
      <c r="F195" s="25" t="s">
        <v>50</v>
      </c>
      <c r="G195" s="25">
        <v>212</v>
      </c>
      <c r="H195" s="25">
        <v>1</v>
      </c>
      <c r="I195" s="25">
        <v>1</v>
      </c>
      <c r="J195" s="25" t="s">
        <v>50</v>
      </c>
    </row>
    <row r="196" spans="1:10" ht="12.75" customHeight="1" x14ac:dyDescent="0.2">
      <c r="A196" s="22"/>
      <c r="B196" s="22" t="s">
        <v>544</v>
      </c>
      <c r="C196" s="25" t="s">
        <v>44</v>
      </c>
      <c r="D196" s="25">
        <v>1</v>
      </c>
      <c r="E196" s="25">
        <v>0</v>
      </c>
      <c r="F196" s="25" t="s">
        <v>50</v>
      </c>
      <c r="G196" s="74">
        <f>G195-SUM(G199,G205)</f>
        <v>139</v>
      </c>
      <c r="H196" s="25" t="s">
        <v>50</v>
      </c>
      <c r="I196" s="25">
        <v>1</v>
      </c>
      <c r="J196" s="25" t="s">
        <v>44</v>
      </c>
    </row>
    <row r="197" spans="1:10" ht="12.75" customHeight="1" x14ac:dyDescent="0.2">
      <c r="A197" s="24"/>
      <c r="B197" s="24" t="s">
        <v>45</v>
      </c>
      <c r="C197" s="25" t="s">
        <v>44</v>
      </c>
      <c r="D197" s="25">
        <v>1</v>
      </c>
      <c r="E197" s="25">
        <v>0</v>
      </c>
      <c r="F197" s="25" t="s">
        <v>50</v>
      </c>
      <c r="G197" s="25">
        <v>15</v>
      </c>
      <c r="H197" s="25" t="s">
        <v>50</v>
      </c>
      <c r="I197" s="25">
        <v>0</v>
      </c>
      <c r="J197" s="25" t="s">
        <v>44</v>
      </c>
    </row>
    <row r="198" spans="1:10" ht="12.75" customHeight="1" x14ac:dyDescent="0.2">
      <c r="A198" s="24"/>
      <c r="B198" s="24" t="s">
        <v>46</v>
      </c>
      <c r="C198" s="25" t="s">
        <v>44</v>
      </c>
      <c r="D198" s="25">
        <v>0</v>
      </c>
      <c r="E198" s="25">
        <v>0</v>
      </c>
      <c r="F198" s="25" t="s">
        <v>50</v>
      </c>
      <c r="G198" s="74">
        <f>G196-G197</f>
        <v>124</v>
      </c>
      <c r="H198" s="25" t="s">
        <v>50</v>
      </c>
      <c r="I198" s="25">
        <v>1</v>
      </c>
      <c r="J198" s="25" t="s">
        <v>44</v>
      </c>
    </row>
    <row r="199" spans="1:10" ht="12.75" customHeight="1" x14ac:dyDescent="0.2">
      <c r="A199" s="24"/>
      <c r="B199" s="22" t="s">
        <v>545</v>
      </c>
      <c r="C199" s="25" t="s">
        <v>44</v>
      </c>
      <c r="D199" s="25">
        <v>39</v>
      </c>
      <c r="E199" s="25">
        <v>0</v>
      </c>
      <c r="F199" s="25" t="s">
        <v>50</v>
      </c>
      <c r="G199" s="25">
        <v>50</v>
      </c>
      <c r="H199" s="25" t="s">
        <v>50</v>
      </c>
      <c r="I199" s="25">
        <v>0</v>
      </c>
      <c r="J199" s="25" t="s">
        <v>44</v>
      </c>
    </row>
    <row r="200" spans="1:10" ht="12.75" customHeight="1" x14ac:dyDescent="0.2">
      <c r="A200" s="24"/>
      <c r="B200" s="24" t="s">
        <v>48</v>
      </c>
      <c r="C200" s="25" t="s">
        <v>44</v>
      </c>
      <c r="D200" s="25">
        <v>2</v>
      </c>
      <c r="E200" s="25">
        <v>0</v>
      </c>
      <c r="F200" s="25" t="s">
        <v>50</v>
      </c>
      <c r="G200" s="25">
        <v>47</v>
      </c>
      <c r="H200" s="25" t="s">
        <v>50</v>
      </c>
      <c r="I200" s="25">
        <v>0</v>
      </c>
      <c r="J200" s="25" t="s">
        <v>44</v>
      </c>
    </row>
    <row r="201" spans="1:10" ht="12.75" customHeight="1" x14ac:dyDescent="0.2">
      <c r="A201" s="24"/>
      <c r="B201" s="24" t="s">
        <v>49</v>
      </c>
      <c r="C201" s="25" t="s">
        <v>44</v>
      </c>
      <c r="D201" s="25">
        <v>12</v>
      </c>
      <c r="E201" s="25">
        <v>0</v>
      </c>
      <c r="F201" s="25" t="s">
        <v>50</v>
      </c>
      <c r="G201" s="25">
        <v>1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2">
      <c r="A202" s="24"/>
      <c r="B202" s="24" t="s">
        <v>51</v>
      </c>
      <c r="C202" s="25" t="s">
        <v>44</v>
      </c>
      <c r="D202" s="25">
        <v>23</v>
      </c>
      <c r="E202" s="25">
        <v>0</v>
      </c>
      <c r="F202" s="25" t="s">
        <v>50</v>
      </c>
      <c r="G202" s="25">
        <v>2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2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2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 t="s">
        <v>50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2">
      <c r="A205" s="24"/>
      <c r="B205" s="22" t="s">
        <v>546</v>
      </c>
      <c r="C205" s="25" t="s">
        <v>44</v>
      </c>
      <c r="D205" s="25">
        <v>11</v>
      </c>
      <c r="E205" s="25">
        <v>0</v>
      </c>
      <c r="F205" s="25" t="s">
        <v>50</v>
      </c>
      <c r="G205" s="25">
        <v>23</v>
      </c>
      <c r="H205" s="25">
        <v>1</v>
      </c>
      <c r="I205" s="25">
        <v>0</v>
      </c>
      <c r="J205" s="25" t="s">
        <v>44</v>
      </c>
    </row>
    <row r="206" spans="1:10" ht="12.75" customHeight="1" x14ac:dyDescent="0.2">
      <c r="A206" s="24"/>
      <c r="B206" s="24" t="s">
        <v>547</v>
      </c>
      <c r="C206" s="25" t="s">
        <v>44</v>
      </c>
      <c r="D206" s="25">
        <v>5</v>
      </c>
      <c r="E206" s="25">
        <v>0</v>
      </c>
      <c r="F206" s="25" t="s">
        <v>50</v>
      </c>
      <c r="G206" s="25" t="s">
        <v>60</v>
      </c>
      <c r="H206" s="25" t="s">
        <v>50</v>
      </c>
      <c r="I206" s="25">
        <v>0</v>
      </c>
      <c r="J206" s="25" t="s">
        <v>44</v>
      </c>
    </row>
    <row r="207" spans="1:10" ht="12.75" customHeight="1" x14ac:dyDescent="0.2">
      <c r="A207" s="24"/>
      <c r="B207" s="24" t="s">
        <v>54</v>
      </c>
      <c r="C207" s="25" t="s">
        <v>44</v>
      </c>
      <c r="D207" s="25">
        <v>3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2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 t="s">
        <v>50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2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>
        <v>1</v>
      </c>
      <c r="I209" s="25" t="s">
        <v>44</v>
      </c>
      <c r="J209" s="25" t="s">
        <v>44</v>
      </c>
    </row>
    <row r="210" spans="1:10" ht="12.75" customHeight="1" x14ac:dyDescent="0.2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2">
      <c r="A211" s="24"/>
      <c r="B211" s="24" t="s">
        <v>58</v>
      </c>
      <c r="C211" s="25" t="s">
        <v>44</v>
      </c>
      <c r="D211" s="25" t="s">
        <v>50</v>
      </c>
      <c r="E211" s="25">
        <v>0</v>
      </c>
      <c r="F211" s="25" t="s">
        <v>50</v>
      </c>
      <c r="G211" s="25">
        <v>1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2">
      <c r="A212" s="24"/>
      <c r="B212" s="22" t="s">
        <v>548</v>
      </c>
      <c r="C212" s="25">
        <v>1</v>
      </c>
      <c r="D212" s="25" t="s">
        <v>50</v>
      </c>
      <c r="E212" s="25">
        <v>0</v>
      </c>
      <c r="F212" s="25" t="s">
        <v>50</v>
      </c>
      <c r="G212" s="25" t="s">
        <v>50</v>
      </c>
      <c r="H212" s="25" t="s">
        <v>50</v>
      </c>
      <c r="I212" s="25">
        <v>0</v>
      </c>
      <c r="J212" s="25" t="s">
        <v>50</v>
      </c>
    </row>
    <row r="213" spans="1:10" ht="12.75" customHeight="1" x14ac:dyDescent="0.2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2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2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2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2">
      <c r="A217" s="24"/>
      <c r="B217" s="22" t="s">
        <v>543</v>
      </c>
      <c r="C217" s="25">
        <v>258</v>
      </c>
      <c r="D217" s="25">
        <v>48</v>
      </c>
      <c r="E217" s="25">
        <v>0</v>
      </c>
      <c r="F217" s="25" t="s">
        <v>50</v>
      </c>
      <c r="G217" s="25" t="s">
        <v>60</v>
      </c>
      <c r="H217" s="25">
        <v>1</v>
      </c>
      <c r="I217" s="25">
        <v>1</v>
      </c>
      <c r="J217" s="25" t="s">
        <v>50</v>
      </c>
    </row>
    <row r="218" spans="1:10" ht="12.75" customHeight="1" x14ac:dyDescent="0.2">
      <c r="A218" s="24"/>
      <c r="B218" s="22" t="s">
        <v>544</v>
      </c>
      <c r="C218" s="25" t="s">
        <v>44</v>
      </c>
      <c r="D218" s="25">
        <v>1</v>
      </c>
      <c r="E218" s="25">
        <v>0</v>
      </c>
      <c r="F218" s="25" t="s">
        <v>50</v>
      </c>
      <c r="G218" s="25" t="s">
        <v>60</v>
      </c>
      <c r="H218" s="25" t="s">
        <v>50</v>
      </c>
      <c r="I218" s="25">
        <v>1</v>
      </c>
      <c r="J218" s="25" t="s">
        <v>44</v>
      </c>
    </row>
    <row r="219" spans="1:10" ht="12.75" customHeight="1" x14ac:dyDescent="0.2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13</v>
      </c>
      <c r="H219" s="25" t="s">
        <v>50</v>
      </c>
      <c r="I219" s="25">
        <v>0</v>
      </c>
      <c r="J219" s="25" t="s">
        <v>44</v>
      </c>
    </row>
    <row r="220" spans="1:10" ht="12.75" customHeight="1" x14ac:dyDescent="0.2">
      <c r="A220" s="24"/>
      <c r="B220" s="24" t="s">
        <v>46</v>
      </c>
      <c r="C220" s="25" t="s">
        <v>44</v>
      </c>
      <c r="D220" s="25">
        <v>0</v>
      </c>
      <c r="E220" s="25">
        <v>0</v>
      </c>
      <c r="F220" s="25" t="s">
        <v>50</v>
      </c>
      <c r="G220" s="25" t="s">
        <v>60</v>
      </c>
      <c r="H220" s="25" t="s">
        <v>50</v>
      </c>
      <c r="I220" s="25">
        <v>1</v>
      </c>
      <c r="J220" s="25" t="s">
        <v>44</v>
      </c>
    </row>
    <row r="221" spans="1:10" ht="12.75" customHeight="1" x14ac:dyDescent="0.2">
      <c r="A221" s="24"/>
      <c r="B221" s="22" t="s">
        <v>545</v>
      </c>
      <c r="C221" s="25" t="s">
        <v>44</v>
      </c>
      <c r="D221" s="25">
        <v>37</v>
      </c>
      <c r="E221" s="25">
        <v>0</v>
      </c>
      <c r="F221" s="25" t="s">
        <v>50</v>
      </c>
      <c r="G221" s="25">
        <v>50</v>
      </c>
      <c r="H221" s="25" t="s">
        <v>50</v>
      </c>
      <c r="I221" s="25">
        <v>0</v>
      </c>
      <c r="J221" s="25" t="s">
        <v>44</v>
      </c>
    </row>
    <row r="222" spans="1:10" ht="12.75" customHeight="1" x14ac:dyDescent="0.2">
      <c r="A222" s="24"/>
      <c r="B222" s="24" t="s">
        <v>48</v>
      </c>
      <c r="C222" s="25" t="s">
        <v>44</v>
      </c>
      <c r="D222" s="25">
        <v>2</v>
      </c>
      <c r="E222" s="25">
        <v>0</v>
      </c>
      <c r="F222" s="25" t="s">
        <v>50</v>
      </c>
      <c r="G222" s="25">
        <v>47</v>
      </c>
      <c r="H222" s="25" t="s">
        <v>50</v>
      </c>
      <c r="I222" s="25">
        <v>0</v>
      </c>
      <c r="J222" s="25" t="s">
        <v>44</v>
      </c>
    </row>
    <row r="223" spans="1:10" ht="12.75" customHeight="1" x14ac:dyDescent="0.2">
      <c r="A223" s="24"/>
      <c r="B223" s="24" t="s">
        <v>49</v>
      </c>
      <c r="C223" s="25" t="s">
        <v>44</v>
      </c>
      <c r="D223" s="25">
        <v>12</v>
      </c>
      <c r="E223" s="25">
        <v>0</v>
      </c>
      <c r="F223" s="25" t="s">
        <v>50</v>
      </c>
      <c r="G223" s="25">
        <v>1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2">
      <c r="A224" s="24"/>
      <c r="B224" s="24" t="s">
        <v>51</v>
      </c>
      <c r="C224" s="25" t="s">
        <v>44</v>
      </c>
      <c r="D224" s="25">
        <v>22</v>
      </c>
      <c r="E224" s="25">
        <v>0</v>
      </c>
      <c r="F224" s="25" t="s">
        <v>50</v>
      </c>
      <c r="G224" s="25">
        <v>2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2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2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 t="s">
        <v>50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2">
      <c r="A227" s="24"/>
      <c r="B227" s="22" t="s">
        <v>546</v>
      </c>
      <c r="C227" s="25" t="s">
        <v>44</v>
      </c>
      <c r="D227" s="25">
        <v>10</v>
      </c>
      <c r="E227" s="25">
        <v>0</v>
      </c>
      <c r="F227" s="25" t="s">
        <v>50</v>
      </c>
      <c r="G227" s="25">
        <v>23</v>
      </c>
      <c r="H227" s="25">
        <v>1</v>
      </c>
      <c r="I227" s="25">
        <v>0</v>
      </c>
      <c r="J227" s="25" t="s">
        <v>44</v>
      </c>
    </row>
    <row r="228" spans="1:10" ht="12.75" customHeight="1" x14ac:dyDescent="0.2">
      <c r="A228" s="24"/>
      <c r="B228" s="24" t="s">
        <v>547</v>
      </c>
      <c r="C228" s="25" t="s">
        <v>44</v>
      </c>
      <c r="D228" s="25">
        <v>5</v>
      </c>
      <c r="E228" s="25">
        <v>0</v>
      </c>
      <c r="F228" s="25" t="s">
        <v>50</v>
      </c>
      <c r="G228" s="25" t="s">
        <v>60</v>
      </c>
      <c r="H228" s="25" t="s">
        <v>50</v>
      </c>
      <c r="I228" s="25">
        <v>0</v>
      </c>
      <c r="J228" s="25" t="s">
        <v>44</v>
      </c>
    </row>
    <row r="229" spans="1:10" ht="12.75" customHeight="1" x14ac:dyDescent="0.2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2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 t="s">
        <v>50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2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>
        <v>1</v>
      </c>
      <c r="I231" s="25" t="s">
        <v>44</v>
      </c>
      <c r="J231" s="25" t="s">
        <v>44</v>
      </c>
    </row>
    <row r="232" spans="1:10" ht="12.75" customHeight="1" x14ac:dyDescent="0.2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2">
      <c r="A233" s="24"/>
      <c r="B233" s="24" t="s">
        <v>58</v>
      </c>
      <c r="C233" s="25" t="s">
        <v>44</v>
      </c>
      <c r="D233" s="25" t="s">
        <v>50</v>
      </c>
      <c r="E233" s="25">
        <v>0</v>
      </c>
      <c r="F233" s="25" t="s">
        <v>50</v>
      </c>
      <c r="G233" s="25">
        <v>1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2">
      <c r="A234" s="24"/>
      <c r="B234" s="22" t="s">
        <v>548</v>
      </c>
      <c r="C234" s="25">
        <v>1</v>
      </c>
      <c r="D234" s="25" t="s">
        <v>50</v>
      </c>
      <c r="E234" s="25">
        <v>0</v>
      </c>
      <c r="F234" s="25" t="s">
        <v>50</v>
      </c>
      <c r="G234" s="25" t="s">
        <v>50</v>
      </c>
      <c r="H234" s="25" t="s">
        <v>50</v>
      </c>
      <c r="I234" s="25">
        <v>0</v>
      </c>
      <c r="J234" s="25" t="s">
        <v>50</v>
      </c>
    </row>
    <row r="235" spans="1:10" ht="12.75" customHeight="1" x14ac:dyDescent="0.2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2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2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2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2">
      <c r="A239" s="24"/>
      <c r="B239" s="22" t="s">
        <v>543</v>
      </c>
      <c r="C239" s="25">
        <v>7</v>
      </c>
      <c r="D239" s="25">
        <v>2</v>
      </c>
      <c r="E239" s="25">
        <v>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2">
      <c r="A240" s="24"/>
      <c r="B240" s="22" t="s">
        <v>544</v>
      </c>
      <c r="C240" s="25" t="s">
        <v>44</v>
      </c>
      <c r="D240" s="25" t="s">
        <v>50</v>
      </c>
      <c r="E240" s="25">
        <v>0</v>
      </c>
      <c r="F240" s="25" t="s">
        <v>50</v>
      </c>
      <c r="G240" s="25">
        <v>4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2">
      <c r="A241" s="24"/>
      <c r="B241" s="24" t="s">
        <v>45</v>
      </c>
      <c r="C241" s="25" t="s">
        <v>44</v>
      </c>
      <c r="D241" s="25" t="s">
        <v>50</v>
      </c>
      <c r="E241" s="25">
        <v>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2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2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2">
      <c r="A243" s="24"/>
      <c r="B243" s="22" t="s">
        <v>545</v>
      </c>
      <c r="C243" s="25" t="s">
        <v>44</v>
      </c>
      <c r="D243" s="25">
        <v>1</v>
      </c>
      <c r="E243" s="25">
        <v>0</v>
      </c>
      <c r="F243" s="25" t="s">
        <v>50</v>
      </c>
      <c r="G243" s="25" t="s">
        <v>50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2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 t="s">
        <v>50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2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 t="s">
        <v>50</v>
      </c>
      <c r="H245" s="25">
        <v>0</v>
      </c>
      <c r="I245" s="25">
        <v>0</v>
      </c>
      <c r="J245" s="25" t="s">
        <v>44</v>
      </c>
    </row>
    <row r="246" spans="1:10" ht="12.75" customHeight="1" x14ac:dyDescent="0.2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>
        <v>0</v>
      </c>
      <c r="I246" s="25">
        <v>0</v>
      </c>
      <c r="J246" s="25" t="s">
        <v>44</v>
      </c>
    </row>
    <row r="247" spans="1:10" ht="12.75" customHeight="1" x14ac:dyDescent="0.2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2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 t="s">
        <v>50</v>
      </c>
      <c r="G248" s="25">
        <v>0</v>
      </c>
      <c r="H248" s="25" t="s">
        <v>50</v>
      </c>
      <c r="I248" s="25">
        <v>0</v>
      </c>
      <c r="J248" s="25" t="s">
        <v>44</v>
      </c>
    </row>
    <row r="249" spans="1:10" ht="12.75" customHeight="1" x14ac:dyDescent="0.2">
      <c r="A249" s="24"/>
      <c r="B249" s="22" t="s">
        <v>546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2">
      <c r="A250" s="24"/>
      <c r="B250" s="24" t="s">
        <v>547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2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2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 t="s">
        <v>50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2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2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>
        <v>0</v>
      </c>
      <c r="G254" s="25" t="s">
        <v>50</v>
      </c>
      <c r="H254" s="25">
        <v>0</v>
      </c>
      <c r="I254" s="25">
        <v>0</v>
      </c>
      <c r="J254" s="25" t="s">
        <v>44</v>
      </c>
    </row>
    <row r="255" spans="1:10" ht="12.75" customHeight="1" x14ac:dyDescent="0.2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2">
      <c r="A256" s="24"/>
      <c r="B256" s="22" t="s">
        <v>548</v>
      </c>
      <c r="C256" s="25" t="s">
        <v>50</v>
      </c>
      <c r="D256" s="25">
        <v>0</v>
      </c>
      <c r="E256" s="25">
        <v>0</v>
      </c>
      <c r="F256" s="25">
        <v>0</v>
      </c>
      <c r="G256" s="25">
        <v>0</v>
      </c>
      <c r="H256" s="25" t="s">
        <v>50</v>
      </c>
      <c r="I256" s="25">
        <v>0</v>
      </c>
      <c r="J256" s="25" t="s">
        <v>50</v>
      </c>
    </row>
    <row r="257" spans="1:10" ht="12.75" customHeight="1" x14ac:dyDescent="0.2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0" s="12" customFormat="1" ht="12.75" customHeight="1" x14ac:dyDescent="0.2">
      <c r="A258" s="22" t="s">
        <v>72</v>
      </c>
      <c r="B258" s="22" t="s">
        <v>556</v>
      </c>
      <c r="C258" s="27"/>
      <c r="D258" s="27"/>
      <c r="E258" s="27"/>
      <c r="F258" s="27"/>
      <c r="G258" s="27"/>
      <c r="H258" s="27"/>
      <c r="I258" s="27"/>
      <c r="J258" s="27"/>
    </row>
    <row r="259" spans="1:10" ht="12.75" customHeight="1" x14ac:dyDescent="0.2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0" ht="12.75" customHeight="1" x14ac:dyDescent="0.2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0" ht="12.75" customHeight="1" x14ac:dyDescent="0.2">
      <c r="A261" s="24"/>
      <c r="B261" s="22" t="s">
        <v>543</v>
      </c>
      <c r="C261" s="25">
        <v>57</v>
      </c>
      <c r="D261" s="25">
        <v>30</v>
      </c>
      <c r="E261" s="25">
        <v>0</v>
      </c>
      <c r="F261" s="25" t="s">
        <v>50</v>
      </c>
      <c r="G261" s="25">
        <v>24</v>
      </c>
      <c r="H261" s="25" t="s">
        <v>50</v>
      </c>
      <c r="I261" s="25" t="s">
        <v>50</v>
      </c>
      <c r="J261" s="25">
        <v>2</v>
      </c>
    </row>
    <row r="262" spans="1:10" ht="12.75" customHeight="1" x14ac:dyDescent="0.2">
      <c r="A262" s="24"/>
      <c r="B262" s="22" t="s">
        <v>544</v>
      </c>
      <c r="C262" s="25" t="s">
        <v>44</v>
      </c>
      <c r="D262" s="25">
        <v>1</v>
      </c>
      <c r="E262" s="25">
        <v>0</v>
      </c>
      <c r="F262" s="25" t="s">
        <v>50</v>
      </c>
      <c r="G262" s="25">
        <v>10</v>
      </c>
      <c r="H262" s="25" t="s">
        <v>50</v>
      </c>
      <c r="I262" s="25" t="s">
        <v>50</v>
      </c>
      <c r="J262" s="25" t="s">
        <v>44</v>
      </c>
    </row>
    <row r="263" spans="1:10" ht="12.75" customHeight="1" x14ac:dyDescent="0.2">
      <c r="A263" s="24"/>
      <c r="B263" s="24" t="s">
        <v>45</v>
      </c>
      <c r="C263" s="25" t="s">
        <v>44</v>
      </c>
      <c r="D263" s="25">
        <v>1</v>
      </c>
      <c r="E263" s="25">
        <v>0</v>
      </c>
      <c r="F263" s="25" t="s">
        <v>50</v>
      </c>
      <c r="G263" s="25">
        <v>5</v>
      </c>
      <c r="H263" s="25" t="s">
        <v>50</v>
      </c>
      <c r="I263" s="25" t="s">
        <v>50</v>
      </c>
      <c r="J263" s="25" t="s">
        <v>44</v>
      </c>
    </row>
    <row r="264" spans="1:10" ht="12.75" customHeight="1" x14ac:dyDescent="0.2">
      <c r="A264" s="24"/>
      <c r="B264" s="24" t="s">
        <v>46</v>
      </c>
      <c r="C264" s="25" t="s">
        <v>44</v>
      </c>
      <c r="D264" s="25">
        <v>0</v>
      </c>
      <c r="E264" s="25">
        <v>0</v>
      </c>
      <c r="F264" s="25" t="s">
        <v>50</v>
      </c>
      <c r="G264" s="25">
        <v>5</v>
      </c>
      <c r="H264" s="25" t="s">
        <v>50</v>
      </c>
      <c r="I264" s="25" t="s">
        <v>50</v>
      </c>
      <c r="J264" s="25" t="s">
        <v>44</v>
      </c>
    </row>
    <row r="265" spans="1:10" ht="12.75" customHeight="1" x14ac:dyDescent="0.2">
      <c r="A265" s="24"/>
      <c r="B265" s="22" t="s">
        <v>545</v>
      </c>
      <c r="C265" s="25" t="s">
        <v>44</v>
      </c>
      <c r="D265" s="25">
        <v>21</v>
      </c>
      <c r="E265" s="25">
        <v>0</v>
      </c>
      <c r="F265" s="25" t="s">
        <v>50</v>
      </c>
      <c r="G265" s="25">
        <v>12</v>
      </c>
      <c r="H265" s="25" t="s">
        <v>50</v>
      </c>
      <c r="I265" s="25" t="s">
        <v>50</v>
      </c>
      <c r="J265" s="25" t="s">
        <v>44</v>
      </c>
    </row>
    <row r="266" spans="1:10" ht="12.75" customHeight="1" x14ac:dyDescent="0.2">
      <c r="A266" s="24"/>
      <c r="B266" s="24" t="s">
        <v>48</v>
      </c>
      <c r="C266" s="25" t="s">
        <v>44</v>
      </c>
      <c r="D266" s="25">
        <v>2</v>
      </c>
      <c r="E266" s="25">
        <v>0</v>
      </c>
      <c r="F266" s="25" t="s">
        <v>50</v>
      </c>
      <c r="G266" s="25">
        <v>10</v>
      </c>
      <c r="H266" s="25" t="s">
        <v>50</v>
      </c>
      <c r="I266" s="25" t="s">
        <v>50</v>
      </c>
      <c r="J266" s="25" t="s">
        <v>44</v>
      </c>
    </row>
    <row r="267" spans="1:10" ht="12.75" customHeight="1" x14ac:dyDescent="0.2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 t="s">
        <v>50</v>
      </c>
      <c r="J267" s="25" t="s">
        <v>44</v>
      </c>
    </row>
    <row r="268" spans="1:10" ht="12.75" customHeight="1" x14ac:dyDescent="0.2">
      <c r="A268" s="24"/>
      <c r="B268" s="24" t="s">
        <v>51</v>
      </c>
      <c r="C268" s="25" t="s">
        <v>44</v>
      </c>
      <c r="D268" s="25">
        <v>17</v>
      </c>
      <c r="E268" s="25">
        <v>0</v>
      </c>
      <c r="F268" s="25" t="s">
        <v>50</v>
      </c>
      <c r="G268" s="25">
        <v>1</v>
      </c>
      <c r="H268" s="25" t="s">
        <v>50</v>
      </c>
      <c r="I268" s="25" t="s">
        <v>50</v>
      </c>
      <c r="J268" s="25" t="s">
        <v>44</v>
      </c>
    </row>
    <row r="269" spans="1:10" ht="12.75" customHeight="1" x14ac:dyDescent="0.2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0" ht="12.75" customHeight="1" x14ac:dyDescent="0.2">
      <c r="A270" s="24"/>
      <c r="B270" s="24" t="s">
        <v>53</v>
      </c>
      <c r="C270" s="25" t="s">
        <v>44</v>
      </c>
      <c r="D270" s="25" t="s">
        <v>50</v>
      </c>
      <c r="E270" s="25">
        <v>0</v>
      </c>
      <c r="F270" s="25" t="s">
        <v>50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0" ht="12.75" customHeight="1" x14ac:dyDescent="0.2">
      <c r="A271" s="24"/>
      <c r="B271" s="22" t="s">
        <v>546</v>
      </c>
      <c r="C271" s="25" t="s">
        <v>44</v>
      </c>
      <c r="D271" s="25">
        <v>7</v>
      </c>
      <c r="E271" s="25">
        <v>0</v>
      </c>
      <c r="F271" s="25" t="s">
        <v>50</v>
      </c>
      <c r="G271" s="25">
        <v>1</v>
      </c>
      <c r="H271" s="25" t="s">
        <v>50</v>
      </c>
      <c r="I271" s="25">
        <v>0</v>
      </c>
      <c r="J271" s="25" t="s">
        <v>44</v>
      </c>
    </row>
    <row r="272" spans="1:10" ht="12.75" customHeight="1" x14ac:dyDescent="0.2">
      <c r="A272" s="24"/>
      <c r="B272" s="24" t="s">
        <v>547</v>
      </c>
      <c r="C272" s="25" t="s">
        <v>44</v>
      </c>
      <c r="D272" s="25">
        <v>5</v>
      </c>
      <c r="E272" s="25">
        <v>0</v>
      </c>
      <c r="F272" s="25">
        <v>0</v>
      </c>
      <c r="G272" s="25">
        <v>1</v>
      </c>
      <c r="H272" s="25" t="s">
        <v>50</v>
      </c>
      <c r="I272" s="25">
        <v>0</v>
      </c>
      <c r="J272" s="25" t="s">
        <v>44</v>
      </c>
    </row>
    <row r="273" spans="1:10" ht="12.75" customHeight="1" x14ac:dyDescent="0.2">
      <c r="A273" s="24"/>
      <c r="B273" s="24" t="s">
        <v>54</v>
      </c>
      <c r="C273" s="25" t="s">
        <v>44</v>
      </c>
      <c r="D273" s="25">
        <v>1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0" ht="12.75" customHeight="1" x14ac:dyDescent="0.2">
      <c r="A274" s="24"/>
      <c r="B274" s="24" t="s">
        <v>55</v>
      </c>
      <c r="C274" s="25" t="s">
        <v>44</v>
      </c>
      <c r="D274" s="25" t="s">
        <v>50</v>
      </c>
      <c r="E274" s="25">
        <v>0</v>
      </c>
      <c r="F274" s="25">
        <v>0</v>
      </c>
      <c r="G274" s="25" t="s">
        <v>50</v>
      </c>
      <c r="H274" s="25">
        <v>0</v>
      </c>
      <c r="I274" s="25">
        <v>0</v>
      </c>
      <c r="J274" s="25" t="s">
        <v>44</v>
      </c>
    </row>
    <row r="275" spans="1:10" ht="12.75" customHeight="1" x14ac:dyDescent="0.2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0" ht="12.75" customHeight="1" x14ac:dyDescent="0.2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0" ht="12.75" customHeight="1" x14ac:dyDescent="0.2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 t="s">
        <v>50</v>
      </c>
      <c r="H277" s="25">
        <v>0</v>
      </c>
      <c r="I277" s="25">
        <v>0</v>
      </c>
      <c r="J277" s="25" t="s">
        <v>44</v>
      </c>
    </row>
    <row r="278" spans="1:10" ht="12.75" customHeight="1" x14ac:dyDescent="0.2">
      <c r="A278" s="24"/>
      <c r="B278" s="22" t="s">
        <v>548</v>
      </c>
      <c r="C278" s="25">
        <v>4</v>
      </c>
      <c r="D278" s="25">
        <v>1</v>
      </c>
      <c r="E278" s="25">
        <v>0</v>
      </c>
      <c r="F278" s="25" t="s">
        <v>50</v>
      </c>
      <c r="G278" s="25" t="s">
        <v>60</v>
      </c>
      <c r="H278" s="25" t="s">
        <v>50</v>
      </c>
      <c r="I278" s="25">
        <v>0</v>
      </c>
      <c r="J278" s="25">
        <v>2</v>
      </c>
    </row>
    <row r="279" spans="1:10" ht="12.75" customHeight="1" x14ac:dyDescent="0.2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0" s="12" customFormat="1" ht="12.75" customHeight="1" x14ac:dyDescent="0.2">
      <c r="A280" s="22" t="s">
        <v>73</v>
      </c>
      <c r="B280" s="22" t="s">
        <v>557</v>
      </c>
      <c r="C280" s="27"/>
      <c r="D280" s="27"/>
      <c r="E280" s="27"/>
      <c r="F280" s="27"/>
      <c r="G280" s="27"/>
      <c r="H280" s="27"/>
      <c r="I280" s="27"/>
      <c r="J280" s="27"/>
    </row>
    <row r="281" spans="1:10" ht="12.75" customHeight="1" x14ac:dyDescent="0.2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0" ht="12.75" customHeight="1" x14ac:dyDescent="0.2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0" ht="12.75" customHeight="1" x14ac:dyDescent="0.2">
      <c r="A283" s="24"/>
      <c r="B283" s="22" t="s">
        <v>543</v>
      </c>
      <c r="C283" s="25">
        <v>21</v>
      </c>
      <c r="D283" s="25">
        <v>10</v>
      </c>
      <c r="E283" s="25">
        <v>0</v>
      </c>
      <c r="F283" s="25" t="s">
        <v>50</v>
      </c>
      <c r="G283" s="25">
        <v>10</v>
      </c>
      <c r="H283" s="25" t="s">
        <v>60</v>
      </c>
      <c r="I283" s="25">
        <v>0</v>
      </c>
      <c r="J283" s="25" t="s">
        <v>50</v>
      </c>
    </row>
    <row r="284" spans="1:10" ht="12.75" customHeight="1" x14ac:dyDescent="0.2">
      <c r="A284" s="24"/>
      <c r="B284" s="22" t="s">
        <v>544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3</v>
      </c>
      <c r="H284" s="25" t="s">
        <v>50</v>
      </c>
      <c r="I284" s="25">
        <v>0</v>
      </c>
      <c r="J284" s="25" t="s">
        <v>44</v>
      </c>
    </row>
    <row r="285" spans="1:10" ht="12.75" customHeight="1" x14ac:dyDescent="0.2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2</v>
      </c>
      <c r="H285" s="25" t="s">
        <v>50</v>
      </c>
      <c r="I285" s="25">
        <v>0</v>
      </c>
      <c r="J285" s="25" t="s">
        <v>44</v>
      </c>
    </row>
    <row r="286" spans="1:10" ht="12.75" customHeight="1" x14ac:dyDescent="0.2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>
        <v>0</v>
      </c>
      <c r="G286" s="25">
        <v>1</v>
      </c>
      <c r="H286" s="25" t="s">
        <v>50</v>
      </c>
      <c r="I286" s="25">
        <v>0</v>
      </c>
      <c r="J286" s="25" t="s">
        <v>44</v>
      </c>
    </row>
    <row r="287" spans="1:10" ht="12.75" customHeight="1" x14ac:dyDescent="0.2">
      <c r="A287" s="24"/>
      <c r="B287" s="22" t="s">
        <v>545</v>
      </c>
      <c r="C287" s="25" t="s">
        <v>44</v>
      </c>
      <c r="D287" s="25">
        <v>7</v>
      </c>
      <c r="E287" s="25">
        <v>0</v>
      </c>
      <c r="F287" s="25">
        <v>0</v>
      </c>
      <c r="G287" s="25">
        <v>5</v>
      </c>
      <c r="H287" s="25" t="s">
        <v>50</v>
      </c>
      <c r="I287" s="25">
        <v>0</v>
      </c>
      <c r="J287" s="25" t="s">
        <v>44</v>
      </c>
    </row>
    <row r="288" spans="1:10" ht="12.75" customHeight="1" x14ac:dyDescent="0.2">
      <c r="A288" s="24"/>
      <c r="B288" s="24" t="s">
        <v>48</v>
      </c>
      <c r="C288" s="25" t="s">
        <v>44</v>
      </c>
      <c r="D288" s="25" t="s">
        <v>50</v>
      </c>
      <c r="E288" s="25">
        <v>0</v>
      </c>
      <c r="F288" s="25">
        <v>0</v>
      </c>
      <c r="G288" s="25">
        <v>4</v>
      </c>
      <c r="H288" s="25" t="s">
        <v>50</v>
      </c>
      <c r="I288" s="25">
        <v>0</v>
      </c>
      <c r="J288" s="25" t="s">
        <v>44</v>
      </c>
    </row>
    <row r="289" spans="1:10" ht="12.75" customHeight="1" x14ac:dyDescent="0.2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 t="s">
        <v>50</v>
      </c>
      <c r="H289" s="25">
        <v>0</v>
      </c>
      <c r="I289" s="25">
        <v>0</v>
      </c>
      <c r="J289" s="25" t="s">
        <v>44</v>
      </c>
    </row>
    <row r="290" spans="1:10" ht="12.75" customHeight="1" x14ac:dyDescent="0.2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50</v>
      </c>
      <c r="H290" s="25" t="s">
        <v>50</v>
      </c>
      <c r="I290" s="25">
        <v>0</v>
      </c>
      <c r="J290" s="25" t="s">
        <v>44</v>
      </c>
    </row>
    <row r="291" spans="1:10" ht="12.75" customHeight="1" x14ac:dyDescent="0.2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0" ht="12.75" customHeight="1" x14ac:dyDescent="0.2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>
        <v>0</v>
      </c>
      <c r="G292" s="25">
        <v>0</v>
      </c>
      <c r="H292" s="25">
        <v>0</v>
      </c>
      <c r="I292" s="25">
        <v>0</v>
      </c>
      <c r="J292" s="25" t="s">
        <v>44</v>
      </c>
    </row>
    <row r="293" spans="1:10" ht="12.75" customHeight="1" x14ac:dyDescent="0.2">
      <c r="A293" s="24"/>
      <c r="B293" s="22" t="s">
        <v>546</v>
      </c>
      <c r="C293" s="25" t="s">
        <v>44</v>
      </c>
      <c r="D293" s="25">
        <v>3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0" ht="12.75" customHeight="1" x14ac:dyDescent="0.2">
      <c r="A294" s="24"/>
      <c r="B294" s="24" t="s">
        <v>547</v>
      </c>
      <c r="C294" s="25" t="s">
        <v>44</v>
      </c>
      <c r="D294" s="25">
        <v>2</v>
      </c>
      <c r="E294" s="25">
        <v>0</v>
      </c>
      <c r="F294" s="25">
        <v>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0" ht="12.75" customHeight="1" x14ac:dyDescent="0.2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0" ht="12.75" customHeight="1" x14ac:dyDescent="0.2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>
        <v>0</v>
      </c>
      <c r="G296" s="25" t="s">
        <v>50</v>
      </c>
      <c r="H296" s="25" t="s">
        <v>50</v>
      </c>
      <c r="I296" s="25">
        <v>0</v>
      </c>
      <c r="J296" s="25" t="s">
        <v>44</v>
      </c>
    </row>
    <row r="297" spans="1:10" ht="12.75" customHeight="1" x14ac:dyDescent="0.2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0" ht="12.75" customHeight="1" x14ac:dyDescent="0.2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 t="s">
        <v>50</v>
      </c>
      <c r="G298" s="25" t="s">
        <v>50</v>
      </c>
      <c r="H298" s="25" t="s">
        <v>50</v>
      </c>
      <c r="I298" s="25">
        <v>0</v>
      </c>
      <c r="J298" s="25" t="s">
        <v>44</v>
      </c>
    </row>
    <row r="299" spans="1:10" ht="12.75" customHeight="1" x14ac:dyDescent="0.2">
      <c r="A299" s="24"/>
      <c r="B299" s="24" t="s">
        <v>58</v>
      </c>
      <c r="C299" s="25" t="s">
        <v>44</v>
      </c>
      <c r="D299" s="25">
        <v>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0" ht="12.75" customHeight="1" x14ac:dyDescent="0.2">
      <c r="A300" s="24"/>
      <c r="B300" s="22" t="s">
        <v>548</v>
      </c>
      <c r="C300" s="25">
        <v>2</v>
      </c>
      <c r="D300" s="25">
        <v>1</v>
      </c>
      <c r="E300" s="25">
        <v>0</v>
      </c>
      <c r="F300" s="25">
        <v>0</v>
      </c>
      <c r="G300" s="25" t="s">
        <v>60</v>
      </c>
      <c r="H300" s="25">
        <v>0</v>
      </c>
      <c r="I300" s="25">
        <v>0</v>
      </c>
      <c r="J300" s="25" t="s">
        <v>50</v>
      </c>
    </row>
    <row r="301" spans="1:10" ht="12.75" customHeight="1" x14ac:dyDescent="0.2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0" s="12" customFormat="1" ht="12.75" customHeight="1" x14ac:dyDescent="0.2">
      <c r="A302" s="22" t="s">
        <v>74</v>
      </c>
      <c r="B302" s="22" t="s">
        <v>558</v>
      </c>
      <c r="C302" s="27"/>
      <c r="D302" s="27"/>
      <c r="E302" s="27"/>
      <c r="F302" s="27"/>
      <c r="G302" s="27"/>
      <c r="H302" s="27"/>
      <c r="I302" s="27"/>
      <c r="J302" s="27"/>
    </row>
    <row r="303" spans="1:10" ht="12.75" customHeight="1" x14ac:dyDescent="0.2">
      <c r="A303" s="29"/>
      <c r="B303" s="30"/>
      <c r="C303" s="25"/>
      <c r="D303" s="25"/>
      <c r="E303" s="25"/>
      <c r="F303" s="25"/>
      <c r="G303" s="25"/>
      <c r="H303" s="25"/>
      <c r="I303" s="25"/>
      <c r="J303" s="25"/>
    </row>
    <row r="304" spans="1:10" ht="12.75" customHeight="1" x14ac:dyDescent="0.2">
      <c r="A304" s="24"/>
      <c r="B304" s="24"/>
      <c r="C304" s="25"/>
      <c r="D304" s="25"/>
      <c r="E304" s="25"/>
      <c r="F304" s="25"/>
      <c r="G304" s="25"/>
      <c r="H304" s="25"/>
      <c r="I304" s="25"/>
      <c r="J304" s="25"/>
    </row>
    <row r="305" spans="1:10" ht="12.75" customHeight="1" x14ac:dyDescent="0.2">
      <c r="A305" s="24"/>
      <c r="B305" s="22" t="s">
        <v>543</v>
      </c>
      <c r="C305" s="25">
        <v>3</v>
      </c>
      <c r="D305" s="25">
        <v>2</v>
      </c>
      <c r="E305" s="25">
        <v>0</v>
      </c>
      <c r="F305" s="25" t="s">
        <v>50</v>
      </c>
      <c r="G305" s="25">
        <v>1</v>
      </c>
      <c r="H305" s="25" t="s">
        <v>50</v>
      </c>
      <c r="I305" s="25">
        <v>0</v>
      </c>
      <c r="J305" s="25" t="s">
        <v>50</v>
      </c>
    </row>
    <row r="306" spans="1:10" ht="12.75" customHeight="1" x14ac:dyDescent="0.2">
      <c r="A306" s="24"/>
      <c r="B306" s="22" t="s">
        <v>544</v>
      </c>
      <c r="C306" s="25" t="s">
        <v>44</v>
      </c>
      <c r="D306" s="25" t="s">
        <v>50</v>
      </c>
      <c r="E306" s="25">
        <v>0</v>
      </c>
      <c r="F306" s="25" t="s">
        <v>50</v>
      </c>
      <c r="G306" s="25" t="s">
        <v>50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2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 t="s">
        <v>50</v>
      </c>
      <c r="G307" s="25" t="s">
        <v>50</v>
      </c>
      <c r="H307" s="25">
        <v>0</v>
      </c>
      <c r="I307" s="25">
        <v>0</v>
      </c>
      <c r="J307" s="25" t="s">
        <v>44</v>
      </c>
    </row>
    <row r="308" spans="1:10" ht="12.75" customHeight="1" x14ac:dyDescent="0.2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2">
      <c r="A309" s="24"/>
      <c r="B309" s="22" t="s">
        <v>545</v>
      </c>
      <c r="C309" s="25" t="s">
        <v>44</v>
      </c>
      <c r="D309" s="25">
        <v>1</v>
      </c>
      <c r="E309" s="25">
        <v>0</v>
      </c>
      <c r="F309" s="25">
        <v>0</v>
      </c>
      <c r="G309" s="25" t="s">
        <v>50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2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>
        <v>0</v>
      </c>
      <c r="I310" s="25">
        <v>0</v>
      </c>
      <c r="J310" s="25" t="s">
        <v>44</v>
      </c>
    </row>
    <row r="311" spans="1:10" ht="12.75" customHeight="1" x14ac:dyDescent="0.2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>
        <v>0</v>
      </c>
      <c r="H311" s="25">
        <v>0</v>
      </c>
      <c r="I311" s="25">
        <v>0</v>
      </c>
      <c r="J311" s="25" t="s">
        <v>44</v>
      </c>
    </row>
    <row r="312" spans="1:10" ht="12.75" customHeight="1" x14ac:dyDescent="0.2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 t="s">
        <v>50</v>
      </c>
      <c r="I312" s="25">
        <v>0</v>
      </c>
      <c r="J312" s="25" t="s">
        <v>44</v>
      </c>
    </row>
    <row r="313" spans="1:10" ht="12.75" customHeight="1" x14ac:dyDescent="0.2">
      <c r="A313" s="24"/>
      <c r="B313" s="24" t="s">
        <v>52</v>
      </c>
      <c r="C313" s="25" t="s">
        <v>44</v>
      </c>
      <c r="D313" s="25">
        <v>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2">
      <c r="A314" s="24"/>
      <c r="B314" s="24" t="s">
        <v>53</v>
      </c>
      <c r="C314" s="25" t="s">
        <v>44</v>
      </c>
      <c r="D314" s="25">
        <v>0</v>
      </c>
      <c r="E314" s="25">
        <v>0</v>
      </c>
      <c r="F314" s="25">
        <v>0</v>
      </c>
      <c r="G314" s="25" t="s">
        <v>50</v>
      </c>
      <c r="H314" s="25">
        <v>0</v>
      </c>
      <c r="I314" s="25">
        <v>0</v>
      </c>
      <c r="J314" s="25" t="s">
        <v>44</v>
      </c>
    </row>
    <row r="315" spans="1:10" ht="12.75" customHeight="1" x14ac:dyDescent="0.2">
      <c r="A315" s="24"/>
      <c r="B315" s="22" t="s">
        <v>546</v>
      </c>
      <c r="C315" s="25" t="s">
        <v>44</v>
      </c>
      <c r="D315" s="25">
        <v>1</v>
      </c>
      <c r="E315" s="25">
        <v>0</v>
      </c>
      <c r="F315" s="25" t="s">
        <v>50</v>
      </c>
      <c r="G315" s="25" t="s">
        <v>50</v>
      </c>
      <c r="H315" s="25" t="s">
        <v>50</v>
      </c>
      <c r="I315" s="25">
        <v>0</v>
      </c>
      <c r="J315" s="25" t="s">
        <v>44</v>
      </c>
    </row>
    <row r="316" spans="1:10" ht="12.75" customHeight="1" x14ac:dyDescent="0.2">
      <c r="A316" s="24"/>
      <c r="B316" s="24" t="s">
        <v>547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>
        <v>0</v>
      </c>
      <c r="J316" s="25" t="s">
        <v>44</v>
      </c>
    </row>
    <row r="317" spans="1:10" ht="12.75" customHeight="1" x14ac:dyDescent="0.2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2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 t="s">
        <v>50</v>
      </c>
      <c r="I318" s="25">
        <v>0</v>
      </c>
      <c r="J318" s="25" t="s">
        <v>44</v>
      </c>
    </row>
    <row r="319" spans="1:10" ht="12.75" customHeight="1" x14ac:dyDescent="0.2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2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0" ht="12.75" customHeight="1" x14ac:dyDescent="0.2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 t="s">
        <v>50</v>
      </c>
      <c r="G321" s="25" t="s">
        <v>50</v>
      </c>
      <c r="H321" s="25">
        <v>0</v>
      </c>
      <c r="I321" s="25">
        <v>0</v>
      </c>
      <c r="J321" s="25" t="s">
        <v>44</v>
      </c>
    </row>
    <row r="322" spans="1:10" ht="12.75" customHeight="1" x14ac:dyDescent="0.2">
      <c r="A322" s="24"/>
      <c r="B322" s="22" t="s">
        <v>548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>
        <v>0</v>
      </c>
      <c r="I322" s="25">
        <v>0</v>
      </c>
      <c r="J322" s="25" t="s">
        <v>50</v>
      </c>
    </row>
    <row r="323" spans="1:10" ht="12.75" customHeight="1" x14ac:dyDescent="0.2">
      <c r="A323" s="24"/>
      <c r="B323" s="24"/>
      <c r="C323" s="25"/>
      <c r="D323" s="25"/>
      <c r="E323" s="25"/>
      <c r="F323" s="25"/>
      <c r="G323" s="25"/>
      <c r="H323" s="25"/>
      <c r="I323" s="25"/>
      <c r="J323" s="25"/>
    </row>
    <row r="324" spans="1:10" s="12" customFormat="1" ht="12.75" customHeight="1" x14ac:dyDescent="0.2">
      <c r="A324" s="22" t="s">
        <v>75</v>
      </c>
      <c r="B324" s="22" t="s">
        <v>559</v>
      </c>
      <c r="C324" s="27"/>
      <c r="D324" s="27"/>
      <c r="E324" s="27"/>
      <c r="F324" s="27"/>
      <c r="G324" s="27"/>
      <c r="H324" s="27"/>
      <c r="I324" s="27"/>
      <c r="J324" s="27"/>
    </row>
    <row r="325" spans="1:10" ht="12.75" customHeight="1" x14ac:dyDescent="0.2">
      <c r="A325" s="24"/>
      <c r="B325" s="24"/>
      <c r="C325" s="25"/>
      <c r="D325" s="25"/>
      <c r="E325" s="25"/>
      <c r="F325" s="25"/>
      <c r="G325" s="25"/>
      <c r="H325" s="25"/>
      <c r="I325" s="25"/>
      <c r="J325" s="25"/>
    </row>
    <row r="326" spans="1:10" ht="12.75" customHeight="1" x14ac:dyDescent="0.2">
      <c r="A326" s="24"/>
      <c r="B326" s="24"/>
      <c r="C326" s="25"/>
      <c r="D326" s="25"/>
      <c r="E326" s="25"/>
      <c r="F326" s="25"/>
      <c r="G326" s="25"/>
      <c r="H326" s="25"/>
      <c r="I326" s="25"/>
      <c r="J326" s="25"/>
    </row>
    <row r="327" spans="1:10" ht="12.75" customHeight="1" x14ac:dyDescent="0.2">
      <c r="A327" s="24"/>
      <c r="B327" s="22" t="s">
        <v>543</v>
      </c>
      <c r="C327" s="25">
        <v>3</v>
      </c>
      <c r="D327" s="25">
        <v>1</v>
      </c>
      <c r="E327" s="25">
        <v>0</v>
      </c>
      <c r="F327" s="25" t="s">
        <v>50</v>
      </c>
      <c r="G327" s="25">
        <v>2</v>
      </c>
      <c r="H327" s="25" t="s">
        <v>50</v>
      </c>
      <c r="I327" s="25">
        <v>0</v>
      </c>
      <c r="J327" s="25" t="s">
        <v>50</v>
      </c>
    </row>
    <row r="328" spans="1:10" ht="12.75" customHeight="1" x14ac:dyDescent="0.2">
      <c r="A328" s="24"/>
      <c r="B328" s="22" t="s">
        <v>544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>
        <v>0</v>
      </c>
      <c r="I328" s="25">
        <v>0</v>
      </c>
      <c r="J328" s="25" t="s">
        <v>44</v>
      </c>
    </row>
    <row r="329" spans="1:10" ht="12.75" customHeight="1" x14ac:dyDescent="0.2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>
        <v>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0" ht="12.75" customHeight="1" x14ac:dyDescent="0.2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>
        <v>0</v>
      </c>
      <c r="I330" s="25">
        <v>0</v>
      </c>
      <c r="J330" s="25" t="s">
        <v>44</v>
      </c>
    </row>
    <row r="331" spans="1:10" ht="12.75" customHeight="1" x14ac:dyDescent="0.2">
      <c r="A331" s="24"/>
      <c r="B331" s="22" t="s">
        <v>545</v>
      </c>
      <c r="C331" s="25" t="s">
        <v>44</v>
      </c>
      <c r="D331" s="25">
        <v>1</v>
      </c>
      <c r="E331" s="25">
        <v>0</v>
      </c>
      <c r="F331" s="25" t="s">
        <v>50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0" ht="12.75" customHeight="1" x14ac:dyDescent="0.2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 t="s">
        <v>50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0" ht="12.75" customHeight="1" x14ac:dyDescent="0.2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 t="s">
        <v>50</v>
      </c>
      <c r="I333" s="25">
        <v>0</v>
      </c>
      <c r="J333" s="25" t="s">
        <v>44</v>
      </c>
    </row>
    <row r="334" spans="1:10" ht="12.75" customHeight="1" x14ac:dyDescent="0.2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0" ht="12.75" customHeight="1" x14ac:dyDescent="0.2">
      <c r="A335" s="24"/>
      <c r="B335" s="24" t="s">
        <v>52</v>
      </c>
      <c r="C335" s="25" t="s">
        <v>44</v>
      </c>
      <c r="D335" s="25">
        <v>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0" ht="12.75" customHeight="1" x14ac:dyDescent="0.2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>
        <v>0</v>
      </c>
      <c r="H336" s="25" t="s">
        <v>50</v>
      </c>
      <c r="I336" s="25">
        <v>0</v>
      </c>
      <c r="J336" s="25" t="s">
        <v>44</v>
      </c>
    </row>
    <row r="337" spans="1:10" ht="12.75" customHeight="1" x14ac:dyDescent="0.2">
      <c r="A337" s="24"/>
      <c r="B337" s="22" t="s">
        <v>546</v>
      </c>
      <c r="C337" s="25" t="s">
        <v>44</v>
      </c>
      <c r="D337" s="25" t="s">
        <v>50</v>
      </c>
      <c r="E337" s="25">
        <v>0</v>
      </c>
      <c r="F337" s="25" t="s">
        <v>50</v>
      </c>
      <c r="G337" s="25" t="s">
        <v>60</v>
      </c>
      <c r="H337" s="25" t="s">
        <v>50</v>
      </c>
      <c r="I337" s="25">
        <v>0</v>
      </c>
      <c r="J337" s="25" t="s">
        <v>44</v>
      </c>
    </row>
    <row r="338" spans="1:10" ht="12.75" customHeight="1" x14ac:dyDescent="0.2">
      <c r="A338" s="24"/>
      <c r="B338" s="24" t="s">
        <v>547</v>
      </c>
      <c r="C338" s="25" t="s">
        <v>44</v>
      </c>
      <c r="D338" s="25" t="s">
        <v>50</v>
      </c>
      <c r="E338" s="25">
        <v>0</v>
      </c>
      <c r="F338" s="25" t="s">
        <v>50</v>
      </c>
      <c r="G338" s="25" t="s">
        <v>60</v>
      </c>
      <c r="H338" s="25" t="s">
        <v>50</v>
      </c>
      <c r="I338" s="25">
        <v>0</v>
      </c>
      <c r="J338" s="25" t="s">
        <v>44</v>
      </c>
    </row>
    <row r="339" spans="1:10" ht="12.75" customHeight="1" x14ac:dyDescent="0.2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0" ht="12.75" customHeight="1" x14ac:dyDescent="0.2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0" ht="12.75" customHeight="1" x14ac:dyDescent="0.2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>
        <v>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0" ht="12.75" customHeight="1" x14ac:dyDescent="0.2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>
        <v>0</v>
      </c>
      <c r="G342" s="25">
        <v>0</v>
      </c>
      <c r="H342" s="25" t="s">
        <v>50</v>
      </c>
      <c r="I342" s="25">
        <v>0</v>
      </c>
      <c r="J342" s="25" t="s">
        <v>44</v>
      </c>
    </row>
    <row r="343" spans="1:10" ht="12.75" customHeight="1" x14ac:dyDescent="0.2">
      <c r="A343" s="24"/>
      <c r="B343" s="24" t="s">
        <v>58</v>
      </c>
      <c r="C343" s="25" t="s">
        <v>44</v>
      </c>
      <c r="D343" s="25">
        <v>0</v>
      </c>
      <c r="E343" s="25">
        <v>0</v>
      </c>
      <c r="F343" s="25" t="s">
        <v>50</v>
      </c>
      <c r="G343" s="25">
        <v>0</v>
      </c>
      <c r="H343" s="25">
        <v>0</v>
      </c>
      <c r="I343" s="25">
        <v>0</v>
      </c>
      <c r="J343" s="25" t="s">
        <v>44</v>
      </c>
    </row>
    <row r="344" spans="1:10" ht="12.75" customHeight="1" x14ac:dyDescent="0.2">
      <c r="A344" s="24"/>
      <c r="B344" s="22" t="s">
        <v>548</v>
      </c>
      <c r="C344" s="25" t="s">
        <v>50</v>
      </c>
      <c r="D344" s="25" t="s">
        <v>50</v>
      </c>
      <c r="E344" s="25">
        <v>0</v>
      </c>
      <c r="F344" s="25">
        <v>0</v>
      </c>
      <c r="G344" s="25">
        <v>0</v>
      </c>
      <c r="H344" s="25">
        <v>0</v>
      </c>
      <c r="I344" s="25">
        <v>0</v>
      </c>
      <c r="J344" s="25" t="s">
        <v>50</v>
      </c>
    </row>
    <row r="345" spans="1:10" ht="12.75" customHeight="1" x14ac:dyDescent="0.2">
      <c r="A345" s="24"/>
      <c r="B345" s="24"/>
      <c r="C345" s="25"/>
      <c r="D345" s="25"/>
      <c r="E345" s="25"/>
      <c r="F345" s="25"/>
      <c r="G345" s="25"/>
      <c r="H345" s="25"/>
      <c r="I345" s="25"/>
      <c r="J345" s="25"/>
    </row>
    <row r="346" spans="1:10" s="12" customFormat="1" ht="12.75" customHeight="1" x14ac:dyDescent="0.2">
      <c r="A346" s="22" t="s">
        <v>76</v>
      </c>
      <c r="B346" s="22" t="s">
        <v>560</v>
      </c>
      <c r="C346" s="27"/>
      <c r="D346" s="27"/>
      <c r="E346" s="27"/>
      <c r="F346" s="27"/>
      <c r="G346" s="27"/>
      <c r="H346" s="27"/>
      <c r="I346" s="27"/>
      <c r="J346" s="27"/>
    </row>
    <row r="347" spans="1:10" ht="12.75" customHeight="1" x14ac:dyDescent="0.2">
      <c r="A347" s="29"/>
      <c r="B347" s="30"/>
      <c r="C347" s="25"/>
      <c r="D347" s="25"/>
      <c r="E347" s="25"/>
      <c r="F347" s="25"/>
      <c r="G347" s="25"/>
      <c r="H347" s="25"/>
      <c r="I347" s="25"/>
      <c r="J347" s="25"/>
    </row>
    <row r="348" spans="1:10" ht="12.75" customHeight="1" x14ac:dyDescent="0.2">
      <c r="A348" s="24"/>
      <c r="B348" s="24"/>
      <c r="C348" s="25"/>
      <c r="D348" s="25"/>
      <c r="E348" s="25"/>
      <c r="F348" s="25"/>
      <c r="G348" s="25"/>
      <c r="H348" s="25"/>
      <c r="I348" s="25"/>
      <c r="J348" s="25"/>
    </row>
    <row r="349" spans="1:10" ht="12.75" customHeight="1" x14ac:dyDescent="0.2">
      <c r="A349" s="24"/>
      <c r="B349" s="22" t="s">
        <v>543</v>
      </c>
      <c r="C349" s="25">
        <v>414</v>
      </c>
      <c r="D349" s="25">
        <v>69</v>
      </c>
      <c r="E349" s="25" t="s">
        <v>50</v>
      </c>
      <c r="F349" s="25">
        <v>11</v>
      </c>
      <c r="G349" s="25">
        <v>80</v>
      </c>
      <c r="H349" s="25">
        <v>3</v>
      </c>
      <c r="I349" s="25" t="s">
        <v>50</v>
      </c>
      <c r="J349" s="25">
        <v>251</v>
      </c>
    </row>
    <row r="350" spans="1:10" ht="12.75" customHeight="1" x14ac:dyDescent="0.2">
      <c r="A350" s="24"/>
      <c r="B350" s="22" t="s">
        <v>544</v>
      </c>
      <c r="C350" s="25" t="s">
        <v>44</v>
      </c>
      <c r="D350" s="25">
        <v>2</v>
      </c>
      <c r="E350" s="25">
        <v>0</v>
      </c>
      <c r="F350" s="25">
        <v>1</v>
      </c>
      <c r="G350" s="25">
        <v>17</v>
      </c>
      <c r="H350" s="25" t="s">
        <v>50</v>
      </c>
      <c r="I350" s="25">
        <v>0</v>
      </c>
      <c r="J350" s="25" t="s">
        <v>44</v>
      </c>
    </row>
    <row r="351" spans="1:10" ht="12.75" customHeight="1" x14ac:dyDescent="0.2">
      <c r="A351" s="24"/>
      <c r="B351" s="24" t="s">
        <v>45</v>
      </c>
      <c r="C351" s="25" t="s">
        <v>44</v>
      </c>
      <c r="D351" s="25">
        <v>2</v>
      </c>
      <c r="E351" s="25">
        <v>0</v>
      </c>
      <c r="F351" s="25">
        <v>1</v>
      </c>
      <c r="G351" s="25">
        <v>3</v>
      </c>
      <c r="H351" s="25" t="s">
        <v>50</v>
      </c>
      <c r="I351" s="25">
        <v>0</v>
      </c>
      <c r="J351" s="25" t="s">
        <v>44</v>
      </c>
    </row>
    <row r="352" spans="1:10" ht="12.75" customHeight="1" x14ac:dyDescent="0.2">
      <c r="A352" s="24"/>
      <c r="B352" s="24" t="s">
        <v>46</v>
      </c>
      <c r="C352" s="25" t="s">
        <v>44</v>
      </c>
      <c r="D352" s="25">
        <v>0</v>
      </c>
      <c r="E352" s="25">
        <v>0</v>
      </c>
      <c r="F352" s="25" t="s">
        <v>50</v>
      </c>
      <c r="G352" s="25">
        <v>14</v>
      </c>
      <c r="H352" s="25" t="s">
        <v>50</v>
      </c>
      <c r="I352" s="25">
        <v>0</v>
      </c>
      <c r="J352" s="25" t="s">
        <v>44</v>
      </c>
    </row>
    <row r="353" spans="1:10" ht="12.75" customHeight="1" x14ac:dyDescent="0.2">
      <c r="A353" s="24"/>
      <c r="B353" s="22" t="s">
        <v>545</v>
      </c>
      <c r="C353" s="25" t="s">
        <v>44</v>
      </c>
      <c r="D353" s="25">
        <v>56</v>
      </c>
      <c r="E353" s="25" t="s">
        <v>50</v>
      </c>
      <c r="F353" s="25">
        <v>3</v>
      </c>
      <c r="G353" s="25">
        <v>54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2">
      <c r="A354" s="24"/>
      <c r="B354" s="24" t="s">
        <v>48</v>
      </c>
      <c r="C354" s="25" t="s">
        <v>44</v>
      </c>
      <c r="D354" s="74">
        <f>D353-SUM(D355:D358)</f>
        <v>6</v>
      </c>
      <c r="E354" s="25" t="s">
        <v>50</v>
      </c>
      <c r="F354" s="25">
        <v>1</v>
      </c>
      <c r="G354" s="25">
        <v>50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2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2">
      <c r="A356" s="24"/>
      <c r="B356" s="24" t="s">
        <v>51</v>
      </c>
      <c r="C356" s="25" t="s">
        <v>44</v>
      </c>
      <c r="D356" s="25">
        <v>47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2">
      <c r="A357" s="24"/>
      <c r="B357" s="24" t="s">
        <v>52</v>
      </c>
      <c r="C357" s="25" t="s">
        <v>44</v>
      </c>
      <c r="D357" s="25">
        <v>1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2">
      <c r="A358" s="24"/>
      <c r="B358" s="24" t="s">
        <v>53</v>
      </c>
      <c r="C358" s="25" t="s">
        <v>44</v>
      </c>
      <c r="D358" s="25">
        <v>1</v>
      </c>
      <c r="E358" s="25">
        <v>0</v>
      </c>
      <c r="F358" s="25" t="s">
        <v>50</v>
      </c>
      <c r="G358" s="25">
        <v>2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2">
      <c r="A359" s="24"/>
      <c r="B359" s="22" t="s">
        <v>546</v>
      </c>
      <c r="C359" s="25" t="s">
        <v>44</v>
      </c>
      <c r="D359" s="25">
        <v>9</v>
      </c>
      <c r="E359" s="25" t="s">
        <v>50</v>
      </c>
      <c r="F359" s="25">
        <v>7</v>
      </c>
      <c r="G359" s="25">
        <v>8</v>
      </c>
      <c r="H359" s="25">
        <v>2</v>
      </c>
      <c r="I359" s="25">
        <v>0</v>
      </c>
      <c r="J359" s="25" t="s">
        <v>44</v>
      </c>
    </row>
    <row r="360" spans="1:10" ht="12.75" customHeight="1" x14ac:dyDescent="0.2">
      <c r="A360" s="24"/>
      <c r="B360" s="24" t="s">
        <v>547</v>
      </c>
      <c r="C360" s="25" t="s">
        <v>44</v>
      </c>
      <c r="D360" s="25">
        <v>4</v>
      </c>
      <c r="E360" s="25" t="s">
        <v>50</v>
      </c>
      <c r="F360" s="25" t="s">
        <v>50</v>
      </c>
      <c r="G360" s="25">
        <v>7</v>
      </c>
      <c r="H360" s="25" t="s">
        <v>50</v>
      </c>
      <c r="I360" s="25">
        <v>0</v>
      </c>
      <c r="J360" s="25" t="s">
        <v>44</v>
      </c>
    </row>
    <row r="361" spans="1:10" ht="12.75" customHeight="1" x14ac:dyDescent="0.2">
      <c r="A361" s="24"/>
      <c r="B361" s="24" t="s">
        <v>54</v>
      </c>
      <c r="C361" s="25" t="s">
        <v>44</v>
      </c>
      <c r="D361" s="25">
        <v>4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2">
      <c r="A362" s="24"/>
      <c r="B362" s="24" t="s">
        <v>55</v>
      </c>
      <c r="C362" s="25" t="s">
        <v>44</v>
      </c>
      <c r="D362" s="25">
        <v>1</v>
      </c>
      <c r="E362" s="25" t="s">
        <v>50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2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2</v>
      </c>
      <c r="I363" s="25" t="s">
        <v>44</v>
      </c>
      <c r="J363" s="25" t="s">
        <v>44</v>
      </c>
    </row>
    <row r="364" spans="1:10" ht="12.75" customHeight="1" x14ac:dyDescent="0.2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2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 t="s">
        <v>60</v>
      </c>
      <c r="G365" s="25" t="s">
        <v>50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2">
      <c r="A366" s="24"/>
      <c r="B366" s="22" t="s">
        <v>548</v>
      </c>
      <c r="C366" s="25">
        <v>254</v>
      </c>
      <c r="D366" s="25">
        <v>1</v>
      </c>
      <c r="E366" s="25">
        <v>0</v>
      </c>
      <c r="F366" s="25" t="s">
        <v>50</v>
      </c>
      <c r="G366" s="25">
        <v>1</v>
      </c>
      <c r="H366" s="25" t="s">
        <v>50</v>
      </c>
      <c r="I366" s="25">
        <v>0</v>
      </c>
      <c r="J366" s="25">
        <v>251</v>
      </c>
    </row>
    <row r="367" spans="1:10" ht="12.75" customHeight="1" x14ac:dyDescent="0.2">
      <c r="A367" s="24"/>
      <c r="B367" s="24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2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ht="12.75" customHeight="1" x14ac:dyDescent="0.2">
      <c r="A369" s="24"/>
      <c r="B369" s="24"/>
      <c r="C369" s="25"/>
      <c r="D369" s="25"/>
      <c r="E369" s="25"/>
      <c r="F369" s="25"/>
      <c r="G369" s="25"/>
      <c r="H369" s="25"/>
      <c r="I369" s="25"/>
      <c r="J369" s="25"/>
    </row>
    <row r="370" spans="1:10" ht="12.75" customHeight="1" x14ac:dyDescent="0.2">
      <c r="A370" s="24"/>
      <c r="B370" s="24"/>
      <c r="C370" s="25"/>
      <c r="D370" s="25"/>
      <c r="E370" s="25"/>
      <c r="F370" s="25"/>
      <c r="G370" s="25"/>
      <c r="H370" s="25"/>
      <c r="I370" s="25"/>
      <c r="J370" s="25"/>
    </row>
    <row r="371" spans="1:10" ht="12.75" customHeight="1" x14ac:dyDescent="0.2">
      <c r="A371" s="24"/>
      <c r="B371" s="22" t="s">
        <v>543</v>
      </c>
      <c r="C371" s="25">
        <v>199</v>
      </c>
      <c r="D371" s="25">
        <v>27</v>
      </c>
      <c r="E371" s="25" t="s">
        <v>50</v>
      </c>
      <c r="F371" s="25">
        <v>7</v>
      </c>
      <c r="G371" s="25">
        <v>18</v>
      </c>
      <c r="H371" s="25" t="s">
        <v>50</v>
      </c>
      <c r="I371" s="25">
        <v>0</v>
      </c>
      <c r="J371" s="25">
        <v>147</v>
      </c>
    </row>
    <row r="372" spans="1:10" ht="12.75" customHeight="1" x14ac:dyDescent="0.2">
      <c r="A372" s="24"/>
      <c r="B372" s="22" t="s">
        <v>544</v>
      </c>
      <c r="C372" s="25" t="s">
        <v>44</v>
      </c>
      <c r="D372" s="25">
        <v>1</v>
      </c>
      <c r="E372" s="25">
        <v>0</v>
      </c>
      <c r="F372" s="25">
        <v>1</v>
      </c>
      <c r="G372" s="25">
        <v>3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2">
      <c r="A373" s="24"/>
      <c r="B373" s="24" t="s">
        <v>45</v>
      </c>
      <c r="C373" s="25" t="s">
        <v>44</v>
      </c>
      <c r="D373" s="25">
        <v>1</v>
      </c>
      <c r="E373" s="25">
        <v>0</v>
      </c>
      <c r="F373" s="25">
        <v>1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2">
      <c r="A374" s="24"/>
      <c r="B374" s="24" t="s">
        <v>46</v>
      </c>
      <c r="C374" s="25" t="s">
        <v>44</v>
      </c>
      <c r="D374" s="25">
        <v>0</v>
      </c>
      <c r="E374" s="25">
        <v>0</v>
      </c>
      <c r="F374" s="25" t="s">
        <v>50</v>
      </c>
      <c r="G374" s="25">
        <v>2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2">
      <c r="A375" s="24"/>
      <c r="B375" s="22" t="s">
        <v>545</v>
      </c>
      <c r="C375" s="25" t="s">
        <v>44</v>
      </c>
      <c r="D375" s="25">
        <v>23</v>
      </c>
      <c r="E375" s="25" t="s">
        <v>50</v>
      </c>
      <c r="F375" s="25">
        <v>2</v>
      </c>
      <c r="G375" s="25">
        <v>13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2">
      <c r="A376" s="24"/>
      <c r="B376" s="24" t="s">
        <v>48</v>
      </c>
      <c r="C376" s="25" t="s">
        <v>44</v>
      </c>
      <c r="D376" s="25">
        <v>1</v>
      </c>
      <c r="E376" s="25" t="s">
        <v>50</v>
      </c>
      <c r="F376" s="25">
        <v>1</v>
      </c>
      <c r="G376" s="25">
        <v>13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2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>
        <v>0</v>
      </c>
      <c r="G377" s="25">
        <v>0</v>
      </c>
      <c r="H377" s="25">
        <v>0</v>
      </c>
      <c r="I377" s="25">
        <v>0</v>
      </c>
      <c r="J377" s="25" t="s">
        <v>44</v>
      </c>
    </row>
    <row r="378" spans="1:10" ht="12.75" customHeight="1" x14ac:dyDescent="0.2">
      <c r="A378" s="24"/>
      <c r="B378" s="24" t="s">
        <v>51</v>
      </c>
      <c r="C378" s="25" t="s">
        <v>44</v>
      </c>
      <c r="D378" s="25">
        <v>21</v>
      </c>
      <c r="E378" s="25" t="s">
        <v>50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2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2">
      <c r="A380" s="24"/>
      <c r="B380" s="24" t="s">
        <v>53</v>
      </c>
      <c r="C380" s="25" t="s">
        <v>44</v>
      </c>
      <c r="D380" s="25">
        <v>1</v>
      </c>
      <c r="E380" s="25">
        <v>0</v>
      </c>
      <c r="F380" s="25" t="s">
        <v>50</v>
      </c>
      <c r="G380" s="25" t="s">
        <v>50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2">
      <c r="A381" s="24"/>
      <c r="B381" s="22" t="s">
        <v>546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2">
      <c r="A382" s="24"/>
      <c r="B382" s="24" t="s">
        <v>547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2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2">
      <c r="A384" s="24"/>
      <c r="B384" s="24" t="s">
        <v>55</v>
      </c>
      <c r="C384" s="25" t="s">
        <v>44</v>
      </c>
      <c r="D384" s="25" t="s">
        <v>50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2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2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>
        <v>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2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2">
      <c r="A388" s="24"/>
      <c r="B388" s="22" t="s">
        <v>548</v>
      </c>
      <c r="C388" s="25">
        <v>148</v>
      </c>
      <c r="D388" s="25" t="s">
        <v>50</v>
      </c>
      <c r="E388" s="25">
        <v>0</v>
      </c>
      <c r="F388" s="25" t="s">
        <v>50</v>
      </c>
      <c r="G388" s="25">
        <v>1</v>
      </c>
      <c r="H388" s="25" t="s">
        <v>50</v>
      </c>
      <c r="I388" s="25">
        <v>0</v>
      </c>
      <c r="J388" s="25">
        <v>147</v>
      </c>
    </row>
    <row r="389" spans="1:10" ht="12.75" customHeight="1" x14ac:dyDescent="0.2">
      <c r="A389" s="24"/>
      <c r="B389" s="24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2">
      <c r="A390" s="22" t="s">
        <v>79</v>
      </c>
      <c r="B390" s="22" t="s">
        <v>561</v>
      </c>
      <c r="C390" s="27"/>
      <c r="D390" s="27"/>
      <c r="E390" s="27"/>
      <c r="F390" s="27"/>
      <c r="G390" s="27"/>
      <c r="H390" s="27"/>
      <c r="I390" s="27"/>
      <c r="J390" s="27"/>
    </row>
    <row r="391" spans="1:10" ht="12.75" customHeight="1" x14ac:dyDescent="0.2">
      <c r="A391" s="24"/>
      <c r="B391" s="24"/>
      <c r="C391" s="25"/>
      <c r="D391" s="25"/>
      <c r="E391" s="25"/>
      <c r="F391" s="25"/>
      <c r="G391" s="25"/>
      <c r="H391" s="25"/>
      <c r="I391" s="25"/>
      <c r="J391" s="25"/>
    </row>
    <row r="392" spans="1:10" ht="12.75" customHeight="1" x14ac:dyDescent="0.2">
      <c r="A392" s="24"/>
      <c r="B392" s="24"/>
      <c r="C392" s="25"/>
      <c r="D392" s="25"/>
      <c r="E392" s="25"/>
      <c r="F392" s="25"/>
      <c r="G392" s="25"/>
      <c r="H392" s="25"/>
      <c r="I392" s="25"/>
      <c r="J392" s="25"/>
    </row>
    <row r="393" spans="1:10" ht="12.75" customHeight="1" x14ac:dyDescent="0.2">
      <c r="A393" s="24"/>
      <c r="B393" s="22" t="s">
        <v>543</v>
      </c>
      <c r="C393" s="25">
        <v>144</v>
      </c>
      <c r="D393" s="25">
        <v>19</v>
      </c>
      <c r="E393" s="25" t="s">
        <v>50</v>
      </c>
      <c r="F393" s="25">
        <v>1</v>
      </c>
      <c r="G393" s="25">
        <v>37</v>
      </c>
      <c r="H393" s="25">
        <v>1</v>
      </c>
      <c r="I393" s="25">
        <v>0</v>
      </c>
      <c r="J393" s="25">
        <v>85</v>
      </c>
    </row>
    <row r="394" spans="1:10" ht="12.75" customHeight="1" x14ac:dyDescent="0.2">
      <c r="A394" s="24"/>
      <c r="B394" s="22" t="s">
        <v>544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11</v>
      </c>
      <c r="H394" s="25" t="s">
        <v>50</v>
      </c>
      <c r="I394" s="25">
        <v>0</v>
      </c>
      <c r="J394" s="25" t="s">
        <v>44</v>
      </c>
    </row>
    <row r="395" spans="1:10" ht="12.75" customHeight="1" x14ac:dyDescent="0.2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2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2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9</v>
      </c>
      <c r="H396" s="25" t="s">
        <v>50</v>
      </c>
      <c r="I396" s="25">
        <v>0</v>
      </c>
      <c r="J396" s="25" t="s">
        <v>44</v>
      </c>
    </row>
    <row r="397" spans="1:10" ht="12.75" customHeight="1" x14ac:dyDescent="0.2">
      <c r="A397" s="24"/>
      <c r="B397" s="22" t="s">
        <v>545</v>
      </c>
      <c r="C397" s="25" t="s">
        <v>44</v>
      </c>
      <c r="D397" s="25">
        <v>15</v>
      </c>
      <c r="E397" s="25" t="s">
        <v>50</v>
      </c>
      <c r="F397" s="25" t="s">
        <v>50</v>
      </c>
      <c r="G397" s="25">
        <v>25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2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22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2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 t="s">
        <v>50</v>
      </c>
      <c r="I399" s="25">
        <v>0</v>
      </c>
      <c r="J399" s="25" t="s">
        <v>44</v>
      </c>
    </row>
    <row r="400" spans="1:10" ht="12.75" customHeight="1" x14ac:dyDescent="0.2">
      <c r="A400" s="24"/>
      <c r="B400" s="24" t="s">
        <v>51</v>
      </c>
      <c r="C400" s="25" t="s">
        <v>44</v>
      </c>
      <c r="D400" s="25">
        <v>14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2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2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2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2">
      <c r="A403" s="24"/>
      <c r="B403" s="22" t="s">
        <v>546</v>
      </c>
      <c r="C403" s="25" t="s">
        <v>44</v>
      </c>
      <c r="D403" s="25">
        <v>3</v>
      </c>
      <c r="E403" s="25" t="s">
        <v>50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2">
      <c r="A404" s="24"/>
      <c r="B404" s="24" t="s">
        <v>547</v>
      </c>
      <c r="C404" s="25" t="s">
        <v>44</v>
      </c>
      <c r="D404" s="25">
        <v>1</v>
      </c>
      <c r="E404" s="25" t="s">
        <v>50</v>
      </c>
      <c r="F404" s="25">
        <v>0</v>
      </c>
      <c r="G404" s="25">
        <v>2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2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2">
      <c r="A406" s="24"/>
      <c r="B406" s="24" t="s">
        <v>55</v>
      </c>
      <c r="C406" s="25" t="s">
        <v>44</v>
      </c>
      <c r="D406" s="25" t="s">
        <v>50</v>
      </c>
      <c r="E406" s="25" t="s">
        <v>50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2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2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2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 t="s">
        <v>50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2">
      <c r="A410" s="24"/>
      <c r="B410" s="22" t="s">
        <v>548</v>
      </c>
      <c r="C410" s="25">
        <v>87</v>
      </c>
      <c r="D410" s="25">
        <v>1</v>
      </c>
      <c r="E410" s="25">
        <v>0</v>
      </c>
      <c r="F410" s="25" t="s">
        <v>50</v>
      </c>
      <c r="G410" s="25" t="s">
        <v>50</v>
      </c>
      <c r="H410" s="25" t="s">
        <v>50</v>
      </c>
      <c r="I410" s="25">
        <v>0</v>
      </c>
      <c r="J410" s="25">
        <v>85</v>
      </c>
    </row>
    <row r="411" spans="1:10" ht="12.75" customHeight="1" x14ac:dyDescent="0.2">
      <c r="A411" s="24"/>
      <c r="B411" s="24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2">
      <c r="A412" s="22" t="s">
        <v>80</v>
      </c>
      <c r="B412" s="22" t="s">
        <v>562</v>
      </c>
      <c r="C412" s="27"/>
      <c r="D412" s="27"/>
      <c r="E412" s="27"/>
      <c r="F412" s="27"/>
      <c r="G412" s="27"/>
      <c r="H412" s="27"/>
      <c r="I412" s="27"/>
      <c r="J412" s="27"/>
    </row>
    <row r="413" spans="1:10" ht="12.75" customHeight="1" x14ac:dyDescent="0.2">
      <c r="A413" s="24"/>
      <c r="B413" s="24"/>
      <c r="C413" s="25"/>
      <c r="D413" s="25"/>
      <c r="E413" s="25"/>
      <c r="F413" s="25"/>
      <c r="G413" s="25"/>
      <c r="H413" s="25"/>
      <c r="I413" s="25"/>
      <c r="J413" s="25"/>
    </row>
    <row r="414" spans="1:10" ht="12.75" customHeight="1" x14ac:dyDescent="0.2">
      <c r="A414" s="24"/>
      <c r="B414" s="24"/>
      <c r="C414" s="25"/>
      <c r="D414" s="25"/>
      <c r="E414" s="25"/>
      <c r="F414" s="25"/>
      <c r="G414" s="25"/>
      <c r="H414" s="25"/>
      <c r="I414" s="25"/>
      <c r="J414" s="25"/>
    </row>
    <row r="415" spans="1:10" ht="12.75" customHeight="1" x14ac:dyDescent="0.2">
      <c r="A415" s="24"/>
      <c r="B415" s="22" t="s">
        <v>543</v>
      </c>
      <c r="C415" s="25">
        <v>72</v>
      </c>
      <c r="D415" s="25">
        <v>10</v>
      </c>
      <c r="E415" s="25" t="s">
        <v>50</v>
      </c>
      <c r="F415" s="25" t="s">
        <v>50</v>
      </c>
      <c r="G415" s="25">
        <v>22</v>
      </c>
      <c r="H415" s="25" t="s">
        <v>50</v>
      </c>
      <c r="I415" s="25">
        <v>0</v>
      </c>
      <c r="J415" s="25">
        <v>40</v>
      </c>
    </row>
    <row r="416" spans="1:10" ht="12.75" customHeight="1" x14ac:dyDescent="0.2">
      <c r="A416" s="24"/>
      <c r="B416" s="22" t="s">
        <v>544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3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2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>
        <v>0</v>
      </c>
      <c r="G417" s="25" t="s">
        <v>50</v>
      </c>
      <c r="H417" s="25">
        <v>0</v>
      </c>
      <c r="I417" s="25">
        <v>0</v>
      </c>
      <c r="J417" s="25" t="s">
        <v>44</v>
      </c>
    </row>
    <row r="418" spans="1:10" ht="12.75" customHeight="1" x14ac:dyDescent="0.2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 t="s">
        <v>50</v>
      </c>
      <c r="G418" s="25">
        <v>2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2">
      <c r="A419" s="24"/>
      <c r="B419" s="22" t="s">
        <v>545</v>
      </c>
      <c r="C419" s="25" t="s">
        <v>44</v>
      </c>
      <c r="D419" s="25">
        <v>8</v>
      </c>
      <c r="E419" s="25" t="s">
        <v>50</v>
      </c>
      <c r="F419" s="25" t="s">
        <v>50</v>
      </c>
      <c r="G419" s="25">
        <v>18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2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16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2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 t="s">
        <v>50</v>
      </c>
      <c r="H421" s="25">
        <v>0</v>
      </c>
      <c r="I421" s="25">
        <v>0</v>
      </c>
      <c r="J421" s="25" t="s">
        <v>44</v>
      </c>
    </row>
    <row r="422" spans="1:10" ht="12.75" customHeight="1" x14ac:dyDescent="0.2">
      <c r="A422" s="24"/>
      <c r="B422" s="24" t="s">
        <v>51</v>
      </c>
      <c r="C422" s="25" t="s">
        <v>44</v>
      </c>
      <c r="D422" s="25">
        <v>8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2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2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1</v>
      </c>
      <c r="H424" s="25">
        <v>0</v>
      </c>
      <c r="I424" s="25">
        <v>0</v>
      </c>
      <c r="J424" s="25" t="s">
        <v>44</v>
      </c>
    </row>
    <row r="425" spans="1:10" ht="12.75" customHeight="1" x14ac:dyDescent="0.2">
      <c r="A425" s="24"/>
      <c r="B425" s="22" t="s">
        <v>546</v>
      </c>
      <c r="C425" s="25" t="s">
        <v>44</v>
      </c>
      <c r="D425" s="25">
        <v>1</v>
      </c>
      <c r="E425" s="25" t="s">
        <v>50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2">
      <c r="A426" s="24"/>
      <c r="B426" s="24" t="s">
        <v>547</v>
      </c>
      <c r="C426" s="25" t="s">
        <v>44</v>
      </c>
      <c r="D426" s="25" t="s">
        <v>50</v>
      </c>
      <c r="E426" s="25" t="s">
        <v>50</v>
      </c>
      <c r="F426" s="25">
        <v>0</v>
      </c>
      <c r="G426" s="25">
        <v>1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2">
      <c r="A427" s="24"/>
      <c r="B427" s="24" t="s">
        <v>54</v>
      </c>
      <c r="C427" s="25" t="s">
        <v>44</v>
      </c>
      <c r="D427" s="25" t="s">
        <v>50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2">
      <c r="A428" s="24"/>
      <c r="B428" s="24" t="s">
        <v>55</v>
      </c>
      <c r="C428" s="25" t="s">
        <v>44</v>
      </c>
      <c r="D428" s="25" t="s">
        <v>50</v>
      </c>
      <c r="E428" s="25" t="s">
        <v>50</v>
      </c>
      <c r="F428" s="25" t="s">
        <v>50</v>
      </c>
      <c r="G428" s="25" t="s">
        <v>50</v>
      </c>
      <c r="H428" s="25">
        <v>0</v>
      </c>
      <c r="I428" s="25">
        <v>0</v>
      </c>
      <c r="J428" s="25" t="s">
        <v>44</v>
      </c>
    </row>
    <row r="429" spans="1:10" ht="12.75" customHeight="1" x14ac:dyDescent="0.2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2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>
        <v>0</v>
      </c>
      <c r="H430" s="25">
        <v>0</v>
      </c>
      <c r="I430" s="25">
        <v>0</v>
      </c>
      <c r="J430" s="25" t="s">
        <v>44</v>
      </c>
    </row>
    <row r="431" spans="1:10" ht="12.75" customHeight="1" x14ac:dyDescent="0.2">
      <c r="A431" s="24"/>
      <c r="B431" s="24" t="s">
        <v>58</v>
      </c>
      <c r="C431" s="25" t="s">
        <v>44</v>
      </c>
      <c r="D431" s="25">
        <v>0</v>
      </c>
      <c r="E431" s="25">
        <v>0</v>
      </c>
      <c r="F431" s="25">
        <v>0</v>
      </c>
      <c r="G431" s="25">
        <v>0</v>
      </c>
      <c r="H431" s="25">
        <v>0</v>
      </c>
      <c r="I431" s="25">
        <v>0</v>
      </c>
      <c r="J431" s="25" t="s">
        <v>44</v>
      </c>
    </row>
    <row r="432" spans="1:10" ht="12.75" customHeight="1" x14ac:dyDescent="0.2">
      <c r="A432" s="24"/>
      <c r="B432" s="22" t="s">
        <v>548</v>
      </c>
      <c r="C432" s="25">
        <v>41</v>
      </c>
      <c r="D432" s="25">
        <v>1</v>
      </c>
      <c r="E432" s="25">
        <v>0</v>
      </c>
      <c r="F432" s="25">
        <v>0</v>
      </c>
      <c r="G432" s="25" t="s">
        <v>50</v>
      </c>
      <c r="H432" s="25">
        <v>0</v>
      </c>
      <c r="I432" s="25">
        <v>0</v>
      </c>
      <c r="J432" s="25">
        <v>40</v>
      </c>
    </row>
    <row r="433" spans="1:10" ht="12.75" customHeight="1" x14ac:dyDescent="0.2">
      <c r="A433" s="24"/>
      <c r="B433" s="24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2">
      <c r="A434" s="22" t="s">
        <v>81</v>
      </c>
      <c r="B434" s="22" t="s">
        <v>563</v>
      </c>
      <c r="C434" s="27"/>
      <c r="D434" s="27"/>
      <c r="E434" s="27"/>
      <c r="F434" s="27"/>
      <c r="G434" s="27"/>
      <c r="H434" s="27"/>
      <c r="I434" s="27"/>
      <c r="J434" s="27"/>
    </row>
    <row r="435" spans="1:10" ht="12.75" customHeight="1" x14ac:dyDescent="0.2">
      <c r="A435" s="29"/>
      <c r="B435" s="30"/>
      <c r="C435" s="25"/>
      <c r="D435" s="25"/>
      <c r="E435" s="25"/>
      <c r="F435" s="25"/>
      <c r="G435" s="25"/>
      <c r="H435" s="25"/>
      <c r="I435" s="25"/>
      <c r="J435" s="25"/>
    </row>
    <row r="436" spans="1:10" ht="12.75" customHeight="1" x14ac:dyDescent="0.2">
      <c r="A436" s="24"/>
      <c r="B436" s="24"/>
      <c r="C436" s="25"/>
      <c r="D436" s="25"/>
      <c r="E436" s="25"/>
      <c r="F436" s="25"/>
      <c r="G436" s="25"/>
      <c r="H436" s="25"/>
      <c r="I436" s="25"/>
      <c r="J436" s="25"/>
    </row>
    <row r="437" spans="1:10" ht="12.75" customHeight="1" x14ac:dyDescent="0.2">
      <c r="A437" s="24"/>
      <c r="B437" s="22" t="s">
        <v>543</v>
      </c>
      <c r="C437" s="25">
        <v>62</v>
      </c>
      <c r="D437" s="25">
        <v>21</v>
      </c>
      <c r="E437" s="25">
        <v>0</v>
      </c>
      <c r="F437" s="25">
        <v>1</v>
      </c>
      <c r="G437" s="25">
        <v>21</v>
      </c>
      <c r="H437" s="25">
        <v>1</v>
      </c>
      <c r="I437" s="25" t="s">
        <v>50</v>
      </c>
      <c r="J437" s="25">
        <v>17</v>
      </c>
    </row>
    <row r="438" spans="1:10" ht="12.75" customHeight="1" x14ac:dyDescent="0.2">
      <c r="A438" s="24"/>
      <c r="B438" s="22" t="s">
        <v>544</v>
      </c>
      <c r="C438" s="25" t="s">
        <v>44</v>
      </c>
      <c r="D438" s="25" t="s">
        <v>50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2">
      <c r="A439" s="24"/>
      <c r="B439" s="24" t="s">
        <v>45</v>
      </c>
      <c r="C439" s="25" t="s">
        <v>44</v>
      </c>
      <c r="D439" s="25" t="s">
        <v>50</v>
      </c>
      <c r="E439" s="25">
        <v>0</v>
      </c>
      <c r="F439" s="25" t="s">
        <v>50</v>
      </c>
      <c r="G439" s="25">
        <v>1</v>
      </c>
      <c r="H439" s="25">
        <v>0</v>
      </c>
      <c r="I439" s="25">
        <v>0</v>
      </c>
      <c r="J439" s="25" t="s">
        <v>44</v>
      </c>
    </row>
    <row r="440" spans="1:10" ht="12.75" customHeight="1" x14ac:dyDescent="0.2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>
        <v>0</v>
      </c>
      <c r="G440" s="25">
        <v>1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2">
      <c r="A441" s="24"/>
      <c r="B441" s="22" t="s">
        <v>545</v>
      </c>
      <c r="C441" s="25" t="s">
        <v>44</v>
      </c>
      <c r="D441" s="25">
        <v>17</v>
      </c>
      <c r="E441" s="25">
        <v>0</v>
      </c>
      <c r="F441" s="25" t="s">
        <v>50</v>
      </c>
      <c r="G441" s="25">
        <v>15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2">
      <c r="A442" s="24"/>
      <c r="B442" s="24" t="s">
        <v>48</v>
      </c>
      <c r="C442" s="25" t="s">
        <v>44</v>
      </c>
      <c r="D442" s="25" t="s">
        <v>60</v>
      </c>
      <c r="E442" s="25">
        <v>0</v>
      </c>
      <c r="F442" s="25">
        <v>0</v>
      </c>
      <c r="G442" s="25">
        <v>14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2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>
        <v>0</v>
      </c>
      <c r="I443" s="25">
        <v>0</v>
      </c>
      <c r="J443" s="25" t="s">
        <v>44</v>
      </c>
    </row>
    <row r="444" spans="1:10" ht="12.75" customHeight="1" x14ac:dyDescent="0.2">
      <c r="A444" s="24"/>
      <c r="B444" s="24" t="s">
        <v>51</v>
      </c>
      <c r="C444" s="25" t="s">
        <v>44</v>
      </c>
      <c r="D444" s="25">
        <v>11</v>
      </c>
      <c r="E444" s="25">
        <v>0</v>
      </c>
      <c r="F444" s="25" t="s">
        <v>50</v>
      </c>
      <c r="G444" s="25" t="s">
        <v>50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2">
      <c r="A445" s="24"/>
      <c r="B445" s="24" t="s">
        <v>52</v>
      </c>
      <c r="C445" s="25" t="s">
        <v>44</v>
      </c>
      <c r="D445" s="25">
        <v>1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2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50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2">
      <c r="A447" s="24"/>
      <c r="B447" s="22" t="s">
        <v>546</v>
      </c>
      <c r="C447" s="25" t="s">
        <v>44</v>
      </c>
      <c r="D447" s="25">
        <v>4</v>
      </c>
      <c r="E447" s="25">
        <v>0</v>
      </c>
      <c r="F447" s="25">
        <v>1</v>
      </c>
      <c r="G447" s="25">
        <v>4</v>
      </c>
      <c r="H447" s="25">
        <v>1</v>
      </c>
      <c r="I447" s="25">
        <v>0</v>
      </c>
      <c r="J447" s="25" t="s">
        <v>44</v>
      </c>
    </row>
    <row r="448" spans="1:10" ht="12.75" customHeight="1" x14ac:dyDescent="0.2">
      <c r="A448" s="24"/>
      <c r="B448" s="24" t="s">
        <v>547</v>
      </c>
      <c r="C448" s="25" t="s">
        <v>44</v>
      </c>
      <c r="D448" s="25">
        <v>2</v>
      </c>
      <c r="E448" s="25">
        <v>0</v>
      </c>
      <c r="F448" s="25" t="s">
        <v>50</v>
      </c>
      <c r="G448" s="25">
        <v>4</v>
      </c>
      <c r="H448" s="25" t="s">
        <v>50</v>
      </c>
      <c r="I448" s="25">
        <v>0</v>
      </c>
      <c r="J448" s="25" t="s">
        <v>44</v>
      </c>
    </row>
    <row r="449" spans="1:10" ht="12.75" customHeight="1" x14ac:dyDescent="0.2">
      <c r="A449" s="24"/>
      <c r="B449" s="24" t="s">
        <v>54</v>
      </c>
      <c r="C449" s="25" t="s">
        <v>44</v>
      </c>
      <c r="D449" s="25">
        <v>1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0" ht="12.75" customHeight="1" x14ac:dyDescent="0.2">
      <c r="A450" s="24"/>
      <c r="B450" s="24" t="s">
        <v>55</v>
      </c>
      <c r="C450" s="25" t="s">
        <v>44</v>
      </c>
      <c r="D450" s="25" t="s">
        <v>50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0" ht="12.75" customHeight="1" x14ac:dyDescent="0.2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0" ht="12.75" customHeight="1" x14ac:dyDescent="0.2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0" ht="12.75" customHeight="1" x14ac:dyDescent="0.2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>
        <v>0</v>
      </c>
      <c r="H453" s="25" t="s">
        <v>50</v>
      </c>
      <c r="I453" s="25">
        <v>0</v>
      </c>
      <c r="J453" s="25" t="s">
        <v>44</v>
      </c>
    </row>
    <row r="454" spans="1:10" ht="12.75" customHeight="1" x14ac:dyDescent="0.2">
      <c r="A454" s="24"/>
      <c r="B454" s="22" t="s">
        <v>548</v>
      </c>
      <c r="C454" s="25">
        <v>18</v>
      </c>
      <c r="D454" s="25" t="s">
        <v>50</v>
      </c>
      <c r="E454" s="25">
        <v>0</v>
      </c>
      <c r="F454" s="25" t="s">
        <v>50</v>
      </c>
      <c r="G454" s="25" t="s">
        <v>50</v>
      </c>
      <c r="H454" s="25" t="s">
        <v>50</v>
      </c>
      <c r="I454" s="25">
        <v>0</v>
      </c>
      <c r="J454" s="25">
        <v>17</v>
      </c>
    </row>
    <row r="455" spans="1:10" ht="12.75" customHeight="1" x14ac:dyDescent="0.2">
      <c r="A455" s="24"/>
      <c r="B455" s="24"/>
      <c r="C455" s="25"/>
      <c r="D455" s="25"/>
      <c r="E455" s="25"/>
      <c r="F455" s="25"/>
      <c r="G455" s="25"/>
      <c r="H455" s="25"/>
      <c r="I455" s="25"/>
      <c r="J455" s="25"/>
    </row>
    <row r="456" spans="1:10" s="12" customFormat="1" ht="12.75" customHeight="1" x14ac:dyDescent="0.2">
      <c r="A456" s="22" t="s">
        <v>82</v>
      </c>
      <c r="B456" s="22" t="s">
        <v>564</v>
      </c>
      <c r="C456" s="27"/>
      <c r="D456" s="27"/>
      <c r="E456" s="27"/>
      <c r="F456" s="27"/>
      <c r="G456" s="27"/>
      <c r="H456" s="27"/>
      <c r="I456" s="27"/>
      <c r="J456" s="27"/>
    </row>
    <row r="457" spans="1:10" ht="12.75" customHeight="1" x14ac:dyDescent="0.2">
      <c r="A457" s="24"/>
      <c r="B457" s="24"/>
      <c r="C457" s="25"/>
      <c r="D457" s="25"/>
      <c r="E457" s="25"/>
      <c r="F457" s="25"/>
      <c r="G457" s="25"/>
      <c r="H457" s="25"/>
      <c r="I457" s="25"/>
      <c r="J457" s="25"/>
    </row>
    <row r="458" spans="1:10" ht="12.75" customHeight="1" x14ac:dyDescent="0.2">
      <c r="A458" s="24"/>
      <c r="B458" s="24"/>
      <c r="C458" s="25"/>
      <c r="D458" s="25"/>
      <c r="E458" s="25"/>
      <c r="F458" s="25"/>
      <c r="G458" s="25"/>
      <c r="H458" s="25"/>
      <c r="I458" s="25"/>
      <c r="J458" s="25"/>
    </row>
    <row r="459" spans="1:10" ht="12.75" customHeight="1" x14ac:dyDescent="0.2">
      <c r="A459" s="24"/>
      <c r="B459" s="22" t="s">
        <v>543</v>
      </c>
      <c r="C459" s="25">
        <v>2003</v>
      </c>
      <c r="D459" s="25">
        <v>170</v>
      </c>
      <c r="E459" s="25">
        <v>8</v>
      </c>
      <c r="F459" s="25">
        <v>4</v>
      </c>
      <c r="G459" s="25">
        <v>617</v>
      </c>
      <c r="H459" s="25">
        <v>3</v>
      </c>
      <c r="I459" s="25">
        <v>32</v>
      </c>
      <c r="J459" s="25">
        <v>1170</v>
      </c>
    </row>
    <row r="460" spans="1:10" ht="12.75" customHeight="1" x14ac:dyDescent="0.2">
      <c r="A460" s="24"/>
      <c r="B460" s="22" t="s">
        <v>544</v>
      </c>
      <c r="C460" s="25" t="s">
        <v>44</v>
      </c>
      <c r="D460" s="25">
        <v>4</v>
      </c>
      <c r="E460" s="25">
        <v>7</v>
      </c>
      <c r="F460" s="25">
        <v>2</v>
      </c>
      <c r="G460" s="25">
        <v>408</v>
      </c>
      <c r="H460" s="25" t="s">
        <v>50</v>
      </c>
      <c r="I460" s="25">
        <v>32</v>
      </c>
      <c r="J460" s="25" t="s">
        <v>44</v>
      </c>
    </row>
    <row r="461" spans="1:10" ht="12.75" customHeight="1" x14ac:dyDescent="0.2">
      <c r="A461" s="24"/>
      <c r="B461" s="24" t="s">
        <v>45</v>
      </c>
      <c r="C461" s="25" t="s">
        <v>44</v>
      </c>
      <c r="D461" s="25">
        <v>4</v>
      </c>
      <c r="E461" s="25">
        <v>2</v>
      </c>
      <c r="F461" s="25" t="s">
        <v>50</v>
      </c>
      <c r="G461" s="25">
        <v>70</v>
      </c>
      <c r="H461" s="25" t="s">
        <v>50</v>
      </c>
      <c r="I461" s="25" t="s">
        <v>50</v>
      </c>
      <c r="J461" s="25" t="s">
        <v>44</v>
      </c>
    </row>
    <row r="462" spans="1:10" ht="12.75" customHeight="1" x14ac:dyDescent="0.2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339</v>
      </c>
      <c r="H462" s="25" t="s">
        <v>50</v>
      </c>
      <c r="I462" s="25">
        <v>32</v>
      </c>
      <c r="J462" s="25" t="s">
        <v>44</v>
      </c>
    </row>
    <row r="463" spans="1:10" ht="12.75" customHeight="1" x14ac:dyDescent="0.2">
      <c r="A463" s="24"/>
      <c r="B463" s="22" t="s">
        <v>545</v>
      </c>
      <c r="C463" s="25" t="s">
        <v>44</v>
      </c>
      <c r="D463" s="25">
        <v>139</v>
      </c>
      <c r="E463" s="25" t="s">
        <v>50</v>
      </c>
      <c r="F463" s="25" t="s">
        <v>50</v>
      </c>
      <c r="G463" s="25">
        <v>174</v>
      </c>
      <c r="H463" s="25" t="s">
        <v>50</v>
      </c>
      <c r="I463" s="25" t="s">
        <v>50</v>
      </c>
      <c r="J463" s="25" t="s">
        <v>44</v>
      </c>
    </row>
    <row r="464" spans="1:10" ht="12.75" customHeight="1" x14ac:dyDescent="0.2">
      <c r="A464" s="24"/>
      <c r="B464" s="24" t="s">
        <v>48</v>
      </c>
      <c r="C464" s="25" t="s">
        <v>44</v>
      </c>
      <c r="D464" s="25">
        <v>7</v>
      </c>
      <c r="E464" s="25" t="s">
        <v>50</v>
      </c>
      <c r="F464" s="25" t="s">
        <v>50</v>
      </c>
      <c r="G464" s="25">
        <v>147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2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>
        <v>2</v>
      </c>
      <c r="H465" s="25">
        <v>0</v>
      </c>
      <c r="I465" s="25">
        <v>0</v>
      </c>
      <c r="J465" s="25" t="s">
        <v>44</v>
      </c>
    </row>
    <row r="466" spans="1:10" ht="12.75" customHeight="1" x14ac:dyDescent="0.2">
      <c r="A466" s="24"/>
      <c r="B466" s="24" t="s">
        <v>51</v>
      </c>
      <c r="C466" s="25" t="s">
        <v>44</v>
      </c>
      <c r="D466" s="25">
        <v>125</v>
      </c>
      <c r="E466" s="25">
        <v>0</v>
      </c>
      <c r="F466" s="25" t="s">
        <v>50</v>
      </c>
      <c r="G466" s="25">
        <v>22</v>
      </c>
      <c r="H466" s="25" t="s">
        <v>50</v>
      </c>
      <c r="I466" s="25" t="s">
        <v>50</v>
      </c>
      <c r="J466" s="25" t="s">
        <v>44</v>
      </c>
    </row>
    <row r="467" spans="1:10" ht="12.75" customHeight="1" x14ac:dyDescent="0.2">
      <c r="A467" s="24"/>
      <c r="B467" s="24" t="s">
        <v>52</v>
      </c>
      <c r="C467" s="25" t="s">
        <v>44</v>
      </c>
      <c r="D467" s="25">
        <v>1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2">
      <c r="A468" s="24"/>
      <c r="B468" s="24" t="s">
        <v>53</v>
      </c>
      <c r="C468" s="25" t="s">
        <v>44</v>
      </c>
      <c r="D468" s="25">
        <v>2</v>
      </c>
      <c r="E468" s="25">
        <v>0</v>
      </c>
      <c r="F468" s="25" t="s">
        <v>50</v>
      </c>
      <c r="G468" s="25">
        <v>3</v>
      </c>
      <c r="H468" s="25" t="s">
        <v>50</v>
      </c>
      <c r="I468" s="25">
        <v>0</v>
      </c>
      <c r="J468" s="25" t="s">
        <v>44</v>
      </c>
    </row>
    <row r="469" spans="1:10" ht="12.75" customHeight="1" x14ac:dyDescent="0.2">
      <c r="A469" s="24"/>
      <c r="B469" s="22" t="s">
        <v>546</v>
      </c>
      <c r="C469" s="25" t="s">
        <v>44</v>
      </c>
      <c r="D469" s="25">
        <v>25</v>
      </c>
      <c r="E469" s="25" t="s">
        <v>50</v>
      </c>
      <c r="F469" s="25">
        <v>2</v>
      </c>
      <c r="G469" s="25">
        <v>33</v>
      </c>
      <c r="H469" s="25">
        <v>2</v>
      </c>
      <c r="I469" s="25" t="s">
        <v>50</v>
      </c>
      <c r="J469" s="25" t="s">
        <v>44</v>
      </c>
    </row>
    <row r="470" spans="1:10" ht="12.75" customHeight="1" x14ac:dyDescent="0.2">
      <c r="A470" s="24"/>
      <c r="B470" s="24" t="s">
        <v>547</v>
      </c>
      <c r="C470" s="25" t="s">
        <v>44</v>
      </c>
      <c r="D470" s="25">
        <v>10</v>
      </c>
      <c r="E470" s="25">
        <v>0</v>
      </c>
      <c r="F470" s="25" t="s">
        <v>50</v>
      </c>
      <c r="G470" s="25">
        <v>20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2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2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2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>
        <v>1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2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8</v>
      </c>
      <c r="H474" s="25" t="s">
        <v>50</v>
      </c>
      <c r="I474" s="25" t="s">
        <v>50</v>
      </c>
      <c r="J474" s="25" t="s">
        <v>44</v>
      </c>
    </row>
    <row r="475" spans="1:10" ht="12.75" customHeight="1" x14ac:dyDescent="0.2">
      <c r="A475" s="24"/>
      <c r="B475" s="24" t="s">
        <v>58</v>
      </c>
      <c r="C475" s="25" t="s">
        <v>44</v>
      </c>
      <c r="D475" s="25">
        <v>3</v>
      </c>
      <c r="E475" s="25">
        <v>0</v>
      </c>
      <c r="F475" s="25" t="s">
        <v>50</v>
      </c>
      <c r="G475" s="25">
        <v>1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2">
      <c r="A476" s="24"/>
      <c r="B476" s="22" t="s">
        <v>548</v>
      </c>
      <c r="C476" s="25">
        <v>1173</v>
      </c>
      <c r="D476" s="25" t="s">
        <v>60</v>
      </c>
      <c r="E476" s="25" t="s">
        <v>50</v>
      </c>
      <c r="F476" s="25">
        <v>0</v>
      </c>
      <c r="G476" s="25" t="s">
        <v>60</v>
      </c>
      <c r="H476" s="25" t="s">
        <v>50</v>
      </c>
      <c r="I476" s="25">
        <v>0</v>
      </c>
      <c r="J476" s="25">
        <v>1170</v>
      </c>
    </row>
    <row r="477" spans="1:10" ht="12.75" customHeight="1" x14ac:dyDescent="0.2">
      <c r="A477" s="24"/>
      <c r="B477" s="24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2">
      <c r="A478" s="22" t="s">
        <v>83</v>
      </c>
      <c r="B478" s="22" t="s">
        <v>565</v>
      </c>
      <c r="C478" s="27"/>
      <c r="D478" s="27"/>
      <c r="E478" s="27"/>
      <c r="F478" s="27"/>
      <c r="G478" s="27"/>
      <c r="H478" s="27"/>
      <c r="I478" s="27"/>
      <c r="J478" s="27"/>
    </row>
    <row r="479" spans="1:10" ht="12.75" customHeight="1" x14ac:dyDescent="0.2">
      <c r="A479" s="29"/>
      <c r="B479" s="30"/>
      <c r="C479" s="25"/>
      <c r="D479" s="25"/>
      <c r="E479" s="25"/>
      <c r="F479" s="25"/>
      <c r="G479" s="25"/>
      <c r="H479" s="25"/>
      <c r="I479" s="25"/>
      <c r="J479" s="25"/>
    </row>
    <row r="480" spans="1:10" ht="12.75" customHeight="1" x14ac:dyDescent="0.2">
      <c r="A480" s="24"/>
      <c r="B480" s="24"/>
      <c r="C480" s="25"/>
      <c r="D480" s="25"/>
      <c r="E480" s="25"/>
      <c r="F480" s="25"/>
      <c r="G480" s="25"/>
      <c r="H480" s="25"/>
      <c r="I480" s="25"/>
      <c r="J480" s="25"/>
    </row>
    <row r="481" spans="1:10" ht="12.75" customHeight="1" x14ac:dyDescent="0.2">
      <c r="A481" s="24"/>
      <c r="B481" s="22" t="s">
        <v>543</v>
      </c>
      <c r="C481" s="25">
        <v>345</v>
      </c>
      <c r="D481" s="25">
        <v>5</v>
      </c>
      <c r="E481" s="25">
        <v>1</v>
      </c>
      <c r="F481" s="25">
        <v>1</v>
      </c>
      <c r="G481" s="25">
        <v>55</v>
      </c>
      <c r="H481" s="25" t="s">
        <v>50</v>
      </c>
      <c r="I481" s="25">
        <v>2</v>
      </c>
      <c r="J481" s="25">
        <v>281</v>
      </c>
    </row>
    <row r="482" spans="1:10" ht="12.75" customHeight="1" x14ac:dyDescent="0.2">
      <c r="A482" s="24"/>
      <c r="B482" s="22" t="s">
        <v>544</v>
      </c>
      <c r="C482" s="25" t="s">
        <v>44</v>
      </c>
      <c r="D482" s="25" t="s">
        <v>50</v>
      </c>
      <c r="E482" s="25">
        <v>1</v>
      </c>
      <c r="F482" s="25" t="s">
        <v>50</v>
      </c>
      <c r="G482" s="25">
        <v>33</v>
      </c>
      <c r="H482" s="25" t="s">
        <v>50</v>
      </c>
      <c r="I482" s="25">
        <v>2</v>
      </c>
      <c r="J482" s="25" t="s">
        <v>44</v>
      </c>
    </row>
    <row r="483" spans="1:10" ht="12.75" customHeight="1" x14ac:dyDescent="0.2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2">
      <c r="A484" s="24"/>
      <c r="B484" s="24" t="s">
        <v>46</v>
      </c>
      <c r="C484" s="25" t="s">
        <v>44</v>
      </c>
      <c r="D484" s="25">
        <v>0</v>
      </c>
      <c r="E484" s="25">
        <v>1</v>
      </c>
      <c r="F484" s="25" t="s">
        <v>50</v>
      </c>
      <c r="G484" s="25">
        <v>32</v>
      </c>
      <c r="H484" s="25" t="s">
        <v>50</v>
      </c>
      <c r="I484" s="25">
        <v>2</v>
      </c>
      <c r="J484" s="25" t="s">
        <v>44</v>
      </c>
    </row>
    <row r="485" spans="1:10" ht="12.75" customHeight="1" x14ac:dyDescent="0.2">
      <c r="A485" s="24"/>
      <c r="B485" s="22" t="s">
        <v>545</v>
      </c>
      <c r="C485" s="25" t="s">
        <v>44</v>
      </c>
      <c r="D485" s="25">
        <v>4</v>
      </c>
      <c r="E485" s="25">
        <v>0</v>
      </c>
      <c r="F485" s="25" t="s">
        <v>50</v>
      </c>
      <c r="G485" s="25">
        <v>22</v>
      </c>
      <c r="H485" s="25">
        <v>0</v>
      </c>
      <c r="I485" s="25">
        <v>0</v>
      </c>
      <c r="J485" s="25" t="s">
        <v>44</v>
      </c>
    </row>
    <row r="486" spans="1:10" ht="12.75" customHeight="1" x14ac:dyDescent="0.2">
      <c r="A486" s="24"/>
      <c r="B486" s="24" t="s">
        <v>48</v>
      </c>
      <c r="C486" s="25" t="s">
        <v>44</v>
      </c>
      <c r="D486" s="25" t="s">
        <v>50</v>
      </c>
      <c r="E486" s="25">
        <v>0</v>
      </c>
      <c r="F486" s="25" t="s">
        <v>50</v>
      </c>
      <c r="G486" s="25">
        <v>21</v>
      </c>
      <c r="H486" s="25">
        <v>0</v>
      </c>
      <c r="I486" s="25">
        <v>0</v>
      </c>
      <c r="J486" s="25" t="s">
        <v>44</v>
      </c>
    </row>
    <row r="487" spans="1:10" ht="12.75" customHeight="1" x14ac:dyDescent="0.2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2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2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2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 t="s">
        <v>50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2">
      <c r="A491" s="24"/>
      <c r="B491" s="22" t="s">
        <v>546</v>
      </c>
      <c r="C491" s="25" t="s">
        <v>44</v>
      </c>
      <c r="D491" s="25" t="s">
        <v>50</v>
      </c>
      <c r="E491" s="25">
        <v>0</v>
      </c>
      <c r="F491" s="25" t="s">
        <v>50</v>
      </c>
      <c r="G491" s="25" t="s">
        <v>50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2">
      <c r="A492" s="24"/>
      <c r="B492" s="24" t="s">
        <v>547</v>
      </c>
      <c r="C492" s="25" t="s">
        <v>44</v>
      </c>
      <c r="D492" s="25" t="s">
        <v>50</v>
      </c>
      <c r="E492" s="25">
        <v>0</v>
      </c>
      <c r="F492" s="25" t="s">
        <v>50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2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2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2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 t="s">
        <v>50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2">
      <c r="A496" s="24"/>
      <c r="B496" s="24" t="s">
        <v>57</v>
      </c>
      <c r="C496" s="25" t="s">
        <v>44</v>
      </c>
      <c r="D496" s="25" t="s">
        <v>44</v>
      </c>
      <c r="E496" s="25">
        <v>0</v>
      </c>
      <c r="F496" s="25">
        <v>0</v>
      </c>
      <c r="G496" s="25" t="s">
        <v>50</v>
      </c>
      <c r="H496" s="25">
        <v>0</v>
      </c>
      <c r="I496" s="25">
        <v>0</v>
      </c>
      <c r="J496" s="25" t="s">
        <v>44</v>
      </c>
    </row>
    <row r="497" spans="1:10" ht="12.75" customHeight="1" x14ac:dyDescent="0.2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 t="s">
        <v>50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2">
      <c r="A498" s="24"/>
      <c r="B498" s="22" t="s">
        <v>548</v>
      </c>
      <c r="C498" s="25">
        <v>281</v>
      </c>
      <c r="D498" s="25">
        <v>0</v>
      </c>
      <c r="E498" s="25">
        <v>0</v>
      </c>
      <c r="F498" s="25">
        <v>0</v>
      </c>
      <c r="G498" s="25">
        <v>0</v>
      </c>
      <c r="H498" s="25">
        <v>0</v>
      </c>
      <c r="I498" s="25">
        <v>0</v>
      </c>
      <c r="J498" s="25">
        <v>281</v>
      </c>
    </row>
    <row r="499" spans="1:10" ht="12.75" customHeight="1" x14ac:dyDescent="0.2">
      <c r="A499" s="24"/>
      <c r="B499" s="24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2">
      <c r="A500" s="22" t="s">
        <v>566</v>
      </c>
      <c r="B500" s="22" t="s">
        <v>567</v>
      </c>
      <c r="C500" s="27"/>
      <c r="D500" s="27"/>
      <c r="E500" s="27"/>
      <c r="F500" s="27"/>
      <c r="G500" s="27"/>
      <c r="H500" s="27"/>
      <c r="I500" s="27"/>
      <c r="J500" s="27"/>
    </row>
    <row r="501" spans="1:10" ht="12.75" customHeight="1" x14ac:dyDescent="0.2">
      <c r="A501" s="24"/>
      <c r="B501" s="24"/>
      <c r="C501" s="25"/>
      <c r="D501" s="25"/>
      <c r="E501" s="25"/>
      <c r="F501" s="25"/>
      <c r="G501" s="25"/>
      <c r="H501" s="25"/>
      <c r="I501" s="25"/>
      <c r="J501" s="25"/>
    </row>
    <row r="502" spans="1:10" ht="12.75" customHeight="1" x14ac:dyDescent="0.2">
      <c r="A502" s="24"/>
      <c r="B502" s="24"/>
      <c r="C502" s="25"/>
      <c r="D502" s="25"/>
      <c r="E502" s="25"/>
      <c r="F502" s="25"/>
      <c r="G502" s="25"/>
      <c r="H502" s="25"/>
      <c r="I502" s="25"/>
      <c r="J502" s="25"/>
    </row>
    <row r="503" spans="1:10" ht="12.75" customHeight="1" x14ac:dyDescent="0.2">
      <c r="A503" s="24"/>
      <c r="B503" s="22" t="s">
        <v>543</v>
      </c>
      <c r="C503" s="25">
        <v>475</v>
      </c>
      <c r="D503" s="25">
        <v>55</v>
      </c>
      <c r="E503" s="25">
        <v>2</v>
      </c>
      <c r="F503" s="25">
        <v>1</v>
      </c>
      <c r="G503" s="25">
        <v>188</v>
      </c>
      <c r="H503" s="25" t="s">
        <v>50</v>
      </c>
      <c r="I503" s="25">
        <v>14</v>
      </c>
      <c r="J503" s="25">
        <v>214</v>
      </c>
    </row>
    <row r="504" spans="1:10" ht="12.75" customHeight="1" x14ac:dyDescent="0.2">
      <c r="A504" s="24"/>
      <c r="B504" s="22" t="s">
        <v>544</v>
      </c>
      <c r="C504" s="25" t="s">
        <v>44</v>
      </c>
      <c r="D504" s="25">
        <v>1</v>
      </c>
      <c r="E504" s="25">
        <v>2</v>
      </c>
      <c r="F504" s="25">
        <v>1</v>
      </c>
      <c r="G504" s="25">
        <v>130</v>
      </c>
      <c r="H504" s="25" t="s">
        <v>50</v>
      </c>
      <c r="I504" s="25">
        <v>14</v>
      </c>
      <c r="J504" s="25" t="s">
        <v>44</v>
      </c>
    </row>
    <row r="505" spans="1:10" ht="12.75" customHeight="1" x14ac:dyDescent="0.2">
      <c r="A505" s="24"/>
      <c r="B505" s="24" t="s">
        <v>45</v>
      </c>
      <c r="C505" s="25" t="s">
        <v>44</v>
      </c>
      <c r="D505" s="25">
        <v>1</v>
      </c>
      <c r="E505" s="25" t="s">
        <v>50</v>
      </c>
      <c r="F505" s="25" t="s">
        <v>50</v>
      </c>
      <c r="G505" s="25">
        <v>30</v>
      </c>
      <c r="H505" s="25" t="s">
        <v>50</v>
      </c>
      <c r="I505" s="25">
        <v>0</v>
      </c>
      <c r="J505" s="25" t="s">
        <v>44</v>
      </c>
    </row>
    <row r="506" spans="1:10" ht="12.75" customHeight="1" x14ac:dyDescent="0.2">
      <c r="A506" s="24"/>
      <c r="B506" s="24" t="s">
        <v>46</v>
      </c>
      <c r="C506" s="25" t="s">
        <v>44</v>
      </c>
      <c r="D506" s="25">
        <v>0</v>
      </c>
      <c r="E506" s="25">
        <v>2</v>
      </c>
      <c r="F506" s="25">
        <v>1</v>
      </c>
      <c r="G506" s="25">
        <v>101</v>
      </c>
      <c r="H506" s="25" t="s">
        <v>50</v>
      </c>
      <c r="I506" s="25">
        <v>14</v>
      </c>
      <c r="J506" s="25" t="s">
        <v>44</v>
      </c>
    </row>
    <row r="507" spans="1:10" ht="12.75" customHeight="1" x14ac:dyDescent="0.2">
      <c r="A507" s="24"/>
      <c r="B507" s="22" t="s">
        <v>545</v>
      </c>
      <c r="C507" s="25" t="s">
        <v>44</v>
      </c>
      <c r="D507" s="25">
        <v>48</v>
      </c>
      <c r="E507" s="25">
        <v>0</v>
      </c>
      <c r="F507" s="25" t="s">
        <v>50</v>
      </c>
      <c r="G507" s="25">
        <v>53</v>
      </c>
      <c r="H507" s="25" t="s">
        <v>50</v>
      </c>
      <c r="I507" s="25">
        <v>0</v>
      </c>
      <c r="J507" s="25" t="s">
        <v>44</v>
      </c>
    </row>
    <row r="508" spans="1:10" ht="12.75" customHeight="1" x14ac:dyDescent="0.2">
      <c r="A508" s="24"/>
      <c r="B508" s="24" t="s">
        <v>48</v>
      </c>
      <c r="C508" s="25" t="s">
        <v>44</v>
      </c>
      <c r="D508" s="25">
        <v>2</v>
      </c>
      <c r="E508" s="25">
        <v>0</v>
      </c>
      <c r="F508" s="25">
        <v>0</v>
      </c>
      <c r="G508" s="25">
        <v>47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2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2">
      <c r="A510" s="24"/>
      <c r="B510" s="24" t="s">
        <v>51</v>
      </c>
      <c r="C510" s="25" t="s">
        <v>44</v>
      </c>
      <c r="D510" s="25">
        <v>44</v>
      </c>
      <c r="E510" s="25">
        <v>0</v>
      </c>
      <c r="F510" s="25" t="s">
        <v>50</v>
      </c>
      <c r="G510" s="25">
        <v>6</v>
      </c>
      <c r="H510" s="25" t="s">
        <v>50</v>
      </c>
      <c r="I510" s="25">
        <v>0</v>
      </c>
      <c r="J510" s="25" t="s">
        <v>44</v>
      </c>
    </row>
    <row r="511" spans="1:10" ht="12.75" customHeight="1" x14ac:dyDescent="0.2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2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 t="s">
        <v>50</v>
      </c>
      <c r="H512" s="25">
        <v>0</v>
      </c>
      <c r="I512" s="25">
        <v>0</v>
      </c>
      <c r="J512" s="25" t="s">
        <v>44</v>
      </c>
    </row>
    <row r="513" spans="1:10" ht="12.75" customHeight="1" x14ac:dyDescent="0.2">
      <c r="A513" s="24"/>
      <c r="B513" s="22" t="s">
        <v>546</v>
      </c>
      <c r="C513" s="25" t="s">
        <v>44</v>
      </c>
      <c r="D513" s="25">
        <v>7</v>
      </c>
      <c r="E513" s="25" t="s">
        <v>50</v>
      </c>
      <c r="F513" s="25" t="s">
        <v>50</v>
      </c>
      <c r="G513" s="25">
        <v>4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2">
      <c r="A514" s="24"/>
      <c r="B514" s="24" t="s">
        <v>547</v>
      </c>
      <c r="C514" s="25" t="s">
        <v>44</v>
      </c>
      <c r="D514" s="25">
        <v>2</v>
      </c>
      <c r="E514" s="25">
        <v>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2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2">
      <c r="A516" s="24"/>
      <c r="B516" s="24" t="s">
        <v>55</v>
      </c>
      <c r="C516" s="25" t="s">
        <v>44</v>
      </c>
      <c r="D516" s="25" t="s">
        <v>50</v>
      </c>
      <c r="E516" s="25">
        <v>0</v>
      </c>
      <c r="F516" s="25" t="s">
        <v>50</v>
      </c>
      <c r="G516" s="25" t="s">
        <v>50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2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 t="s">
        <v>50</v>
      </c>
      <c r="G517" s="25">
        <v>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2">
      <c r="A518" s="24"/>
      <c r="B518" s="24" t="s">
        <v>57</v>
      </c>
      <c r="C518" s="25" t="s">
        <v>44</v>
      </c>
      <c r="D518" s="25" t="s">
        <v>44</v>
      </c>
      <c r="E518" s="25" t="s">
        <v>50</v>
      </c>
      <c r="F518" s="25" t="s">
        <v>50</v>
      </c>
      <c r="G518" s="25" t="s">
        <v>50</v>
      </c>
      <c r="H518" s="25" t="s">
        <v>50</v>
      </c>
      <c r="I518" s="25">
        <v>0</v>
      </c>
      <c r="J518" s="25" t="s">
        <v>44</v>
      </c>
    </row>
    <row r="519" spans="1:10" ht="12.75" customHeight="1" x14ac:dyDescent="0.2">
      <c r="A519" s="24"/>
      <c r="B519" s="24" t="s">
        <v>58</v>
      </c>
      <c r="C519" s="25" t="s">
        <v>44</v>
      </c>
      <c r="D519" s="25">
        <v>2</v>
      </c>
      <c r="E519" s="25">
        <v>0</v>
      </c>
      <c r="F519" s="25" t="s">
        <v>50</v>
      </c>
      <c r="G519" s="25">
        <v>1</v>
      </c>
      <c r="H519" s="25">
        <v>0</v>
      </c>
      <c r="I519" s="25">
        <v>0</v>
      </c>
      <c r="J519" s="25" t="s">
        <v>44</v>
      </c>
    </row>
    <row r="520" spans="1:10" ht="12.75" customHeight="1" x14ac:dyDescent="0.2">
      <c r="A520" s="24"/>
      <c r="B520" s="22" t="s">
        <v>548</v>
      </c>
      <c r="C520" s="25">
        <v>214</v>
      </c>
      <c r="D520" s="25">
        <v>0</v>
      </c>
      <c r="E520" s="25">
        <v>0</v>
      </c>
      <c r="F520" s="25">
        <v>0</v>
      </c>
      <c r="G520" s="25">
        <v>0</v>
      </c>
      <c r="H520" s="25" t="s">
        <v>50</v>
      </c>
      <c r="I520" s="25">
        <v>0</v>
      </c>
      <c r="J520" s="25">
        <v>214</v>
      </c>
    </row>
    <row r="521" spans="1:10" ht="12.75" customHeight="1" x14ac:dyDescent="0.2">
      <c r="A521" s="24"/>
      <c r="B521" s="24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2">
      <c r="A522" s="22" t="s">
        <v>84</v>
      </c>
      <c r="B522" s="22" t="s">
        <v>568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2">
      <c r="A523" s="29"/>
      <c r="B523" s="30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2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2">
      <c r="A525" s="24"/>
      <c r="B525" s="22" t="s">
        <v>543</v>
      </c>
      <c r="C525" s="25">
        <v>986</v>
      </c>
      <c r="D525" s="25">
        <v>61</v>
      </c>
      <c r="E525" s="25">
        <v>3</v>
      </c>
      <c r="F525" s="25">
        <v>2</v>
      </c>
      <c r="G525" s="25">
        <v>279</v>
      </c>
      <c r="H525" s="25" t="s">
        <v>50</v>
      </c>
      <c r="I525" s="25">
        <v>13</v>
      </c>
      <c r="J525" s="25">
        <v>629</v>
      </c>
    </row>
    <row r="526" spans="1:10" ht="12.75" customHeight="1" x14ac:dyDescent="0.2">
      <c r="A526" s="24"/>
      <c r="B526" s="22" t="s">
        <v>544</v>
      </c>
      <c r="C526" s="25" t="s">
        <v>44</v>
      </c>
      <c r="D526" s="25">
        <v>3</v>
      </c>
      <c r="E526" s="25">
        <v>2</v>
      </c>
      <c r="F526" s="25">
        <v>1</v>
      </c>
      <c r="G526" s="25">
        <v>197</v>
      </c>
      <c r="H526" s="25" t="s">
        <v>50</v>
      </c>
      <c r="I526" s="25">
        <v>13</v>
      </c>
      <c r="J526" s="25" t="s">
        <v>44</v>
      </c>
    </row>
    <row r="527" spans="1:10" ht="12.75" customHeight="1" x14ac:dyDescent="0.2">
      <c r="A527" s="24"/>
      <c r="B527" s="24" t="s">
        <v>45</v>
      </c>
      <c r="C527" s="25" t="s">
        <v>44</v>
      </c>
      <c r="D527" s="25">
        <v>3</v>
      </c>
      <c r="E527" s="25">
        <v>1</v>
      </c>
      <c r="F527" s="25" t="s">
        <v>50</v>
      </c>
      <c r="G527" s="25">
        <v>27</v>
      </c>
      <c r="H527" s="25">
        <v>0</v>
      </c>
      <c r="I527" s="25" t="s">
        <v>50</v>
      </c>
      <c r="J527" s="25" t="s">
        <v>44</v>
      </c>
    </row>
    <row r="528" spans="1:10" ht="12.75" customHeight="1" x14ac:dyDescent="0.2">
      <c r="A528" s="24"/>
      <c r="B528" s="24" t="s">
        <v>46</v>
      </c>
      <c r="C528" s="25" t="s">
        <v>44</v>
      </c>
      <c r="D528" s="25">
        <v>0</v>
      </c>
      <c r="E528" s="25">
        <v>2</v>
      </c>
      <c r="F528" s="25">
        <v>1</v>
      </c>
      <c r="G528" s="25">
        <v>170</v>
      </c>
      <c r="H528" s="25" t="s">
        <v>50</v>
      </c>
      <c r="I528" s="25">
        <v>13</v>
      </c>
      <c r="J528" s="25" t="s">
        <v>44</v>
      </c>
    </row>
    <row r="529" spans="1:10" ht="12.75" customHeight="1" x14ac:dyDescent="0.2">
      <c r="A529" s="24"/>
      <c r="B529" s="22" t="s">
        <v>545</v>
      </c>
      <c r="C529" s="25" t="s">
        <v>44</v>
      </c>
      <c r="D529" s="25">
        <v>50</v>
      </c>
      <c r="E529" s="25" t="s">
        <v>50</v>
      </c>
      <c r="F529" s="25" t="s">
        <v>50</v>
      </c>
      <c r="G529" s="25">
        <v>65</v>
      </c>
      <c r="H529" s="25" t="s">
        <v>50</v>
      </c>
      <c r="I529" s="25" t="s">
        <v>50</v>
      </c>
      <c r="J529" s="25" t="s">
        <v>44</v>
      </c>
    </row>
    <row r="530" spans="1:10" ht="12.75" customHeight="1" x14ac:dyDescent="0.2">
      <c r="A530" s="24"/>
      <c r="B530" s="24" t="s">
        <v>48</v>
      </c>
      <c r="C530" s="25" t="s">
        <v>44</v>
      </c>
      <c r="D530" s="25">
        <v>3</v>
      </c>
      <c r="E530" s="25" t="s">
        <v>50</v>
      </c>
      <c r="F530" s="25" t="s">
        <v>50</v>
      </c>
      <c r="G530" s="25">
        <v>52</v>
      </c>
      <c r="H530" s="25" t="s">
        <v>50</v>
      </c>
      <c r="I530" s="25">
        <v>0</v>
      </c>
      <c r="J530" s="25" t="s">
        <v>44</v>
      </c>
    </row>
    <row r="531" spans="1:10" ht="12.75" customHeight="1" x14ac:dyDescent="0.2">
      <c r="A531" s="24"/>
      <c r="B531" s="24" t="s">
        <v>49</v>
      </c>
      <c r="C531" s="25" t="s">
        <v>44</v>
      </c>
      <c r="D531" s="25">
        <v>1</v>
      </c>
      <c r="E531" s="25">
        <v>0</v>
      </c>
      <c r="F531" s="25">
        <v>0</v>
      </c>
      <c r="G531" s="25">
        <v>2</v>
      </c>
      <c r="H531" s="25">
        <v>0</v>
      </c>
      <c r="I531" s="25">
        <v>0</v>
      </c>
      <c r="J531" s="25" t="s">
        <v>44</v>
      </c>
    </row>
    <row r="532" spans="1:10" ht="12.75" customHeight="1" x14ac:dyDescent="0.2">
      <c r="A532" s="24"/>
      <c r="B532" s="24" t="s">
        <v>51</v>
      </c>
      <c r="C532" s="25" t="s">
        <v>44</v>
      </c>
      <c r="D532" s="25">
        <v>44</v>
      </c>
      <c r="E532" s="25">
        <v>0</v>
      </c>
      <c r="F532" s="25" t="s">
        <v>50</v>
      </c>
      <c r="G532" s="25">
        <v>9</v>
      </c>
      <c r="H532" s="25" t="s">
        <v>50</v>
      </c>
      <c r="I532" s="25" t="s">
        <v>50</v>
      </c>
      <c r="J532" s="25" t="s">
        <v>44</v>
      </c>
    </row>
    <row r="533" spans="1:10" ht="12.75" customHeight="1" x14ac:dyDescent="0.2">
      <c r="A533" s="24"/>
      <c r="B533" s="24" t="s">
        <v>52</v>
      </c>
      <c r="C533" s="25" t="s">
        <v>44</v>
      </c>
      <c r="D533" s="25" t="s">
        <v>50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0" ht="12.75" customHeight="1" x14ac:dyDescent="0.2">
      <c r="A534" s="24"/>
      <c r="B534" s="24" t="s">
        <v>53</v>
      </c>
      <c r="C534" s="25" t="s">
        <v>44</v>
      </c>
      <c r="D534" s="25">
        <v>1</v>
      </c>
      <c r="E534" s="25">
        <v>0</v>
      </c>
      <c r="F534" s="25" t="s">
        <v>50</v>
      </c>
      <c r="G534" s="25">
        <v>2</v>
      </c>
      <c r="H534" s="25" t="s">
        <v>50</v>
      </c>
      <c r="I534" s="25">
        <v>0</v>
      </c>
      <c r="J534" s="25" t="s">
        <v>44</v>
      </c>
    </row>
    <row r="535" spans="1:10" ht="12.75" customHeight="1" x14ac:dyDescent="0.2">
      <c r="A535" s="24"/>
      <c r="B535" s="22" t="s">
        <v>546</v>
      </c>
      <c r="C535" s="25" t="s">
        <v>44</v>
      </c>
      <c r="D535" s="25">
        <v>8</v>
      </c>
      <c r="E535" s="25">
        <v>0</v>
      </c>
      <c r="F535" s="25">
        <v>1</v>
      </c>
      <c r="G535" s="25">
        <v>17</v>
      </c>
      <c r="H535" s="25" t="s">
        <v>50</v>
      </c>
      <c r="I535" s="25" t="s">
        <v>50</v>
      </c>
      <c r="J535" s="25" t="s">
        <v>44</v>
      </c>
    </row>
    <row r="536" spans="1:10" ht="12.75" customHeight="1" x14ac:dyDescent="0.2">
      <c r="A536" s="24"/>
      <c r="B536" s="24" t="s">
        <v>547</v>
      </c>
      <c r="C536" s="25" t="s">
        <v>44</v>
      </c>
      <c r="D536" s="25">
        <v>3</v>
      </c>
      <c r="E536" s="25">
        <v>0</v>
      </c>
      <c r="F536" s="25" t="s">
        <v>50</v>
      </c>
      <c r="G536" s="25">
        <v>7</v>
      </c>
      <c r="H536" s="25" t="s">
        <v>50</v>
      </c>
      <c r="I536" s="25">
        <v>0</v>
      </c>
      <c r="J536" s="25" t="s">
        <v>44</v>
      </c>
    </row>
    <row r="537" spans="1:10" ht="12.75" customHeight="1" x14ac:dyDescent="0.2">
      <c r="A537" s="24"/>
      <c r="B537" s="24" t="s">
        <v>54</v>
      </c>
      <c r="C537" s="25" t="s">
        <v>44</v>
      </c>
      <c r="D537" s="25">
        <v>3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0" ht="12.75" customHeight="1" x14ac:dyDescent="0.2">
      <c r="A538" s="24"/>
      <c r="B538" s="24" t="s">
        <v>55</v>
      </c>
      <c r="C538" s="25" t="s">
        <v>44</v>
      </c>
      <c r="D538" s="25">
        <v>1</v>
      </c>
      <c r="E538" s="25">
        <v>0</v>
      </c>
      <c r="F538" s="25" t="s">
        <v>50</v>
      </c>
      <c r="G538" s="25">
        <v>2</v>
      </c>
      <c r="H538" s="25" t="s">
        <v>50</v>
      </c>
      <c r="I538" s="25">
        <v>0</v>
      </c>
      <c r="J538" s="25" t="s">
        <v>44</v>
      </c>
    </row>
    <row r="539" spans="1:10" ht="12.75" customHeight="1" x14ac:dyDescent="0.2">
      <c r="A539" s="24"/>
      <c r="B539" s="24" t="s">
        <v>56</v>
      </c>
      <c r="C539" s="25" t="s">
        <v>44</v>
      </c>
      <c r="D539" s="25" t="s">
        <v>50</v>
      </c>
      <c r="E539" s="25" t="s">
        <v>44</v>
      </c>
      <c r="F539" s="25">
        <v>1</v>
      </c>
      <c r="G539" s="25">
        <v>1</v>
      </c>
      <c r="H539" s="25" t="s">
        <v>50</v>
      </c>
      <c r="I539" s="25" t="s">
        <v>44</v>
      </c>
      <c r="J539" s="25" t="s">
        <v>44</v>
      </c>
    </row>
    <row r="540" spans="1:10" ht="12.75" customHeight="1" x14ac:dyDescent="0.2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7</v>
      </c>
      <c r="H540" s="25" t="s">
        <v>50</v>
      </c>
      <c r="I540" s="25" t="s">
        <v>50</v>
      </c>
      <c r="J540" s="25" t="s">
        <v>44</v>
      </c>
    </row>
    <row r="541" spans="1:10" ht="12.75" customHeight="1" x14ac:dyDescent="0.2">
      <c r="A541" s="24"/>
      <c r="B541" s="24" t="s">
        <v>58</v>
      </c>
      <c r="C541" s="25" t="s">
        <v>44</v>
      </c>
      <c r="D541" s="25">
        <v>1</v>
      </c>
      <c r="E541" s="25">
        <v>0</v>
      </c>
      <c r="F541" s="25">
        <v>0</v>
      </c>
      <c r="G541" s="25" t="s">
        <v>50</v>
      </c>
      <c r="H541" s="25" t="s">
        <v>50</v>
      </c>
      <c r="I541" s="25">
        <v>0</v>
      </c>
      <c r="J541" s="25" t="s">
        <v>44</v>
      </c>
    </row>
    <row r="542" spans="1:10" ht="12.75" customHeight="1" x14ac:dyDescent="0.2">
      <c r="A542" s="24"/>
      <c r="B542" s="22" t="s">
        <v>548</v>
      </c>
      <c r="C542" s="25">
        <v>629</v>
      </c>
      <c r="D542" s="25">
        <v>0</v>
      </c>
      <c r="E542" s="25" t="s">
        <v>50</v>
      </c>
      <c r="F542" s="25">
        <v>0</v>
      </c>
      <c r="G542" s="25">
        <v>0</v>
      </c>
      <c r="H542" s="25" t="s">
        <v>50</v>
      </c>
      <c r="I542" s="25">
        <v>0</v>
      </c>
      <c r="J542" s="25">
        <v>629</v>
      </c>
    </row>
    <row r="543" spans="1:10" ht="12.75" customHeight="1" x14ac:dyDescent="0.2">
      <c r="A543" s="24"/>
      <c r="B543" s="24"/>
      <c r="C543" s="25"/>
      <c r="D543" s="25"/>
      <c r="E543" s="25"/>
      <c r="F543" s="25"/>
      <c r="G543" s="25"/>
      <c r="H543" s="25"/>
      <c r="I543" s="25"/>
      <c r="J543" s="25"/>
    </row>
    <row r="544" spans="1:10" s="12" customFormat="1" ht="12.75" customHeight="1" x14ac:dyDescent="0.2">
      <c r="A544" s="22" t="s">
        <v>85</v>
      </c>
      <c r="B544" s="22" t="s">
        <v>569</v>
      </c>
      <c r="C544" s="27"/>
      <c r="D544" s="27"/>
      <c r="E544" s="27"/>
      <c r="F544" s="27"/>
      <c r="G544" s="27"/>
      <c r="H544" s="27"/>
      <c r="I544" s="27"/>
      <c r="J544" s="27"/>
    </row>
    <row r="545" spans="1:10" ht="12.75" customHeight="1" x14ac:dyDescent="0.2">
      <c r="A545" s="24"/>
      <c r="B545" s="24"/>
      <c r="C545" s="25"/>
      <c r="D545" s="25"/>
      <c r="E545" s="25"/>
      <c r="F545" s="25"/>
      <c r="G545" s="25"/>
      <c r="H545" s="25"/>
      <c r="I545" s="25"/>
      <c r="J545" s="25"/>
    </row>
    <row r="546" spans="1:10" ht="12.75" customHeight="1" x14ac:dyDescent="0.2">
      <c r="A546" s="24"/>
      <c r="B546" s="24"/>
      <c r="C546" s="25"/>
      <c r="D546" s="25"/>
      <c r="E546" s="25"/>
      <c r="F546" s="25"/>
      <c r="G546" s="25"/>
      <c r="H546" s="25"/>
      <c r="I546" s="25"/>
      <c r="J546" s="25"/>
    </row>
    <row r="547" spans="1:10" ht="12.75" customHeight="1" x14ac:dyDescent="0.2">
      <c r="A547" s="24"/>
      <c r="B547" s="22" t="s">
        <v>543</v>
      </c>
      <c r="C547" s="25">
        <v>53</v>
      </c>
      <c r="D547" s="25">
        <v>31</v>
      </c>
      <c r="E547" s="25" t="s">
        <v>50</v>
      </c>
      <c r="F547" s="25" t="s">
        <v>50</v>
      </c>
      <c r="G547" s="25">
        <v>21</v>
      </c>
      <c r="H547" s="25" t="s">
        <v>50</v>
      </c>
      <c r="I547" s="25">
        <v>0</v>
      </c>
      <c r="J547" s="25" t="s">
        <v>50</v>
      </c>
    </row>
    <row r="548" spans="1:10" ht="12.75" customHeight="1" x14ac:dyDescent="0.2">
      <c r="A548" s="24"/>
      <c r="B548" s="22" t="s">
        <v>544</v>
      </c>
      <c r="C548" s="25" t="s">
        <v>44</v>
      </c>
      <c r="D548" s="25" t="s">
        <v>50</v>
      </c>
      <c r="E548" s="25">
        <v>0</v>
      </c>
      <c r="F548" s="25">
        <v>0</v>
      </c>
      <c r="G548" s="25">
        <v>3</v>
      </c>
      <c r="H548" s="25" t="s">
        <v>50</v>
      </c>
      <c r="I548" s="25">
        <v>0</v>
      </c>
      <c r="J548" s="25" t="s">
        <v>44</v>
      </c>
    </row>
    <row r="549" spans="1:10" ht="12.75" customHeight="1" x14ac:dyDescent="0.2">
      <c r="A549" s="24"/>
      <c r="B549" s="24" t="s">
        <v>45</v>
      </c>
      <c r="C549" s="25" t="s">
        <v>44</v>
      </c>
      <c r="D549" s="25" t="s">
        <v>50</v>
      </c>
      <c r="E549" s="25">
        <v>0</v>
      </c>
      <c r="F549" s="25">
        <v>0</v>
      </c>
      <c r="G549" s="25">
        <v>3</v>
      </c>
      <c r="H549" s="25" t="s">
        <v>50</v>
      </c>
      <c r="I549" s="25">
        <v>0</v>
      </c>
      <c r="J549" s="25" t="s">
        <v>44</v>
      </c>
    </row>
    <row r="550" spans="1:10" ht="12.75" customHeight="1" x14ac:dyDescent="0.2">
      <c r="A550" s="24"/>
      <c r="B550" s="24" t="s">
        <v>46</v>
      </c>
      <c r="C550" s="25" t="s">
        <v>44</v>
      </c>
      <c r="D550" s="25">
        <v>0</v>
      </c>
      <c r="E550" s="25">
        <v>0</v>
      </c>
      <c r="F550" s="25">
        <v>0</v>
      </c>
      <c r="G550" s="25" t="s">
        <v>50</v>
      </c>
      <c r="H550" s="25">
        <v>0</v>
      </c>
      <c r="I550" s="25">
        <v>0</v>
      </c>
      <c r="J550" s="25" t="s">
        <v>44</v>
      </c>
    </row>
    <row r="551" spans="1:10" ht="12.75" customHeight="1" x14ac:dyDescent="0.2">
      <c r="A551" s="24"/>
      <c r="B551" s="22" t="s">
        <v>545</v>
      </c>
      <c r="C551" s="25" t="s">
        <v>44</v>
      </c>
      <c r="D551" s="25">
        <v>20</v>
      </c>
      <c r="E551" s="25">
        <v>0</v>
      </c>
      <c r="F551" s="25" t="s">
        <v>50</v>
      </c>
      <c r="G551" s="25">
        <v>9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2">
      <c r="A552" s="24"/>
      <c r="B552" s="24" t="s">
        <v>48</v>
      </c>
      <c r="C552" s="25" t="s">
        <v>44</v>
      </c>
      <c r="D552" s="25">
        <v>1</v>
      </c>
      <c r="E552" s="25">
        <v>0</v>
      </c>
      <c r="F552" s="25">
        <v>0</v>
      </c>
      <c r="G552" s="25">
        <v>6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2">
      <c r="A553" s="24"/>
      <c r="B553" s="24" t="s">
        <v>49</v>
      </c>
      <c r="C553" s="25" t="s">
        <v>44</v>
      </c>
      <c r="D553" s="25">
        <v>2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2">
      <c r="A554" s="24"/>
      <c r="B554" s="24" t="s">
        <v>51</v>
      </c>
      <c r="C554" s="25" t="s">
        <v>44</v>
      </c>
      <c r="D554" s="25">
        <v>17</v>
      </c>
      <c r="E554" s="25">
        <v>0</v>
      </c>
      <c r="F554" s="25" t="s">
        <v>50</v>
      </c>
      <c r="G554" s="25">
        <v>2</v>
      </c>
      <c r="H554" s="25">
        <v>0</v>
      </c>
      <c r="I554" s="25">
        <v>0</v>
      </c>
      <c r="J554" s="25" t="s">
        <v>44</v>
      </c>
    </row>
    <row r="555" spans="1:10" ht="12.75" customHeight="1" x14ac:dyDescent="0.2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2">
      <c r="A556" s="24"/>
      <c r="B556" s="24" t="s">
        <v>53</v>
      </c>
      <c r="C556" s="25" t="s">
        <v>44</v>
      </c>
      <c r="D556" s="25" t="s">
        <v>50</v>
      </c>
      <c r="E556" s="25">
        <v>0</v>
      </c>
      <c r="F556" s="25">
        <v>0</v>
      </c>
      <c r="G556" s="25" t="s">
        <v>50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2">
      <c r="A557" s="24"/>
      <c r="B557" s="22" t="s">
        <v>546</v>
      </c>
      <c r="C557" s="25" t="s">
        <v>44</v>
      </c>
      <c r="D557" s="25">
        <v>11</v>
      </c>
      <c r="E557" s="25" t="s">
        <v>50</v>
      </c>
      <c r="F557" s="25" t="s">
        <v>50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2">
      <c r="A558" s="24"/>
      <c r="B558" s="24" t="s">
        <v>547</v>
      </c>
      <c r="C558" s="25" t="s">
        <v>44</v>
      </c>
      <c r="D558" s="25">
        <v>5</v>
      </c>
      <c r="E558" s="25" t="s">
        <v>50</v>
      </c>
      <c r="F558" s="25">
        <v>0</v>
      </c>
      <c r="G558" s="25">
        <v>7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2">
      <c r="A559" s="24"/>
      <c r="B559" s="24" t="s">
        <v>54</v>
      </c>
      <c r="C559" s="25" t="s">
        <v>44</v>
      </c>
      <c r="D559" s="25">
        <v>4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2">
      <c r="A560" s="24"/>
      <c r="B560" s="24" t="s">
        <v>55</v>
      </c>
      <c r="C560" s="25" t="s">
        <v>44</v>
      </c>
      <c r="D560" s="25">
        <v>2</v>
      </c>
      <c r="E560" s="25">
        <v>0</v>
      </c>
      <c r="F560" s="25">
        <v>0</v>
      </c>
      <c r="G560" s="25" t="s">
        <v>50</v>
      </c>
      <c r="H560" s="25">
        <v>0</v>
      </c>
      <c r="I560" s="25">
        <v>0</v>
      </c>
      <c r="J560" s="25" t="s">
        <v>44</v>
      </c>
    </row>
    <row r="561" spans="1:10" ht="12.75" customHeight="1" x14ac:dyDescent="0.2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 t="s">
        <v>50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0" ht="12.75" customHeight="1" x14ac:dyDescent="0.2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 t="s">
        <v>50</v>
      </c>
      <c r="G562" s="25" t="s">
        <v>50</v>
      </c>
      <c r="H562" s="25" t="s">
        <v>50</v>
      </c>
      <c r="I562" s="25">
        <v>0</v>
      </c>
      <c r="J562" s="25" t="s">
        <v>44</v>
      </c>
    </row>
    <row r="563" spans="1:10" ht="12.75" customHeight="1" x14ac:dyDescent="0.2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25" t="s">
        <v>60</v>
      </c>
      <c r="H563" s="25">
        <v>0</v>
      </c>
      <c r="I563" s="25">
        <v>0</v>
      </c>
      <c r="J563" s="25" t="s">
        <v>44</v>
      </c>
    </row>
    <row r="564" spans="1:10" ht="12.75" customHeight="1" x14ac:dyDescent="0.2">
      <c r="A564" s="24"/>
      <c r="B564" s="22" t="s">
        <v>548</v>
      </c>
      <c r="C564" s="25" t="s">
        <v>50</v>
      </c>
      <c r="D564" s="25" t="s">
        <v>50</v>
      </c>
      <c r="E564" s="25">
        <v>0</v>
      </c>
      <c r="F564" s="25">
        <v>0</v>
      </c>
      <c r="G564" s="25" t="s">
        <v>50</v>
      </c>
      <c r="H564" s="25" t="s">
        <v>50</v>
      </c>
      <c r="I564" s="25">
        <v>0</v>
      </c>
      <c r="J564" s="25" t="s">
        <v>50</v>
      </c>
    </row>
    <row r="565" spans="1:10" ht="12.75" customHeight="1" x14ac:dyDescent="0.2">
      <c r="A565" s="24"/>
      <c r="B565" s="24"/>
      <c r="C565" s="25"/>
      <c r="D565" s="25"/>
      <c r="E565" s="25"/>
      <c r="F565" s="25"/>
      <c r="G565" s="25"/>
      <c r="H565" s="25"/>
      <c r="I565" s="25"/>
      <c r="J565" s="25"/>
    </row>
    <row r="566" spans="1:10" s="12" customFormat="1" ht="12.75" customHeight="1" x14ac:dyDescent="0.2">
      <c r="A566" s="22" t="s">
        <v>86</v>
      </c>
      <c r="B566" s="22" t="s">
        <v>570</v>
      </c>
      <c r="C566" s="27"/>
      <c r="D566" s="27"/>
      <c r="E566" s="27"/>
      <c r="F566" s="27"/>
      <c r="G566" s="27"/>
      <c r="H566" s="27"/>
      <c r="I566" s="27"/>
      <c r="J566" s="27"/>
    </row>
    <row r="567" spans="1:10" ht="12.75" customHeight="1" x14ac:dyDescent="0.2">
      <c r="A567" s="29"/>
      <c r="B567" s="30"/>
      <c r="C567" s="25"/>
      <c r="D567" s="25"/>
      <c r="E567" s="25"/>
      <c r="F567" s="25"/>
      <c r="G567" s="25"/>
      <c r="H567" s="25"/>
      <c r="I567" s="25"/>
      <c r="J567" s="25"/>
    </row>
    <row r="568" spans="1:10" ht="12.75" customHeight="1" x14ac:dyDescent="0.2">
      <c r="A568" s="24"/>
      <c r="B568" s="24"/>
      <c r="C568" s="25"/>
      <c r="D568" s="25"/>
      <c r="E568" s="25"/>
      <c r="F568" s="25"/>
      <c r="G568" s="25"/>
      <c r="H568" s="25"/>
      <c r="I568" s="25"/>
      <c r="J568" s="25"/>
    </row>
    <row r="569" spans="1:10" ht="12.75" customHeight="1" x14ac:dyDescent="0.2">
      <c r="A569" s="24"/>
      <c r="B569" s="22" t="s">
        <v>543</v>
      </c>
      <c r="C569" s="25">
        <v>3543</v>
      </c>
      <c r="D569" s="25">
        <v>160</v>
      </c>
      <c r="E569" s="25">
        <v>2</v>
      </c>
      <c r="F569" s="25">
        <v>7</v>
      </c>
      <c r="G569" s="25">
        <v>1109</v>
      </c>
      <c r="H569" s="25">
        <v>29</v>
      </c>
      <c r="I569" s="25">
        <v>7</v>
      </c>
      <c r="J569" s="25">
        <v>2231</v>
      </c>
    </row>
    <row r="570" spans="1:10" ht="12.75" customHeight="1" x14ac:dyDescent="0.2">
      <c r="A570" s="24"/>
      <c r="B570" s="22" t="s">
        <v>544</v>
      </c>
      <c r="C570" s="25" t="s">
        <v>44</v>
      </c>
      <c r="D570" s="25" t="s">
        <v>50</v>
      </c>
      <c r="E570" s="25" t="s">
        <v>50</v>
      </c>
      <c r="F570" s="25" t="s">
        <v>50</v>
      </c>
      <c r="G570" s="25">
        <v>352</v>
      </c>
      <c r="H570" s="25">
        <v>5</v>
      </c>
      <c r="I570" s="25">
        <v>0</v>
      </c>
      <c r="J570" s="25" t="s">
        <v>44</v>
      </c>
    </row>
    <row r="571" spans="1:10" ht="12.75" customHeight="1" x14ac:dyDescent="0.2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108</v>
      </c>
      <c r="H571" s="25">
        <v>4</v>
      </c>
      <c r="I571" s="25">
        <v>0</v>
      </c>
      <c r="J571" s="25" t="s">
        <v>44</v>
      </c>
    </row>
    <row r="572" spans="1:10" ht="12.75" customHeight="1" x14ac:dyDescent="0.2">
      <c r="A572" s="24"/>
      <c r="B572" s="24" t="s">
        <v>46</v>
      </c>
      <c r="C572" s="25" t="s">
        <v>44</v>
      </c>
      <c r="D572" s="25">
        <v>0</v>
      </c>
      <c r="E572" s="25" t="s">
        <v>50</v>
      </c>
      <c r="F572" s="25" t="s">
        <v>50</v>
      </c>
      <c r="G572" s="25">
        <v>245</v>
      </c>
      <c r="H572" s="25">
        <v>1</v>
      </c>
      <c r="I572" s="25">
        <v>0</v>
      </c>
      <c r="J572" s="25" t="s">
        <v>44</v>
      </c>
    </row>
    <row r="573" spans="1:10" ht="12.75" customHeight="1" x14ac:dyDescent="0.2">
      <c r="A573" s="24"/>
      <c r="B573" s="22" t="s">
        <v>545</v>
      </c>
      <c r="C573" s="25" t="s">
        <v>44</v>
      </c>
      <c r="D573" s="25">
        <v>150</v>
      </c>
      <c r="E573" s="25">
        <v>2</v>
      </c>
      <c r="F573" s="25">
        <v>3</v>
      </c>
      <c r="G573" s="25">
        <v>707</v>
      </c>
      <c r="H573" s="25">
        <v>23</v>
      </c>
      <c r="I573" s="25">
        <v>7</v>
      </c>
      <c r="J573" s="25" t="s">
        <v>44</v>
      </c>
    </row>
    <row r="574" spans="1:10" ht="12.75" customHeight="1" x14ac:dyDescent="0.2">
      <c r="A574" s="24"/>
      <c r="B574" s="24" t="s">
        <v>48</v>
      </c>
      <c r="C574" s="25" t="s">
        <v>44</v>
      </c>
      <c r="D574" s="25">
        <v>-3</v>
      </c>
      <c r="E574" s="25">
        <v>2</v>
      </c>
      <c r="F574" s="25">
        <v>1</v>
      </c>
      <c r="G574" s="25">
        <v>628</v>
      </c>
      <c r="H574" s="25">
        <v>23</v>
      </c>
      <c r="I574" s="25">
        <v>0</v>
      </c>
      <c r="J574" s="25" t="s">
        <v>44</v>
      </c>
    </row>
    <row r="575" spans="1:10" ht="12.75" customHeight="1" x14ac:dyDescent="0.2">
      <c r="A575" s="24"/>
      <c r="B575" s="24" t="s">
        <v>49</v>
      </c>
      <c r="C575" s="25" t="s">
        <v>44</v>
      </c>
      <c r="D575" s="25">
        <v>7</v>
      </c>
      <c r="E575" s="25">
        <v>0</v>
      </c>
      <c r="F575" s="25">
        <v>0</v>
      </c>
      <c r="G575" s="25">
        <v>6</v>
      </c>
      <c r="H575" s="25" t="s">
        <v>50</v>
      </c>
      <c r="I575" s="25">
        <v>0</v>
      </c>
      <c r="J575" s="25" t="s">
        <v>44</v>
      </c>
    </row>
    <row r="576" spans="1:10" ht="12.75" customHeight="1" x14ac:dyDescent="0.2">
      <c r="A576" s="24"/>
      <c r="B576" s="24" t="s">
        <v>51</v>
      </c>
      <c r="C576" s="25" t="s">
        <v>44</v>
      </c>
      <c r="D576" s="25">
        <v>141</v>
      </c>
      <c r="E576" s="25">
        <v>0</v>
      </c>
      <c r="F576" s="25">
        <v>2</v>
      </c>
      <c r="G576" s="25">
        <v>15</v>
      </c>
      <c r="H576" s="25">
        <v>1</v>
      </c>
      <c r="I576" s="25">
        <v>0</v>
      </c>
      <c r="J576" s="25" t="s">
        <v>44</v>
      </c>
    </row>
    <row r="577" spans="1:10" ht="12.75" customHeight="1" x14ac:dyDescent="0.2">
      <c r="A577" s="24"/>
      <c r="B577" s="24" t="s">
        <v>52</v>
      </c>
      <c r="C577" s="25" t="s">
        <v>44</v>
      </c>
      <c r="D577" s="25">
        <v>4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0" ht="12.75" customHeight="1" x14ac:dyDescent="0.2">
      <c r="A578" s="24"/>
      <c r="B578" s="24" t="s">
        <v>53</v>
      </c>
      <c r="C578" s="25" t="s">
        <v>44</v>
      </c>
      <c r="D578" s="25">
        <v>1</v>
      </c>
      <c r="E578" s="25">
        <v>0</v>
      </c>
      <c r="F578" s="25" t="s">
        <v>50</v>
      </c>
      <c r="G578" s="25">
        <v>57</v>
      </c>
      <c r="H578" s="25" t="s">
        <v>50</v>
      </c>
      <c r="I578" s="25">
        <v>7</v>
      </c>
      <c r="J578" s="25" t="s">
        <v>44</v>
      </c>
    </row>
    <row r="579" spans="1:10" ht="12.75" customHeight="1" x14ac:dyDescent="0.2">
      <c r="A579" s="24"/>
      <c r="B579" s="22" t="s">
        <v>546</v>
      </c>
      <c r="C579" s="25" t="s">
        <v>44</v>
      </c>
      <c r="D579" s="25">
        <v>9</v>
      </c>
      <c r="E579" s="25" t="s">
        <v>50</v>
      </c>
      <c r="F579" s="25">
        <v>3</v>
      </c>
      <c r="G579" s="25">
        <v>44</v>
      </c>
      <c r="H579" s="25" t="s">
        <v>50</v>
      </c>
      <c r="I579" s="25">
        <v>0</v>
      </c>
      <c r="J579" s="25" t="s">
        <v>44</v>
      </c>
    </row>
    <row r="580" spans="1:10" ht="12.75" customHeight="1" x14ac:dyDescent="0.2">
      <c r="A580" s="24"/>
      <c r="B580" s="24" t="s">
        <v>547</v>
      </c>
      <c r="C580" s="25" t="s">
        <v>44</v>
      </c>
      <c r="D580" s="25">
        <v>4</v>
      </c>
      <c r="E580" s="25">
        <v>0</v>
      </c>
      <c r="F580" s="25" t="s">
        <v>50</v>
      </c>
      <c r="G580" s="25">
        <v>5</v>
      </c>
      <c r="H580" s="25" t="s">
        <v>50</v>
      </c>
      <c r="I580" s="25">
        <v>0</v>
      </c>
      <c r="J580" s="25" t="s">
        <v>44</v>
      </c>
    </row>
    <row r="581" spans="1:10" ht="12.75" customHeight="1" x14ac:dyDescent="0.2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0" ht="12.75" customHeight="1" x14ac:dyDescent="0.2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>
        <v>1</v>
      </c>
      <c r="H582" s="25" t="s">
        <v>50</v>
      </c>
      <c r="I582" s="25">
        <v>0</v>
      </c>
      <c r="J582" s="25" t="s">
        <v>44</v>
      </c>
    </row>
    <row r="583" spans="1:10" ht="12.75" customHeight="1" x14ac:dyDescent="0.2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>
        <v>3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0" ht="12.75" customHeight="1" x14ac:dyDescent="0.2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>
        <v>25</v>
      </c>
      <c r="H584" s="25" t="s">
        <v>50</v>
      </c>
      <c r="I584" s="25">
        <v>0</v>
      </c>
      <c r="J584" s="25" t="s">
        <v>44</v>
      </c>
    </row>
    <row r="585" spans="1:10" ht="12.75" customHeight="1" x14ac:dyDescent="0.2">
      <c r="A585" s="24"/>
      <c r="B585" s="24" t="s">
        <v>58</v>
      </c>
      <c r="C585" s="25" t="s">
        <v>44</v>
      </c>
      <c r="D585" s="25" t="s">
        <v>50</v>
      </c>
      <c r="E585" s="25" t="s">
        <v>50</v>
      </c>
      <c r="F585" s="25">
        <v>1</v>
      </c>
      <c r="G585" s="25">
        <v>12</v>
      </c>
      <c r="H585" s="25" t="s">
        <v>50</v>
      </c>
      <c r="I585" s="25">
        <v>0</v>
      </c>
      <c r="J585" s="25" t="s">
        <v>44</v>
      </c>
    </row>
    <row r="586" spans="1:10" ht="12.75" customHeight="1" x14ac:dyDescent="0.2">
      <c r="A586" s="24"/>
      <c r="B586" s="22" t="s">
        <v>548</v>
      </c>
      <c r="C586" s="25">
        <v>2237</v>
      </c>
      <c r="D586" s="25" t="s">
        <v>50</v>
      </c>
      <c r="E586" s="25" t="s">
        <v>50</v>
      </c>
      <c r="F586" s="25" t="s">
        <v>50</v>
      </c>
      <c r="G586" s="25">
        <v>6</v>
      </c>
      <c r="H586" s="25" t="s">
        <v>50</v>
      </c>
      <c r="I586" s="25">
        <v>0</v>
      </c>
      <c r="J586" s="25">
        <v>2231</v>
      </c>
    </row>
    <row r="587" spans="1:10" ht="12.75" customHeight="1" x14ac:dyDescent="0.2">
      <c r="A587" s="24"/>
      <c r="B587" s="24"/>
      <c r="C587" s="25"/>
      <c r="D587" s="25"/>
      <c r="E587" s="25"/>
      <c r="F587" s="25"/>
      <c r="G587" s="25"/>
      <c r="H587" s="25"/>
      <c r="I587" s="25"/>
      <c r="J587" s="25"/>
    </row>
    <row r="588" spans="1:10" s="12" customFormat="1" ht="12.75" customHeight="1" x14ac:dyDescent="0.2">
      <c r="A588" s="22" t="s">
        <v>87</v>
      </c>
      <c r="B588" s="22" t="s">
        <v>571</v>
      </c>
      <c r="C588" s="27"/>
      <c r="D588" s="27"/>
      <c r="E588" s="27"/>
      <c r="F588" s="27"/>
      <c r="G588" s="27"/>
      <c r="H588" s="27"/>
      <c r="I588" s="27"/>
      <c r="J588" s="27"/>
    </row>
    <row r="589" spans="1:10" ht="12.75" customHeight="1" x14ac:dyDescent="0.2">
      <c r="A589" s="29"/>
      <c r="B589" s="30"/>
      <c r="C589" s="25"/>
      <c r="D589" s="25"/>
      <c r="E589" s="25"/>
      <c r="F589" s="25"/>
      <c r="G589" s="25"/>
      <c r="H589" s="25"/>
      <c r="I589" s="25"/>
      <c r="J589" s="25"/>
    </row>
    <row r="590" spans="1:10" ht="12.75" customHeight="1" x14ac:dyDescent="0.2">
      <c r="A590" s="24"/>
      <c r="B590" s="24"/>
      <c r="C590" s="25"/>
      <c r="D590" s="25"/>
      <c r="E590" s="25"/>
      <c r="F590" s="25"/>
      <c r="G590" s="25"/>
      <c r="H590" s="25"/>
      <c r="I590" s="25"/>
      <c r="J590" s="25"/>
    </row>
    <row r="591" spans="1:10" ht="12.75" customHeight="1" x14ac:dyDescent="0.2">
      <c r="A591" s="24"/>
      <c r="B591" s="22" t="s">
        <v>543</v>
      </c>
      <c r="C591" s="25">
        <v>3314</v>
      </c>
      <c r="D591" s="25">
        <v>150</v>
      </c>
      <c r="E591" s="25" t="s">
        <v>50</v>
      </c>
      <c r="F591" s="25">
        <v>3</v>
      </c>
      <c r="G591" s="25">
        <v>1021</v>
      </c>
      <c r="H591" s="25">
        <v>27</v>
      </c>
      <c r="I591" s="25">
        <v>0</v>
      </c>
      <c r="J591" s="25">
        <v>2112</v>
      </c>
    </row>
    <row r="592" spans="1:10" ht="12.75" customHeight="1" x14ac:dyDescent="0.2">
      <c r="A592" s="24"/>
      <c r="B592" s="22" t="s">
        <v>544</v>
      </c>
      <c r="C592" s="25" t="s">
        <v>44</v>
      </c>
      <c r="D592" s="25" t="s">
        <v>50</v>
      </c>
      <c r="E592" s="25" t="s">
        <v>50</v>
      </c>
      <c r="F592" s="25">
        <v>0</v>
      </c>
      <c r="G592" s="25">
        <v>337</v>
      </c>
      <c r="H592" s="25">
        <v>5</v>
      </c>
      <c r="I592" s="25">
        <v>0</v>
      </c>
      <c r="J592" s="25" t="s">
        <v>44</v>
      </c>
    </row>
    <row r="593" spans="1:10" ht="12.75" customHeight="1" x14ac:dyDescent="0.2">
      <c r="A593" s="24"/>
      <c r="B593" s="24" t="s">
        <v>45</v>
      </c>
      <c r="C593" s="25" t="s">
        <v>44</v>
      </c>
      <c r="D593" s="25" t="s">
        <v>50</v>
      </c>
      <c r="E593" s="25">
        <v>0</v>
      </c>
      <c r="F593" s="25">
        <v>0</v>
      </c>
      <c r="G593" s="25">
        <v>103</v>
      </c>
      <c r="H593" s="25">
        <v>4</v>
      </c>
      <c r="I593" s="25">
        <v>0</v>
      </c>
      <c r="J593" s="25" t="s">
        <v>44</v>
      </c>
    </row>
    <row r="594" spans="1:10" ht="12.75" customHeight="1" x14ac:dyDescent="0.2">
      <c r="A594" s="24"/>
      <c r="B594" s="24" t="s">
        <v>46</v>
      </c>
      <c r="C594" s="25" t="s">
        <v>44</v>
      </c>
      <c r="D594" s="25">
        <v>0</v>
      </c>
      <c r="E594" s="25" t="s">
        <v>50</v>
      </c>
      <c r="F594" s="25">
        <v>0</v>
      </c>
      <c r="G594" s="25">
        <v>233</v>
      </c>
      <c r="H594" s="25">
        <v>1</v>
      </c>
      <c r="I594" s="25">
        <v>0</v>
      </c>
      <c r="J594" s="25" t="s">
        <v>44</v>
      </c>
    </row>
    <row r="595" spans="1:10" ht="12.75" customHeight="1" x14ac:dyDescent="0.2">
      <c r="A595" s="24"/>
      <c r="B595" s="22" t="s">
        <v>545</v>
      </c>
      <c r="C595" s="25" t="s">
        <v>44</v>
      </c>
      <c r="D595" s="25">
        <v>143</v>
      </c>
      <c r="E595" s="25" t="s">
        <v>50</v>
      </c>
      <c r="F595" s="25">
        <v>1</v>
      </c>
      <c r="G595" s="25">
        <v>640</v>
      </c>
      <c r="H595" s="25">
        <v>23</v>
      </c>
      <c r="I595" s="25">
        <v>0</v>
      </c>
      <c r="J595" s="25" t="s">
        <v>44</v>
      </c>
    </row>
    <row r="596" spans="1:10" ht="12.75" customHeight="1" x14ac:dyDescent="0.2">
      <c r="A596" s="24"/>
      <c r="B596" s="24" t="s">
        <v>48</v>
      </c>
      <c r="C596" s="25" t="s">
        <v>44</v>
      </c>
      <c r="D596" s="25">
        <v>-4</v>
      </c>
      <c r="E596" s="25" t="s">
        <v>50</v>
      </c>
      <c r="F596" s="25" t="s">
        <v>50</v>
      </c>
      <c r="G596" s="25">
        <v>574</v>
      </c>
      <c r="H596" s="25">
        <v>22</v>
      </c>
      <c r="I596" s="25">
        <v>0</v>
      </c>
      <c r="J596" s="25" t="s">
        <v>44</v>
      </c>
    </row>
    <row r="597" spans="1:10" ht="12.75" customHeight="1" x14ac:dyDescent="0.2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>
        <v>0</v>
      </c>
      <c r="G597" s="25">
        <v>6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2">
      <c r="A598" s="24"/>
      <c r="B598" s="24" t="s">
        <v>51</v>
      </c>
      <c r="C598" s="25" t="s">
        <v>44</v>
      </c>
      <c r="D598" s="25">
        <v>136</v>
      </c>
      <c r="E598" s="25">
        <v>0</v>
      </c>
      <c r="F598" s="25">
        <v>1</v>
      </c>
      <c r="G598" s="25">
        <v>4</v>
      </c>
      <c r="H598" s="25" t="s">
        <v>50</v>
      </c>
      <c r="I598" s="25">
        <v>0</v>
      </c>
      <c r="J598" s="25" t="s">
        <v>44</v>
      </c>
    </row>
    <row r="599" spans="1:10" ht="12.75" customHeight="1" x14ac:dyDescent="0.2">
      <c r="A599" s="24"/>
      <c r="B599" s="24" t="s">
        <v>52</v>
      </c>
      <c r="C599" s="25" t="s">
        <v>44</v>
      </c>
      <c r="D599" s="25">
        <v>4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2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55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2">
      <c r="A601" s="24"/>
      <c r="B601" s="22" t="s">
        <v>546</v>
      </c>
      <c r="C601" s="25" t="s">
        <v>44</v>
      </c>
      <c r="D601" s="25">
        <v>7</v>
      </c>
      <c r="E601" s="25">
        <v>0</v>
      </c>
      <c r="F601" s="25">
        <v>1</v>
      </c>
      <c r="G601" s="25">
        <v>39</v>
      </c>
      <c r="H601" s="25" t="s">
        <v>50</v>
      </c>
      <c r="I601" s="25">
        <v>0</v>
      </c>
      <c r="J601" s="25" t="s">
        <v>44</v>
      </c>
    </row>
    <row r="602" spans="1:10" ht="12.75" customHeight="1" x14ac:dyDescent="0.2">
      <c r="A602" s="24"/>
      <c r="B602" s="24" t="s">
        <v>547</v>
      </c>
      <c r="C602" s="25" t="s">
        <v>44</v>
      </c>
      <c r="D602" s="25">
        <v>3</v>
      </c>
      <c r="E602" s="25">
        <v>0</v>
      </c>
      <c r="F602" s="25" t="s">
        <v>50</v>
      </c>
      <c r="G602" s="25">
        <v>2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2">
      <c r="A603" s="24"/>
      <c r="B603" s="24" t="s">
        <v>54</v>
      </c>
      <c r="C603" s="25" t="s">
        <v>44</v>
      </c>
      <c r="D603" s="25">
        <v>3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2">
      <c r="A604" s="24"/>
      <c r="B604" s="24" t="s">
        <v>55</v>
      </c>
      <c r="C604" s="25" t="s">
        <v>44</v>
      </c>
      <c r="D604" s="25">
        <v>1</v>
      </c>
      <c r="E604" s="25">
        <v>0</v>
      </c>
      <c r="F604" s="25">
        <v>0</v>
      </c>
      <c r="G604" s="25" t="s">
        <v>50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2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1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2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25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2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 t="s">
        <v>50</v>
      </c>
      <c r="G607" s="25">
        <v>11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2">
      <c r="A608" s="24"/>
      <c r="B608" s="22" t="s">
        <v>548</v>
      </c>
      <c r="C608" s="25">
        <v>2118</v>
      </c>
      <c r="D608" s="25">
        <v>0</v>
      </c>
      <c r="E608" s="25" t="s">
        <v>50</v>
      </c>
      <c r="F608" s="25" t="s">
        <v>50</v>
      </c>
      <c r="G608" s="25">
        <v>6</v>
      </c>
      <c r="H608" s="25" t="s">
        <v>50</v>
      </c>
      <c r="I608" s="25">
        <v>0</v>
      </c>
      <c r="J608" s="25">
        <v>2112</v>
      </c>
    </row>
    <row r="609" spans="1:10" ht="12.75" customHeight="1" x14ac:dyDescent="0.2">
      <c r="A609" s="24"/>
      <c r="B609" s="24"/>
      <c r="C609" s="25"/>
      <c r="D609" s="25"/>
      <c r="E609" s="25"/>
      <c r="F609" s="25"/>
      <c r="G609" s="25"/>
      <c r="H609" s="25"/>
      <c r="I609" s="25"/>
      <c r="J609" s="25"/>
    </row>
    <row r="610" spans="1:10" s="12" customFormat="1" ht="12.75" customHeight="1" x14ac:dyDescent="0.2">
      <c r="A610" s="22" t="s">
        <v>88</v>
      </c>
      <c r="B610" s="22" t="s">
        <v>572</v>
      </c>
      <c r="C610" s="27"/>
      <c r="D610" s="27"/>
      <c r="E610" s="27"/>
      <c r="F610" s="27"/>
      <c r="G610" s="27"/>
      <c r="H610" s="27"/>
      <c r="I610" s="27"/>
      <c r="J610" s="27"/>
    </row>
    <row r="611" spans="1:10" ht="12.75" customHeight="1" x14ac:dyDescent="0.2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0" ht="12.75" customHeight="1" x14ac:dyDescent="0.2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0" ht="12.75" customHeight="1" x14ac:dyDescent="0.2">
      <c r="A613" s="24"/>
      <c r="B613" s="22" t="s">
        <v>543</v>
      </c>
      <c r="C613" s="25">
        <v>119</v>
      </c>
      <c r="D613" s="25">
        <v>5</v>
      </c>
      <c r="E613" s="25">
        <v>2</v>
      </c>
      <c r="F613" s="25">
        <v>4</v>
      </c>
      <c r="G613" s="25">
        <v>53</v>
      </c>
      <c r="H613" s="25">
        <v>1</v>
      </c>
      <c r="I613" s="25">
        <v>0</v>
      </c>
      <c r="J613" s="25">
        <v>54</v>
      </c>
    </row>
    <row r="614" spans="1:10" ht="12.75" customHeight="1" x14ac:dyDescent="0.2">
      <c r="A614" s="24"/>
      <c r="B614" s="22" t="s">
        <v>544</v>
      </c>
      <c r="C614" s="25" t="s">
        <v>44</v>
      </c>
      <c r="D614" s="25" t="s">
        <v>50</v>
      </c>
      <c r="E614" s="25">
        <v>0</v>
      </c>
      <c r="F614" s="25" t="s">
        <v>50</v>
      </c>
      <c r="G614" s="25">
        <v>4</v>
      </c>
      <c r="H614" s="25" t="s">
        <v>50</v>
      </c>
      <c r="I614" s="25">
        <v>0</v>
      </c>
      <c r="J614" s="25" t="s">
        <v>44</v>
      </c>
    </row>
    <row r="615" spans="1:10" ht="12.75" customHeight="1" x14ac:dyDescent="0.2">
      <c r="A615" s="24"/>
      <c r="B615" s="24" t="s">
        <v>45</v>
      </c>
      <c r="C615" s="25" t="s">
        <v>44</v>
      </c>
      <c r="D615" s="25" t="s">
        <v>50</v>
      </c>
      <c r="E615" s="25">
        <v>0</v>
      </c>
      <c r="F615" s="25">
        <v>0</v>
      </c>
      <c r="G615" s="25" t="s">
        <v>50</v>
      </c>
      <c r="H615" s="25" t="s">
        <v>50</v>
      </c>
      <c r="I615" s="25">
        <v>0</v>
      </c>
      <c r="J615" s="25" t="s">
        <v>44</v>
      </c>
    </row>
    <row r="616" spans="1:10" ht="12.75" customHeight="1" x14ac:dyDescent="0.2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3</v>
      </c>
      <c r="H616" s="25" t="s">
        <v>50</v>
      </c>
      <c r="I616" s="25">
        <v>0</v>
      </c>
      <c r="J616" s="25" t="s">
        <v>44</v>
      </c>
    </row>
    <row r="617" spans="1:10" ht="12.75" customHeight="1" x14ac:dyDescent="0.2">
      <c r="A617" s="24"/>
      <c r="B617" s="22" t="s">
        <v>545</v>
      </c>
      <c r="C617" s="25" t="s">
        <v>44</v>
      </c>
      <c r="D617" s="25">
        <v>4</v>
      </c>
      <c r="E617" s="25">
        <v>2</v>
      </c>
      <c r="F617" s="25">
        <v>2</v>
      </c>
      <c r="G617" s="25">
        <v>47</v>
      </c>
      <c r="H617" s="25">
        <v>1</v>
      </c>
      <c r="I617" s="25">
        <v>0</v>
      </c>
      <c r="J617" s="25" t="s">
        <v>44</v>
      </c>
    </row>
    <row r="618" spans="1:10" ht="12.75" customHeight="1" x14ac:dyDescent="0.2">
      <c r="A618" s="24"/>
      <c r="B618" s="24" t="s">
        <v>48</v>
      </c>
      <c r="C618" s="25" t="s">
        <v>44</v>
      </c>
      <c r="D618" s="25" t="s">
        <v>50</v>
      </c>
      <c r="E618" s="25">
        <v>2</v>
      </c>
      <c r="F618" s="25">
        <v>1</v>
      </c>
      <c r="G618" s="25">
        <v>38</v>
      </c>
      <c r="H618" s="25" t="s">
        <v>50</v>
      </c>
      <c r="I618" s="25">
        <v>0</v>
      </c>
      <c r="J618" s="25" t="s">
        <v>44</v>
      </c>
    </row>
    <row r="619" spans="1:10" ht="12.75" customHeight="1" x14ac:dyDescent="0.2">
      <c r="A619" s="24"/>
      <c r="B619" s="24" t="s">
        <v>49</v>
      </c>
      <c r="C619" s="25" t="s">
        <v>44</v>
      </c>
      <c r="D619" s="25" t="s">
        <v>50</v>
      </c>
      <c r="E619" s="25">
        <v>0</v>
      </c>
      <c r="F619" s="25">
        <v>0</v>
      </c>
      <c r="G619" s="25" t="s">
        <v>50</v>
      </c>
      <c r="H619" s="25">
        <v>0</v>
      </c>
      <c r="I619" s="25">
        <v>0</v>
      </c>
      <c r="J619" s="25" t="s">
        <v>44</v>
      </c>
    </row>
    <row r="620" spans="1:10" ht="12.75" customHeight="1" x14ac:dyDescent="0.2">
      <c r="A620" s="24"/>
      <c r="B620" s="24" t="s">
        <v>51</v>
      </c>
      <c r="C620" s="25" t="s">
        <v>44</v>
      </c>
      <c r="D620" s="25">
        <v>3</v>
      </c>
      <c r="E620" s="25">
        <v>0</v>
      </c>
      <c r="F620" s="25">
        <v>1</v>
      </c>
      <c r="G620" s="25">
        <v>8</v>
      </c>
      <c r="H620" s="25" t="s">
        <v>50</v>
      </c>
      <c r="I620" s="25">
        <v>0</v>
      </c>
      <c r="J620" s="25" t="s">
        <v>44</v>
      </c>
    </row>
    <row r="621" spans="1:10" ht="12.75" customHeight="1" x14ac:dyDescent="0.2">
      <c r="A621" s="24"/>
      <c r="B621" s="24" t="s">
        <v>52</v>
      </c>
      <c r="C621" s="25" t="s">
        <v>44</v>
      </c>
      <c r="D621" s="25" t="s">
        <v>50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0" ht="12.75" customHeight="1" x14ac:dyDescent="0.2">
      <c r="A622" s="24"/>
      <c r="B622" s="24" t="s">
        <v>53</v>
      </c>
      <c r="C622" s="25" t="s">
        <v>44</v>
      </c>
      <c r="D622" s="25" t="s">
        <v>50</v>
      </c>
      <c r="E622" s="25">
        <v>0</v>
      </c>
      <c r="F622" s="25" t="s">
        <v>50</v>
      </c>
      <c r="G622" s="25">
        <v>1</v>
      </c>
      <c r="H622" s="25" t="s">
        <v>50</v>
      </c>
      <c r="I622" s="25">
        <v>0</v>
      </c>
      <c r="J622" s="25" t="s">
        <v>44</v>
      </c>
    </row>
    <row r="623" spans="1:10" ht="12.75" customHeight="1" x14ac:dyDescent="0.2">
      <c r="A623" s="24"/>
      <c r="B623" s="22" t="s">
        <v>546</v>
      </c>
      <c r="C623" s="25" t="s">
        <v>44</v>
      </c>
      <c r="D623" s="25">
        <v>1</v>
      </c>
      <c r="E623" s="25" t="s">
        <v>50</v>
      </c>
      <c r="F623" s="25">
        <v>2</v>
      </c>
      <c r="G623" s="25">
        <v>2</v>
      </c>
      <c r="H623" s="25" t="s">
        <v>50</v>
      </c>
      <c r="I623" s="25">
        <v>0</v>
      </c>
      <c r="J623" s="25" t="s">
        <v>44</v>
      </c>
    </row>
    <row r="624" spans="1:10" ht="12.75" customHeight="1" x14ac:dyDescent="0.2">
      <c r="A624" s="24"/>
      <c r="B624" s="24" t="s">
        <v>547</v>
      </c>
      <c r="C624" s="25" t="s">
        <v>44</v>
      </c>
      <c r="D624" s="25" t="s">
        <v>50</v>
      </c>
      <c r="E624" s="25">
        <v>0</v>
      </c>
      <c r="F624" s="25" t="s">
        <v>50</v>
      </c>
      <c r="G624" s="25">
        <v>1</v>
      </c>
      <c r="H624" s="25" t="s">
        <v>50</v>
      </c>
      <c r="I624" s="25">
        <v>0</v>
      </c>
      <c r="J624" s="25" t="s">
        <v>44</v>
      </c>
    </row>
    <row r="625" spans="1:10" ht="12.75" customHeight="1" x14ac:dyDescent="0.2">
      <c r="A625" s="24"/>
      <c r="B625" s="24" t="s">
        <v>54</v>
      </c>
      <c r="C625" s="25" t="s">
        <v>44</v>
      </c>
      <c r="D625" s="25" t="s">
        <v>50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0" ht="12.75" customHeight="1" x14ac:dyDescent="0.2">
      <c r="A626" s="24"/>
      <c r="B626" s="24" t="s">
        <v>55</v>
      </c>
      <c r="C626" s="25" t="s">
        <v>44</v>
      </c>
      <c r="D626" s="25" t="s">
        <v>50</v>
      </c>
      <c r="E626" s="25">
        <v>0</v>
      </c>
      <c r="F626" s="25" t="s">
        <v>50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0" ht="12.75" customHeight="1" x14ac:dyDescent="0.2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1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0" ht="12.75" customHeight="1" x14ac:dyDescent="0.2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0</v>
      </c>
      <c r="H628" s="25">
        <v>0</v>
      </c>
      <c r="I628" s="25">
        <v>0</v>
      </c>
      <c r="J628" s="25" t="s">
        <v>44</v>
      </c>
    </row>
    <row r="629" spans="1:10" ht="12.75" customHeight="1" x14ac:dyDescent="0.2">
      <c r="A629" s="24"/>
      <c r="B629" s="24" t="s">
        <v>58</v>
      </c>
      <c r="C629" s="25" t="s">
        <v>44</v>
      </c>
      <c r="D629" s="25" t="s">
        <v>50</v>
      </c>
      <c r="E629" s="25" t="s">
        <v>50</v>
      </c>
      <c r="F629" s="25" t="s">
        <v>50</v>
      </c>
      <c r="G629" s="25" t="s">
        <v>60</v>
      </c>
      <c r="H629" s="25">
        <v>0</v>
      </c>
      <c r="I629" s="25">
        <v>0</v>
      </c>
      <c r="J629" s="25" t="s">
        <v>44</v>
      </c>
    </row>
    <row r="630" spans="1:10" ht="12.75" customHeight="1" x14ac:dyDescent="0.2">
      <c r="A630" s="24"/>
      <c r="B630" s="22" t="s">
        <v>548</v>
      </c>
      <c r="C630" s="25">
        <v>55</v>
      </c>
      <c r="D630" s="25" t="s">
        <v>50</v>
      </c>
      <c r="E630" s="25">
        <v>0</v>
      </c>
      <c r="F630" s="25" t="s">
        <v>50</v>
      </c>
      <c r="G630" s="25" t="s">
        <v>50</v>
      </c>
      <c r="H630" s="25" t="s">
        <v>50</v>
      </c>
      <c r="I630" s="25">
        <v>0</v>
      </c>
      <c r="J630" s="25">
        <v>54</v>
      </c>
    </row>
    <row r="631" spans="1:10" ht="12.75" customHeight="1" x14ac:dyDescent="0.2">
      <c r="A631" s="24"/>
      <c r="B631" s="24"/>
      <c r="C631" s="25"/>
      <c r="D631" s="25"/>
      <c r="E631" s="25"/>
      <c r="F631" s="25"/>
      <c r="G631" s="25"/>
      <c r="H631" s="25"/>
      <c r="I631" s="25"/>
      <c r="J631" s="25"/>
    </row>
    <row r="632" spans="1:10" s="12" customFormat="1" ht="12.75" customHeight="1" x14ac:dyDescent="0.2">
      <c r="A632" s="22" t="s">
        <v>89</v>
      </c>
      <c r="B632" s="22" t="s">
        <v>573</v>
      </c>
      <c r="C632" s="27"/>
      <c r="D632" s="27"/>
      <c r="E632" s="27"/>
      <c r="F632" s="27"/>
      <c r="G632" s="27"/>
      <c r="H632" s="27"/>
      <c r="I632" s="27"/>
      <c r="J632" s="27"/>
    </row>
    <row r="633" spans="1:10" ht="12.75" customHeight="1" x14ac:dyDescent="0.2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0" ht="12.75" customHeight="1" x14ac:dyDescent="0.2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0" ht="12.75" customHeight="1" x14ac:dyDescent="0.2">
      <c r="A635" s="24"/>
      <c r="B635" s="22" t="s">
        <v>543</v>
      </c>
      <c r="C635" s="25">
        <v>16</v>
      </c>
      <c r="D635" s="25">
        <v>3</v>
      </c>
      <c r="E635" s="25">
        <v>0</v>
      </c>
      <c r="F635" s="25" t="s">
        <v>50</v>
      </c>
      <c r="G635" s="25">
        <v>11</v>
      </c>
      <c r="H635" s="25" t="s">
        <v>50</v>
      </c>
      <c r="I635" s="25">
        <v>0</v>
      </c>
      <c r="J635" s="25">
        <v>2</v>
      </c>
    </row>
    <row r="636" spans="1:10" ht="12.75" customHeight="1" x14ac:dyDescent="0.2">
      <c r="A636" s="24"/>
      <c r="B636" s="22" t="s">
        <v>544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2</v>
      </c>
      <c r="H636" s="25" t="s">
        <v>50</v>
      </c>
      <c r="I636" s="25">
        <v>0</v>
      </c>
      <c r="J636" s="25" t="s">
        <v>44</v>
      </c>
    </row>
    <row r="637" spans="1:10" ht="12.75" customHeight="1" x14ac:dyDescent="0.2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0" ht="12.75" customHeight="1" x14ac:dyDescent="0.2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>
        <v>0</v>
      </c>
      <c r="G638" s="25">
        <v>1</v>
      </c>
      <c r="H638" s="25" t="s">
        <v>50</v>
      </c>
      <c r="I638" s="25">
        <v>0</v>
      </c>
      <c r="J638" s="25" t="s">
        <v>44</v>
      </c>
    </row>
    <row r="639" spans="1:10" ht="12.75" customHeight="1" x14ac:dyDescent="0.2">
      <c r="A639" s="24"/>
      <c r="B639" s="22" t="s">
        <v>545</v>
      </c>
      <c r="C639" s="25" t="s">
        <v>44</v>
      </c>
      <c r="D639" s="25">
        <v>2</v>
      </c>
      <c r="E639" s="25">
        <v>0</v>
      </c>
      <c r="F639" s="25" t="s">
        <v>50</v>
      </c>
      <c r="G639" s="25">
        <v>8</v>
      </c>
      <c r="H639" s="25" t="s">
        <v>50</v>
      </c>
      <c r="I639" s="25">
        <v>0</v>
      </c>
      <c r="J639" s="25" t="s">
        <v>44</v>
      </c>
    </row>
    <row r="640" spans="1:10" ht="12.75" customHeight="1" x14ac:dyDescent="0.2">
      <c r="A640" s="24"/>
      <c r="B640" s="24" t="s">
        <v>48</v>
      </c>
      <c r="C640" s="25" t="s">
        <v>44</v>
      </c>
      <c r="D640" s="25" t="s">
        <v>50</v>
      </c>
      <c r="E640" s="25">
        <v>0</v>
      </c>
      <c r="F640" s="25" t="s">
        <v>50</v>
      </c>
      <c r="G640" s="25">
        <v>7</v>
      </c>
      <c r="H640" s="25" t="s">
        <v>50</v>
      </c>
      <c r="I640" s="25">
        <v>0</v>
      </c>
      <c r="J640" s="25" t="s">
        <v>44</v>
      </c>
    </row>
    <row r="641" spans="1:10" ht="12.75" customHeight="1" x14ac:dyDescent="0.2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>
        <v>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0" ht="12.75" customHeight="1" x14ac:dyDescent="0.2">
      <c r="A642" s="24"/>
      <c r="B642" s="24" t="s">
        <v>51</v>
      </c>
      <c r="C642" s="25" t="s">
        <v>44</v>
      </c>
      <c r="D642" s="25">
        <v>2</v>
      </c>
      <c r="E642" s="25">
        <v>0</v>
      </c>
      <c r="F642" s="25" t="s">
        <v>50</v>
      </c>
      <c r="G642" s="25">
        <v>1</v>
      </c>
      <c r="H642" s="25" t="s">
        <v>50</v>
      </c>
      <c r="I642" s="25">
        <v>0</v>
      </c>
      <c r="J642" s="25" t="s">
        <v>44</v>
      </c>
    </row>
    <row r="643" spans="1:10" ht="12.75" customHeight="1" x14ac:dyDescent="0.2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0" ht="12.75" customHeight="1" x14ac:dyDescent="0.2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 t="s">
        <v>50</v>
      </c>
      <c r="H644" s="25" t="s">
        <v>50</v>
      </c>
      <c r="I644" s="25">
        <v>0</v>
      </c>
      <c r="J644" s="25" t="s">
        <v>44</v>
      </c>
    </row>
    <row r="645" spans="1:10" ht="12.75" customHeight="1" x14ac:dyDescent="0.2">
      <c r="A645" s="24"/>
      <c r="B645" s="22" t="s">
        <v>546</v>
      </c>
      <c r="C645" s="25" t="s">
        <v>44</v>
      </c>
      <c r="D645" s="25" t="s">
        <v>50</v>
      </c>
      <c r="E645" s="25">
        <v>0</v>
      </c>
      <c r="F645" s="25" t="s">
        <v>50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0" ht="12.75" customHeight="1" x14ac:dyDescent="0.2">
      <c r="A646" s="24"/>
      <c r="B646" s="24" t="s">
        <v>547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0" ht="12.75" customHeight="1" x14ac:dyDescent="0.2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0" ht="12.75" customHeight="1" x14ac:dyDescent="0.2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>
        <v>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0" ht="12.75" customHeight="1" x14ac:dyDescent="0.2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 t="s">
        <v>50</v>
      </c>
      <c r="G649" s="25">
        <v>0</v>
      </c>
      <c r="H649" s="25" t="s">
        <v>50</v>
      </c>
      <c r="I649" s="25" t="s">
        <v>44</v>
      </c>
      <c r="J649" s="25" t="s">
        <v>44</v>
      </c>
    </row>
    <row r="650" spans="1:10" ht="12.75" customHeight="1" x14ac:dyDescent="0.2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 t="s">
        <v>50</v>
      </c>
      <c r="H650" s="25">
        <v>0</v>
      </c>
      <c r="I650" s="25">
        <v>0</v>
      </c>
      <c r="J650" s="25" t="s">
        <v>44</v>
      </c>
    </row>
    <row r="651" spans="1:10" ht="12.75" customHeight="1" x14ac:dyDescent="0.2">
      <c r="A651" s="24"/>
      <c r="B651" s="24" t="s">
        <v>58</v>
      </c>
      <c r="C651" s="25" t="s">
        <v>44</v>
      </c>
      <c r="D651" s="25">
        <v>0</v>
      </c>
      <c r="E651" s="25">
        <v>0</v>
      </c>
      <c r="F651" s="25" t="s">
        <v>50</v>
      </c>
      <c r="G651" s="25">
        <v>0</v>
      </c>
      <c r="H651" s="25" t="s">
        <v>50</v>
      </c>
      <c r="I651" s="25">
        <v>0</v>
      </c>
      <c r="J651" s="25" t="s">
        <v>44</v>
      </c>
    </row>
    <row r="652" spans="1:10" ht="12.75" customHeight="1" x14ac:dyDescent="0.2">
      <c r="A652" s="24"/>
      <c r="B652" s="22" t="s">
        <v>548</v>
      </c>
      <c r="C652" s="25">
        <v>2</v>
      </c>
      <c r="D652" s="25">
        <v>0</v>
      </c>
      <c r="E652" s="25">
        <v>0</v>
      </c>
      <c r="F652" s="25">
        <v>0</v>
      </c>
      <c r="G652" s="25">
        <v>0</v>
      </c>
      <c r="H652" s="25">
        <v>0</v>
      </c>
      <c r="I652" s="25">
        <v>0</v>
      </c>
      <c r="J652" s="25">
        <v>2</v>
      </c>
    </row>
    <row r="653" spans="1:10" ht="12.75" customHeight="1" x14ac:dyDescent="0.2">
      <c r="A653" s="24"/>
      <c r="B653" s="24"/>
      <c r="C653" s="25"/>
      <c r="D653" s="25"/>
      <c r="E653" s="25"/>
      <c r="F653" s="25"/>
      <c r="G653" s="25"/>
      <c r="H653" s="25"/>
      <c r="I653" s="25"/>
      <c r="J653" s="25"/>
    </row>
    <row r="654" spans="1:10" s="12" customFormat="1" ht="12.75" customHeight="1" x14ac:dyDescent="0.2">
      <c r="A654" s="22" t="s">
        <v>90</v>
      </c>
      <c r="B654" s="22" t="s">
        <v>574</v>
      </c>
      <c r="C654" s="27"/>
      <c r="D654" s="27"/>
      <c r="E654" s="27"/>
      <c r="F654" s="27"/>
      <c r="G654" s="27"/>
      <c r="H654" s="27"/>
      <c r="I654" s="27"/>
      <c r="J654" s="27"/>
    </row>
    <row r="655" spans="1:10" ht="12.75" customHeight="1" x14ac:dyDescent="0.2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0" ht="12.75" customHeight="1" x14ac:dyDescent="0.2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2">
      <c r="A657" s="24"/>
      <c r="B657" s="22" t="s">
        <v>543</v>
      </c>
      <c r="C657" s="25">
        <v>16</v>
      </c>
      <c r="D657" s="25">
        <v>2</v>
      </c>
      <c r="E657" s="25">
        <v>0</v>
      </c>
      <c r="F657" s="25" t="s">
        <v>50</v>
      </c>
      <c r="G657" s="25">
        <v>13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2">
      <c r="A658" s="24"/>
      <c r="B658" s="22" t="s">
        <v>544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5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2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>
        <v>0</v>
      </c>
      <c r="G659" s="25">
        <v>2</v>
      </c>
      <c r="H659" s="25">
        <v>0</v>
      </c>
      <c r="I659" s="25">
        <v>0</v>
      </c>
      <c r="J659" s="25" t="s">
        <v>44</v>
      </c>
    </row>
    <row r="660" spans="1:10" ht="12.75" customHeight="1" x14ac:dyDescent="0.2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3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2">
      <c r="A661" s="24"/>
      <c r="B661" s="22" t="s">
        <v>545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6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2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>
        <v>0</v>
      </c>
      <c r="G662" s="25">
        <v>4</v>
      </c>
      <c r="H662" s="25">
        <v>0</v>
      </c>
      <c r="I662" s="25">
        <v>0</v>
      </c>
      <c r="J662" s="25" t="s">
        <v>44</v>
      </c>
    </row>
    <row r="663" spans="1:10" ht="12.75" customHeight="1" x14ac:dyDescent="0.2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2">
      <c r="A664" s="24"/>
      <c r="B664" s="24" t="s">
        <v>51</v>
      </c>
      <c r="C664" s="25" t="s">
        <v>44</v>
      </c>
      <c r="D664" s="25">
        <v>1</v>
      </c>
      <c r="E664" s="25">
        <v>0</v>
      </c>
      <c r="F664" s="25" t="s">
        <v>50</v>
      </c>
      <c r="G664" s="25">
        <v>2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2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2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>
        <v>0</v>
      </c>
      <c r="I666" s="25">
        <v>0</v>
      </c>
      <c r="J666" s="25" t="s">
        <v>44</v>
      </c>
    </row>
    <row r="667" spans="1:10" ht="12.75" customHeight="1" x14ac:dyDescent="0.2">
      <c r="A667" s="24"/>
      <c r="B667" s="22" t="s">
        <v>546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2">
      <c r="A668" s="24"/>
      <c r="B668" s="24" t="s">
        <v>547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2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2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2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2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>
        <v>0</v>
      </c>
      <c r="H672" s="25">
        <v>0</v>
      </c>
      <c r="I672" s="25">
        <v>0</v>
      </c>
      <c r="J672" s="25" t="s">
        <v>44</v>
      </c>
    </row>
    <row r="673" spans="1:10" ht="12.75" customHeight="1" x14ac:dyDescent="0.2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>
        <v>0</v>
      </c>
      <c r="I673" s="25">
        <v>0</v>
      </c>
      <c r="J673" s="25" t="s">
        <v>44</v>
      </c>
    </row>
    <row r="674" spans="1:10" ht="12.75" customHeight="1" x14ac:dyDescent="0.2">
      <c r="A674" s="24"/>
      <c r="B674" s="22" t="s">
        <v>548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>
        <v>0</v>
      </c>
      <c r="I674" s="25">
        <v>0</v>
      </c>
      <c r="J674" s="25" t="s">
        <v>50</v>
      </c>
    </row>
    <row r="675" spans="1:10" ht="12.75" customHeight="1" x14ac:dyDescent="0.2">
      <c r="A675" s="24"/>
      <c r="B675" s="24"/>
      <c r="C675" s="25"/>
      <c r="D675" s="25"/>
      <c r="E675" s="25"/>
      <c r="F675" s="25"/>
      <c r="G675" s="25"/>
      <c r="H675" s="25"/>
      <c r="I675" s="25"/>
      <c r="J675" s="25"/>
    </row>
    <row r="676" spans="1:10" s="12" customFormat="1" ht="12.75" customHeight="1" x14ac:dyDescent="0.2">
      <c r="A676" s="22" t="s">
        <v>91</v>
      </c>
      <c r="B676" s="22" t="s">
        <v>575</v>
      </c>
      <c r="C676" s="27"/>
      <c r="D676" s="27"/>
      <c r="E676" s="27"/>
      <c r="F676" s="27"/>
      <c r="G676" s="27"/>
      <c r="H676" s="27"/>
      <c r="I676" s="27"/>
      <c r="J676" s="27"/>
    </row>
    <row r="677" spans="1:10" ht="12.75" customHeight="1" x14ac:dyDescent="0.2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0" ht="12.75" customHeight="1" x14ac:dyDescent="0.2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0" ht="12.75" customHeight="1" x14ac:dyDescent="0.2">
      <c r="A679" s="24"/>
      <c r="B679" s="22" t="s">
        <v>543</v>
      </c>
      <c r="C679" s="25">
        <v>79</v>
      </c>
      <c r="D679" s="25">
        <v>-1</v>
      </c>
      <c r="E679" s="25">
        <v>0</v>
      </c>
      <c r="F679" s="25" t="s">
        <v>50</v>
      </c>
      <c r="G679" s="25">
        <v>10</v>
      </c>
      <c r="H679" s="25" t="s">
        <v>50</v>
      </c>
      <c r="I679" s="25">
        <v>7</v>
      </c>
      <c r="J679" s="25">
        <v>63</v>
      </c>
    </row>
    <row r="680" spans="1:10" ht="12.75" customHeight="1" x14ac:dyDescent="0.2">
      <c r="A680" s="24"/>
      <c r="B680" s="22" t="s">
        <v>544</v>
      </c>
      <c r="C680" s="25" t="s">
        <v>44</v>
      </c>
      <c r="D680" s="25" t="s">
        <v>50</v>
      </c>
      <c r="E680" s="25">
        <v>0</v>
      </c>
      <c r="F680" s="25">
        <v>0</v>
      </c>
      <c r="G680" s="25">
        <v>4</v>
      </c>
      <c r="H680" s="25" t="s">
        <v>50</v>
      </c>
      <c r="I680" s="25">
        <v>0</v>
      </c>
      <c r="J680" s="25" t="s">
        <v>44</v>
      </c>
    </row>
    <row r="681" spans="1:10" ht="12.75" customHeight="1" x14ac:dyDescent="0.2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>
        <v>0</v>
      </c>
      <c r="G681" s="25">
        <v>1</v>
      </c>
      <c r="H681" s="25">
        <v>0</v>
      </c>
      <c r="I681" s="25">
        <v>0</v>
      </c>
      <c r="J681" s="25" t="s">
        <v>44</v>
      </c>
    </row>
    <row r="682" spans="1:10" ht="12.75" customHeight="1" x14ac:dyDescent="0.2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>
        <v>0</v>
      </c>
      <c r="G682" s="25">
        <v>4</v>
      </c>
      <c r="H682" s="25" t="s">
        <v>50</v>
      </c>
      <c r="I682" s="25">
        <v>0</v>
      </c>
      <c r="J682" s="25" t="s">
        <v>44</v>
      </c>
    </row>
    <row r="683" spans="1:10" ht="12.75" customHeight="1" x14ac:dyDescent="0.2">
      <c r="A683" s="24"/>
      <c r="B683" s="22" t="s">
        <v>545</v>
      </c>
      <c r="C683" s="25" t="s">
        <v>44</v>
      </c>
      <c r="D683" s="25">
        <v>-1</v>
      </c>
      <c r="E683" s="25">
        <v>0</v>
      </c>
      <c r="F683" s="25" t="s">
        <v>50</v>
      </c>
      <c r="G683" s="25">
        <v>5</v>
      </c>
      <c r="H683" s="25" t="s">
        <v>50</v>
      </c>
      <c r="I683" s="25">
        <v>7</v>
      </c>
      <c r="J683" s="25" t="s">
        <v>44</v>
      </c>
    </row>
    <row r="684" spans="1:10" ht="12.75" customHeight="1" x14ac:dyDescent="0.2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5</v>
      </c>
      <c r="H684" s="25" t="s">
        <v>50</v>
      </c>
      <c r="I684" s="25">
        <v>0</v>
      </c>
      <c r="J684" s="25" t="s">
        <v>44</v>
      </c>
    </row>
    <row r="685" spans="1:10" ht="12.75" customHeight="1" x14ac:dyDescent="0.2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>
        <v>0</v>
      </c>
      <c r="I685" s="25">
        <v>0</v>
      </c>
      <c r="J685" s="25" t="s">
        <v>44</v>
      </c>
    </row>
    <row r="686" spans="1:10" ht="12.75" customHeight="1" x14ac:dyDescent="0.2">
      <c r="A686" s="24"/>
      <c r="B686" s="24" t="s">
        <v>51</v>
      </c>
      <c r="C686" s="25" t="s">
        <v>44</v>
      </c>
      <c r="D686" s="25">
        <v>-1</v>
      </c>
      <c r="E686" s="25">
        <v>0</v>
      </c>
      <c r="F686" s="25" t="s">
        <v>50</v>
      </c>
      <c r="G686" s="25" t="s">
        <v>50</v>
      </c>
      <c r="H686" s="25">
        <v>0</v>
      </c>
      <c r="I686" s="25">
        <v>0</v>
      </c>
      <c r="J686" s="25" t="s">
        <v>44</v>
      </c>
    </row>
    <row r="687" spans="1:10" ht="12.75" customHeight="1" x14ac:dyDescent="0.2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0" ht="12.75" customHeight="1" x14ac:dyDescent="0.2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>
        <v>0</v>
      </c>
      <c r="I688" s="25">
        <v>7</v>
      </c>
      <c r="J688" s="25" t="s">
        <v>44</v>
      </c>
    </row>
    <row r="689" spans="1:10" ht="12.75" customHeight="1" x14ac:dyDescent="0.2">
      <c r="A689" s="24"/>
      <c r="B689" s="22" t="s">
        <v>546</v>
      </c>
      <c r="C689" s="25" t="s">
        <v>44</v>
      </c>
      <c r="D689" s="25" t="s">
        <v>50</v>
      </c>
      <c r="E689" s="25">
        <v>0</v>
      </c>
      <c r="F689" s="25" t="s">
        <v>50</v>
      </c>
      <c r="G689" s="25" t="s">
        <v>50</v>
      </c>
      <c r="H689" s="25" t="s">
        <v>50</v>
      </c>
      <c r="I689" s="25">
        <v>0</v>
      </c>
      <c r="J689" s="25" t="s">
        <v>44</v>
      </c>
    </row>
    <row r="690" spans="1:10" ht="12.75" customHeight="1" x14ac:dyDescent="0.2">
      <c r="A690" s="24"/>
      <c r="B690" s="24" t="s">
        <v>547</v>
      </c>
      <c r="C690" s="25" t="s">
        <v>44</v>
      </c>
      <c r="D690" s="25" t="s">
        <v>50</v>
      </c>
      <c r="E690" s="25">
        <v>0</v>
      </c>
      <c r="F690" s="25">
        <v>0</v>
      </c>
      <c r="G690" s="25" t="s">
        <v>50</v>
      </c>
      <c r="H690" s="25" t="s">
        <v>50</v>
      </c>
      <c r="I690" s="25">
        <v>0</v>
      </c>
      <c r="J690" s="25" t="s">
        <v>44</v>
      </c>
    </row>
    <row r="691" spans="1:10" ht="12.75" customHeight="1" x14ac:dyDescent="0.2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0" ht="12.75" customHeight="1" x14ac:dyDescent="0.2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0" ht="12.75" customHeight="1" x14ac:dyDescent="0.2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0" ht="12.75" customHeight="1" x14ac:dyDescent="0.2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>
        <v>0</v>
      </c>
      <c r="H694" s="25">
        <v>0</v>
      </c>
      <c r="I694" s="25">
        <v>0</v>
      </c>
      <c r="J694" s="25" t="s">
        <v>44</v>
      </c>
    </row>
    <row r="695" spans="1:10" ht="12.75" customHeight="1" x14ac:dyDescent="0.2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>
        <v>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0" ht="12.75" customHeight="1" x14ac:dyDescent="0.2">
      <c r="A696" s="24"/>
      <c r="B696" s="22" t="s">
        <v>548</v>
      </c>
      <c r="C696" s="25">
        <v>63</v>
      </c>
      <c r="D696" s="25" t="s">
        <v>50</v>
      </c>
      <c r="E696" s="25">
        <v>0</v>
      </c>
      <c r="F696" s="25">
        <v>0</v>
      </c>
      <c r="G696" s="25">
        <v>0</v>
      </c>
      <c r="H696" s="25">
        <v>0</v>
      </c>
      <c r="I696" s="25">
        <v>0</v>
      </c>
      <c r="J696" s="25">
        <v>63</v>
      </c>
    </row>
    <row r="697" spans="1:10" ht="12.75" customHeight="1" x14ac:dyDescent="0.2">
      <c r="A697" s="24"/>
      <c r="B697" s="24"/>
      <c r="C697" s="25"/>
      <c r="D697" s="25"/>
      <c r="E697" s="25"/>
      <c r="F697" s="25"/>
      <c r="G697" s="25"/>
      <c r="H697" s="25"/>
      <c r="I697" s="25"/>
      <c r="J697" s="25"/>
    </row>
    <row r="698" spans="1:10" s="12" customFormat="1" ht="12.75" customHeight="1" x14ac:dyDescent="0.2">
      <c r="A698" s="22" t="s">
        <v>92</v>
      </c>
      <c r="B698" s="22" t="s">
        <v>179</v>
      </c>
      <c r="C698" s="27"/>
      <c r="D698" s="27"/>
      <c r="E698" s="27"/>
      <c r="F698" s="27"/>
      <c r="G698" s="27"/>
      <c r="H698" s="27"/>
      <c r="I698" s="27"/>
      <c r="J698" s="27"/>
    </row>
    <row r="699" spans="1:10" ht="12.75" customHeight="1" x14ac:dyDescent="0.2">
      <c r="A699" s="24"/>
      <c r="B699" s="24"/>
      <c r="C699" s="25"/>
      <c r="D699" s="25"/>
      <c r="E699" s="25"/>
      <c r="F699" s="25"/>
      <c r="G699" s="25"/>
      <c r="H699" s="25"/>
      <c r="I699" s="25"/>
      <c r="J699" s="25"/>
    </row>
    <row r="700" spans="1:10" ht="12.75" customHeight="1" x14ac:dyDescent="0.2">
      <c r="A700" s="24"/>
      <c r="B700" s="24"/>
      <c r="C700" s="25"/>
      <c r="D700" s="25"/>
      <c r="E700" s="25"/>
      <c r="F700" s="25"/>
      <c r="G700" s="25"/>
      <c r="H700" s="25"/>
      <c r="I700" s="25"/>
      <c r="J700" s="25"/>
    </row>
    <row r="701" spans="1:10" ht="12.75" customHeight="1" x14ac:dyDescent="0.2">
      <c r="A701" s="24"/>
      <c r="B701" s="22" t="s">
        <v>543</v>
      </c>
      <c r="C701" s="25">
        <v>3976</v>
      </c>
      <c r="D701" s="25">
        <v>512</v>
      </c>
      <c r="E701" s="25" t="s">
        <v>50</v>
      </c>
      <c r="F701" s="25">
        <v>8</v>
      </c>
      <c r="G701" s="25">
        <v>2585</v>
      </c>
      <c r="H701" s="25">
        <v>16</v>
      </c>
      <c r="I701" s="25">
        <v>63</v>
      </c>
      <c r="J701" s="25">
        <v>791</v>
      </c>
    </row>
    <row r="702" spans="1:10" ht="12.75" customHeight="1" x14ac:dyDescent="0.2">
      <c r="A702" s="24"/>
      <c r="B702" s="22" t="s">
        <v>544</v>
      </c>
      <c r="C702" s="25" t="s">
        <v>44</v>
      </c>
      <c r="D702" s="25">
        <v>14</v>
      </c>
      <c r="E702" s="25" t="s">
        <v>50</v>
      </c>
      <c r="F702" s="25">
        <v>3</v>
      </c>
      <c r="G702" s="25">
        <v>1440</v>
      </c>
      <c r="H702" s="25">
        <v>3</v>
      </c>
      <c r="I702" s="25">
        <v>17</v>
      </c>
      <c r="J702" s="25" t="s">
        <v>44</v>
      </c>
    </row>
    <row r="703" spans="1:10" ht="12.75" customHeight="1" x14ac:dyDescent="0.2">
      <c r="A703" s="24"/>
      <c r="B703" s="24" t="s">
        <v>45</v>
      </c>
      <c r="C703" s="25" t="s">
        <v>44</v>
      </c>
      <c r="D703" s="25">
        <v>14</v>
      </c>
      <c r="E703" s="25" t="s">
        <v>50</v>
      </c>
      <c r="F703" s="25" t="s">
        <v>50</v>
      </c>
      <c r="G703" s="25">
        <v>463</v>
      </c>
      <c r="H703" s="25" t="s">
        <v>50</v>
      </c>
      <c r="I703" s="25">
        <v>7</v>
      </c>
      <c r="J703" s="25" t="s">
        <v>44</v>
      </c>
    </row>
    <row r="704" spans="1:10" ht="12.75" customHeight="1" x14ac:dyDescent="0.2">
      <c r="A704" s="24"/>
      <c r="B704" s="24" t="s">
        <v>46</v>
      </c>
      <c r="C704" s="25" t="s">
        <v>44</v>
      </c>
      <c r="D704" s="25">
        <v>0</v>
      </c>
      <c r="E704" s="25" t="s">
        <v>50</v>
      </c>
      <c r="F704" s="25">
        <v>3</v>
      </c>
      <c r="G704" s="25">
        <v>978</v>
      </c>
      <c r="H704" s="25">
        <v>3</v>
      </c>
      <c r="I704" s="25">
        <v>9</v>
      </c>
      <c r="J704" s="25" t="s">
        <v>44</v>
      </c>
    </row>
    <row r="705" spans="1:10" ht="12.75" customHeight="1" x14ac:dyDescent="0.2">
      <c r="A705" s="24"/>
      <c r="B705" s="22" t="s">
        <v>545</v>
      </c>
      <c r="C705" s="25" t="s">
        <v>44</v>
      </c>
      <c r="D705" s="25">
        <v>398</v>
      </c>
      <c r="E705" s="25">
        <v>0</v>
      </c>
      <c r="F705" s="25">
        <v>2</v>
      </c>
      <c r="G705" s="25">
        <v>1059</v>
      </c>
      <c r="H705" s="25">
        <v>11</v>
      </c>
      <c r="I705" s="25">
        <v>10</v>
      </c>
      <c r="J705" s="25" t="s">
        <v>44</v>
      </c>
    </row>
    <row r="706" spans="1:10" ht="12.75" customHeight="1" x14ac:dyDescent="0.2">
      <c r="A706" s="24"/>
      <c r="B706" s="24" t="s">
        <v>48</v>
      </c>
      <c r="C706" s="25" t="s">
        <v>44</v>
      </c>
      <c r="D706" s="25">
        <v>21</v>
      </c>
      <c r="E706" s="25">
        <v>0</v>
      </c>
      <c r="F706" s="25" t="s">
        <v>50</v>
      </c>
      <c r="G706" s="25">
        <v>771</v>
      </c>
      <c r="H706" s="25">
        <v>7</v>
      </c>
      <c r="I706" s="25">
        <v>2</v>
      </c>
      <c r="J706" s="25" t="s">
        <v>44</v>
      </c>
    </row>
    <row r="707" spans="1:10" ht="12.75" customHeight="1" x14ac:dyDescent="0.2">
      <c r="A707" s="24"/>
      <c r="B707" s="24" t="s">
        <v>49</v>
      </c>
      <c r="C707" s="25" t="s">
        <v>44</v>
      </c>
      <c r="D707" s="25">
        <v>43</v>
      </c>
      <c r="E707" s="25">
        <v>0</v>
      </c>
      <c r="F707" s="25" t="s">
        <v>50</v>
      </c>
      <c r="G707" s="25">
        <v>11</v>
      </c>
      <c r="H707" s="25" t="s">
        <v>50</v>
      </c>
      <c r="I707" s="25" t="s">
        <v>50</v>
      </c>
      <c r="J707" s="25" t="s">
        <v>44</v>
      </c>
    </row>
    <row r="708" spans="1:10" ht="12.75" customHeight="1" x14ac:dyDescent="0.2">
      <c r="A708" s="24"/>
      <c r="B708" s="24" t="s">
        <v>51</v>
      </c>
      <c r="C708" s="25" t="s">
        <v>44</v>
      </c>
      <c r="D708" s="25">
        <v>278</v>
      </c>
      <c r="E708" s="25">
        <v>0</v>
      </c>
      <c r="F708" s="74">
        <f>F705-F710</f>
        <v>1</v>
      </c>
      <c r="G708" s="25">
        <v>126</v>
      </c>
      <c r="H708" s="25" t="s">
        <v>50</v>
      </c>
      <c r="I708" s="25" t="s">
        <v>50</v>
      </c>
      <c r="J708" s="25" t="s">
        <v>44</v>
      </c>
    </row>
    <row r="709" spans="1:10" ht="12.75" customHeight="1" x14ac:dyDescent="0.2">
      <c r="A709" s="24"/>
      <c r="B709" s="24" t="s">
        <v>52</v>
      </c>
      <c r="C709" s="25" t="s">
        <v>44</v>
      </c>
      <c r="D709" s="25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2">
      <c r="A710" s="24"/>
      <c r="B710" s="24" t="s">
        <v>53</v>
      </c>
      <c r="C710" s="25" t="s">
        <v>44</v>
      </c>
      <c r="D710" s="25">
        <v>6</v>
      </c>
      <c r="E710" s="25">
        <v>0</v>
      </c>
      <c r="F710" s="25">
        <v>1</v>
      </c>
      <c r="G710" s="25">
        <v>152</v>
      </c>
      <c r="H710" s="25">
        <v>3</v>
      </c>
      <c r="I710" s="25">
        <v>7</v>
      </c>
      <c r="J710" s="25" t="s">
        <v>44</v>
      </c>
    </row>
    <row r="711" spans="1:10" ht="12.75" customHeight="1" x14ac:dyDescent="0.2">
      <c r="A711" s="24"/>
      <c r="B711" s="22" t="s">
        <v>546</v>
      </c>
      <c r="C711" s="25" t="s">
        <v>44</v>
      </c>
      <c r="D711" s="25">
        <v>71</v>
      </c>
      <c r="E711" s="25">
        <v>0</v>
      </c>
      <c r="F711" s="25">
        <v>3</v>
      </c>
      <c r="G711" s="25">
        <v>81</v>
      </c>
      <c r="H711" s="25">
        <v>3</v>
      </c>
      <c r="I711" s="25" t="s">
        <v>50</v>
      </c>
      <c r="J711" s="25" t="s">
        <v>44</v>
      </c>
    </row>
    <row r="712" spans="1:10" ht="12.75" customHeight="1" x14ac:dyDescent="0.2">
      <c r="A712" s="24"/>
      <c r="B712" s="24" t="s">
        <v>547</v>
      </c>
      <c r="C712" s="25" t="s">
        <v>44</v>
      </c>
      <c r="D712" s="25">
        <v>40</v>
      </c>
      <c r="E712" s="25">
        <v>0</v>
      </c>
      <c r="F712" s="25" t="s">
        <v>50</v>
      </c>
      <c r="G712" s="25">
        <v>60</v>
      </c>
      <c r="H712" s="25" t="s">
        <v>50</v>
      </c>
      <c r="I712" s="25" t="s">
        <v>50</v>
      </c>
      <c r="J712" s="25" t="s">
        <v>44</v>
      </c>
    </row>
    <row r="713" spans="1:10" ht="12.75" customHeight="1" x14ac:dyDescent="0.2">
      <c r="A713" s="24"/>
      <c r="B713" s="24" t="s">
        <v>54</v>
      </c>
      <c r="C713" s="25" t="s">
        <v>44</v>
      </c>
      <c r="D713" s="25">
        <v>19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2">
      <c r="A714" s="24"/>
      <c r="B714" s="24" t="s">
        <v>55</v>
      </c>
      <c r="C714" s="25" t="s">
        <v>44</v>
      </c>
      <c r="D714" s="25">
        <v>7</v>
      </c>
      <c r="E714" s="25">
        <v>0</v>
      </c>
      <c r="F714" s="25" t="s">
        <v>50</v>
      </c>
      <c r="G714" s="25">
        <v>13</v>
      </c>
      <c r="H714" s="25" t="s">
        <v>50</v>
      </c>
      <c r="I714" s="25" t="s">
        <v>50</v>
      </c>
      <c r="J714" s="25" t="s">
        <v>44</v>
      </c>
    </row>
    <row r="715" spans="1:10" ht="12.75" customHeight="1" x14ac:dyDescent="0.2">
      <c r="A715" s="24"/>
      <c r="B715" s="24" t="s">
        <v>56</v>
      </c>
      <c r="C715" s="25" t="s">
        <v>44</v>
      </c>
      <c r="D715" s="25">
        <v>2</v>
      </c>
      <c r="E715" s="25" t="s">
        <v>44</v>
      </c>
      <c r="F715" s="25">
        <v>2</v>
      </c>
      <c r="G715" s="25">
        <v>1</v>
      </c>
      <c r="H715" s="25">
        <v>2</v>
      </c>
      <c r="I715" s="25" t="s">
        <v>44</v>
      </c>
      <c r="J715" s="25" t="s">
        <v>44</v>
      </c>
    </row>
    <row r="716" spans="1:10" ht="12.75" customHeight="1" x14ac:dyDescent="0.2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5</v>
      </c>
      <c r="H716" s="25" t="s">
        <v>50</v>
      </c>
      <c r="I716" s="25" t="s">
        <v>50</v>
      </c>
      <c r="J716" s="25" t="s">
        <v>44</v>
      </c>
    </row>
    <row r="717" spans="1:10" ht="12.75" customHeight="1" x14ac:dyDescent="0.2">
      <c r="A717" s="24"/>
      <c r="B717" s="24" t="s">
        <v>58</v>
      </c>
      <c r="C717" s="25" t="s">
        <v>44</v>
      </c>
      <c r="D717" s="25">
        <v>2</v>
      </c>
      <c r="E717" s="25">
        <v>0</v>
      </c>
      <c r="F717" s="25" t="s">
        <v>50</v>
      </c>
      <c r="G717" s="25">
        <v>2</v>
      </c>
      <c r="H717" s="25" t="s">
        <v>50</v>
      </c>
      <c r="I717" s="25" t="s">
        <v>50</v>
      </c>
      <c r="J717" s="25" t="s">
        <v>44</v>
      </c>
    </row>
    <row r="718" spans="1:10" ht="12.75" customHeight="1" x14ac:dyDescent="0.2">
      <c r="A718" s="24"/>
      <c r="B718" s="22" t="s">
        <v>548</v>
      </c>
      <c r="C718" s="25">
        <v>862</v>
      </c>
      <c r="D718" s="25">
        <v>30</v>
      </c>
      <c r="E718" s="25">
        <v>0</v>
      </c>
      <c r="F718" s="25" t="s">
        <v>50</v>
      </c>
      <c r="G718" s="25">
        <v>4</v>
      </c>
      <c r="H718" s="25" t="s">
        <v>50</v>
      </c>
      <c r="I718" s="25">
        <v>36</v>
      </c>
      <c r="J718" s="25">
        <v>791</v>
      </c>
    </row>
    <row r="719" spans="1:10" ht="12.75" customHeight="1" x14ac:dyDescent="0.2">
      <c r="A719" s="24"/>
      <c r="B719" s="24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2">
      <c r="A720" s="22" t="s">
        <v>93</v>
      </c>
      <c r="B720" s="22" t="s">
        <v>94</v>
      </c>
      <c r="C720" s="27"/>
      <c r="D720" s="27"/>
      <c r="E720" s="27"/>
      <c r="F720" s="27"/>
      <c r="G720" s="27"/>
      <c r="H720" s="27"/>
      <c r="I720" s="27"/>
      <c r="J720" s="27"/>
    </row>
    <row r="721" spans="1:10" ht="12.75" customHeight="1" x14ac:dyDescent="0.2">
      <c r="A721" s="29"/>
      <c r="B721" s="30"/>
      <c r="C721" s="25"/>
      <c r="D721" s="25"/>
      <c r="E721" s="25"/>
      <c r="F721" s="25"/>
      <c r="G721" s="25"/>
      <c r="H721" s="25"/>
      <c r="I721" s="25"/>
      <c r="J721" s="25"/>
    </row>
    <row r="722" spans="1:10" ht="12.75" customHeight="1" x14ac:dyDescent="0.2">
      <c r="A722" s="24"/>
      <c r="B722" s="24"/>
      <c r="C722" s="25"/>
      <c r="D722" s="25"/>
      <c r="E722" s="25"/>
      <c r="F722" s="25"/>
      <c r="G722" s="25"/>
      <c r="H722" s="25"/>
      <c r="I722" s="25"/>
      <c r="J722" s="25"/>
    </row>
    <row r="723" spans="1:10" ht="12.75" customHeight="1" x14ac:dyDescent="0.2">
      <c r="A723" s="24"/>
      <c r="B723" s="22" t="s">
        <v>543</v>
      </c>
      <c r="C723" s="25">
        <v>746</v>
      </c>
      <c r="D723" s="25">
        <v>27</v>
      </c>
      <c r="E723" s="25">
        <v>0</v>
      </c>
      <c r="F723" s="25" t="s">
        <v>50</v>
      </c>
      <c r="G723" s="25">
        <v>405</v>
      </c>
      <c r="H723" s="25">
        <v>4</v>
      </c>
      <c r="I723" s="25">
        <v>0</v>
      </c>
      <c r="J723" s="25">
        <v>309</v>
      </c>
    </row>
    <row r="724" spans="1:10" ht="12.75" customHeight="1" x14ac:dyDescent="0.2">
      <c r="A724" s="24"/>
      <c r="B724" s="22" t="s">
        <v>544</v>
      </c>
      <c r="C724" s="25" t="s">
        <v>44</v>
      </c>
      <c r="D724" s="25">
        <v>2</v>
      </c>
      <c r="E724" s="25">
        <v>0</v>
      </c>
      <c r="F724" s="25" t="s">
        <v>50</v>
      </c>
      <c r="G724" s="25">
        <v>181</v>
      </c>
      <c r="H724" s="25" t="s">
        <v>50</v>
      </c>
      <c r="I724" s="25">
        <v>0</v>
      </c>
      <c r="J724" s="25" t="s">
        <v>44</v>
      </c>
    </row>
    <row r="725" spans="1:10" ht="12.75" customHeight="1" x14ac:dyDescent="0.2">
      <c r="A725" s="24"/>
      <c r="B725" s="24" t="s">
        <v>45</v>
      </c>
      <c r="C725" s="25" t="s">
        <v>44</v>
      </c>
      <c r="D725" s="25">
        <v>2</v>
      </c>
      <c r="E725" s="25">
        <v>0</v>
      </c>
      <c r="F725" s="25" t="s">
        <v>50</v>
      </c>
      <c r="G725" s="25">
        <v>50</v>
      </c>
      <c r="H725" s="25" t="s">
        <v>50</v>
      </c>
      <c r="I725" s="25">
        <v>0</v>
      </c>
      <c r="J725" s="25" t="s">
        <v>44</v>
      </c>
    </row>
    <row r="726" spans="1:10" ht="12.75" customHeight="1" x14ac:dyDescent="0.2">
      <c r="A726" s="24"/>
      <c r="B726" s="24" t="s">
        <v>46</v>
      </c>
      <c r="C726" s="25" t="s">
        <v>44</v>
      </c>
      <c r="D726" s="25">
        <v>0</v>
      </c>
      <c r="E726" s="25">
        <v>0</v>
      </c>
      <c r="F726" s="25">
        <v>0</v>
      </c>
      <c r="G726" s="25">
        <v>131</v>
      </c>
      <c r="H726" s="25" t="s">
        <v>50</v>
      </c>
      <c r="I726" s="25">
        <v>0</v>
      </c>
      <c r="J726" s="25" t="s">
        <v>44</v>
      </c>
    </row>
    <row r="727" spans="1:10" ht="12.75" customHeight="1" x14ac:dyDescent="0.2">
      <c r="A727" s="24"/>
      <c r="B727" s="22" t="s">
        <v>545</v>
      </c>
      <c r="C727" s="25" t="s">
        <v>44</v>
      </c>
      <c r="D727" s="25">
        <v>23</v>
      </c>
      <c r="E727" s="25">
        <v>0</v>
      </c>
      <c r="F727" s="25" t="s">
        <v>50</v>
      </c>
      <c r="G727" s="25">
        <v>219</v>
      </c>
      <c r="H727" s="25">
        <v>4</v>
      </c>
      <c r="I727" s="25">
        <v>0</v>
      </c>
      <c r="J727" s="25" t="s">
        <v>44</v>
      </c>
    </row>
    <row r="728" spans="1:10" ht="12.75" customHeight="1" x14ac:dyDescent="0.2">
      <c r="A728" s="24"/>
      <c r="B728" s="24" t="s">
        <v>48</v>
      </c>
      <c r="C728" s="25" t="s">
        <v>44</v>
      </c>
      <c r="D728" s="25">
        <v>1</v>
      </c>
      <c r="E728" s="25">
        <v>0</v>
      </c>
      <c r="F728" s="25" t="s">
        <v>50</v>
      </c>
      <c r="G728" s="25">
        <v>181</v>
      </c>
      <c r="H728" s="25">
        <v>4</v>
      </c>
      <c r="I728" s="25">
        <v>0</v>
      </c>
      <c r="J728" s="25" t="s">
        <v>44</v>
      </c>
    </row>
    <row r="729" spans="1:10" ht="12.75" customHeight="1" x14ac:dyDescent="0.2">
      <c r="A729" s="24"/>
      <c r="B729" s="24" t="s">
        <v>49</v>
      </c>
      <c r="C729" s="25" t="s">
        <v>44</v>
      </c>
      <c r="D729" s="25">
        <v>2</v>
      </c>
      <c r="E729" s="25">
        <v>0</v>
      </c>
      <c r="F729" s="25">
        <v>0</v>
      </c>
      <c r="G729" s="25">
        <v>0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2">
      <c r="A730" s="24"/>
      <c r="B730" s="24" t="s">
        <v>51</v>
      </c>
      <c r="C730" s="25" t="s">
        <v>44</v>
      </c>
      <c r="D730" s="25">
        <v>20</v>
      </c>
      <c r="E730" s="25">
        <v>0</v>
      </c>
      <c r="F730" s="25" t="s">
        <v>50</v>
      </c>
      <c r="G730" s="25">
        <v>11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2">
      <c r="A731" s="24"/>
      <c r="B731" s="24" t="s">
        <v>52</v>
      </c>
      <c r="C731" s="25" t="s">
        <v>44</v>
      </c>
      <c r="D731" s="25" t="s">
        <v>50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2">
      <c r="A732" s="24"/>
      <c r="B732" s="24" t="s">
        <v>53</v>
      </c>
      <c r="C732" s="25" t="s">
        <v>44</v>
      </c>
      <c r="D732" s="25" t="s">
        <v>50</v>
      </c>
      <c r="E732" s="25">
        <v>0</v>
      </c>
      <c r="F732" s="25" t="s">
        <v>50</v>
      </c>
      <c r="G732" s="25">
        <v>27</v>
      </c>
      <c r="H732" s="25" t="s">
        <v>50</v>
      </c>
      <c r="I732" s="25">
        <v>0</v>
      </c>
      <c r="J732" s="25" t="s">
        <v>44</v>
      </c>
    </row>
    <row r="733" spans="1:10" ht="12.75" customHeight="1" x14ac:dyDescent="0.2">
      <c r="A733" s="24"/>
      <c r="B733" s="22" t="s">
        <v>546</v>
      </c>
      <c r="C733" s="25" t="s">
        <v>44</v>
      </c>
      <c r="D733" s="25">
        <v>2</v>
      </c>
      <c r="E733" s="25">
        <v>0</v>
      </c>
      <c r="F733" s="25" t="s">
        <v>50</v>
      </c>
      <c r="G733" s="25">
        <v>5</v>
      </c>
      <c r="H733" s="25" t="s">
        <v>50</v>
      </c>
      <c r="I733" s="25">
        <v>0</v>
      </c>
      <c r="J733" s="25" t="s">
        <v>44</v>
      </c>
    </row>
    <row r="734" spans="1:10" ht="12.75" customHeight="1" x14ac:dyDescent="0.2">
      <c r="A734" s="24"/>
      <c r="B734" s="24" t="s">
        <v>547</v>
      </c>
      <c r="C734" s="25" t="s">
        <v>44</v>
      </c>
      <c r="D734" s="25">
        <v>1</v>
      </c>
      <c r="E734" s="25">
        <v>0</v>
      </c>
      <c r="F734" s="25">
        <v>0</v>
      </c>
      <c r="G734" s="25" t="s">
        <v>50</v>
      </c>
      <c r="H734" s="25" t="s">
        <v>50</v>
      </c>
      <c r="I734" s="25">
        <v>0</v>
      </c>
      <c r="J734" s="25" t="s">
        <v>44</v>
      </c>
    </row>
    <row r="735" spans="1:10" ht="12.75" customHeight="1" x14ac:dyDescent="0.2">
      <c r="A735" s="24"/>
      <c r="B735" s="24" t="s">
        <v>54</v>
      </c>
      <c r="C735" s="25" t="s">
        <v>44</v>
      </c>
      <c r="D735" s="25">
        <v>1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2">
      <c r="A736" s="24"/>
      <c r="B736" s="24" t="s">
        <v>55</v>
      </c>
      <c r="C736" s="25" t="s">
        <v>44</v>
      </c>
      <c r="D736" s="25" t="s">
        <v>50</v>
      </c>
      <c r="E736" s="25">
        <v>0</v>
      </c>
      <c r="F736" s="25">
        <v>0</v>
      </c>
      <c r="G736" s="25">
        <v>2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2">
      <c r="A737" s="24"/>
      <c r="B737" s="24" t="s">
        <v>56</v>
      </c>
      <c r="C737" s="25" t="s">
        <v>44</v>
      </c>
      <c r="D737" s="25" t="s">
        <v>50</v>
      </c>
      <c r="E737" s="25" t="s">
        <v>44</v>
      </c>
      <c r="F737" s="25" t="s">
        <v>50</v>
      </c>
      <c r="G737" s="25">
        <v>0</v>
      </c>
      <c r="H737" s="25" t="s">
        <v>50</v>
      </c>
      <c r="I737" s="25" t="s">
        <v>44</v>
      </c>
      <c r="J737" s="25" t="s">
        <v>44</v>
      </c>
    </row>
    <row r="738" spans="1:10" ht="12.75" customHeight="1" x14ac:dyDescent="0.2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3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2">
      <c r="A739" s="24"/>
      <c r="B739" s="24" t="s">
        <v>58</v>
      </c>
      <c r="C739" s="25" t="s">
        <v>44</v>
      </c>
      <c r="D739" s="25">
        <v>0</v>
      </c>
      <c r="E739" s="25">
        <v>0</v>
      </c>
      <c r="F739" s="25" t="s">
        <v>50</v>
      </c>
      <c r="G739" s="25">
        <v>0</v>
      </c>
      <c r="H739" s="25">
        <v>0</v>
      </c>
      <c r="I739" s="25">
        <v>0</v>
      </c>
      <c r="J739" s="25" t="s">
        <v>44</v>
      </c>
    </row>
    <row r="740" spans="1:10" ht="12.75" customHeight="1" x14ac:dyDescent="0.2">
      <c r="A740" s="24"/>
      <c r="B740" s="22" t="s">
        <v>548</v>
      </c>
      <c r="C740" s="25">
        <v>309</v>
      </c>
      <c r="D740" s="25">
        <v>0</v>
      </c>
      <c r="E740" s="25">
        <v>0</v>
      </c>
      <c r="F740" s="25">
        <v>0</v>
      </c>
      <c r="G740" s="25">
        <v>0</v>
      </c>
      <c r="H740" s="25" t="s">
        <v>50</v>
      </c>
      <c r="I740" s="25">
        <v>0</v>
      </c>
      <c r="J740" s="25">
        <v>309</v>
      </c>
    </row>
    <row r="741" spans="1:10" ht="12.75" customHeight="1" x14ac:dyDescent="0.2">
      <c r="A741" s="24"/>
      <c r="B741" s="24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2">
      <c r="A742" s="22" t="s">
        <v>95</v>
      </c>
      <c r="B742" s="22" t="s">
        <v>576</v>
      </c>
      <c r="C742" s="27"/>
      <c r="D742" s="27"/>
      <c r="E742" s="27"/>
      <c r="F742" s="27"/>
      <c r="G742" s="27"/>
      <c r="H742" s="27"/>
      <c r="I742" s="27"/>
      <c r="J742" s="27"/>
    </row>
    <row r="743" spans="1:10" ht="12.75" customHeight="1" x14ac:dyDescent="0.2">
      <c r="A743" s="24"/>
      <c r="B743" s="24"/>
      <c r="C743" s="25"/>
      <c r="D743" s="25"/>
      <c r="E743" s="25"/>
      <c r="F743" s="25"/>
      <c r="G743" s="25"/>
      <c r="H743" s="25"/>
      <c r="I743" s="25"/>
      <c r="J743" s="25"/>
    </row>
    <row r="744" spans="1:10" ht="12.75" customHeight="1" x14ac:dyDescent="0.2">
      <c r="A744" s="24"/>
      <c r="B744" s="24"/>
      <c r="C744" s="25"/>
      <c r="D744" s="25"/>
      <c r="E744" s="25"/>
      <c r="F744" s="25"/>
      <c r="G744" s="25"/>
      <c r="H744" s="25"/>
      <c r="I744" s="25"/>
      <c r="J744" s="25"/>
    </row>
    <row r="745" spans="1:10" ht="12.75" customHeight="1" x14ac:dyDescent="0.2">
      <c r="A745" s="24"/>
      <c r="B745" s="22" t="s">
        <v>543</v>
      </c>
      <c r="C745" s="25">
        <v>190</v>
      </c>
      <c r="D745" s="25">
        <v>91</v>
      </c>
      <c r="E745" s="25">
        <v>0</v>
      </c>
      <c r="F745" s="25" t="s">
        <v>50</v>
      </c>
      <c r="G745" s="25">
        <v>94</v>
      </c>
      <c r="H745" s="25" t="s">
        <v>50</v>
      </c>
      <c r="I745" s="25">
        <v>0</v>
      </c>
      <c r="J745" s="25">
        <v>6</v>
      </c>
    </row>
    <row r="746" spans="1:10" ht="12.75" customHeight="1" x14ac:dyDescent="0.2">
      <c r="A746" s="24"/>
      <c r="B746" s="22" t="s">
        <v>544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53</v>
      </c>
      <c r="H746" s="25">
        <v>0</v>
      </c>
      <c r="I746" s="25">
        <v>0</v>
      </c>
      <c r="J746" s="25" t="s">
        <v>44</v>
      </c>
    </row>
    <row r="747" spans="1:10" ht="12.75" customHeight="1" x14ac:dyDescent="0.2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9</v>
      </c>
      <c r="H747" s="25">
        <v>0</v>
      </c>
      <c r="I747" s="25">
        <v>0</v>
      </c>
      <c r="J747" s="25" t="s">
        <v>44</v>
      </c>
    </row>
    <row r="748" spans="1:10" ht="12.75" customHeight="1" x14ac:dyDescent="0.2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>
        <v>0</v>
      </c>
      <c r="G748" s="25">
        <v>44</v>
      </c>
      <c r="H748" s="25">
        <v>0</v>
      </c>
      <c r="I748" s="25">
        <v>0</v>
      </c>
      <c r="J748" s="25" t="s">
        <v>44</v>
      </c>
    </row>
    <row r="749" spans="1:10" ht="12.75" customHeight="1" x14ac:dyDescent="0.2">
      <c r="A749" s="24"/>
      <c r="B749" s="22" t="s">
        <v>545</v>
      </c>
      <c r="C749" s="25" t="s">
        <v>44</v>
      </c>
      <c r="D749" s="25">
        <v>70</v>
      </c>
      <c r="E749" s="25">
        <v>0</v>
      </c>
      <c r="F749" s="25" t="s">
        <v>50</v>
      </c>
      <c r="G749" s="25">
        <v>41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2">
      <c r="A750" s="24"/>
      <c r="B750" s="24" t="s">
        <v>48</v>
      </c>
      <c r="C750" s="25" t="s">
        <v>44</v>
      </c>
      <c r="D750" s="25" t="s">
        <v>50</v>
      </c>
      <c r="E750" s="25">
        <v>0</v>
      </c>
      <c r="F750" s="25">
        <v>0</v>
      </c>
      <c r="G750" s="25" t="s">
        <v>47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2">
      <c r="A751" s="24"/>
      <c r="B751" s="24" t="s">
        <v>49</v>
      </c>
      <c r="C751" s="25" t="s">
        <v>44</v>
      </c>
      <c r="D751" s="25">
        <v>3</v>
      </c>
      <c r="E751" s="25">
        <v>0</v>
      </c>
      <c r="F751" s="25">
        <v>0</v>
      </c>
      <c r="G751" s="25" t="s">
        <v>50</v>
      </c>
      <c r="H751" s="25">
        <v>0</v>
      </c>
      <c r="I751" s="25">
        <v>0</v>
      </c>
      <c r="J751" s="25" t="s">
        <v>44</v>
      </c>
    </row>
    <row r="752" spans="1:10" ht="12.75" customHeight="1" x14ac:dyDescent="0.2">
      <c r="A752" s="24"/>
      <c r="B752" s="24" t="s">
        <v>51</v>
      </c>
      <c r="C752" s="25" t="s">
        <v>44</v>
      </c>
      <c r="D752" s="25">
        <v>69</v>
      </c>
      <c r="E752" s="25">
        <v>0</v>
      </c>
      <c r="F752" s="25" t="s">
        <v>50</v>
      </c>
      <c r="G752" s="25" t="s">
        <v>47</v>
      </c>
      <c r="H752" s="25" t="s">
        <v>50</v>
      </c>
      <c r="I752" s="25">
        <v>0</v>
      </c>
      <c r="J752" s="25" t="s">
        <v>44</v>
      </c>
    </row>
    <row r="753" spans="1:10" ht="12.75" customHeight="1" x14ac:dyDescent="0.2">
      <c r="A753" s="24"/>
      <c r="B753" s="24" t="s">
        <v>52</v>
      </c>
      <c r="C753" s="25" t="s">
        <v>44</v>
      </c>
      <c r="D753" s="25">
        <v>-4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2">
      <c r="A754" s="24"/>
      <c r="B754" s="24" t="s">
        <v>53</v>
      </c>
      <c r="C754" s="25" t="s">
        <v>44</v>
      </c>
      <c r="D754" s="25">
        <v>2</v>
      </c>
      <c r="E754" s="25">
        <v>0</v>
      </c>
      <c r="F754" s="25">
        <v>0</v>
      </c>
      <c r="G754" s="25">
        <v>8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2">
      <c r="A755" s="24"/>
      <c r="B755" s="22" t="s">
        <v>546</v>
      </c>
      <c r="C755" s="25" t="s">
        <v>44</v>
      </c>
      <c r="D755" s="25">
        <v>3</v>
      </c>
      <c r="E755" s="25">
        <v>0</v>
      </c>
      <c r="F755" s="25" t="s">
        <v>50</v>
      </c>
      <c r="G755" s="25" t="s">
        <v>50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2">
      <c r="A756" s="24"/>
      <c r="B756" s="24" t="s">
        <v>547</v>
      </c>
      <c r="C756" s="25" t="s">
        <v>44</v>
      </c>
      <c r="D756" s="25">
        <v>2</v>
      </c>
      <c r="E756" s="25">
        <v>0</v>
      </c>
      <c r="F756" s="25" t="s">
        <v>50</v>
      </c>
      <c r="G756" s="25" t="s">
        <v>50</v>
      </c>
      <c r="H756" s="25">
        <v>0</v>
      </c>
      <c r="I756" s="25">
        <v>0</v>
      </c>
      <c r="J756" s="25" t="s">
        <v>44</v>
      </c>
    </row>
    <row r="757" spans="1:10" ht="12.75" customHeight="1" x14ac:dyDescent="0.2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2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>
        <v>0</v>
      </c>
      <c r="I758" s="25">
        <v>0</v>
      </c>
      <c r="J758" s="25" t="s">
        <v>44</v>
      </c>
    </row>
    <row r="759" spans="1:10" ht="12.75" customHeight="1" x14ac:dyDescent="0.2">
      <c r="A759" s="24"/>
      <c r="B759" s="24" t="s">
        <v>56</v>
      </c>
      <c r="C759" s="25" t="s">
        <v>44</v>
      </c>
      <c r="D759" s="25">
        <v>0</v>
      </c>
      <c r="E759" s="25" t="s">
        <v>44</v>
      </c>
      <c r="F759" s="25" t="s">
        <v>50</v>
      </c>
      <c r="G759" s="25" t="s">
        <v>50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2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>
        <v>0</v>
      </c>
      <c r="G760" s="25">
        <v>0</v>
      </c>
      <c r="H760" s="25">
        <v>0</v>
      </c>
      <c r="I760" s="25">
        <v>0</v>
      </c>
      <c r="J760" s="25" t="s">
        <v>44</v>
      </c>
    </row>
    <row r="761" spans="1:10" ht="12.75" customHeight="1" x14ac:dyDescent="0.2">
      <c r="A761" s="24"/>
      <c r="B761" s="24" t="s">
        <v>58</v>
      </c>
      <c r="C761" s="25" t="s">
        <v>44</v>
      </c>
      <c r="D761" s="25">
        <v>0</v>
      </c>
      <c r="E761" s="25">
        <v>0</v>
      </c>
      <c r="F761" s="25" t="s">
        <v>50</v>
      </c>
      <c r="G761" s="25" t="s">
        <v>50</v>
      </c>
      <c r="H761" s="25">
        <v>0</v>
      </c>
      <c r="I761" s="25">
        <v>0</v>
      </c>
      <c r="J761" s="25" t="s">
        <v>44</v>
      </c>
    </row>
    <row r="762" spans="1:10" ht="12.75" customHeight="1" x14ac:dyDescent="0.2">
      <c r="A762" s="24"/>
      <c r="B762" s="22" t="s">
        <v>548</v>
      </c>
      <c r="C762" s="25" t="s">
        <v>60</v>
      </c>
      <c r="D762" s="25" t="s">
        <v>60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6</v>
      </c>
    </row>
    <row r="763" spans="1:10" ht="12.75" customHeight="1" x14ac:dyDescent="0.2">
      <c r="A763" s="24"/>
      <c r="B763" s="24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2">
      <c r="A764" s="22" t="s">
        <v>96</v>
      </c>
      <c r="B764" s="22" t="s">
        <v>577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2">
      <c r="A765" s="29"/>
      <c r="B765" s="30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2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2">
      <c r="A767" s="24"/>
      <c r="B767" s="22" t="s">
        <v>543</v>
      </c>
      <c r="C767" s="25">
        <v>401</v>
      </c>
      <c r="D767" s="25">
        <v>88</v>
      </c>
      <c r="E767" s="25">
        <v>0</v>
      </c>
      <c r="F767" s="25" t="s">
        <v>50</v>
      </c>
      <c r="G767" s="25">
        <v>215</v>
      </c>
      <c r="H767" s="25" t="s">
        <v>50</v>
      </c>
      <c r="I767" s="25">
        <v>24</v>
      </c>
      <c r="J767" s="25">
        <v>74</v>
      </c>
    </row>
    <row r="768" spans="1:10" ht="12.75" customHeight="1" x14ac:dyDescent="0.2">
      <c r="A768" s="24"/>
      <c r="B768" s="22" t="s">
        <v>544</v>
      </c>
      <c r="C768" s="25" t="s">
        <v>44</v>
      </c>
      <c r="D768" s="25">
        <v>1</v>
      </c>
      <c r="E768" s="25">
        <v>0</v>
      </c>
      <c r="F768" s="25" t="s">
        <v>50</v>
      </c>
      <c r="G768" s="25">
        <v>108</v>
      </c>
      <c r="H768" s="25" t="s">
        <v>50</v>
      </c>
      <c r="I768" s="25">
        <v>6</v>
      </c>
      <c r="J768" s="25" t="s">
        <v>44</v>
      </c>
    </row>
    <row r="769" spans="1:10" ht="12.75" customHeight="1" x14ac:dyDescent="0.2">
      <c r="A769" s="24"/>
      <c r="B769" s="24" t="s">
        <v>45</v>
      </c>
      <c r="C769" s="25" t="s">
        <v>44</v>
      </c>
      <c r="D769" s="25">
        <v>1</v>
      </c>
      <c r="E769" s="25">
        <v>0</v>
      </c>
      <c r="F769" s="25" t="s">
        <v>50</v>
      </c>
      <c r="G769" s="25">
        <v>14</v>
      </c>
      <c r="H769" s="25" t="s">
        <v>50</v>
      </c>
      <c r="I769" s="25">
        <v>6</v>
      </c>
      <c r="J769" s="25" t="s">
        <v>44</v>
      </c>
    </row>
    <row r="770" spans="1:10" ht="12.75" customHeight="1" x14ac:dyDescent="0.2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 t="s">
        <v>50</v>
      </c>
      <c r="G770" s="25">
        <v>94</v>
      </c>
      <c r="H770" s="25">
        <v>0</v>
      </c>
      <c r="I770" s="25">
        <v>0</v>
      </c>
      <c r="J770" s="25" t="s">
        <v>44</v>
      </c>
    </row>
    <row r="771" spans="1:10" ht="12.75" customHeight="1" x14ac:dyDescent="0.2">
      <c r="A771" s="24"/>
      <c r="B771" s="22" t="s">
        <v>545</v>
      </c>
      <c r="C771" s="25" t="s">
        <v>44</v>
      </c>
      <c r="D771" s="25">
        <v>80</v>
      </c>
      <c r="E771" s="25">
        <v>0</v>
      </c>
      <c r="F771" s="25" t="s">
        <v>50</v>
      </c>
      <c r="G771" s="25">
        <v>102</v>
      </c>
      <c r="H771" s="25" t="s">
        <v>50</v>
      </c>
      <c r="I771" s="25">
        <v>1</v>
      </c>
      <c r="J771" s="25" t="s">
        <v>44</v>
      </c>
    </row>
    <row r="772" spans="1:10" ht="12.75" customHeight="1" x14ac:dyDescent="0.2">
      <c r="A772" s="24"/>
      <c r="B772" s="24" t="s">
        <v>48</v>
      </c>
      <c r="C772" s="25" t="s">
        <v>44</v>
      </c>
      <c r="D772" s="25">
        <v>7</v>
      </c>
      <c r="E772" s="25">
        <v>0</v>
      </c>
      <c r="F772" s="25" t="s">
        <v>50</v>
      </c>
      <c r="G772" s="25">
        <v>44</v>
      </c>
      <c r="H772" s="25" t="s">
        <v>50</v>
      </c>
      <c r="I772" s="25">
        <v>1</v>
      </c>
      <c r="J772" s="25" t="s">
        <v>44</v>
      </c>
    </row>
    <row r="773" spans="1:10" ht="12.75" customHeight="1" x14ac:dyDescent="0.2">
      <c r="A773" s="24"/>
      <c r="B773" s="24" t="s">
        <v>49</v>
      </c>
      <c r="C773" s="25" t="s">
        <v>44</v>
      </c>
      <c r="D773" s="25">
        <v>3</v>
      </c>
      <c r="E773" s="25">
        <v>0</v>
      </c>
      <c r="F773" s="25">
        <v>0</v>
      </c>
      <c r="G773" s="25" t="s">
        <v>50</v>
      </c>
      <c r="H773" s="25">
        <v>0</v>
      </c>
      <c r="I773" s="25">
        <v>0</v>
      </c>
      <c r="J773" s="25" t="s">
        <v>44</v>
      </c>
    </row>
    <row r="774" spans="1:10" ht="12.75" customHeight="1" x14ac:dyDescent="0.2">
      <c r="A774" s="24"/>
      <c r="B774" s="24" t="s">
        <v>51</v>
      </c>
      <c r="C774" s="25" t="s">
        <v>44</v>
      </c>
      <c r="D774" s="25">
        <v>26</v>
      </c>
      <c r="E774" s="25">
        <v>0</v>
      </c>
      <c r="F774" s="25" t="s">
        <v>50</v>
      </c>
      <c r="G774" s="25">
        <v>56</v>
      </c>
      <c r="H774" s="25" t="s">
        <v>50</v>
      </c>
      <c r="I774" s="25">
        <v>0</v>
      </c>
      <c r="J774" s="25" t="s">
        <v>44</v>
      </c>
    </row>
    <row r="775" spans="1:10" ht="12.75" customHeight="1" x14ac:dyDescent="0.2">
      <c r="A775" s="24"/>
      <c r="B775" s="24" t="s">
        <v>52</v>
      </c>
      <c r="C775" s="25" t="s">
        <v>44</v>
      </c>
      <c r="D775" s="25">
        <v>44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2">
      <c r="A776" s="24"/>
      <c r="B776" s="24" t="s">
        <v>53</v>
      </c>
      <c r="C776" s="25" t="s">
        <v>44</v>
      </c>
      <c r="D776" s="25" t="s">
        <v>50</v>
      </c>
      <c r="E776" s="25">
        <v>0</v>
      </c>
      <c r="F776" s="25" t="s">
        <v>50</v>
      </c>
      <c r="G776" s="25">
        <v>2</v>
      </c>
      <c r="H776" s="25" t="s">
        <v>50</v>
      </c>
      <c r="I776" s="25">
        <v>0</v>
      </c>
      <c r="J776" s="25" t="s">
        <v>44</v>
      </c>
    </row>
    <row r="777" spans="1:10" ht="12.75" customHeight="1" x14ac:dyDescent="0.2">
      <c r="A777" s="24"/>
      <c r="B777" s="22" t="s">
        <v>546</v>
      </c>
      <c r="C777" s="25" t="s">
        <v>44</v>
      </c>
      <c r="D777" s="25">
        <v>7</v>
      </c>
      <c r="E777" s="25">
        <v>0</v>
      </c>
      <c r="F777" s="25" t="s">
        <v>50</v>
      </c>
      <c r="G777" s="25">
        <v>5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2">
      <c r="A778" s="24"/>
      <c r="B778" s="24" t="s">
        <v>547</v>
      </c>
      <c r="C778" s="25" t="s">
        <v>44</v>
      </c>
      <c r="D778" s="25">
        <v>3</v>
      </c>
      <c r="E778" s="25">
        <v>0</v>
      </c>
      <c r="F778" s="25">
        <v>0</v>
      </c>
      <c r="G778" s="25">
        <v>4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2">
      <c r="A779" s="24"/>
      <c r="B779" s="24" t="s">
        <v>54</v>
      </c>
      <c r="C779" s="25" t="s">
        <v>44</v>
      </c>
      <c r="D779" s="25">
        <v>2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2">
      <c r="A780" s="24"/>
      <c r="B780" s="24" t="s">
        <v>55</v>
      </c>
      <c r="C780" s="25" t="s">
        <v>44</v>
      </c>
      <c r="D780" s="25">
        <v>1</v>
      </c>
      <c r="E780" s="25">
        <v>0</v>
      </c>
      <c r="F780" s="25">
        <v>0</v>
      </c>
      <c r="G780" s="25">
        <v>1</v>
      </c>
      <c r="H780" s="25">
        <v>0</v>
      </c>
      <c r="I780" s="25">
        <v>0</v>
      </c>
      <c r="J780" s="25" t="s">
        <v>44</v>
      </c>
    </row>
    <row r="781" spans="1:10" ht="12.75" customHeight="1" x14ac:dyDescent="0.2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 t="s">
        <v>50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2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 t="s">
        <v>50</v>
      </c>
      <c r="G782" s="25">
        <v>0</v>
      </c>
      <c r="H782" s="25" t="s">
        <v>50</v>
      </c>
      <c r="I782" s="25">
        <v>0</v>
      </c>
      <c r="J782" s="25" t="s">
        <v>44</v>
      </c>
    </row>
    <row r="783" spans="1:10" ht="12.75" customHeight="1" x14ac:dyDescent="0.2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 t="s">
        <v>50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2">
      <c r="A784" s="24"/>
      <c r="B784" s="22" t="s">
        <v>548</v>
      </c>
      <c r="C784" s="25">
        <v>91</v>
      </c>
      <c r="D784" s="25" t="s">
        <v>50</v>
      </c>
      <c r="E784" s="25">
        <v>0</v>
      </c>
      <c r="F784" s="25" t="s">
        <v>50</v>
      </c>
      <c r="G784" s="25" t="s">
        <v>50</v>
      </c>
      <c r="H784" s="25" t="s">
        <v>50</v>
      </c>
      <c r="I784" s="25">
        <v>17</v>
      </c>
      <c r="J784" s="25">
        <v>74</v>
      </c>
    </row>
    <row r="785" spans="1:10" ht="12.75" customHeight="1" x14ac:dyDescent="0.2">
      <c r="A785" s="24"/>
      <c r="B785" s="24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2">
      <c r="A786" s="22" t="s">
        <v>97</v>
      </c>
      <c r="B786" s="22" t="s">
        <v>578</v>
      </c>
      <c r="C786" s="27"/>
      <c r="D786" s="27"/>
      <c r="E786" s="27"/>
      <c r="F786" s="27"/>
      <c r="G786" s="27"/>
      <c r="H786" s="27"/>
      <c r="I786" s="27"/>
      <c r="J786" s="27"/>
    </row>
    <row r="787" spans="1:10" ht="12.75" customHeight="1" x14ac:dyDescent="0.2">
      <c r="A787" s="24"/>
      <c r="B787" s="24"/>
      <c r="C787" s="25"/>
      <c r="D787" s="25"/>
      <c r="E787" s="25"/>
      <c r="F787" s="25"/>
      <c r="G787" s="25"/>
      <c r="H787" s="25"/>
      <c r="I787" s="25"/>
      <c r="J787" s="25"/>
    </row>
    <row r="788" spans="1:10" ht="12.75" customHeight="1" x14ac:dyDescent="0.2">
      <c r="A788" s="24"/>
      <c r="B788" s="24"/>
      <c r="C788" s="25"/>
      <c r="D788" s="25"/>
      <c r="E788" s="25"/>
      <c r="F788" s="25"/>
      <c r="G788" s="25"/>
      <c r="H788" s="25"/>
      <c r="I788" s="25"/>
      <c r="J788" s="25"/>
    </row>
    <row r="789" spans="1:10" ht="12.75" customHeight="1" x14ac:dyDescent="0.2">
      <c r="A789" s="24"/>
      <c r="B789" s="22" t="s">
        <v>543</v>
      </c>
      <c r="C789" s="25">
        <v>470</v>
      </c>
      <c r="D789" s="25">
        <v>37</v>
      </c>
      <c r="E789" s="25">
        <v>0</v>
      </c>
      <c r="F789" s="25" t="s">
        <v>50</v>
      </c>
      <c r="G789" s="25">
        <v>382</v>
      </c>
      <c r="H789" s="25" t="s">
        <v>50</v>
      </c>
      <c r="I789" s="25">
        <v>20</v>
      </c>
      <c r="J789" s="25">
        <v>31</v>
      </c>
    </row>
    <row r="790" spans="1:10" ht="12.75" customHeight="1" x14ac:dyDescent="0.2">
      <c r="A790" s="24"/>
      <c r="B790" s="22" t="s">
        <v>544</v>
      </c>
      <c r="C790" s="25" t="s">
        <v>44</v>
      </c>
      <c r="D790" s="25">
        <v>2</v>
      </c>
      <c r="E790" s="25">
        <v>0</v>
      </c>
      <c r="F790" s="25">
        <v>0</v>
      </c>
      <c r="G790" s="25">
        <v>217</v>
      </c>
      <c r="H790" s="25">
        <v>0</v>
      </c>
      <c r="I790" s="25" t="s">
        <v>50</v>
      </c>
      <c r="J790" s="25" t="s">
        <v>44</v>
      </c>
    </row>
    <row r="791" spans="1:10" ht="12.75" customHeight="1" x14ac:dyDescent="0.2">
      <c r="A791" s="24"/>
      <c r="B791" s="24" t="s">
        <v>45</v>
      </c>
      <c r="C791" s="25" t="s">
        <v>44</v>
      </c>
      <c r="D791" s="25">
        <v>2</v>
      </c>
      <c r="E791" s="25">
        <v>0</v>
      </c>
      <c r="F791" s="25">
        <v>0</v>
      </c>
      <c r="G791" s="25">
        <v>147</v>
      </c>
      <c r="H791" s="25">
        <v>0</v>
      </c>
      <c r="I791" s="25">
        <v>0</v>
      </c>
      <c r="J791" s="25" t="s">
        <v>44</v>
      </c>
    </row>
    <row r="792" spans="1:10" ht="12.75" customHeight="1" x14ac:dyDescent="0.2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>
        <v>0</v>
      </c>
      <c r="G792" s="25">
        <v>70</v>
      </c>
      <c r="H792" s="25">
        <v>0</v>
      </c>
      <c r="I792" s="25" t="s">
        <v>50</v>
      </c>
      <c r="J792" s="25" t="s">
        <v>44</v>
      </c>
    </row>
    <row r="793" spans="1:10" ht="12.75" customHeight="1" x14ac:dyDescent="0.2">
      <c r="A793" s="24"/>
      <c r="B793" s="22" t="s">
        <v>545</v>
      </c>
      <c r="C793" s="25" t="s">
        <v>44</v>
      </c>
      <c r="D793" s="25">
        <v>33</v>
      </c>
      <c r="E793" s="25">
        <v>0</v>
      </c>
      <c r="F793" s="25" t="s">
        <v>50</v>
      </c>
      <c r="G793" s="25">
        <v>157</v>
      </c>
      <c r="H793" s="25" t="s">
        <v>50</v>
      </c>
      <c r="I793" s="25">
        <v>0</v>
      </c>
      <c r="J793" s="25" t="s">
        <v>44</v>
      </c>
    </row>
    <row r="794" spans="1:10" ht="12.75" customHeight="1" x14ac:dyDescent="0.2">
      <c r="A794" s="24"/>
      <c r="B794" s="24" t="s">
        <v>48</v>
      </c>
      <c r="C794" s="25" t="s">
        <v>44</v>
      </c>
      <c r="D794" s="25">
        <v>1</v>
      </c>
      <c r="E794" s="25">
        <v>0</v>
      </c>
      <c r="F794" s="25">
        <v>0</v>
      </c>
      <c r="G794" s="25">
        <v>130</v>
      </c>
      <c r="H794" s="25">
        <v>0</v>
      </c>
      <c r="I794" s="25">
        <v>0</v>
      </c>
      <c r="J794" s="25" t="s">
        <v>44</v>
      </c>
    </row>
    <row r="795" spans="1:10" ht="12.75" customHeight="1" x14ac:dyDescent="0.2">
      <c r="A795" s="24"/>
      <c r="B795" s="24" t="s">
        <v>49</v>
      </c>
      <c r="C795" s="25" t="s">
        <v>44</v>
      </c>
      <c r="D795" s="25">
        <v>6</v>
      </c>
      <c r="E795" s="25">
        <v>0</v>
      </c>
      <c r="F795" s="25">
        <v>0</v>
      </c>
      <c r="G795" s="25">
        <v>6</v>
      </c>
      <c r="H795" s="25">
        <v>0</v>
      </c>
      <c r="I795" s="25">
        <v>0</v>
      </c>
      <c r="J795" s="25" t="s">
        <v>44</v>
      </c>
    </row>
    <row r="796" spans="1:10" ht="12.75" customHeight="1" x14ac:dyDescent="0.2">
      <c r="A796" s="24"/>
      <c r="B796" s="24" t="s">
        <v>51</v>
      </c>
      <c r="C796" s="25" t="s">
        <v>44</v>
      </c>
      <c r="D796" s="25">
        <v>26</v>
      </c>
      <c r="E796" s="25">
        <v>0</v>
      </c>
      <c r="F796" s="25" t="s">
        <v>50</v>
      </c>
      <c r="G796" s="25">
        <v>13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2">
      <c r="A797" s="24"/>
      <c r="B797" s="24" t="s">
        <v>52</v>
      </c>
      <c r="C797" s="25" t="s">
        <v>44</v>
      </c>
      <c r="D797" s="25" t="s">
        <v>50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2">
      <c r="A798" s="24"/>
      <c r="B798" s="24" t="s">
        <v>53</v>
      </c>
      <c r="C798" s="25" t="s">
        <v>44</v>
      </c>
      <c r="D798" s="25" t="s">
        <v>50</v>
      </c>
      <c r="E798" s="25">
        <v>0</v>
      </c>
      <c r="F798" s="25" t="s">
        <v>50</v>
      </c>
      <c r="G798" s="25">
        <v>8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2">
      <c r="A799" s="24"/>
      <c r="B799" s="22" t="s">
        <v>546</v>
      </c>
      <c r="C799" s="25" t="s">
        <v>44</v>
      </c>
      <c r="D799" s="25">
        <v>2</v>
      </c>
      <c r="E799" s="25">
        <v>0</v>
      </c>
      <c r="F799" s="25" t="s">
        <v>50</v>
      </c>
      <c r="G799" s="25">
        <v>8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2">
      <c r="A800" s="24"/>
      <c r="B800" s="24" t="s">
        <v>547</v>
      </c>
      <c r="C800" s="25" t="s">
        <v>44</v>
      </c>
      <c r="D800" s="25">
        <v>1</v>
      </c>
      <c r="E800" s="25">
        <v>0</v>
      </c>
      <c r="F800" s="25" t="s">
        <v>50</v>
      </c>
      <c r="G800" s="25">
        <v>5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2">
      <c r="A801" s="24"/>
      <c r="B801" s="24" t="s">
        <v>54</v>
      </c>
      <c r="C801" s="25" t="s">
        <v>44</v>
      </c>
      <c r="D801" s="25">
        <v>1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2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>
        <v>2</v>
      </c>
      <c r="H802" s="25" t="s">
        <v>50</v>
      </c>
      <c r="I802" s="25">
        <v>0</v>
      </c>
      <c r="J802" s="25" t="s">
        <v>44</v>
      </c>
    </row>
    <row r="803" spans="1:10" ht="12.75" customHeight="1" x14ac:dyDescent="0.2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2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>
        <v>1</v>
      </c>
      <c r="H804" s="25">
        <v>0</v>
      </c>
      <c r="I804" s="25">
        <v>0</v>
      </c>
      <c r="J804" s="25" t="s">
        <v>44</v>
      </c>
    </row>
    <row r="805" spans="1:10" ht="12.75" customHeight="1" x14ac:dyDescent="0.2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50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2">
      <c r="A806" s="24"/>
      <c r="B806" s="22" t="s">
        <v>548</v>
      </c>
      <c r="C806" s="25">
        <v>50</v>
      </c>
      <c r="D806" s="25">
        <v>0</v>
      </c>
      <c r="E806" s="25">
        <v>0</v>
      </c>
      <c r="F806" s="25">
        <v>0</v>
      </c>
      <c r="G806" s="25">
        <v>0</v>
      </c>
      <c r="H806" s="25" t="s">
        <v>50</v>
      </c>
      <c r="I806" s="25">
        <v>19</v>
      </c>
      <c r="J806" s="25">
        <v>31</v>
      </c>
    </row>
    <row r="807" spans="1:10" ht="12.75" customHeight="1" x14ac:dyDescent="0.2">
      <c r="A807" s="24"/>
      <c r="B807" s="24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2">
      <c r="A808" s="22" t="s">
        <v>98</v>
      </c>
      <c r="B808" s="22" t="s">
        <v>579</v>
      </c>
      <c r="C808" s="27"/>
      <c r="D808" s="27"/>
      <c r="E808" s="27"/>
      <c r="F808" s="27"/>
      <c r="G808" s="27"/>
      <c r="H808" s="27"/>
      <c r="I808" s="27"/>
      <c r="J808" s="27"/>
    </row>
    <row r="809" spans="1:10" ht="12.75" customHeight="1" x14ac:dyDescent="0.2">
      <c r="A809" s="24"/>
      <c r="B809" s="24"/>
      <c r="C809" s="25"/>
      <c r="D809" s="25"/>
      <c r="E809" s="25"/>
      <c r="F809" s="25"/>
      <c r="G809" s="25"/>
      <c r="H809" s="25"/>
      <c r="I809" s="25"/>
      <c r="J809" s="25"/>
    </row>
    <row r="810" spans="1:10" ht="12.75" customHeight="1" x14ac:dyDescent="0.2">
      <c r="A810" s="24"/>
      <c r="B810" s="24"/>
      <c r="C810" s="25"/>
      <c r="D810" s="25"/>
      <c r="E810" s="25"/>
      <c r="F810" s="25"/>
      <c r="G810" s="25"/>
      <c r="H810" s="25"/>
      <c r="I810" s="25"/>
      <c r="J810" s="25"/>
    </row>
    <row r="811" spans="1:10" ht="12.75" customHeight="1" x14ac:dyDescent="0.2">
      <c r="A811" s="24"/>
      <c r="B811" s="22" t="s">
        <v>543</v>
      </c>
      <c r="C811" s="25">
        <v>102</v>
      </c>
      <c r="D811" s="25">
        <v>16</v>
      </c>
      <c r="E811" s="25">
        <v>0</v>
      </c>
      <c r="F811" s="25">
        <v>1</v>
      </c>
      <c r="G811" s="25">
        <v>39</v>
      </c>
      <c r="H811" s="25">
        <v>5</v>
      </c>
      <c r="I811" s="25">
        <v>0</v>
      </c>
      <c r="J811" s="25">
        <v>40</v>
      </c>
    </row>
    <row r="812" spans="1:10" ht="12.75" customHeight="1" x14ac:dyDescent="0.2">
      <c r="A812" s="24"/>
      <c r="B812" s="22" t="s">
        <v>544</v>
      </c>
      <c r="C812" s="25" t="s">
        <v>44</v>
      </c>
      <c r="D812" s="25" t="s">
        <v>50</v>
      </c>
      <c r="E812" s="25">
        <v>0</v>
      </c>
      <c r="F812" s="25" t="s">
        <v>50</v>
      </c>
      <c r="G812" s="25">
        <v>16</v>
      </c>
      <c r="H812" s="25">
        <v>3</v>
      </c>
      <c r="I812" s="25">
        <v>0</v>
      </c>
      <c r="J812" s="25" t="s">
        <v>44</v>
      </c>
    </row>
    <row r="813" spans="1:10" ht="12.75" customHeight="1" x14ac:dyDescent="0.2">
      <c r="A813" s="24"/>
      <c r="B813" s="24" t="s">
        <v>45</v>
      </c>
      <c r="C813" s="25" t="s">
        <v>44</v>
      </c>
      <c r="D813" s="25" t="s">
        <v>50</v>
      </c>
      <c r="E813" s="25">
        <v>0</v>
      </c>
      <c r="F813" s="25" t="s">
        <v>50</v>
      </c>
      <c r="G813" s="25">
        <v>4</v>
      </c>
      <c r="H813" s="25">
        <v>0</v>
      </c>
      <c r="I813" s="25">
        <v>0</v>
      </c>
      <c r="J813" s="25" t="s">
        <v>44</v>
      </c>
    </row>
    <row r="814" spans="1:10" ht="12.75" customHeight="1" x14ac:dyDescent="0.2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 t="s">
        <v>50</v>
      </c>
      <c r="G814" s="25">
        <v>12</v>
      </c>
      <c r="H814" s="25">
        <v>3</v>
      </c>
      <c r="I814" s="25">
        <v>0</v>
      </c>
      <c r="J814" s="25" t="s">
        <v>44</v>
      </c>
    </row>
    <row r="815" spans="1:10" ht="12.75" customHeight="1" x14ac:dyDescent="0.2">
      <c r="A815" s="24"/>
      <c r="B815" s="22" t="s">
        <v>545</v>
      </c>
      <c r="C815" s="25" t="s">
        <v>44</v>
      </c>
      <c r="D815" s="25">
        <v>14</v>
      </c>
      <c r="E815" s="25">
        <v>0</v>
      </c>
      <c r="F815" s="25" t="s">
        <v>50</v>
      </c>
      <c r="G815" s="25">
        <v>23</v>
      </c>
      <c r="H815" s="25">
        <v>3</v>
      </c>
      <c r="I815" s="25">
        <v>0</v>
      </c>
      <c r="J815" s="25" t="s">
        <v>44</v>
      </c>
    </row>
    <row r="816" spans="1:10" ht="12.75" customHeight="1" x14ac:dyDescent="0.2">
      <c r="A816" s="24"/>
      <c r="B816" s="24" t="s">
        <v>48</v>
      </c>
      <c r="C816" s="25" t="s">
        <v>44</v>
      </c>
      <c r="D816" s="25" t="s">
        <v>50</v>
      </c>
      <c r="E816" s="25">
        <v>0</v>
      </c>
      <c r="F816" s="25" t="s">
        <v>50</v>
      </c>
      <c r="G816" s="25">
        <v>20</v>
      </c>
      <c r="H816" s="25">
        <v>3</v>
      </c>
      <c r="I816" s="25">
        <v>0</v>
      </c>
      <c r="J816" s="25" t="s">
        <v>44</v>
      </c>
    </row>
    <row r="817" spans="1:10" ht="12.75" customHeight="1" x14ac:dyDescent="0.2">
      <c r="A817" s="24"/>
      <c r="B817" s="24" t="s">
        <v>49</v>
      </c>
      <c r="C817" s="25" t="s">
        <v>44</v>
      </c>
      <c r="D817" s="25">
        <v>1</v>
      </c>
      <c r="E817" s="25">
        <v>0</v>
      </c>
      <c r="F817" s="25">
        <v>0</v>
      </c>
      <c r="G817" s="25" t="s">
        <v>50</v>
      </c>
      <c r="H817" s="25">
        <v>0</v>
      </c>
      <c r="I817" s="25">
        <v>0</v>
      </c>
      <c r="J817" s="25" t="s">
        <v>44</v>
      </c>
    </row>
    <row r="818" spans="1:10" ht="12.75" customHeight="1" x14ac:dyDescent="0.2">
      <c r="A818" s="24"/>
      <c r="B818" s="24" t="s">
        <v>51</v>
      </c>
      <c r="C818" s="25" t="s">
        <v>44</v>
      </c>
      <c r="D818" s="25">
        <v>9</v>
      </c>
      <c r="E818" s="25">
        <v>0</v>
      </c>
      <c r="F818" s="25">
        <v>0</v>
      </c>
      <c r="G818" s="25">
        <v>0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2">
      <c r="A819" s="24"/>
      <c r="B819" s="24" t="s">
        <v>52</v>
      </c>
      <c r="C819" s="25" t="s">
        <v>44</v>
      </c>
      <c r="D819" s="25">
        <v>4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2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2</v>
      </c>
      <c r="H820" s="25">
        <v>0</v>
      </c>
      <c r="I820" s="25">
        <v>0</v>
      </c>
      <c r="J820" s="25" t="s">
        <v>44</v>
      </c>
    </row>
    <row r="821" spans="1:10" ht="12.75" customHeight="1" x14ac:dyDescent="0.2">
      <c r="A821" s="24"/>
      <c r="B821" s="22" t="s">
        <v>546</v>
      </c>
      <c r="C821" s="25" t="s">
        <v>44</v>
      </c>
      <c r="D821" s="25">
        <v>2</v>
      </c>
      <c r="E821" s="25">
        <v>0</v>
      </c>
      <c r="F821" s="25" t="s">
        <v>50</v>
      </c>
      <c r="G821" s="25" t="s">
        <v>50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2">
      <c r="A822" s="24"/>
      <c r="B822" s="24" t="s">
        <v>547</v>
      </c>
      <c r="C822" s="25" t="s">
        <v>44</v>
      </c>
      <c r="D822" s="25">
        <v>1</v>
      </c>
      <c r="E822" s="25">
        <v>0</v>
      </c>
      <c r="F822" s="25">
        <v>0</v>
      </c>
      <c r="G822" s="25" t="s">
        <v>50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2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2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>
        <v>0</v>
      </c>
      <c r="G824" s="25" t="s">
        <v>50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2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2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2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>
        <v>0</v>
      </c>
      <c r="H827" s="25">
        <v>0</v>
      </c>
      <c r="I827" s="25">
        <v>0</v>
      </c>
      <c r="J827" s="25" t="s">
        <v>44</v>
      </c>
    </row>
    <row r="828" spans="1:10" ht="12.75" customHeight="1" x14ac:dyDescent="0.2">
      <c r="A828" s="24"/>
      <c r="B828" s="22" t="s">
        <v>548</v>
      </c>
      <c r="C828" s="25">
        <v>40</v>
      </c>
      <c r="D828" s="25">
        <v>0</v>
      </c>
      <c r="E828" s="25">
        <v>0</v>
      </c>
      <c r="F828" s="25">
        <v>0</v>
      </c>
      <c r="G828" s="25">
        <v>0</v>
      </c>
      <c r="H828" s="25">
        <v>0</v>
      </c>
      <c r="I828" s="25">
        <v>0</v>
      </c>
      <c r="J828" s="25">
        <v>40</v>
      </c>
    </row>
    <row r="829" spans="1:10" ht="12.75" customHeight="1" x14ac:dyDescent="0.2">
      <c r="A829" s="24"/>
      <c r="B829" s="24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2">
      <c r="A830" s="22" t="s">
        <v>99</v>
      </c>
      <c r="B830" s="22" t="s">
        <v>580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2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2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2">
      <c r="A833" s="24"/>
      <c r="B833" s="22" t="s">
        <v>543</v>
      </c>
      <c r="C833" s="25">
        <v>509</v>
      </c>
      <c r="D833" s="25">
        <v>64</v>
      </c>
      <c r="E833" s="25" t="s">
        <v>50</v>
      </c>
      <c r="F833" s="25">
        <v>1</v>
      </c>
      <c r="G833" s="25">
        <v>310</v>
      </c>
      <c r="H833" s="25" t="s">
        <v>50</v>
      </c>
      <c r="I833" s="25">
        <v>17</v>
      </c>
      <c r="J833" s="25">
        <v>117</v>
      </c>
    </row>
    <row r="834" spans="1:10" ht="12.75" customHeight="1" x14ac:dyDescent="0.2">
      <c r="A834" s="24"/>
      <c r="B834" s="22" t="s">
        <v>544</v>
      </c>
      <c r="C834" s="25" t="s">
        <v>44</v>
      </c>
      <c r="D834" s="25">
        <v>1</v>
      </c>
      <c r="E834" s="25" t="s">
        <v>50</v>
      </c>
      <c r="F834" s="25" t="s">
        <v>50</v>
      </c>
      <c r="G834" s="25">
        <v>193</v>
      </c>
      <c r="H834" s="25" t="s">
        <v>50</v>
      </c>
      <c r="I834" s="25">
        <v>10</v>
      </c>
      <c r="J834" s="25" t="s">
        <v>44</v>
      </c>
    </row>
    <row r="835" spans="1:10" ht="12.75" customHeight="1" x14ac:dyDescent="0.2">
      <c r="A835" s="24"/>
      <c r="B835" s="24" t="s">
        <v>45</v>
      </c>
      <c r="C835" s="25" t="s">
        <v>44</v>
      </c>
      <c r="D835" s="25">
        <v>1</v>
      </c>
      <c r="E835" s="25" t="s">
        <v>50</v>
      </c>
      <c r="F835" s="25" t="s">
        <v>50</v>
      </c>
      <c r="G835" s="25">
        <v>88</v>
      </c>
      <c r="H835" s="25" t="s">
        <v>50</v>
      </c>
      <c r="I835" s="25">
        <v>1</v>
      </c>
      <c r="J835" s="25" t="s">
        <v>44</v>
      </c>
    </row>
    <row r="836" spans="1:10" ht="12.75" customHeight="1" x14ac:dyDescent="0.2">
      <c r="A836" s="24"/>
      <c r="B836" s="24" t="s">
        <v>46</v>
      </c>
      <c r="C836" s="25" t="s">
        <v>44</v>
      </c>
      <c r="D836" s="25">
        <v>0</v>
      </c>
      <c r="E836" s="25" t="s">
        <v>50</v>
      </c>
      <c r="F836" s="25" t="s">
        <v>50</v>
      </c>
      <c r="G836" s="25">
        <v>105</v>
      </c>
      <c r="H836" s="25" t="s">
        <v>50</v>
      </c>
      <c r="I836" s="25">
        <v>9</v>
      </c>
      <c r="J836" s="25" t="s">
        <v>44</v>
      </c>
    </row>
    <row r="837" spans="1:10" ht="12.75" customHeight="1" x14ac:dyDescent="0.2">
      <c r="A837" s="24"/>
      <c r="B837" s="22" t="s">
        <v>545</v>
      </c>
      <c r="C837" s="25" t="s">
        <v>44</v>
      </c>
      <c r="D837" s="25">
        <v>53</v>
      </c>
      <c r="E837" s="25">
        <v>0</v>
      </c>
      <c r="F837" s="25" t="s">
        <v>50</v>
      </c>
      <c r="G837" s="25">
        <v>112</v>
      </c>
      <c r="H837" s="25" t="s">
        <v>50</v>
      </c>
      <c r="I837" s="25">
        <v>7</v>
      </c>
      <c r="J837" s="25" t="s">
        <v>44</v>
      </c>
    </row>
    <row r="838" spans="1:10" ht="12.75" customHeight="1" x14ac:dyDescent="0.2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86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2">
      <c r="A839" s="24"/>
      <c r="B839" s="24" t="s">
        <v>49</v>
      </c>
      <c r="C839" s="25" t="s">
        <v>44</v>
      </c>
      <c r="D839" s="25">
        <v>8</v>
      </c>
      <c r="E839" s="25">
        <v>0</v>
      </c>
      <c r="F839" s="25">
        <v>0</v>
      </c>
      <c r="G839" s="25">
        <v>1</v>
      </c>
      <c r="H839" s="25" t="s">
        <v>50</v>
      </c>
      <c r="I839" s="25">
        <v>0</v>
      </c>
      <c r="J839" s="25" t="s">
        <v>44</v>
      </c>
    </row>
    <row r="840" spans="1:10" ht="12.75" customHeight="1" x14ac:dyDescent="0.2">
      <c r="A840" s="24"/>
      <c r="B840" s="24" t="s">
        <v>51</v>
      </c>
      <c r="C840" s="25" t="s">
        <v>44</v>
      </c>
      <c r="D840" s="25">
        <v>37</v>
      </c>
      <c r="E840" s="25">
        <v>0</v>
      </c>
      <c r="F840" s="25" t="s">
        <v>50</v>
      </c>
      <c r="G840" s="25">
        <v>2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2">
      <c r="A841" s="24"/>
      <c r="B841" s="24" t="s">
        <v>52</v>
      </c>
      <c r="C841" s="25" t="s">
        <v>44</v>
      </c>
      <c r="D841" s="25">
        <v>8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2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 t="s">
        <v>50</v>
      </c>
      <c r="G842" s="25">
        <v>23</v>
      </c>
      <c r="H842" s="25" t="s">
        <v>50</v>
      </c>
      <c r="I842" s="25">
        <v>7</v>
      </c>
      <c r="J842" s="25" t="s">
        <v>44</v>
      </c>
    </row>
    <row r="843" spans="1:10" ht="12.75" customHeight="1" x14ac:dyDescent="0.2">
      <c r="A843" s="24"/>
      <c r="B843" s="22" t="s">
        <v>546</v>
      </c>
      <c r="C843" s="25" t="s">
        <v>44</v>
      </c>
      <c r="D843" s="25">
        <v>7</v>
      </c>
      <c r="E843" s="25">
        <v>0</v>
      </c>
      <c r="F843" s="25">
        <v>1</v>
      </c>
      <c r="G843" s="25">
        <v>4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2">
      <c r="A844" s="24"/>
      <c r="B844" s="24" t="s">
        <v>547</v>
      </c>
      <c r="C844" s="25" t="s">
        <v>44</v>
      </c>
      <c r="D844" s="25">
        <v>3</v>
      </c>
      <c r="E844" s="25">
        <v>0</v>
      </c>
      <c r="F844" s="25">
        <v>0</v>
      </c>
      <c r="G844" s="25">
        <v>3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2">
      <c r="A845" s="24"/>
      <c r="B845" s="24" t="s">
        <v>54</v>
      </c>
      <c r="C845" s="25" t="s">
        <v>44</v>
      </c>
      <c r="D845" s="25">
        <v>2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2">
      <c r="A846" s="24"/>
      <c r="B846" s="24" t="s">
        <v>55</v>
      </c>
      <c r="C846" s="25" t="s">
        <v>44</v>
      </c>
      <c r="D846" s="25">
        <v>1</v>
      </c>
      <c r="E846" s="25">
        <v>0</v>
      </c>
      <c r="F846" s="25" t="s">
        <v>50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2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2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 t="s">
        <v>50</v>
      </c>
      <c r="H848" s="25" t="s">
        <v>50</v>
      </c>
      <c r="I848" s="25">
        <v>0</v>
      </c>
      <c r="J848" s="25" t="s">
        <v>44</v>
      </c>
    </row>
    <row r="849" spans="1:10" ht="12.75" customHeight="1" x14ac:dyDescent="0.2">
      <c r="A849" s="24"/>
      <c r="B849" s="24" t="s">
        <v>58</v>
      </c>
      <c r="C849" s="25" t="s">
        <v>44</v>
      </c>
      <c r="D849" s="25">
        <v>1</v>
      </c>
      <c r="E849" s="25">
        <v>0</v>
      </c>
      <c r="F849" s="25" t="s">
        <v>50</v>
      </c>
      <c r="G849" s="25" t="s">
        <v>50</v>
      </c>
      <c r="H849" s="25" t="s">
        <v>50</v>
      </c>
      <c r="I849" s="25">
        <v>0</v>
      </c>
      <c r="J849" s="25" t="s">
        <v>44</v>
      </c>
    </row>
    <row r="850" spans="1:10" ht="12.75" customHeight="1" x14ac:dyDescent="0.2">
      <c r="A850" s="24"/>
      <c r="B850" s="22" t="s">
        <v>548</v>
      </c>
      <c r="C850" s="25">
        <v>120</v>
      </c>
      <c r="D850" s="25">
        <v>3</v>
      </c>
      <c r="E850" s="25">
        <v>0</v>
      </c>
      <c r="F850" s="25">
        <v>0</v>
      </c>
      <c r="G850" s="25" t="s">
        <v>50</v>
      </c>
      <c r="H850" s="25" t="s">
        <v>50</v>
      </c>
      <c r="I850" s="25">
        <v>0</v>
      </c>
      <c r="J850" s="25">
        <v>117</v>
      </c>
    </row>
    <row r="851" spans="1:10" ht="12.75" customHeight="1" x14ac:dyDescent="0.2">
      <c r="A851" s="24"/>
      <c r="B851" s="24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2">
      <c r="A852" s="22" t="s">
        <v>100</v>
      </c>
      <c r="B852" s="22" t="s">
        <v>581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2">
      <c r="A853" s="29"/>
      <c r="B853" s="30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2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2">
      <c r="A855" s="24"/>
      <c r="B855" s="22" t="s">
        <v>543</v>
      </c>
      <c r="C855" s="25">
        <v>683</v>
      </c>
      <c r="D855" s="25">
        <v>41</v>
      </c>
      <c r="E855" s="25">
        <v>0</v>
      </c>
      <c r="F855" s="25">
        <v>1</v>
      </c>
      <c r="G855" s="25">
        <v>502</v>
      </c>
      <c r="H855" s="25">
        <v>4</v>
      </c>
      <c r="I855" s="25">
        <v>0</v>
      </c>
      <c r="J855" s="25">
        <v>136</v>
      </c>
    </row>
    <row r="856" spans="1:10" ht="12.75" customHeight="1" x14ac:dyDescent="0.2">
      <c r="A856" s="24"/>
      <c r="B856" s="22" t="s">
        <v>544</v>
      </c>
      <c r="C856" s="25" t="s">
        <v>44</v>
      </c>
      <c r="D856" s="25">
        <v>1</v>
      </c>
      <c r="E856" s="25">
        <v>0</v>
      </c>
      <c r="F856" s="25" t="s">
        <v>50</v>
      </c>
      <c r="G856" s="25">
        <v>379</v>
      </c>
      <c r="H856" s="25" t="s">
        <v>50</v>
      </c>
      <c r="I856" s="25">
        <v>0</v>
      </c>
      <c r="J856" s="25" t="s">
        <v>44</v>
      </c>
    </row>
    <row r="857" spans="1:10" ht="12.75" customHeight="1" x14ac:dyDescent="0.2">
      <c r="A857" s="24"/>
      <c r="B857" s="24" t="s">
        <v>45</v>
      </c>
      <c r="C857" s="25" t="s">
        <v>44</v>
      </c>
      <c r="D857" s="25">
        <v>1</v>
      </c>
      <c r="E857" s="25">
        <v>0</v>
      </c>
      <c r="F857" s="25" t="s">
        <v>50</v>
      </c>
      <c r="G857" s="25">
        <v>44</v>
      </c>
      <c r="H857" s="25" t="s">
        <v>50</v>
      </c>
      <c r="I857" s="25">
        <v>0</v>
      </c>
      <c r="J857" s="25" t="s">
        <v>44</v>
      </c>
    </row>
    <row r="858" spans="1:10" ht="12.75" customHeight="1" x14ac:dyDescent="0.2">
      <c r="A858" s="24"/>
      <c r="B858" s="24" t="s">
        <v>46</v>
      </c>
      <c r="C858" s="25" t="s">
        <v>44</v>
      </c>
      <c r="D858" s="25">
        <v>0</v>
      </c>
      <c r="E858" s="25">
        <v>0</v>
      </c>
      <c r="F858" s="25" t="s">
        <v>50</v>
      </c>
      <c r="G858" s="25">
        <v>335</v>
      </c>
      <c r="H858" s="25" t="s">
        <v>50</v>
      </c>
      <c r="I858" s="25">
        <v>0</v>
      </c>
      <c r="J858" s="25" t="s">
        <v>44</v>
      </c>
    </row>
    <row r="859" spans="1:10" ht="12.75" customHeight="1" x14ac:dyDescent="0.2">
      <c r="A859" s="24"/>
      <c r="B859" s="22" t="s">
        <v>545</v>
      </c>
      <c r="C859" s="25" t="s">
        <v>44</v>
      </c>
      <c r="D859" s="25">
        <v>31</v>
      </c>
      <c r="E859" s="25">
        <v>0</v>
      </c>
      <c r="F859" s="25" t="s">
        <v>50</v>
      </c>
      <c r="G859" s="25">
        <v>115</v>
      </c>
      <c r="H859" s="25">
        <v>3</v>
      </c>
      <c r="I859" s="25">
        <v>0</v>
      </c>
      <c r="J859" s="25" t="s">
        <v>44</v>
      </c>
    </row>
    <row r="860" spans="1:10" ht="12.75" customHeight="1" x14ac:dyDescent="0.2">
      <c r="A860" s="24"/>
      <c r="B860" s="24" t="s">
        <v>48</v>
      </c>
      <c r="C860" s="25" t="s">
        <v>44</v>
      </c>
      <c r="D860" s="25">
        <v>3</v>
      </c>
      <c r="E860" s="25">
        <v>0</v>
      </c>
      <c r="F860" s="25" t="s">
        <v>50</v>
      </c>
      <c r="G860" s="25">
        <v>98</v>
      </c>
      <c r="H860" s="25" t="s">
        <v>50</v>
      </c>
      <c r="I860" s="25">
        <v>0</v>
      </c>
      <c r="J860" s="25" t="s">
        <v>44</v>
      </c>
    </row>
    <row r="861" spans="1:10" ht="12.75" customHeight="1" x14ac:dyDescent="0.2">
      <c r="A861" s="24"/>
      <c r="B861" s="24" t="s">
        <v>49</v>
      </c>
      <c r="C861" s="25" t="s">
        <v>44</v>
      </c>
      <c r="D861" s="25" t="s">
        <v>60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2">
      <c r="A862" s="24"/>
      <c r="B862" s="24" t="s">
        <v>51</v>
      </c>
      <c r="C862" s="25" t="s">
        <v>44</v>
      </c>
      <c r="D862" s="25">
        <v>30</v>
      </c>
      <c r="E862" s="25">
        <v>0</v>
      </c>
      <c r="F862" s="25" t="s">
        <v>50</v>
      </c>
      <c r="G862" s="25">
        <v>8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2">
      <c r="A863" s="24"/>
      <c r="B863" s="24" t="s">
        <v>52</v>
      </c>
      <c r="C863" s="25" t="s">
        <v>44</v>
      </c>
      <c r="D863" s="25">
        <v>-4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2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8</v>
      </c>
      <c r="H864" s="25">
        <v>3</v>
      </c>
      <c r="I864" s="25">
        <v>0</v>
      </c>
      <c r="J864" s="25" t="s">
        <v>44</v>
      </c>
    </row>
    <row r="865" spans="1:10" ht="12.75" customHeight="1" x14ac:dyDescent="0.2">
      <c r="A865" s="24"/>
      <c r="B865" s="22" t="s">
        <v>546</v>
      </c>
      <c r="C865" s="25" t="s">
        <v>44</v>
      </c>
      <c r="D865" s="25">
        <v>8</v>
      </c>
      <c r="E865" s="25">
        <v>0</v>
      </c>
      <c r="F865" s="25">
        <v>1</v>
      </c>
      <c r="G865" s="25">
        <v>7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2">
      <c r="A866" s="24"/>
      <c r="B866" s="24" t="s">
        <v>547</v>
      </c>
      <c r="C866" s="25" t="s">
        <v>44</v>
      </c>
      <c r="D866" s="25">
        <v>4</v>
      </c>
      <c r="E866" s="25">
        <v>0</v>
      </c>
      <c r="F866" s="25">
        <v>0</v>
      </c>
      <c r="G866" s="25">
        <v>5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2">
      <c r="A867" s="24"/>
      <c r="B867" s="24" t="s">
        <v>54</v>
      </c>
      <c r="C867" s="25" t="s">
        <v>44</v>
      </c>
      <c r="D867" s="25">
        <v>2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2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1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2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 t="s">
        <v>50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2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2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60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2">
      <c r="A872" s="24"/>
      <c r="B872" s="22" t="s">
        <v>548</v>
      </c>
      <c r="C872" s="25">
        <v>136</v>
      </c>
      <c r="D872" s="25" t="s">
        <v>50</v>
      </c>
      <c r="E872" s="25">
        <v>0</v>
      </c>
      <c r="F872" s="25">
        <v>0</v>
      </c>
      <c r="G872" s="25" t="s">
        <v>50</v>
      </c>
      <c r="H872" s="25" t="s">
        <v>50</v>
      </c>
      <c r="I872" s="25">
        <v>0</v>
      </c>
      <c r="J872" s="25">
        <v>136</v>
      </c>
    </row>
    <row r="873" spans="1:10" ht="12.75" customHeight="1" x14ac:dyDescent="0.2">
      <c r="A873" s="24"/>
      <c r="B873" s="24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2">
      <c r="A874" s="22" t="s">
        <v>101</v>
      </c>
      <c r="B874" s="22" t="s">
        <v>582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2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2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2">
      <c r="A877" s="24"/>
      <c r="B877" s="22" t="s">
        <v>543</v>
      </c>
      <c r="C877" s="25">
        <v>46</v>
      </c>
      <c r="D877" s="25">
        <v>4</v>
      </c>
      <c r="E877" s="25">
        <v>0</v>
      </c>
      <c r="F877" s="25" t="s">
        <v>50</v>
      </c>
      <c r="G877" s="25">
        <v>27</v>
      </c>
      <c r="H877" s="25" t="s">
        <v>50</v>
      </c>
      <c r="I877" s="25">
        <v>2</v>
      </c>
      <c r="J877" s="25">
        <v>13</v>
      </c>
    </row>
    <row r="878" spans="1:10" ht="12.75" customHeight="1" x14ac:dyDescent="0.2">
      <c r="A878" s="24"/>
      <c r="B878" s="22" t="s">
        <v>544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22</v>
      </c>
      <c r="H878" s="25">
        <v>0</v>
      </c>
      <c r="I878" s="25">
        <v>1</v>
      </c>
      <c r="J878" s="25" t="s">
        <v>44</v>
      </c>
    </row>
    <row r="879" spans="1:10" ht="12.75" customHeight="1" x14ac:dyDescent="0.2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16</v>
      </c>
      <c r="H879" s="25">
        <v>0</v>
      </c>
      <c r="I879" s="25" t="s">
        <v>50</v>
      </c>
      <c r="J879" s="25" t="s">
        <v>44</v>
      </c>
    </row>
    <row r="880" spans="1:10" ht="12.75" customHeight="1" x14ac:dyDescent="0.2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>
        <v>0</v>
      </c>
      <c r="G880" s="25">
        <v>6</v>
      </c>
      <c r="H880" s="25">
        <v>0</v>
      </c>
      <c r="I880" s="25" t="s">
        <v>50</v>
      </c>
      <c r="J880" s="25" t="s">
        <v>44</v>
      </c>
    </row>
    <row r="881" spans="1:10" ht="12.75" customHeight="1" x14ac:dyDescent="0.2">
      <c r="A881" s="24"/>
      <c r="B881" s="22" t="s">
        <v>545</v>
      </c>
      <c r="C881" s="25" t="s">
        <v>44</v>
      </c>
      <c r="D881" s="25">
        <v>3</v>
      </c>
      <c r="E881" s="25">
        <v>0</v>
      </c>
      <c r="F881" s="25" t="s">
        <v>50</v>
      </c>
      <c r="G881" s="25">
        <v>4</v>
      </c>
      <c r="H881" s="25" t="s">
        <v>50</v>
      </c>
      <c r="I881" s="25">
        <v>1</v>
      </c>
      <c r="J881" s="25" t="s">
        <v>44</v>
      </c>
    </row>
    <row r="882" spans="1:10" ht="12.75" customHeight="1" x14ac:dyDescent="0.2">
      <c r="A882" s="24"/>
      <c r="B882" s="24" t="s">
        <v>48</v>
      </c>
      <c r="C882" s="25" t="s">
        <v>44</v>
      </c>
      <c r="D882" s="25" t="s">
        <v>50</v>
      </c>
      <c r="E882" s="25">
        <v>0</v>
      </c>
      <c r="F882" s="25">
        <v>0</v>
      </c>
      <c r="G882" s="25">
        <v>4</v>
      </c>
      <c r="H882" s="25" t="s">
        <v>50</v>
      </c>
      <c r="I882" s="25" t="s">
        <v>50</v>
      </c>
      <c r="J882" s="25" t="s">
        <v>44</v>
      </c>
    </row>
    <row r="883" spans="1:10" ht="12.75" customHeight="1" x14ac:dyDescent="0.2">
      <c r="A883" s="24"/>
      <c r="B883" s="24" t="s">
        <v>49</v>
      </c>
      <c r="C883" s="25" t="s">
        <v>44</v>
      </c>
      <c r="D883" s="25">
        <v>1</v>
      </c>
      <c r="E883" s="25">
        <v>0</v>
      </c>
      <c r="F883" s="25" t="s">
        <v>50</v>
      </c>
      <c r="G883" s="25" t="s">
        <v>50</v>
      </c>
      <c r="H883" s="25" t="s">
        <v>50</v>
      </c>
      <c r="I883" s="25" t="s">
        <v>50</v>
      </c>
      <c r="J883" s="25" t="s">
        <v>44</v>
      </c>
    </row>
    <row r="884" spans="1:10" ht="12.75" customHeight="1" x14ac:dyDescent="0.2">
      <c r="A884" s="24"/>
      <c r="B884" s="24" t="s">
        <v>51</v>
      </c>
      <c r="C884" s="25" t="s">
        <v>44</v>
      </c>
      <c r="D884" s="25">
        <v>2</v>
      </c>
      <c r="E884" s="25">
        <v>0</v>
      </c>
      <c r="F884" s="25" t="s">
        <v>50</v>
      </c>
      <c r="G884" s="25" t="s">
        <v>50</v>
      </c>
      <c r="H884" s="25" t="s">
        <v>50</v>
      </c>
      <c r="I884" s="25" t="s">
        <v>50</v>
      </c>
      <c r="J884" s="25" t="s">
        <v>44</v>
      </c>
    </row>
    <row r="885" spans="1:10" ht="12.75" customHeight="1" x14ac:dyDescent="0.2">
      <c r="A885" s="24"/>
      <c r="B885" s="24" t="s">
        <v>52</v>
      </c>
      <c r="C885" s="25" t="s">
        <v>44</v>
      </c>
      <c r="D885" s="25" t="s">
        <v>50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2">
      <c r="A886" s="24"/>
      <c r="B886" s="24" t="s">
        <v>53</v>
      </c>
      <c r="C886" s="25" t="s">
        <v>44</v>
      </c>
      <c r="D886" s="25" t="s">
        <v>50</v>
      </c>
      <c r="E886" s="25">
        <v>0</v>
      </c>
      <c r="F886" s="25" t="s">
        <v>50</v>
      </c>
      <c r="G886" s="25">
        <v>1</v>
      </c>
      <c r="H886" s="25">
        <v>0</v>
      </c>
      <c r="I886" s="25">
        <v>0</v>
      </c>
      <c r="J886" s="25" t="s">
        <v>44</v>
      </c>
    </row>
    <row r="887" spans="1:10" ht="12.75" customHeight="1" x14ac:dyDescent="0.2">
      <c r="A887" s="24"/>
      <c r="B887" s="22" t="s">
        <v>546</v>
      </c>
      <c r="C887" s="25" t="s">
        <v>44</v>
      </c>
      <c r="D887" s="25">
        <v>1</v>
      </c>
      <c r="E887" s="25">
        <v>0</v>
      </c>
      <c r="F887" s="25" t="s">
        <v>50</v>
      </c>
      <c r="G887" s="25" t="s">
        <v>50</v>
      </c>
      <c r="H887" s="25" t="s">
        <v>50</v>
      </c>
      <c r="I887" s="25" t="s">
        <v>50</v>
      </c>
      <c r="J887" s="25" t="s">
        <v>44</v>
      </c>
    </row>
    <row r="888" spans="1:10" ht="12.75" customHeight="1" x14ac:dyDescent="0.2">
      <c r="A888" s="24"/>
      <c r="B888" s="24" t="s">
        <v>547</v>
      </c>
      <c r="C888" s="25" t="s">
        <v>44</v>
      </c>
      <c r="D888" s="25" t="s">
        <v>50</v>
      </c>
      <c r="E888" s="25">
        <v>0</v>
      </c>
      <c r="F888" s="25">
        <v>0</v>
      </c>
      <c r="G888" s="25" t="s">
        <v>50</v>
      </c>
      <c r="H888" s="25">
        <v>0</v>
      </c>
      <c r="I888" s="25" t="s">
        <v>50</v>
      </c>
      <c r="J888" s="25" t="s">
        <v>44</v>
      </c>
    </row>
    <row r="889" spans="1:10" ht="12.75" customHeight="1" x14ac:dyDescent="0.2">
      <c r="A889" s="24"/>
      <c r="B889" s="24" t="s">
        <v>54</v>
      </c>
      <c r="C889" s="25" t="s">
        <v>44</v>
      </c>
      <c r="D889" s="25" t="s">
        <v>50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2">
      <c r="A890" s="24"/>
      <c r="B890" s="24" t="s">
        <v>55</v>
      </c>
      <c r="C890" s="25" t="s">
        <v>44</v>
      </c>
      <c r="D890" s="25" t="s">
        <v>50</v>
      </c>
      <c r="E890" s="25">
        <v>0</v>
      </c>
      <c r="F890" s="25">
        <v>0</v>
      </c>
      <c r="G890" s="25" t="s">
        <v>50</v>
      </c>
      <c r="H890" s="25">
        <v>0</v>
      </c>
      <c r="I890" s="25" t="s">
        <v>50</v>
      </c>
      <c r="J890" s="25" t="s">
        <v>44</v>
      </c>
    </row>
    <row r="891" spans="1:10" ht="12.75" customHeight="1" x14ac:dyDescent="0.2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>
        <v>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2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>
        <v>0</v>
      </c>
      <c r="H892" s="25" t="s">
        <v>50</v>
      </c>
      <c r="I892" s="25" t="s">
        <v>50</v>
      </c>
      <c r="J892" s="25" t="s">
        <v>44</v>
      </c>
    </row>
    <row r="893" spans="1:10" ht="12.75" customHeight="1" x14ac:dyDescent="0.2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2">
      <c r="A894" s="24"/>
      <c r="B894" s="22" t="s">
        <v>548</v>
      </c>
      <c r="C894" s="25">
        <v>13</v>
      </c>
      <c r="D894" s="25">
        <v>0</v>
      </c>
      <c r="E894" s="25">
        <v>0</v>
      </c>
      <c r="F894" s="25">
        <v>0</v>
      </c>
      <c r="G894" s="25">
        <v>0</v>
      </c>
      <c r="H894" s="25" t="s">
        <v>50</v>
      </c>
      <c r="I894" s="25">
        <v>0</v>
      </c>
      <c r="J894" s="25">
        <v>13</v>
      </c>
    </row>
    <row r="895" spans="1:10" ht="12.75" customHeight="1" x14ac:dyDescent="0.2">
      <c r="A895" s="24"/>
      <c r="B895" s="24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2">
      <c r="A896" s="22" t="s">
        <v>102</v>
      </c>
      <c r="B896" s="22" t="s">
        <v>583</v>
      </c>
      <c r="C896" s="27"/>
      <c r="D896" s="27"/>
      <c r="E896" s="27"/>
      <c r="F896" s="27"/>
      <c r="G896" s="27"/>
      <c r="H896" s="27"/>
      <c r="I896" s="27"/>
      <c r="J896" s="27"/>
    </row>
    <row r="897" spans="1:10" ht="12.75" customHeight="1" x14ac:dyDescent="0.2">
      <c r="A897" s="29"/>
      <c r="B897" s="30"/>
      <c r="C897" s="25"/>
      <c r="D897" s="25"/>
      <c r="E897" s="25"/>
      <c r="F897" s="25"/>
      <c r="G897" s="25"/>
      <c r="H897" s="25"/>
      <c r="I897" s="25"/>
      <c r="J897" s="25"/>
    </row>
    <row r="898" spans="1:10" ht="12.75" customHeight="1" x14ac:dyDescent="0.2">
      <c r="A898" s="24"/>
      <c r="B898" s="24"/>
      <c r="C898" s="25"/>
      <c r="D898" s="25"/>
      <c r="E898" s="25"/>
      <c r="F898" s="25"/>
      <c r="G898" s="25"/>
      <c r="H898" s="25"/>
      <c r="I898" s="25"/>
      <c r="J898" s="25"/>
    </row>
    <row r="899" spans="1:10" ht="12.75" customHeight="1" x14ac:dyDescent="0.2">
      <c r="A899" s="24"/>
      <c r="B899" s="22" t="s">
        <v>543</v>
      </c>
      <c r="C899" s="25">
        <v>25</v>
      </c>
      <c r="D899" s="25">
        <v>8</v>
      </c>
      <c r="E899" s="25">
        <v>0</v>
      </c>
      <c r="F899" s="25" t="s">
        <v>50</v>
      </c>
      <c r="G899" s="25">
        <v>17</v>
      </c>
      <c r="H899" s="25" t="s">
        <v>50</v>
      </c>
      <c r="I899" s="25">
        <v>0</v>
      </c>
      <c r="J899" s="25" t="s">
        <v>50</v>
      </c>
    </row>
    <row r="900" spans="1:10" ht="12.75" customHeight="1" x14ac:dyDescent="0.2">
      <c r="A900" s="24"/>
      <c r="B900" s="22" t="s">
        <v>544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11</v>
      </c>
      <c r="H900" s="25" t="s">
        <v>50</v>
      </c>
      <c r="I900" s="25">
        <v>0</v>
      </c>
      <c r="J900" s="25" t="s">
        <v>44</v>
      </c>
    </row>
    <row r="901" spans="1:10" ht="12.75" customHeight="1" x14ac:dyDescent="0.2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6</v>
      </c>
      <c r="H901" s="25">
        <v>0</v>
      </c>
      <c r="I901" s="25">
        <v>0</v>
      </c>
      <c r="J901" s="25" t="s">
        <v>44</v>
      </c>
    </row>
    <row r="902" spans="1:10" ht="12.75" customHeight="1" x14ac:dyDescent="0.2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5</v>
      </c>
      <c r="H902" s="25" t="s">
        <v>50</v>
      </c>
      <c r="I902" s="25">
        <v>0</v>
      </c>
      <c r="J902" s="25" t="s">
        <v>44</v>
      </c>
    </row>
    <row r="903" spans="1:10" ht="12.75" customHeight="1" x14ac:dyDescent="0.2">
      <c r="A903" s="24"/>
      <c r="B903" s="22" t="s">
        <v>545</v>
      </c>
      <c r="C903" s="25" t="s">
        <v>44</v>
      </c>
      <c r="D903" s="25">
        <v>6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2">
      <c r="A904" s="24"/>
      <c r="B904" s="24" t="s">
        <v>48</v>
      </c>
      <c r="C904" s="25" t="s">
        <v>44</v>
      </c>
      <c r="D904" s="25">
        <v>1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2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>
        <v>0</v>
      </c>
      <c r="H905" s="25">
        <v>0</v>
      </c>
      <c r="I905" s="25">
        <v>0</v>
      </c>
      <c r="J905" s="25" t="s">
        <v>44</v>
      </c>
    </row>
    <row r="906" spans="1:10" ht="12.75" customHeight="1" x14ac:dyDescent="0.2">
      <c r="A906" s="24"/>
      <c r="B906" s="24" t="s">
        <v>51</v>
      </c>
      <c r="C906" s="25" t="s">
        <v>44</v>
      </c>
      <c r="D906" s="25">
        <v>4</v>
      </c>
      <c r="E906" s="25">
        <v>0</v>
      </c>
      <c r="F906" s="25" t="s">
        <v>50</v>
      </c>
      <c r="G906" s="25" t="s">
        <v>50</v>
      </c>
      <c r="H906" s="25">
        <v>0</v>
      </c>
      <c r="I906" s="25">
        <v>0</v>
      </c>
      <c r="J906" s="25" t="s">
        <v>44</v>
      </c>
    </row>
    <row r="907" spans="1:10" ht="12.75" customHeight="1" x14ac:dyDescent="0.2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2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>
        <v>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2">
      <c r="A909" s="24"/>
      <c r="B909" s="22" t="s">
        <v>546</v>
      </c>
      <c r="C909" s="25" t="s">
        <v>44</v>
      </c>
      <c r="D909" s="25">
        <v>2</v>
      </c>
      <c r="E909" s="25">
        <v>0</v>
      </c>
      <c r="F909" s="25" t="s">
        <v>50</v>
      </c>
      <c r="G909" s="25">
        <v>3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2">
      <c r="A910" s="24"/>
      <c r="B910" s="24" t="s">
        <v>547</v>
      </c>
      <c r="C910" s="25" t="s">
        <v>44</v>
      </c>
      <c r="D910" s="25">
        <v>1</v>
      </c>
      <c r="E910" s="25">
        <v>0</v>
      </c>
      <c r="F910" s="25">
        <v>0</v>
      </c>
      <c r="G910" s="25">
        <v>3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2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2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>
        <v>0</v>
      </c>
      <c r="G912" s="25">
        <v>1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2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2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>
        <v>0</v>
      </c>
      <c r="G914" s="25" t="s">
        <v>50</v>
      </c>
      <c r="H914" s="25" t="s">
        <v>50</v>
      </c>
      <c r="I914" s="25">
        <v>0</v>
      </c>
      <c r="J914" s="25" t="s">
        <v>44</v>
      </c>
    </row>
    <row r="915" spans="1:10" ht="12.75" customHeight="1" x14ac:dyDescent="0.2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>
        <v>0</v>
      </c>
      <c r="H915" s="25" t="s">
        <v>50</v>
      </c>
      <c r="I915" s="25">
        <v>0</v>
      </c>
      <c r="J915" s="25" t="s">
        <v>44</v>
      </c>
    </row>
    <row r="916" spans="1:10" ht="12.75" customHeight="1" x14ac:dyDescent="0.2">
      <c r="A916" s="24"/>
      <c r="B916" s="22" t="s">
        <v>548</v>
      </c>
      <c r="C916" s="25" t="s">
        <v>50</v>
      </c>
      <c r="D916" s="25">
        <v>0</v>
      </c>
      <c r="E916" s="25">
        <v>0</v>
      </c>
      <c r="F916" s="25">
        <v>0</v>
      </c>
      <c r="G916" s="25">
        <v>0</v>
      </c>
      <c r="H916" s="25">
        <v>0</v>
      </c>
      <c r="I916" s="25">
        <v>0</v>
      </c>
      <c r="J916" s="25" t="s">
        <v>50</v>
      </c>
    </row>
    <row r="917" spans="1:10" ht="12.75" customHeight="1" x14ac:dyDescent="0.2">
      <c r="A917" s="24"/>
      <c r="B917" s="24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2">
      <c r="A918" s="22" t="s">
        <v>103</v>
      </c>
      <c r="B918" s="22" t="s">
        <v>584</v>
      </c>
      <c r="C918" s="27"/>
      <c r="D918" s="27"/>
      <c r="E918" s="27"/>
      <c r="F918" s="27"/>
      <c r="G918" s="27"/>
      <c r="H918" s="27"/>
      <c r="I918" s="27"/>
      <c r="J918" s="27"/>
    </row>
    <row r="919" spans="1:10" ht="12.75" customHeight="1" x14ac:dyDescent="0.2">
      <c r="A919" s="24"/>
      <c r="B919" s="24"/>
      <c r="C919" s="25"/>
      <c r="D919" s="25"/>
      <c r="E919" s="25"/>
      <c r="F919" s="25"/>
      <c r="G919" s="25"/>
      <c r="H919" s="25"/>
      <c r="I919" s="25"/>
      <c r="J919" s="25"/>
    </row>
    <row r="920" spans="1:10" ht="12.75" customHeight="1" x14ac:dyDescent="0.2">
      <c r="A920" s="24"/>
      <c r="B920" s="24"/>
      <c r="C920" s="25"/>
      <c r="D920" s="25"/>
      <c r="E920" s="25"/>
      <c r="F920" s="25"/>
      <c r="G920" s="25"/>
      <c r="H920" s="25"/>
      <c r="I920" s="25"/>
      <c r="J920" s="25"/>
    </row>
    <row r="921" spans="1:10" ht="12.75" customHeight="1" x14ac:dyDescent="0.2">
      <c r="A921" s="24"/>
      <c r="B921" s="22" t="s">
        <v>543</v>
      </c>
      <c r="C921" s="25">
        <v>215</v>
      </c>
      <c r="D921" s="25" t="s">
        <v>47</v>
      </c>
      <c r="E921" s="25">
        <v>0</v>
      </c>
      <c r="F921" s="25" t="s">
        <v>50</v>
      </c>
      <c r="G921" s="25">
        <v>196</v>
      </c>
      <c r="H921" s="25" t="s">
        <v>50</v>
      </c>
      <c r="I921" s="25">
        <v>0</v>
      </c>
      <c r="J921" s="25" t="s">
        <v>47</v>
      </c>
    </row>
    <row r="922" spans="1:10" ht="12.75" customHeight="1" x14ac:dyDescent="0.2">
      <c r="A922" s="24"/>
      <c r="B922" s="22" t="s">
        <v>544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45</v>
      </c>
      <c r="H922" s="25" t="s">
        <v>50</v>
      </c>
      <c r="I922" s="25">
        <v>0</v>
      </c>
      <c r="J922" s="25" t="s">
        <v>44</v>
      </c>
    </row>
    <row r="923" spans="1:10" ht="12.75" customHeight="1" x14ac:dyDescent="0.2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>
        <v>0</v>
      </c>
      <c r="G923" s="25">
        <v>21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2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 t="s">
        <v>50</v>
      </c>
      <c r="G924" s="25">
        <v>24</v>
      </c>
      <c r="H924" s="25" t="s">
        <v>50</v>
      </c>
      <c r="I924" s="25">
        <v>0</v>
      </c>
      <c r="J924" s="25" t="s">
        <v>44</v>
      </c>
    </row>
    <row r="925" spans="1:10" ht="12.75" customHeight="1" x14ac:dyDescent="0.2">
      <c r="A925" s="24"/>
      <c r="B925" s="22" t="s">
        <v>545</v>
      </c>
      <c r="C925" s="25" t="s">
        <v>44</v>
      </c>
      <c r="D925" s="25">
        <v>15</v>
      </c>
      <c r="E925" s="25">
        <v>0</v>
      </c>
      <c r="F925" s="25" t="s">
        <v>50</v>
      </c>
      <c r="G925" s="25">
        <v>146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2">
      <c r="A926" s="24"/>
      <c r="B926" s="24" t="s">
        <v>48</v>
      </c>
      <c r="C926" s="25" t="s">
        <v>44</v>
      </c>
      <c r="D926" s="25" t="s">
        <v>50</v>
      </c>
      <c r="E926" s="25">
        <v>0</v>
      </c>
      <c r="F926" s="25" t="s">
        <v>50</v>
      </c>
      <c r="G926" s="25">
        <v>110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2">
      <c r="A927" s="24"/>
      <c r="B927" s="24" t="s">
        <v>49</v>
      </c>
      <c r="C927" s="25" t="s">
        <v>44</v>
      </c>
      <c r="D927" s="25">
        <v>2</v>
      </c>
      <c r="E927" s="25">
        <v>0</v>
      </c>
      <c r="F927" s="25">
        <v>0</v>
      </c>
      <c r="G927" s="25" t="s">
        <v>50</v>
      </c>
      <c r="H927" s="25" t="s">
        <v>50</v>
      </c>
      <c r="I927" s="25">
        <v>0</v>
      </c>
      <c r="J927" s="25" t="s">
        <v>44</v>
      </c>
    </row>
    <row r="928" spans="1:10" ht="12.75" customHeight="1" x14ac:dyDescent="0.2">
      <c r="A928" s="24"/>
      <c r="B928" s="24" t="s">
        <v>51</v>
      </c>
      <c r="C928" s="25" t="s">
        <v>44</v>
      </c>
      <c r="D928" s="25">
        <v>11</v>
      </c>
      <c r="E928" s="25">
        <v>0</v>
      </c>
      <c r="F928" s="25" t="s">
        <v>50</v>
      </c>
      <c r="G928" s="25">
        <v>1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2">
      <c r="A929" s="24"/>
      <c r="B929" s="24" t="s">
        <v>52</v>
      </c>
      <c r="C929" s="25" t="s">
        <v>44</v>
      </c>
      <c r="D929" s="25">
        <v>1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2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 t="s">
        <v>50</v>
      </c>
      <c r="G930" s="25">
        <v>35</v>
      </c>
      <c r="H930" s="25">
        <v>0</v>
      </c>
      <c r="I930" s="25">
        <v>0</v>
      </c>
      <c r="J930" s="25" t="s">
        <v>44</v>
      </c>
    </row>
    <row r="931" spans="1:10" ht="12.75" customHeight="1" x14ac:dyDescent="0.2">
      <c r="A931" s="24"/>
      <c r="B931" s="22" t="s">
        <v>546</v>
      </c>
      <c r="C931" s="25" t="s">
        <v>44</v>
      </c>
      <c r="D931" s="25">
        <v>1</v>
      </c>
      <c r="E931" s="25">
        <v>0</v>
      </c>
      <c r="F931" s="25" t="s">
        <v>50</v>
      </c>
      <c r="G931" s="25">
        <v>1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2">
      <c r="A932" s="24"/>
      <c r="B932" s="24" t="s">
        <v>547</v>
      </c>
      <c r="C932" s="25" t="s">
        <v>44</v>
      </c>
      <c r="D932" s="25">
        <v>1</v>
      </c>
      <c r="E932" s="25">
        <v>0</v>
      </c>
      <c r="F932" s="25">
        <v>0</v>
      </c>
      <c r="G932" s="25">
        <v>1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2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2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 t="s">
        <v>50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2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2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 t="s">
        <v>50</v>
      </c>
      <c r="G936" s="25" t="s">
        <v>50</v>
      </c>
      <c r="H936" s="25">
        <v>0</v>
      </c>
      <c r="I936" s="25">
        <v>0</v>
      </c>
      <c r="J936" s="25" t="s">
        <v>44</v>
      </c>
    </row>
    <row r="937" spans="1:10" ht="12.75" customHeight="1" x14ac:dyDescent="0.2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 t="s">
        <v>50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2">
      <c r="A938" s="24"/>
      <c r="B938" s="22" t="s">
        <v>548</v>
      </c>
      <c r="C938" s="25">
        <v>6</v>
      </c>
      <c r="D938" s="25" t="s">
        <v>47</v>
      </c>
      <c r="E938" s="25">
        <v>0</v>
      </c>
      <c r="F938" s="25" t="s">
        <v>50</v>
      </c>
      <c r="G938" s="25">
        <v>3</v>
      </c>
      <c r="H938" s="25" t="s">
        <v>50</v>
      </c>
      <c r="I938" s="25">
        <v>0</v>
      </c>
      <c r="J938" s="25" t="s">
        <v>47</v>
      </c>
    </row>
    <row r="939" spans="1:10" ht="12.75" customHeight="1" x14ac:dyDescent="0.2">
      <c r="A939" s="24"/>
      <c r="B939" s="24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2">
      <c r="A940" s="22" t="s">
        <v>104</v>
      </c>
      <c r="B940" s="22" t="s">
        <v>585</v>
      </c>
      <c r="C940" s="27"/>
      <c r="D940" s="27"/>
      <c r="E940" s="27"/>
      <c r="F940" s="27"/>
      <c r="G940" s="27"/>
      <c r="H940" s="27"/>
      <c r="I940" s="27"/>
      <c r="J940" s="27"/>
    </row>
    <row r="941" spans="1:10" ht="12.75" customHeight="1" x14ac:dyDescent="0.2">
      <c r="A941" s="29"/>
      <c r="B941" s="30"/>
      <c r="C941" s="25"/>
      <c r="D941" s="25"/>
      <c r="E941" s="25"/>
      <c r="F941" s="25"/>
      <c r="G941" s="25"/>
      <c r="H941" s="25"/>
      <c r="I941" s="25"/>
      <c r="J941" s="25"/>
    </row>
    <row r="942" spans="1:10" ht="12.75" customHeight="1" x14ac:dyDescent="0.2">
      <c r="A942" s="24"/>
      <c r="B942" s="24"/>
      <c r="C942" s="25"/>
      <c r="D942" s="25"/>
      <c r="E942" s="25"/>
      <c r="F942" s="25"/>
      <c r="G942" s="25"/>
      <c r="H942" s="25"/>
      <c r="I942" s="25"/>
      <c r="J942" s="25"/>
    </row>
    <row r="943" spans="1:10" ht="12.75" customHeight="1" x14ac:dyDescent="0.2">
      <c r="A943" s="24"/>
      <c r="B943" s="22" t="s">
        <v>543</v>
      </c>
      <c r="C943" s="25">
        <v>18</v>
      </c>
      <c r="D943" s="25">
        <v>10</v>
      </c>
      <c r="E943" s="25" t="s">
        <v>50</v>
      </c>
      <c r="F943" s="25">
        <v>3</v>
      </c>
      <c r="G943" s="25">
        <v>3</v>
      </c>
      <c r="H943" s="25" t="s">
        <v>50</v>
      </c>
      <c r="I943" s="25">
        <v>1</v>
      </c>
      <c r="J943" s="25">
        <v>1</v>
      </c>
    </row>
    <row r="944" spans="1:10" ht="12.75" customHeight="1" x14ac:dyDescent="0.2">
      <c r="A944" s="24"/>
      <c r="B944" s="22" t="s">
        <v>544</v>
      </c>
      <c r="C944" s="25" t="s">
        <v>44</v>
      </c>
      <c r="D944" s="25" t="s">
        <v>50</v>
      </c>
      <c r="E944" s="25" t="s">
        <v>50</v>
      </c>
      <c r="F944" s="25">
        <v>2</v>
      </c>
      <c r="G944" s="25">
        <v>2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2">
      <c r="A945" s="24"/>
      <c r="B945" s="24" t="s">
        <v>45</v>
      </c>
      <c r="C945" s="25" t="s">
        <v>44</v>
      </c>
      <c r="D945" s="25" t="s">
        <v>50</v>
      </c>
      <c r="E945" s="25" t="s">
        <v>50</v>
      </c>
      <c r="F945" s="25">
        <v>0</v>
      </c>
      <c r="G945" s="25">
        <v>1</v>
      </c>
      <c r="H945" s="25">
        <v>0</v>
      </c>
      <c r="I945" s="25">
        <v>0</v>
      </c>
      <c r="J945" s="25" t="s">
        <v>44</v>
      </c>
    </row>
    <row r="946" spans="1:10" ht="12.75" customHeight="1" x14ac:dyDescent="0.2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>
        <v>2</v>
      </c>
      <c r="G946" s="25">
        <v>1</v>
      </c>
      <c r="H946" s="25" t="s">
        <v>50</v>
      </c>
      <c r="I946" s="25">
        <v>0</v>
      </c>
      <c r="J946" s="25" t="s">
        <v>44</v>
      </c>
    </row>
    <row r="947" spans="1:10" ht="12.75" customHeight="1" x14ac:dyDescent="0.2">
      <c r="A947" s="24"/>
      <c r="B947" s="22" t="s">
        <v>545</v>
      </c>
      <c r="C947" s="25" t="s">
        <v>44</v>
      </c>
      <c r="D947" s="25">
        <v>5</v>
      </c>
      <c r="E947" s="25">
        <v>0</v>
      </c>
      <c r="F947" s="25" t="s">
        <v>50</v>
      </c>
      <c r="G947" s="25">
        <v>1</v>
      </c>
      <c r="H947" s="25" t="s">
        <v>50</v>
      </c>
      <c r="I947" s="25">
        <v>1</v>
      </c>
      <c r="J947" s="25" t="s">
        <v>44</v>
      </c>
    </row>
    <row r="948" spans="1:10" ht="12.75" customHeight="1" x14ac:dyDescent="0.2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 t="s">
        <v>50</v>
      </c>
      <c r="G948" s="25">
        <v>1</v>
      </c>
      <c r="H948" s="25" t="s">
        <v>50</v>
      </c>
      <c r="I948" s="25">
        <v>1</v>
      </c>
      <c r="J948" s="25" t="s">
        <v>44</v>
      </c>
    </row>
    <row r="949" spans="1:10" ht="12.75" customHeight="1" x14ac:dyDescent="0.2">
      <c r="A949" s="24"/>
      <c r="B949" s="24" t="s">
        <v>49</v>
      </c>
      <c r="C949" s="25" t="s">
        <v>44</v>
      </c>
      <c r="D949" s="25" t="s">
        <v>50</v>
      </c>
      <c r="E949" s="25">
        <v>0</v>
      </c>
      <c r="F949" s="25">
        <v>0</v>
      </c>
      <c r="G949" s="25" t="s">
        <v>50</v>
      </c>
      <c r="H949" s="25">
        <v>0</v>
      </c>
      <c r="I949" s="25">
        <v>0</v>
      </c>
      <c r="J949" s="25" t="s">
        <v>44</v>
      </c>
    </row>
    <row r="950" spans="1:10" ht="12.75" customHeight="1" x14ac:dyDescent="0.2">
      <c r="A950" s="24"/>
      <c r="B950" s="24" t="s">
        <v>51</v>
      </c>
      <c r="C950" s="25" t="s">
        <v>44</v>
      </c>
      <c r="D950" s="25">
        <v>5</v>
      </c>
      <c r="E950" s="25">
        <v>0</v>
      </c>
      <c r="F950" s="25" t="s">
        <v>50</v>
      </c>
      <c r="G950" s="25">
        <v>0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2">
      <c r="A951" s="24"/>
      <c r="B951" s="24" t="s">
        <v>52</v>
      </c>
      <c r="C951" s="25" t="s">
        <v>44</v>
      </c>
      <c r="D951" s="25">
        <v>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2">
      <c r="A952" s="24"/>
      <c r="B952" s="24" t="s">
        <v>53</v>
      </c>
      <c r="C952" s="25" t="s">
        <v>44</v>
      </c>
      <c r="D952" s="25">
        <v>0</v>
      </c>
      <c r="E952" s="25">
        <v>0</v>
      </c>
      <c r="F952" s="25" t="s">
        <v>50</v>
      </c>
      <c r="G952" s="25">
        <v>0</v>
      </c>
      <c r="H952" s="25">
        <v>0</v>
      </c>
      <c r="I952" s="25">
        <v>0</v>
      </c>
      <c r="J952" s="25" t="s">
        <v>44</v>
      </c>
    </row>
    <row r="953" spans="1:10" ht="12.75" customHeight="1" x14ac:dyDescent="0.2">
      <c r="A953" s="24"/>
      <c r="B953" s="22" t="s">
        <v>546</v>
      </c>
      <c r="C953" s="25" t="s">
        <v>44</v>
      </c>
      <c r="D953" s="25" t="s">
        <v>50</v>
      </c>
      <c r="E953" s="25">
        <v>0</v>
      </c>
      <c r="F953" s="25" t="s">
        <v>50</v>
      </c>
      <c r="G953" s="25" t="s">
        <v>50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2">
      <c r="A954" s="24"/>
      <c r="B954" s="24" t="s">
        <v>547</v>
      </c>
      <c r="C954" s="25" t="s">
        <v>44</v>
      </c>
      <c r="D954" s="25" t="s">
        <v>50</v>
      </c>
      <c r="E954" s="25">
        <v>0</v>
      </c>
      <c r="F954" s="25" t="s">
        <v>50</v>
      </c>
      <c r="G954" s="25" t="s">
        <v>50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2">
      <c r="A955" s="24"/>
      <c r="B955" s="24" t="s">
        <v>54</v>
      </c>
      <c r="C955" s="25" t="s">
        <v>44</v>
      </c>
      <c r="D955" s="25" t="s">
        <v>50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2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2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2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2">
      <c r="A959" s="24"/>
      <c r="B959" s="24" t="s">
        <v>58</v>
      </c>
      <c r="C959" s="25" t="s">
        <v>44</v>
      </c>
      <c r="D959" s="25">
        <v>0</v>
      </c>
      <c r="E959" s="25">
        <v>0</v>
      </c>
      <c r="F959" s="25">
        <v>0</v>
      </c>
      <c r="G959" s="25" t="s">
        <v>50</v>
      </c>
      <c r="H959" s="25" t="s">
        <v>50</v>
      </c>
      <c r="I959" s="25">
        <v>0</v>
      </c>
      <c r="J959" s="25" t="s">
        <v>44</v>
      </c>
    </row>
    <row r="960" spans="1:10" ht="12.75" customHeight="1" x14ac:dyDescent="0.2">
      <c r="A960" s="24"/>
      <c r="B960" s="22" t="s">
        <v>548</v>
      </c>
      <c r="C960" s="25">
        <v>5</v>
      </c>
      <c r="D960" s="25">
        <v>4</v>
      </c>
      <c r="E960" s="25">
        <v>0</v>
      </c>
      <c r="F960" s="25" t="s">
        <v>50</v>
      </c>
      <c r="G960" s="25">
        <v>0</v>
      </c>
      <c r="H960" s="25">
        <v>0</v>
      </c>
      <c r="I960" s="25">
        <v>0</v>
      </c>
      <c r="J960" s="25">
        <v>1</v>
      </c>
    </row>
    <row r="961" spans="1:10" ht="12.75" customHeight="1" x14ac:dyDescent="0.2">
      <c r="A961" s="24"/>
      <c r="B961" s="24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2">
      <c r="A962" s="22" t="s">
        <v>105</v>
      </c>
      <c r="B962" s="22" t="s">
        <v>586</v>
      </c>
      <c r="C962" s="27"/>
      <c r="D962" s="27"/>
      <c r="E962" s="27"/>
      <c r="F962" s="27"/>
      <c r="G962" s="27"/>
      <c r="H962" s="27"/>
      <c r="I962" s="27"/>
      <c r="J962" s="27"/>
    </row>
    <row r="963" spans="1:10" ht="12.75" customHeight="1" x14ac:dyDescent="0.2">
      <c r="A963" s="24"/>
      <c r="B963" s="24"/>
      <c r="C963" s="25"/>
      <c r="D963" s="25"/>
      <c r="E963" s="25"/>
      <c r="F963" s="25"/>
      <c r="G963" s="25"/>
      <c r="H963" s="25"/>
      <c r="I963" s="25"/>
      <c r="J963" s="25"/>
    </row>
    <row r="964" spans="1:10" ht="12.75" customHeight="1" x14ac:dyDescent="0.2">
      <c r="A964" s="24"/>
      <c r="B964" s="24"/>
      <c r="C964" s="25"/>
      <c r="D964" s="25"/>
      <c r="E964" s="25"/>
      <c r="F964" s="25"/>
      <c r="G964" s="25"/>
      <c r="H964" s="25"/>
      <c r="I964" s="25"/>
      <c r="J964" s="25"/>
    </row>
    <row r="965" spans="1:10" ht="12.75" customHeight="1" x14ac:dyDescent="0.2">
      <c r="A965" s="24"/>
      <c r="B965" s="22" t="s">
        <v>543</v>
      </c>
      <c r="C965" s="25">
        <v>120</v>
      </c>
      <c r="D965" s="25">
        <v>46</v>
      </c>
      <c r="E965" s="25">
        <v>0</v>
      </c>
      <c r="F965" s="25" t="s">
        <v>50</v>
      </c>
      <c r="G965" s="25">
        <v>70</v>
      </c>
      <c r="H965" s="25" t="s">
        <v>50</v>
      </c>
      <c r="I965" s="25" t="s">
        <v>50</v>
      </c>
      <c r="J965" s="25">
        <v>3</v>
      </c>
    </row>
    <row r="966" spans="1:10" ht="12.75" customHeight="1" x14ac:dyDescent="0.2">
      <c r="A966" s="24"/>
      <c r="B966" s="22" t="s">
        <v>544</v>
      </c>
      <c r="C966" s="25" t="s">
        <v>44</v>
      </c>
      <c r="D966" s="25">
        <v>1</v>
      </c>
      <c r="E966" s="25">
        <v>0</v>
      </c>
      <c r="F966" s="25" t="s">
        <v>50</v>
      </c>
      <c r="G966" s="25">
        <v>36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2">
      <c r="A967" s="24"/>
      <c r="B967" s="24" t="s">
        <v>45</v>
      </c>
      <c r="C967" s="25" t="s">
        <v>44</v>
      </c>
      <c r="D967" s="25">
        <v>1</v>
      </c>
      <c r="E967" s="25">
        <v>0</v>
      </c>
      <c r="F967" s="25" t="s">
        <v>50</v>
      </c>
      <c r="G967" s="25">
        <v>21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2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15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2">
      <c r="A969" s="24"/>
      <c r="B969" s="22" t="s">
        <v>545</v>
      </c>
      <c r="C969" s="25" t="s">
        <v>44</v>
      </c>
      <c r="D969" s="25">
        <v>22</v>
      </c>
      <c r="E969" s="25">
        <v>0</v>
      </c>
      <c r="F969" s="25" t="s">
        <v>50</v>
      </c>
      <c r="G969" s="25">
        <v>12</v>
      </c>
      <c r="H969" s="25" t="s">
        <v>50</v>
      </c>
      <c r="I969" s="25">
        <v>0</v>
      </c>
      <c r="J969" s="25" t="s">
        <v>44</v>
      </c>
    </row>
    <row r="970" spans="1:10" ht="12.75" customHeight="1" x14ac:dyDescent="0.2">
      <c r="A970" s="24"/>
      <c r="B970" s="24" t="s">
        <v>48</v>
      </c>
      <c r="C970" s="25" t="s">
        <v>44</v>
      </c>
      <c r="D970" s="25">
        <v>2</v>
      </c>
      <c r="E970" s="25">
        <v>0</v>
      </c>
      <c r="F970" s="25" t="s">
        <v>50</v>
      </c>
      <c r="G970" s="25">
        <v>7</v>
      </c>
      <c r="H970" s="25" t="s">
        <v>50</v>
      </c>
      <c r="I970" s="25">
        <v>0</v>
      </c>
      <c r="J970" s="25" t="s">
        <v>44</v>
      </c>
    </row>
    <row r="971" spans="1:10" ht="12.75" customHeight="1" x14ac:dyDescent="0.2">
      <c r="A971" s="24"/>
      <c r="B971" s="24" t="s">
        <v>49</v>
      </c>
      <c r="C971" s="25" t="s">
        <v>44</v>
      </c>
      <c r="D971" s="25">
        <v>8</v>
      </c>
      <c r="E971" s="25">
        <v>0</v>
      </c>
      <c r="F971" s="25" t="s">
        <v>50</v>
      </c>
      <c r="G971" s="25" t="s">
        <v>60</v>
      </c>
      <c r="H971" s="25" t="s">
        <v>50</v>
      </c>
      <c r="I971" s="25">
        <v>0</v>
      </c>
      <c r="J971" s="25" t="s">
        <v>44</v>
      </c>
    </row>
    <row r="972" spans="1:10" ht="12.75" customHeight="1" x14ac:dyDescent="0.2">
      <c r="A972" s="24"/>
      <c r="B972" s="24" t="s">
        <v>51</v>
      </c>
      <c r="C972" s="25" t="s">
        <v>44</v>
      </c>
      <c r="D972" s="25">
        <v>11</v>
      </c>
      <c r="E972" s="25">
        <v>0</v>
      </c>
      <c r="F972" s="25" t="s">
        <v>50</v>
      </c>
      <c r="G972" s="25" t="s">
        <v>60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2">
      <c r="A973" s="24"/>
      <c r="B973" s="24" t="s">
        <v>52</v>
      </c>
      <c r="C973" s="25" t="s">
        <v>44</v>
      </c>
      <c r="D973" s="25" t="s">
        <v>50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2">
      <c r="A974" s="24"/>
      <c r="B974" s="24" t="s">
        <v>53</v>
      </c>
      <c r="C974" s="25" t="s">
        <v>44</v>
      </c>
      <c r="D974" s="25">
        <v>1</v>
      </c>
      <c r="E974" s="25">
        <v>0</v>
      </c>
      <c r="F974" s="25" t="s">
        <v>50</v>
      </c>
      <c r="G974" s="25">
        <v>1</v>
      </c>
      <c r="H974" s="25" t="s">
        <v>50</v>
      </c>
      <c r="I974" s="25">
        <v>0</v>
      </c>
      <c r="J974" s="25" t="s">
        <v>44</v>
      </c>
    </row>
    <row r="975" spans="1:10" ht="12.75" customHeight="1" x14ac:dyDescent="0.2">
      <c r="A975" s="24"/>
      <c r="B975" s="22" t="s">
        <v>546</v>
      </c>
      <c r="C975" s="25" t="s">
        <v>44</v>
      </c>
      <c r="D975" s="25">
        <v>23</v>
      </c>
      <c r="E975" s="25">
        <v>0</v>
      </c>
      <c r="F975" s="25" t="s">
        <v>50</v>
      </c>
      <c r="G975" s="25">
        <v>22</v>
      </c>
      <c r="H975" s="25" t="s">
        <v>50</v>
      </c>
      <c r="I975" s="25" t="s">
        <v>50</v>
      </c>
      <c r="J975" s="25" t="s">
        <v>44</v>
      </c>
    </row>
    <row r="976" spans="1:10" ht="12.75" customHeight="1" x14ac:dyDescent="0.2">
      <c r="A976" s="24"/>
      <c r="B976" s="24" t="s">
        <v>547</v>
      </c>
      <c r="C976" s="25" t="s">
        <v>44</v>
      </c>
      <c r="D976" s="25">
        <v>14</v>
      </c>
      <c r="E976" s="25">
        <v>0</v>
      </c>
      <c r="F976" s="25" t="s">
        <v>50</v>
      </c>
      <c r="G976" s="25">
        <v>19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2">
      <c r="A977" s="24"/>
      <c r="B977" s="24" t="s">
        <v>54</v>
      </c>
      <c r="C977" s="25" t="s">
        <v>44</v>
      </c>
      <c r="D977" s="25">
        <v>5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2">
      <c r="A978" s="24"/>
      <c r="B978" s="24" t="s">
        <v>55</v>
      </c>
      <c r="C978" s="25" t="s">
        <v>44</v>
      </c>
      <c r="D978" s="25">
        <v>2</v>
      </c>
      <c r="E978" s="25">
        <v>0</v>
      </c>
      <c r="F978" s="25" t="s">
        <v>50</v>
      </c>
      <c r="G978" s="25">
        <v>3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2">
      <c r="A979" s="24"/>
      <c r="B979" s="24" t="s">
        <v>56</v>
      </c>
      <c r="C979" s="25" t="s">
        <v>44</v>
      </c>
      <c r="D979" s="25">
        <v>1</v>
      </c>
      <c r="E979" s="25" t="s">
        <v>44</v>
      </c>
      <c r="F979" s="25" t="s">
        <v>50</v>
      </c>
      <c r="G979" s="25" t="s">
        <v>50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2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 t="s">
        <v>50</v>
      </c>
      <c r="H980" s="25" t="s">
        <v>50</v>
      </c>
      <c r="I980" s="25">
        <v>0</v>
      </c>
      <c r="J980" s="25" t="s">
        <v>44</v>
      </c>
    </row>
    <row r="981" spans="1:10" ht="12.75" customHeight="1" x14ac:dyDescent="0.2">
      <c r="A981" s="24"/>
      <c r="B981" s="24" t="s">
        <v>58</v>
      </c>
      <c r="C981" s="25" t="s">
        <v>44</v>
      </c>
      <c r="D981" s="25" t="s">
        <v>60</v>
      </c>
      <c r="E981" s="25">
        <v>0</v>
      </c>
      <c r="F981" s="25" t="s">
        <v>50</v>
      </c>
      <c r="G981" s="25" t="s">
        <v>50</v>
      </c>
      <c r="H981" s="25" t="s">
        <v>50</v>
      </c>
      <c r="I981" s="25" t="s">
        <v>50</v>
      </c>
      <c r="J981" s="25" t="s">
        <v>44</v>
      </c>
    </row>
    <row r="982" spans="1:10" ht="12.75" customHeight="1" x14ac:dyDescent="0.2">
      <c r="A982" s="24"/>
      <c r="B982" s="22" t="s">
        <v>548</v>
      </c>
      <c r="C982" s="25">
        <v>4</v>
      </c>
      <c r="D982" s="25">
        <v>1</v>
      </c>
      <c r="E982" s="25">
        <v>0</v>
      </c>
      <c r="F982" s="25">
        <v>0</v>
      </c>
      <c r="G982" s="25" t="s">
        <v>50</v>
      </c>
      <c r="H982" s="25" t="s">
        <v>50</v>
      </c>
      <c r="I982" s="25">
        <v>0</v>
      </c>
      <c r="J982" s="25">
        <v>3</v>
      </c>
    </row>
    <row r="983" spans="1:10" ht="12.75" customHeight="1" x14ac:dyDescent="0.2">
      <c r="A983" s="24"/>
      <c r="B983" s="24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2">
      <c r="A984" s="22" t="s">
        <v>106</v>
      </c>
      <c r="B984" s="22" t="s">
        <v>587</v>
      </c>
      <c r="C984" s="27"/>
      <c r="D984" s="27"/>
      <c r="E984" s="27"/>
      <c r="F984" s="27"/>
      <c r="G984" s="27"/>
      <c r="H984" s="27"/>
      <c r="I984" s="27"/>
      <c r="J984" s="27"/>
    </row>
    <row r="985" spans="1:10" ht="12.75" customHeight="1" x14ac:dyDescent="0.2">
      <c r="A985" s="24"/>
      <c r="B985" s="24"/>
      <c r="C985" s="25"/>
      <c r="D985" s="25"/>
      <c r="E985" s="25"/>
      <c r="F985" s="25"/>
      <c r="G985" s="25"/>
      <c r="H985" s="25"/>
      <c r="I985" s="25"/>
      <c r="J985" s="25"/>
    </row>
    <row r="986" spans="1:10" ht="12.75" customHeight="1" x14ac:dyDescent="0.2">
      <c r="A986" s="24"/>
      <c r="B986" s="24"/>
      <c r="C986" s="25"/>
      <c r="D986" s="25"/>
      <c r="E986" s="25"/>
      <c r="F986" s="25"/>
      <c r="G986" s="25"/>
      <c r="H986" s="25"/>
      <c r="I986" s="25"/>
      <c r="J986" s="25"/>
    </row>
    <row r="987" spans="1:10" ht="12.75" customHeight="1" x14ac:dyDescent="0.2">
      <c r="A987" s="24"/>
      <c r="B987" s="22" t="s">
        <v>543</v>
      </c>
      <c r="C987" s="25">
        <v>62</v>
      </c>
      <c r="D987" s="25">
        <v>22</v>
      </c>
      <c r="E987" s="25">
        <v>0</v>
      </c>
      <c r="F987" s="25" t="s">
        <v>50</v>
      </c>
      <c r="G987" s="25">
        <v>38</v>
      </c>
      <c r="H987" s="25" t="s">
        <v>50</v>
      </c>
      <c r="I987" s="25">
        <v>0</v>
      </c>
      <c r="J987" s="25">
        <v>1</v>
      </c>
    </row>
    <row r="988" spans="1:10" ht="12.75" customHeight="1" x14ac:dyDescent="0.2">
      <c r="A988" s="24"/>
      <c r="B988" s="22" t="s">
        <v>544</v>
      </c>
      <c r="C988" s="25" t="s">
        <v>44</v>
      </c>
      <c r="D988" s="25" t="s">
        <v>50</v>
      </c>
      <c r="E988" s="25">
        <v>0</v>
      </c>
      <c r="F988" s="25" t="s">
        <v>50</v>
      </c>
      <c r="G988" s="25">
        <v>18</v>
      </c>
      <c r="H988" s="25" t="s">
        <v>50</v>
      </c>
      <c r="I988" s="25">
        <v>0</v>
      </c>
      <c r="J988" s="25" t="s">
        <v>44</v>
      </c>
    </row>
    <row r="989" spans="1:10" ht="12.75" customHeight="1" x14ac:dyDescent="0.2">
      <c r="A989" s="24"/>
      <c r="B989" s="24" t="s">
        <v>45</v>
      </c>
      <c r="C989" s="25" t="s">
        <v>44</v>
      </c>
      <c r="D989" s="25" t="s">
        <v>50</v>
      </c>
      <c r="E989" s="25">
        <v>0</v>
      </c>
      <c r="F989" s="25" t="s">
        <v>50</v>
      </c>
      <c r="G989" s="25">
        <v>11</v>
      </c>
      <c r="H989" s="25" t="s">
        <v>50</v>
      </c>
      <c r="I989" s="25">
        <v>0</v>
      </c>
      <c r="J989" s="25" t="s">
        <v>44</v>
      </c>
    </row>
    <row r="990" spans="1:10" ht="12.75" customHeight="1" x14ac:dyDescent="0.2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2">
      <c r="A991" s="24"/>
      <c r="B991" s="22" t="s">
        <v>545</v>
      </c>
      <c r="C991" s="25" t="s">
        <v>44</v>
      </c>
      <c r="D991" s="25">
        <v>11</v>
      </c>
      <c r="E991" s="25">
        <v>0</v>
      </c>
      <c r="F991" s="25" t="s">
        <v>50</v>
      </c>
      <c r="G991" s="25" t="s">
        <v>60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2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5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2">
      <c r="A993" s="24"/>
      <c r="B993" s="24" t="s">
        <v>49</v>
      </c>
      <c r="C993" s="25" t="s">
        <v>44</v>
      </c>
      <c r="D993" s="25">
        <v>3</v>
      </c>
      <c r="E993" s="25">
        <v>0</v>
      </c>
      <c r="F993" s="25">
        <v>0</v>
      </c>
      <c r="G993" s="25" t="s">
        <v>60</v>
      </c>
      <c r="H993" s="25">
        <v>0</v>
      </c>
      <c r="I993" s="25">
        <v>0</v>
      </c>
      <c r="J993" s="25" t="s">
        <v>44</v>
      </c>
    </row>
    <row r="994" spans="1:10" ht="12.75" customHeight="1" x14ac:dyDescent="0.2">
      <c r="A994" s="24"/>
      <c r="B994" s="24" t="s">
        <v>51</v>
      </c>
      <c r="C994" s="25" t="s">
        <v>44</v>
      </c>
      <c r="D994" s="25">
        <v>6</v>
      </c>
      <c r="E994" s="25">
        <v>0</v>
      </c>
      <c r="F994" s="25" t="s">
        <v>50</v>
      </c>
      <c r="G994" s="25" t="s">
        <v>60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2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2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2">
      <c r="A997" s="24"/>
      <c r="B997" s="22" t="s">
        <v>546</v>
      </c>
      <c r="C997" s="25" t="s">
        <v>44</v>
      </c>
      <c r="D997" s="25">
        <v>11</v>
      </c>
      <c r="E997" s="25">
        <v>0</v>
      </c>
      <c r="F997" s="25" t="s">
        <v>50</v>
      </c>
      <c r="G997" s="25">
        <v>11</v>
      </c>
      <c r="H997" s="25" t="s">
        <v>50</v>
      </c>
      <c r="I997" s="25">
        <v>0</v>
      </c>
      <c r="J997" s="25" t="s">
        <v>44</v>
      </c>
    </row>
    <row r="998" spans="1:10" ht="12.75" customHeight="1" x14ac:dyDescent="0.2">
      <c r="A998" s="24"/>
      <c r="B998" s="24" t="s">
        <v>547</v>
      </c>
      <c r="C998" s="25" t="s">
        <v>44</v>
      </c>
      <c r="D998" s="25">
        <v>7</v>
      </c>
      <c r="E998" s="25">
        <v>0</v>
      </c>
      <c r="F998" s="25" t="s">
        <v>50</v>
      </c>
      <c r="G998" s="25">
        <v>9</v>
      </c>
      <c r="H998" s="25" t="s">
        <v>50</v>
      </c>
      <c r="I998" s="25">
        <v>0</v>
      </c>
      <c r="J998" s="25" t="s">
        <v>44</v>
      </c>
    </row>
    <row r="999" spans="1:10" ht="12.75" customHeight="1" x14ac:dyDescent="0.2">
      <c r="A999" s="24"/>
      <c r="B999" s="24" t="s">
        <v>54</v>
      </c>
      <c r="C999" s="25" t="s">
        <v>44</v>
      </c>
      <c r="D999" s="25">
        <v>2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2">
      <c r="A1000" s="24"/>
      <c r="B1000" s="24" t="s">
        <v>55</v>
      </c>
      <c r="C1000" s="25" t="s">
        <v>44</v>
      </c>
      <c r="D1000" s="25">
        <v>1</v>
      </c>
      <c r="E1000" s="25">
        <v>0</v>
      </c>
      <c r="F1000" s="25" t="s">
        <v>50</v>
      </c>
      <c r="G1000" s="25">
        <v>2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2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2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>
        <v>0</v>
      </c>
      <c r="I1002" s="25">
        <v>0</v>
      </c>
      <c r="J1002" s="25" t="s">
        <v>44</v>
      </c>
    </row>
    <row r="1003" spans="1:10" ht="12.75" customHeight="1" x14ac:dyDescent="0.2">
      <c r="A1003" s="24"/>
      <c r="B1003" s="24" t="s">
        <v>58</v>
      </c>
      <c r="C1003" s="25" t="s">
        <v>44</v>
      </c>
      <c r="D1003" s="25" t="s">
        <v>60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2">
      <c r="A1004" s="24"/>
      <c r="B1004" s="22" t="s">
        <v>548</v>
      </c>
      <c r="C1004" s="25">
        <v>2</v>
      </c>
      <c r="D1004" s="25">
        <v>1</v>
      </c>
      <c r="E1004" s="25">
        <v>0</v>
      </c>
      <c r="F1004" s="25">
        <v>0</v>
      </c>
      <c r="G1004" s="25" t="s">
        <v>50</v>
      </c>
      <c r="H1004" s="25" t="s">
        <v>50</v>
      </c>
      <c r="I1004" s="25">
        <v>0</v>
      </c>
      <c r="J1004" s="25">
        <v>1</v>
      </c>
    </row>
    <row r="1005" spans="1:10" ht="12.75" customHeight="1" x14ac:dyDescent="0.2">
      <c r="A1005" s="24"/>
      <c r="B1005" s="24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2">
      <c r="A1006" s="22" t="s">
        <v>107</v>
      </c>
      <c r="B1006" s="22" t="s">
        <v>588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2">
      <c r="A1007" s="29"/>
      <c r="B1007" s="30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2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2">
      <c r="A1009" s="24"/>
      <c r="B1009" s="22" t="s">
        <v>543</v>
      </c>
      <c r="C1009" s="25">
        <v>7</v>
      </c>
      <c r="D1009" s="25">
        <v>2</v>
      </c>
      <c r="E1009" s="25">
        <v>0</v>
      </c>
      <c r="F1009" s="25" t="s">
        <v>50</v>
      </c>
      <c r="G1009" s="25">
        <v>3</v>
      </c>
      <c r="H1009" s="25" t="s">
        <v>50</v>
      </c>
      <c r="I1009" s="25">
        <v>0</v>
      </c>
      <c r="J1009" s="25">
        <v>2</v>
      </c>
    </row>
    <row r="1010" spans="1:10" ht="12.75" customHeight="1" x14ac:dyDescent="0.2">
      <c r="A1010" s="24"/>
      <c r="B1010" s="22" t="s">
        <v>544</v>
      </c>
      <c r="C1010" s="25" t="s">
        <v>44</v>
      </c>
      <c r="D1010" s="25" t="s">
        <v>50</v>
      </c>
      <c r="E1010" s="25">
        <v>0</v>
      </c>
      <c r="F1010" s="25">
        <v>0</v>
      </c>
      <c r="G1010" s="25">
        <v>2</v>
      </c>
      <c r="H1010" s="25">
        <v>0</v>
      </c>
      <c r="I1010" s="25">
        <v>0</v>
      </c>
      <c r="J1010" s="25" t="s">
        <v>44</v>
      </c>
    </row>
    <row r="1011" spans="1:10" ht="12.75" customHeight="1" x14ac:dyDescent="0.2">
      <c r="A1011" s="24"/>
      <c r="B1011" s="24" t="s">
        <v>45</v>
      </c>
      <c r="C1011" s="25" t="s">
        <v>44</v>
      </c>
      <c r="D1011" s="25" t="s">
        <v>50</v>
      </c>
      <c r="E1011" s="25">
        <v>0</v>
      </c>
      <c r="F1011" s="25">
        <v>0</v>
      </c>
      <c r="G1011" s="25">
        <v>1</v>
      </c>
      <c r="H1011" s="25">
        <v>0</v>
      </c>
      <c r="I1011" s="25">
        <v>0</v>
      </c>
      <c r="J1011" s="25" t="s">
        <v>44</v>
      </c>
    </row>
    <row r="1012" spans="1:10" ht="12.75" customHeight="1" x14ac:dyDescent="0.2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>
        <v>0</v>
      </c>
      <c r="G1012" s="25">
        <v>1</v>
      </c>
      <c r="H1012" s="25">
        <v>0</v>
      </c>
      <c r="I1012" s="25">
        <v>0</v>
      </c>
      <c r="J1012" s="25" t="s">
        <v>44</v>
      </c>
    </row>
    <row r="1013" spans="1:10" ht="12.75" customHeight="1" x14ac:dyDescent="0.2">
      <c r="A1013" s="24"/>
      <c r="B1013" s="22" t="s">
        <v>545</v>
      </c>
      <c r="C1013" s="25" t="s">
        <v>44</v>
      </c>
      <c r="D1013" s="25">
        <v>2</v>
      </c>
      <c r="E1013" s="25">
        <v>0</v>
      </c>
      <c r="F1013" s="25" t="s">
        <v>50</v>
      </c>
      <c r="G1013" s="25">
        <v>1</v>
      </c>
      <c r="H1013" s="25">
        <v>0</v>
      </c>
      <c r="I1013" s="25">
        <v>0</v>
      </c>
      <c r="J1013" s="25" t="s">
        <v>44</v>
      </c>
    </row>
    <row r="1014" spans="1:10" ht="12.75" customHeight="1" x14ac:dyDescent="0.2">
      <c r="A1014" s="24"/>
      <c r="B1014" s="24" t="s">
        <v>48</v>
      </c>
      <c r="C1014" s="25" t="s">
        <v>44</v>
      </c>
      <c r="D1014" s="25" t="s">
        <v>50</v>
      </c>
      <c r="E1014" s="25">
        <v>0</v>
      </c>
      <c r="F1014" s="25">
        <v>0</v>
      </c>
      <c r="G1014" s="25" t="s">
        <v>50</v>
      </c>
      <c r="H1014" s="25">
        <v>0</v>
      </c>
      <c r="I1014" s="25">
        <v>0</v>
      </c>
      <c r="J1014" s="25" t="s">
        <v>44</v>
      </c>
    </row>
    <row r="1015" spans="1:10" ht="12.75" customHeight="1" x14ac:dyDescent="0.2">
      <c r="A1015" s="24"/>
      <c r="B1015" s="24" t="s">
        <v>49</v>
      </c>
      <c r="C1015" s="25" t="s">
        <v>44</v>
      </c>
      <c r="D1015" s="25" t="s">
        <v>50</v>
      </c>
      <c r="E1015" s="25">
        <v>0</v>
      </c>
      <c r="F1015" s="25">
        <v>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2">
      <c r="A1016" s="24"/>
      <c r="B1016" s="24" t="s">
        <v>51</v>
      </c>
      <c r="C1016" s="25" t="s">
        <v>44</v>
      </c>
      <c r="D1016" s="25">
        <v>1</v>
      </c>
      <c r="E1016" s="25">
        <v>0</v>
      </c>
      <c r="F1016" s="25" t="s">
        <v>50</v>
      </c>
      <c r="G1016" s="25" t="s">
        <v>50</v>
      </c>
      <c r="H1016" s="25">
        <v>0</v>
      </c>
      <c r="I1016" s="25">
        <v>0</v>
      </c>
      <c r="J1016" s="25" t="s">
        <v>44</v>
      </c>
    </row>
    <row r="1017" spans="1:10" ht="12.75" customHeight="1" x14ac:dyDescent="0.2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2">
      <c r="A1018" s="24"/>
      <c r="B1018" s="24" t="s">
        <v>53</v>
      </c>
      <c r="C1018" s="25" t="s">
        <v>44</v>
      </c>
      <c r="D1018" s="25" t="s">
        <v>50</v>
      </c>
      <c r="E1018" s="25">
        <v>0</v>
      </c>
      <c r="F1018" s="25" t="s">
        <v>50</v>
      </c>
      <c r="G1018" s="25" t="s">
        <v>50</v>
      </c>
      <c r="H1018" s="25">
        <v>0</v>
      </c>
      <c r="I1018" s="25">
        <v>0</v>
      </c>
      <c r="J1018" s="25" t="s">
        <v>44</v>
      </c>
    </row>
    <row r="1019" spans="1:10" ht="12.75" customHeight="1" x14ac:dyDescent="0.2">
      <c r="A1019" s="24"/>
      <c r="B1019" s="22" t="s">
        <v>546</v>
      </c>
      <c r="C1019" s="25" t="s">
        <v>44</v>
      </c>
      <c r="D1019" s="25">
        <v>1</v>
      </c>
      <c r="E1019" s="25">
        <v>0</v>
      </c>
      <c r="F1019" s="25" t="s">
        <v>50</v>
      </c>
      <c r="G1019" s="25" t="s">
        <v>50</v>
      </c>
      <c r="H1019" s="25" t="s">
        <v>50</v>
      </c>
      <c r="I1019" s="25">
        <v>0</v>
      </c>
      <c r="J1019" s="25" t="s">
        <v>44</v>
      </c>
    </row>
    <row r="1020" spans="1:10" ht="12.75" customHeight="1" x14ac:dyDescent="0.2">
      <c r="A1020" s="24"/>
      <c r="B1020" s="24" t="s">
        <v>547</v>
      </c>
      <c r="C1020" s="25" t="s">
        <v>44</v>
      </c>
      <c r="D1020" s="25" t="s">
        <v>50</v>
      </c>
      <c r="E1020" s="25">
        <v>0</v>
      </c>
      <c r="F1020" s="25" t="s">
        <v>50</v>
      </c>
      <c r="G1020" s="25" t="s">
        <v>50</v>
      </c>
      <c r="H1020" s="25" t="s">
        <v>50</v>
      </c>
      <c r="I1020" s="25">
        <v>0</v>
      </c>
      <c r="J1020" s="25" t="s">
        <v>44</v>
      </c>
    </row>
    <row r="1021" spans="1:10" ht="12.75" customHeight="1" x14ac:dyDescent="0.2">
      <c r="A1021" s="24"/>
      <c r="B1021" s="24" t="s">
        <v>54</v>
      </c>
      <c r="C1021" s="25" t="s">
        <v>44</v>
      </c>
      <c r="D1021" s="25" t="s">
        <v>50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2">
      <c r="A1022" s="24"/>
      <c r="B1022" s="24" t="s">
        <v>55</v>
      </c>
      <c r="C1022" s="25" t="s">
        <v>44</v>
      </c>
      <c r="D1022" s="25" t="s">
        <v>50</v>
      </c>
      <c r="E1022" s="25">
        <v>0</v>
      </c>
      <c r="F1022" s="25" t="s">
        <v>50</v>
      </c>
      <c r="G1022" s="25" t="s">
        <v>50</v>
      </c>
      <c r="H1022" s="25">
        <v>0</v>
      </c>
      <c r="I1022" s="25">
        <v>0</v>
      </c>
      <c r="J1022" s="25" t="s">
        <v>44</v>
      </c>
    </row>
    <row r="1023" spans="1:10" ht="12.75" customHeight="1" x14ac:dyDescent="0.2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2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0" ht="12.75" customHeight="1" x14ac:dyDescent="0.2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0" ht="12.75" customHeight="1" x14ac:dyDescent="0.2">
      <c r="A1026" s="24"/>
      <c r="B1026" s="22" t="s">
        <v>548</v>
      </c>
      <c r="C1026" s="25">
        <v>2</v>
      </c>
      <c r="D1026" s="25" t="s">
        <v>50</v>
      </c>
      <c r="E1026" s="25">
        <v>0</v>
      </c>
      <c r="F1026" s="25">
        <v>0</v>
      </c>
      <c r="G1026" s="25">
        <v>0</v>
      </c>
      <c r="H1026" s="25" t="s">
        <v>50</v>
      </c>
      <c r="I1026" s="25">
        <v>0</v>
      </c>
      <c r="J1026" s="25">
        <v>2</v>
      </c>
    </row>
    <row r="1027" spans="1:10" ht="12.75" customHeight="1" x14ac:dyDescent="0.2">
      <c r="A1027" s="24"/>
      <c r="B1027" s="24"/>
      <c r="C1027" s="25"/>
      <c r="D1027" s="25"/>
      <c r="E1027" s="25"/>
      <c r="F1027" s="25"/>
      <c r="G1027" s="25"/>
      <c r="H1027" s="25"/>
      <c r="I1027" s="25"/>
      <c r="J1027" s="25"/>
    </row>
    <row r="1028" spans="1:10" s="12" customFormat="1" ht="12.75" customHeight="1" x14ac:dyDescent="0.2">
      <c r="A1028" s="22" t="s">
        <v>108</v>
      </c>
      <c r="B1028" s="22" t="s">
        <v>589</v>
      </c>
      <c r="C1028" s="27"/>
      <c r="D1028" s="27"/>
      <c r="E1028" s="27"/>
      <c r="F1028" s="27"/>
      <c r="G1028" s="27"/>
      <c r="H1028" s="27"/>
      <c r="I1028" s="27"/>
      <c r="J1028" s="27"/>
    </row>
    <row r="1029" spans="1:10" ht="12.75" customHeight="1" x14ac:dyDescent="0.2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0" ht="12.75" customHeight="1" x14ac:dyDescent="0.2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0" ht="12.75" customHeight="1" x14ac:dyDescent="0.2">
      <c r="A1031" s="24"/>
      <c r="B1031" s="22" t="s">
        <v>543</v>
      </c>
      <c r="C1031" s="25">
        <v>357</v>
      </c>
      <c r="D1031" s="25">
        <v>241</v>
      </c>
      <c r="E1031" s="25" t="s">
        <v>50</v>
      </c>
      <c r="F1031" s="25" t="s">
        <v>50</v>
      </c>
      <c r="G1031" s="25">
        <v>106</v>
      </c>
      <c r="H1031" s="25">
        <v>4</v>
      </c>
      <c r="I1031" s="25">
        <v>0</v>
      </c>
      <c r="J1031" s="25" t="s">
        <v>60</v>
      </c>
    </row>
    <row r="1032" spans="1:10" ht="12.75" customHeight="1" x14ac:dyDescent="0.2">
      <c r="A1032" s="24"/>
      <c r="B1032" s="22" t="s">
        <v>544</v>
      </c>
      <c r="C1032" s="25" t="s">
        <v>44</v>
      </c>
      <c r="D1032" s="25">
        <v>8</v>
      </c>
      <c r="E1032" s="25" t="s">
        <v>50</v>
      </c>
      <c r="F1032" s="25" t="s">
        <v>50</v>
      </c>
      <c r="G1032" s="25">
        <v>43</v>
      </c>
      <c r="H1032" s="25" t="s">
        <v>50</v>
      </c>
      <c r="I1032" s="25">
        <v>0</v>
      </c>
      <c r="J1032" s="25" t="s">
        <v>44</v>
      </c>
    </row>
    <row r="1033" spans="1:10" ht="12.75" customHeight="1" x14ac:dyDescent="0.2">
      <c r="A1033" s="24"/>
      <c r="B1033" s="24" t="s">
        <v>45</v>
      </c>
      <c r="C1033" s="25" t="s">
        <v>44</v>
      </c>
      <c r="D1033" s="25">
        <v>8</v>
      </c>
      <c r="E1033" s="25" t="s">
        <v>50</v>
      </c>
      <c r="F1033" s="25" t="s">
        <v>50</v>
      </c>
      <c r="G1033" s="25">
        <v>14</v>
      </c>
      <c r="H1033" s="25">
        <v>0</v>
      </c>
      <c r="I1033" s="25">
        <v>0</v>
      </c>
      <c r="J1033" s="25" t="s">
        <v>44</v>
      </c>
    </row>
    <row r="1034" spans="1:10" ht="12.75" customHeight="1" x14ac:dyDescent="0.2">
      <c r="A1034" s="24"/>
      <c r="B1034" s="24" t="s">
        <v>46</v>
      </c>
      <c r="C1034" s="25" t="s">
        <v>44</v>
      </c>
      <c r="D1034" s="25">
        <v>0</v>
      </c>
      <c r="E1034" s="25">
        <v>0</v>
      </c>
      <c r="F1034" s="25" t="s">
        <v>50</v>
      </c>
      <c r="G1034" s="25">
        <v>29</v>
      </c>
      <c r="H1034" s="25" t="s">
        <v>50</v>
      </c>
      <c r="I1034" s="25">
        <v>0</v>
      </c>
      <c r="J1034" s="25" t="s">
        <v>44</v>
      </c>
    </row>
    <row r="1035" spans="1:10" ht="12.75" customHeight="1" x14ac:dyDescent="0.2">
      <c r="A1035" s="24"/>
      <c r="B1035" s="22" t="s">
        <v>545</v>
      </c>
      <c r="C1035" s="25" t="s">
        <v>44</v>
      </c>
      <c r="D1035" s="25">
        <v>164</v>
      </c>
      <c r="E1035" s="25" t="s">
        <v>50</v>
      </c>
      <c r="F1035" s="25" t="s">
        <v>50</v>
      </c>
      <c r="G1035" s="25">
        <v>37</v>
      </c>
      <c r="H1035" s="25">
        <f>H1031-H1041</f>
        <v>2</v>
      </c>
      <c r="I1035" s="25">
        <v>0</v>
      </c>
      <c r="J1035" s="25" t="s">
        <v>44</v>
      </c>
    </row>
    <row r="1036" spans="1:10" ht="12.75" customHeight="1" x14ac:dyDescent="0.2">
      <c r="A1036" s="24"/>
      <c r="B1036" s="24" t="s">
        <v>48</v>
      </c>
      <c r="C1036" s="25" t="s">
        <v>44</v>
      </c>
      <c r="D1036" s="25">
        <v>21</v>
      </c>
      <c r="E1036" s="25">
        <v>0</v>
      </c>
      <c r="F1036" s="25" t="s">
        <v>50</v>
      </c>
      <c r="G1036" s="25">
        <v>27</v>
      </c>
      <c r="H1036" s="25" t="s">
        <v>50</v>
      </c>
      <c r="I1036" s="25">
        <v>0</v>
      </c>
      <c r="J1036" s="25" t="s">
        <v>44</v>
      </c>
    </row>
    <row r="1037" spans="1:10" ht="12.75" customHeight="1" x14ac:dyDescent="0.2">
      <c r="A1037" s="24"/>
      <c r="B1037" s="24" t="s">
        <v>49</v>
      </c>
      <c r="C1037" s="25" t="s">
        <v>44</v>
      </c>
      <c r="D1037" s="25">
        <v>24</v>
      </c>
      <c r="E1037" s="25" t="s">
        <v>50</v>
      </c>
      <c r="F1037" s="25">
        <v>0</v>
      </c>
      <c r="G1037" s="25" t="s">
        <v>50</v>
      </c>
      <c r="H1037" s="25" t="s">
        <v>50</v>
      </c>
      <c r="I1037" s="25">
        <v>0</v>
      </c>
      <c r="J1037" s="25" t="s">
        <v>44</v>
      </c>
    </row>
    <row r="1038" spans="1:10" ht="12.75" customHeight="1" x14ac:dyDescent="0.2">
      <c r="A1038" s="24"/>
      <c r="B1038" s="24" t="s">
        <v>51</v>
      </c>
      <c r="C1038" s="25" t="s">
        <v>44</v>
      </c>
      <c r="D1038" s="25">
        <v>114</v>
      </c>
      <c r="E1038" s="25" t="s">
        <v>50</v>
      </c>
      <c r="F1038" s="25" t="s">
        <v>50</v>
      </c>
      <c r="G1038" s="25">
        <v>7</v>
      </c>
      <c r="H1038" s="74">
        <f>H1035</f>
        <v>2</v>
      </c>
      <c r="I1038" s="25">
        <v>0</v>
      </c>
      <c r="J1038" s="25" t="s">
        <v>44</v>
      </c>
    </row>
    <row r="1039" spans="1:10" ht="12.75" customHeight="1" x14ac:dyDescent="0.2">
      <c r="A1039" s="24"/>
      <c r="B1039" s="24" t="s">
        <v>52</v>
      </c>
      <c r="C1039" s="25" t="s">
        <v>44</v>
      </c>
      <c r="D1039" s="25" t="s">
        <v>60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0" ht="12.75" customHeight="1" x14ac:dyDescent="0.2">
      <c r="A1040" s="24"/>
      <c r="B1040" s="24" t="s">
        <v>53</v>
      </c>
      <c r="C1040" s="25" t="s">
        <v>44</v>
      </c>
      <c r="D1040" s="74">
        <f>D1035-SUM(D1036:D1038)</f>
        <v>5</v>
      </c>
      <c r="E1040" s="25">
        <v>0</v>
      </c>
      <c r="F1040" s="25" t="s">
        <v>50</v>
      </c>
      <c r="G1040" s="74">
        <f>G1035-SUM(G1036,G1038)</f>
        <v>3</v>
      </c>
      <c r="H1040" s="25" t="s">
        <v>50</v>
      </c>
      <c r="I1040" s="25">
        <v>0</v>
      </c>
      <c r="J1040" s="25" t="s">
        <v>44</v>
      </c>
    </row>
    <row r="1041" spans="1:10" ht="12.75" customHeight="1" x14ac:dyDescent="0.2">
      <c r="A1041" s="24"/>
      <c r="B1041" s="22" t="s">
        <v>546</v>
      </c>
      <c r="C1041" s="25" t="s">
        <v>44</v>
      </c>
      <c r="D1041" s="25">
        <v>61</v>
      </c>
      <c r="E1041" s="25">
        <v>0</v>
      </c>
      <c r="F1041" s="25" t="s">
        <v>50</v>
      </c>
      <c r="G1041" s="25">
        <v>26</v>
      </c>
      <c r="H1041" s="25">
        <v>2</v>
      </c>
      <c r="I1041" s="25">
        <v>0</v>
      </c>
      <c r="J1041" s="25" t="s">
        <v>44</v>
      </c>
    </row>
    <row r="1042" spans="1:10" ht="12.75" customHeight="1" x14ac:dyDescent="0.2">
      <c r="A1042" s="24"/>
      <c r="B1042" s="24" t="s">
        <v>547</v>
      </c>
      <c r="C1042" s="25" t="s">
        <v>44</v>
      </c>
      <c r="D1042" s="25">
        <v>32</v>
      </c>
      <c r="E1042" s="25">
        <v>0</v>
      </c>
      <c r="F1042" s="25" t="s">
        <v>50</v>
      </c>
      <c r="G1042" s="25">
        <v>24</v>
      </c>
      <c r="H1042" s="25" t="s">
        <v>50</v>
      </c>
      <c r="I1042" s="25">
        <v>0</v>
      </c>
      <c r="J1042" s="25" t="s">
        <v>44</v>
      </c>
    </row>
    <row r="1043" spans="1:10" ht="12.75" customHeight="1" x14ac:dyDescent="0.2">
      <c r="A1043" s="24"/>
      <c r="B1043" s="24" t="s">
        <v>54</v>
      </c>
      <c r="C1043" s="25" t="s">
        <v>44</v>
      </c>
      <c r="D1043" s="25">
        <v>22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2">
      <c r="A1044" s="24"/>
      <c r="B1044" s="24" t="s">
        <v>55</v>
      </c>
      <c r="C1044" s="25" t="s">
        <v>44</v>
      </c>
      <c r="D1044" s="25">
        <v>4</v>
      </c>
      <c r="E1044" s="25">
        <v>0</v>
      </c>
      <c r="F1044" s="25" t="s">
        <v>50</v>
      </c>
      <c r="G1044" s="25">
        <v>2</v>
      </c>
      <c r="H1044" s="25" t="s">
        <v>60</v>
      </c>
      <c r="I1044" s="25">
        <v>0</v>
      </c>
      <c r="J1044" s="25" t="s">
        <v>44</v>
      </c>
    </row>
    <row r="1045" spans="1:10" ht="12.75" customHeight="1" x14ac:dyDescent="0.2">
      <c r="A1045" s="24"/>
      <c r="B1045" s="24" t="s">
        <v>56</v>
      </c>
      <c r="C1045" s="25" t="s">
        <v>44</v>
      </c>
      <c r="D1045" s="25">
        <v>3</v>
      </c>
      <c r="E1045" s="25" t="s">
        <v>44</v>
      </c>
      <c r="F1045" s="25" t="s">
        <v>50</v>
      </c>
      <c r="G1045" s="25" t="s">
        <v>50</v>
      </c>
      <c r="H1045" s="25">
        <v>2</v>
      </c>
      <c r="I1045" s="25" t="s">
        <v>44</v>
      </c>
      <c r="J1045" s="25" t="s">
        <v>44</v>
      </c>
    </row>
    <row r="1046" spans="1:10" ht="12.75" customHeight="1" x14ac:dyDescent="0.2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 t="s">
        <v>50</v>
      </c>
      <c r="I1046" s="25">
        <v>0</v>
      </c>
      <c r="J1046" s="25" t="s">
        <v>44</v>
      </c>
    </row>
    <row r="1047" spans="1:10" ht="12.75" customHeight="1" x14ac:dyDescent="0.2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>
        <v>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2">
      <c r="A1048" s="24"/>
      <c r="B1048" s="22" t="s">
        <v>548</v>
      </c>
      <c r="C1048" s="25">
        <v>13</v>
      </c>
      <c r="D1048" s="25" t="s">
        <v>60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25" t="s">
        <v>60</v>
      </c>
    </row>
    <row r="1049" spans="1:10" ht="12.75" customHeight="1" x14ac:dyDescent="0.2">
      <c r="A1049" s="24"/>
      <c r="B1049" s="24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2">
      <c r="A1050" s="22" t="s">
        <v>109</v>
      </c>
      <c r="B1050" s="22" t="s">
        <v>590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ht="12.75" customHeight="1" x14ac:dyDescent="0.2">
      <c r="A1051" s="29"/>
      <c r="B1051" s="30"/>
      <c r="C1051" s="25"/>
      <c r="D1051" s="25"/>
      <c r="E1051" s="25"/>
      <c r="F1051" s="25"/>
      <c r="G1051" s="25"/>
      <c r="H1051" s="25"/>
      <c r="I1051" s="25"/>
      <c r="J1051" s="25"/>
    </row>
    <row r="1052" spans="1:10" ht="12.75" customHeight="1" x14ac:dyDescent="0.2">
      <c r="A1052" s="24"/>
      <c r="B1052" s="24"/>
      <c r="C1052" s="25"/>
      <c r="D1052" s="25"/>
      <c r="E1052" s="25"/>
      <c r="F1052" s="25"/>
      <c r="G1052" s="25"/>
      <c r="H1052" s="25"/>
      <c r="I1052" s="25"/>
      <c r="J1052" s="25"/>
    </row>
    <row r="1053" spans="1:10" ht="12.75" customHeight="1" x14ac:dyDescent="0.2">
      <c r="A1053" s="24"/>
      <c r="B1053" s="22" t="s">
        <v>543</v>
      </c>
      <c r="C1053" s="25">
        <v>1166</v>
      </c>
      <c r="D1053" s="25">
        <v>211</v>
      </c>
      <c r="E1053" s="25" t="s">
        <v>50</v>
      </c>
      <c r="F1053" s="25">
        <v>17</v>
      </c>
      <c r="G1053" s="25">
        <v>417</v>
      </c>
      <c r="H1053" s="25">
        <v>3</v>
      </c>
      <c r="I1053" s="25">
        <v>193</v>
      </c>
      <c r="J1053" s="25">
        <v>324</v>
      </c>
    </row>
    <row r="1054" spans="1:10" ht="12.75" customHeight="1" x14ac:dyDescent="0.2">
      <c r="A1054" s="24"/>
      <c r="B1054" s="22" t="s">
        <v>544</v>
      </c>
      <c r="C1054" s="25" t="s">
        <v>44</v>
      </c>
      <c r="D1054" s="25">
        <v>1</v>
      </c>
      <c r="E1054" s="25" t="s">
        <v>50</v>
      </c>
      <c r="F1054" s="25" t="s">
        <v>50</v>
      </c>
      <c r="G1054" s="25">
        <v>16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2">
      <c r="A1055" s="24"/>
      <c r="B1055" s="24" t="s">
        <v>45</v>
      </c>
      <c r="C1055" s="25" t="s">
        <v>44</v>
      </c>
      <c r="D1055" s="25">
        <v>1</v>
      </c>
      <c r="E1055" s="25">
        <v>0</v>
      </c>
      <c r="F1055" s="25">
        <v>0</v>
      </c>
      <c r="G1055" s="25">
        <v>4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2">
      <c r="A1056" s="24"/>
      <c r="B1056" s="24" t="s">
        <v>46</v>
      </c>
      <c r="C1056" s="25" t="s">
        <v>44</v>
      </c>
      <c r="D1056" s="25">
        <v>0</v>
      </c>
      <c r="E1056" s="25" t="s">
        <v>50</v>
      </c>
      <c r="F1056" s="25" t="s">
        <v>50</v>
      </c>
      <c r="G1056" s="25">
        <v>12</v>
      </c>
      <c r="H1056" s="25" t="s">
        <v>50</v>
      </c>
      <c r="I1056" s="25">
        <v>0</v>
      </c>
      <c r="J1056" s="25" t="s">
        <v>44</v>
      </c>
    </row>
    <row r="1057" spans="1:10" ht="12.75" customHeight="1" x14ac:dyDescent="0.2">
      <c r="A1057" s="24"/>
      <c r="B1057" s="22" t="s">
        <v>545</v>
      </c>
      <c r="C1057" s="25" t="s">
        <v>44</v>
      </c>
      <c r="D1057" s="25">
        <v>174</v>
      </c>
      <c r="E1057" s="25">
        <v>0</v>
      </c>
      <c r="F1057" s="25">
        <v>9</v>
      </c>
      <c r="G1057" s="25">
        <v>376</v>
      </c>
      <c r="H1057" s="25">
        <v>1</v>
      </c>
      <c r="I1057" s="25">
        <v>193</v>
      </c>
      <c r="J1057" s="25" t="s">
        <v>44</v>
      </c>
    </row>
    <row r="1058" spans="1:10" ht="12.75" customHeight="1" x14ac:dyDescent="0.2">
      <c r="A1058" s="24"/>
      <c r="B1058" s="24" t="s">
        <v>48</v>
      </c>
      <c r="C1058" s="25" t="s">
        <v>44</v>
      </c>
      <c r="D1058" s="25">
        <v>39</v>
      </c>
      <c r="E1058" s="25">
        <v>0</v>
      </c>
      <c r="F1058" s="25">
        <v>1</v>
      </c>
      <c r="G1058" s="25">
        <v>350</v>
      </c>
      <c r="H1058" s="25">
        <v>1</v>
      </c>
      <c r="I1058" s="25">
        <v>191</v>
      </c>
      <c r="J1058" s="25" t="s">
        <v>44</v>
      </c>
    </row>
    <row r="1059" spans="1:10" ht="12.75" customHeight="1" x14ac:dyDescent="0.2">
      <c r="A1059" s="24"/>
      <c r="B1059" s="24" t="s">
        <v>49</v>
      </c>
      <c r="C1059" s="25" t="s">
        <v>44</v>
      </c>
      <c r="D1059" s="25">
        <v>10</v>
      </c>
      <c r="E1059" s="25">
        <v>0</v>
      </c>
      <c r="F1059" s="25">
        <v>0</v>
      </c>
      <c r="G1059" s="25">
        <v>4</v>
      </c>
      <c r="H1059" s="25">
        <v>0</v>
      </c>
      <c r="I1059" s="25">
        <v>0</v>
      </c>
      <c r="J1059" s="25" t="s">
        <v>44</v>
      </c>
    </row>
    <row r="1060" spans="1:10" ht="12.75" customHeight="1" x14ac:dyDescent="0.2">
      <c r="A1060" s="24"/>
      <c r="B1060" s="24" t="s">
        <v>51</v>
      </c>
      <c r="C1060" s="25" t="s">
        <v>44</v>
      </c>
      <c r="D1060" s="25">
        <v>118</v>
      </c>
      <c r="E1060" s="25">
        <v>0</v>
      </c>
      <c r="F1060" s="25">
        <v>3</v>
      </c>
      <c r="G1060" s="25">
        <v>20</v>
      </c>
      <c r="H1060" s="25" t="s">
        <v>50</v>
      </c>
      <c r="I1060" s="25">
        <v>2</v>
      </c>
      <c r="J1060" s="25" t="s">
        <v>44</v>
      </c>
    </row>
    <row r="1061" spans="1:10" ht="12.75" customHeight="1" x14ac:dyDescent="0.2">
      <c r="A1061" s="24"/>
      <c r="B1061" s="24" t="s">
        <v>52</v>
      </c>
      <c r="C1061" s="25" t="s">
        <v>44</v>
      </c>
      <c r="D1061" s="25">
        <v>4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0" ht="12.75" customHeight="1" x14ac:dyDescent="0.2">
      <c r="A1062" s="24"/>
      <c r="B1062" s="24" t="s">
        <v>53</v>
      </c>
      <c r="C1062" s="25" t="s">
        <v>44</v>
      </c>
      <c r="D1062" s="25">
        <v>3</v>
      </c>
      <c r="E1062" s="25">
        <v>0</v>
      </c>
      <c r="F1062" s="74">
        <f>F1057-SUM(F1058:F1060)</f>
        <v>5</v>
      </c>
      <c r="G1062" s="25">
        <v>3</v>
      </c>
      <c r="H1062" s="25" t="s">
        <v>50</v>
      </c>
      <c r="I1062" s="25">
        <v>0</v>
      </c>
      <c r="J1062" s="25" t="s">
        <v>44</v>
      </c>
    </row>
    <row r="1063" spans="1:10" ht="12.75" customHeight="1" x14ac:dyDescent="0.2">
      <c r="A1063" s="24"/>
      <c r="B1063" s="22" t="s">
        <v>546</v>
      </c>
      <c r="C1063" s="25" t="s">
        <v>44</v>
      </c>
      <c r="D1063" s="25">
        <v>34</v>
      </c>
      <c r="E1063" s="25" t="s">
        <v>50</v>
      </c>
      <c r="F1063" s="25">
        <v>7</v>
      </c>
      <c r="G1063" s="25">
        <v>24</v>
      </c>
      <c r="H1063" s="25">
        <v>2</v>
      </c>
      <c r="I1063" s="25" t="s">
        <v>50</v>
      </c>
      <c r="J1063" s="25" t="s">
        <v>44</v>
      </c>
    </row>
    <row r="1064" spans="1:10" ht="12.75" customHeight="1" x14ac:dyDescent="0.2">
      <c r="A1064" s="24"/>
      <c r="B1064" s="24" t="s">
        <v>547</v>
      </c>
      <c r="C1064" s="25" t="s">
        <v>44</v>
      </c>
      <c r="D1064" s="25">
        <v>16</v>
      </c>
      <c r="E1064" s="25" t="s">
        <v>50</v>
      </c>
      <c r="F1064" s="25" t="s">
        <v>50</v>
      </c>
      <c r="G1064" s="25">
        <v>17</v>
      </c>
      <c r="H1064" s="25" t="s">
        <v>50</v>
      </c>
      <c r="I1064" s="25" t="s">
        <v>50</v>
      </c>
      <c r="J1064" s="25" t="s">
        <v>44</v>
      </c>
    </row>
    <row r="1065" spans="1:10" ht="12.75" customHeight="1" x14ac:dyDescent="0.2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0" ht="12.75" customHeight="1" x14ac:dyDescent="0.2">
      <c r="A1066" s="24"/>
      <c r="B1066" s="24" t="s">
        <v>55</v>
      </c>
      <c r="C1066" s="25" t="s">
        <v>44</v>
      </c>
      <c r="D1066" s="25">
        <v>2</v>
      </c>
      <c r="E1066" s="25">
        <v>0</v>
      </c>
      <c r="F1066" s="25" t="s">
        <v>50</v>
      </c>
      <c r="G1066" s="25">
        <v>3</v>
      </c>
      <c r="H1066" s="25" t="s">
        <v>50</v>
      </c>
      <c r="I1066" s="25">
        <v>0</v>
      </c>
      <c r="J1066" s="25" t="s">
        <v>44</v>
      </c>
    </row>
    <row r="1067" spans="1:10" ht="12.75" customHeight="1" x14ac:dyDescent="0.2">
      <c r="A1067" s="24"/>
      <c r="B1067" s="24" t="s">
        <v>56</v>
      </c>
      <c r="C1067" s="25" t="s">
        <v>44</v>
      </c>
      <c r="D1067" s="25" t="s">
        <v>60</v>
      </c>
      <c r="E1067" s="25" t="s">
        <v>44</v>
      </c>
      <c r="F1067" s="25">
        <v>7</v>
      </c>
      <c r="G1067" s="25">
        <v>2</v>
      </c>
      <c r="H1067" s="25">
        <v>1</v>
      </c>
      <c r="I1067" s="25" t="s">
        <v>44</v>
      </c>
      <c r="J1067" s="25" t="s">
        <v>44</v>
      </c>
    </row>
    <row r="1068" spans="1:10" ht="12.75" customHeight="1" x14ac:dyDescent="0.2">
      <c r="A1068" s="24"/>
      <c r="B1068" s="24" t="s">
        <v>57</v>
      </c>
      <c r="C1068" s="25" t="s">
        <v>44</v>
      </c>
      <c r="D1068" s="25" t="s">
        <v>44</v>
      </c>
      <c r="E1068" s="25" t="s">
        <v>50</v>
      </c>
      <c r="F1068" s="25" t="s">
        <v>50</v>
      </c>
      <c r="G1068" s="25">
        <v>1</v>
      </c>
      <c r="H1068" s="25">
        <v>0</v>
      </c>
      <c r="I1068" s="25">
        <v>0</v>
      </c>
      <c r="J1068" s="25" t="s">
        <v>44</v>
      </c>
    </row>
    <row r="1069" spans="1:10" ht="12.75" customHeight="1" x14ac:dyDescent="0.2">
      <c r="A1069" s="24"/>
      <c r="B1069" s="24" t="s">
        <v>58</v>
      </c>
      <c r="C1069" s="25" t="s">
        <v>44</v>
      </c>
      <c r="D1069" s="25" t="s">
        <v>50</v>
      </c>
      <c r="E1069" s="25">
        <v>0</v>
      </c>
      <c r="F1069" s="25" t="s">
        <v>50</v>
      </c>
      <c r="G1069" s="25">
        <v>1</v>
      </c>
      <c r="H1069" s="25" t="s">
        <v>50</v>
      </c>
      <c r="I1069" s="25">
        <v>0</v>
      </c>
      <c r="J1069" s="25" t="s">
        <v>44</v>
      </c>
    </row>
    <row r="1070" spans="1:10" ht="12.75" customHeight="1" x14ac:dyDescent="0.2">
      <c r="A1070" s="24"/>
      <c r="B1070" s="22" t="s">
        <v>548</v>
      </c>
      <c r="C1070" s="25">
        <v>328</v>
      </c>
      <c r="D1070" s="25">
        <v>2</v>
      </c>
      <c r="E1070" s="25">
        <v>0</v>
      </c>
      <c r="F1070" s="25" t="s">
        <v>60</v>
      </c>
      <c r="G1070" s="25">
        <v>1</v>
      </c>
      <c r="H1070" s="25" t="s">
        <v>50</v>
      </c>
      <c r="I1070" s="25">
        <v>0</v>
      </c>
      <c r="J1070" s="25">
        <v>324</v>
      </c>
    </row>
    <row r="1071" spans="1:10" ht="12.75" customHeight="1" x14ac:dyDescent="0.2">
      <c r="A1071" s="24"/>
      <c r="B1071" s="24"/>
      <c r="C1071" s="25"/>
      <c r="D1071" s="25"/>
      <c r="E1071" s="25"/>
      <c r="F1071" s="25"/>
      <c r="G1071" s="25"/>
      <c r="H1071" s="25"/>
      <c r="I1071" s="25"/>
      <c r="J1071" s="25"/>
    </row>
    <row r="1072" spans="1:10" s="12" customFormat="1" ht="12.75" customHeight="1" x14ac:dyDescent="0.2">
      <c r="A1072" s="22" t="s">
        <v>110</v>
      </c>
      <c r="B1072" s="22" t="s">
        <v>591</v>
      </c>
      <c r="C1072" s="27"/>
      <c r="D1072" s="27"/>
      <c r="E1072" s="27"/>
      <c r="F1072" s="27"/>
      <c r="G1072" s="27"/>
      <c r="H1072" s="27"/>
      <c r="I1072" s="27"/>
      <c r="J1072" s="27"/>
    </row>
    <row r="1073" spans="1:10" ht="12.75" customHeight="1" x14ac:dyDescent="0.2">
      <c r="A1073" s="29"/>
      <c r="B1073" s="30"/>
      <c r="C1073" s="25"/>
      <c r="D1073" s="25"/>
      <c r="E1073" s="25"/>
      <c r="F1073" s="25"/>
      <c r="G1073" s="25"/>
      <c r="H1073" s="25"/>
      <c r="I1073" s="25"/>
      <c r="J1073" s="25"/>
    </row>
    <row r="1074" spans="1:10" ht="12.75" customHeight="1" x14ac:dyDescent="0.2">
      <c r="A1074" s="24"/>
      <c r="B1074" s="24"/>
      <c r="C1074" s="25"/>
      <c r="D1074" s="25"/>
      <c r="E1074" s="25"/>
      <c r="F1074" s="25"/>
      <c r="G1074" s="25"/>
      <c r="H1074" s="25"/>
      <c r="I1074" s="25"/>
      <c r="J1074" s="25"/>
    </row>
    <row r="1075" spans="1:10" ht="12.75" customHeight="1" x14ac:dyDescent="0.2">
      <c r="A1075" s="24"/>
      <c r="B1075" s="22" t="s">
        <v>543</v>
      </c>
      <c r="C1075" s="25">
        <v>39</v>
      </c>
      <c r="D1075" s="25">
        <v>5</v>
      </c>
      <c r="E1075" s="25">
        <v>0</v>
      </c>
      <c r="F1075" s="25" t="s">
        <v>50</v>
      </c>
      <c r="G1075" s="25">
        <v>31</v>
      </c>
      <c r="H1075" s="25" t="s">
        <v>50</v>
      </c>
      <c r="I1075" s="25">
        <v>1</v>
      </c>
      <c r="J1075" s="25">
        <v>2</v>
      </c>
    </row>
    <row r="1076" spans="1:10" ht="12.75" customHeight="1" x14ac:dyDescent="0.2">
      <c r="A1076" s="24"/>
      <c r="B1076" s="22" t="s">
        <v>544</v>
      </c>
      <c r="C1076" s="25" t="s">
        <v>44</v>
      </c>
      <c r="D1076" s="25" t="s">
        <v>50</v>
      </c>
      <c r="E1076" s="25">
        <v>0</v>
      </c>
      <c r="F1076" s="25">
        <v>0</v>
      </c>
      <c r="G1076" s="25" t="s">
        <v>50</v>
      </c>
      <c r="H1076" s="25" t="s">
        <v>50</v>
      </c>
      <c r="I1076" s="25">
        <v>0</v>
      </c>
      <c r="J1076" s="25" t="s">
        <v>44</v>
      </c>
    </row>
    <row r="1077" spans="1:10" ht="12.75" customHeight="1" x14ac:dyDescent="0.2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>
        <v>0</v>
      </c>
      <c r="G1077" s="25" t="s">
        <v>50</v>
      </c>
      <c r="H1077" s="25">
        <v>0</v>
      </c>
      <c r="I1077" s="25">
        <v>0</v>
      </c>
      <c r="J1077" s="25" t="s">
        <v>44</v>
      </c>
    </row>
    <row r="1078" spans="1:10" ht="12.75" customHeight="1" x14ac:dyDescent="0.2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>
        <v>0</v>
      </c>
      <c r="G1078" s="25" t="s">
        <v>50</v>
      </c>
      <c r="H1078" s="25" t="s">
        <v>50</v>
      </c>
      <c r="I1078" s="25">
        <v>0</v>
      </c>
      <c r="J1078" s="25" t="s">
        <v>44</v>
      </c>
    </row>
    <row r="1079" spans="1:10" ht="12.75" customHeight="1" x14ac:dyDescent="0.2">
      <c r="A1079" s="24"/>
      <c r="B1079" s="22" t="s">
        <v>545</v>
      </c>
      <c r="C1079" s="25" t="s">
        <v>44</v>
      </c>
      <c r="D1079" s="25">
        <v>4</v>
      </c>
      <c r="E1079" s="25">
        <v>0</v>
      </c>
      <c r="F1079" s="25" t="s">
        <v>50</v>
      </c>
      <c r="G1079" s="25">
        <v>29</v>
      </c>
      <c r="H1079" s="25" t="s">
        <v>50</v>
      </c>
      <c r="I1079" s="25">
        <v>1</v>
      </c>
      <c r="J1079" s="25" t="s">
        <v>44</v>
      </c>
    </row>
    <row r="1080" spans="1:10" ht="12.75" customHeight="1" x14ac:dyDescent="0.2">
      <c r="A1080" s="24"/>
      <c r="B1080" s="24" t="s">
        <v>48</v>
      </c>
      <c r="C1080" s="25" t="s">
        <v>44</v>
      </c>
      <c r="D1080" s="25">
        <v>1</v>
      </c>
      <c r="E1080" s="25">
        <v>0</v>
      </c>
      <c r="F1080" s="25" t="s">
        <v>50</v>
      </c>
      <c r="G1080" s="25">
        <v>29</v>
      </c>
      <c r="H1080" s="25" t="s">
        <v>50</v>
      </c>
      <c r="I1080" s="25">
        <v>1</v>
      </c>
      <c r="J1080" s="25" t="s">
        <v>44</v>
      </c>
    </row>
    <row r="1081" spans="1:10" ht="12.75" customHeight="1" x14ac:dyDescent="0.2">
      <c r="A1081" s="24"/>
      <c r="B1081" s="24" t="s">
        <v>49</v>
      </c>
      <c r="C1081" s="25" t="s">
        <v>44</v>
      </c>
      <c r="D1081" s="25" t="s">
        <v>50</v>
      </c>
      <c r="E1081" s="25">
        <v>0</v>
      </c>
      <c r="F1081" s="25">
        <v>0</v>
      </c>
      <c r="G1081" s="25" t="s">
        <v>50</v>
      </c>
      <c r="H1081" s="25">
        <v>0</v>
      </c>
      <c r="I1081" s="25">
        <v>0</v>
      </c>
      <c r="J1081" s="25" t="s">
        <v>44</v>
      </c>
    </row>
    <row r="1082" spans="1:10" ht="12.75" customHeight="1" x14ac:dyDescent="0.2">
      <c r="A1082" s="24"/>
      <c r="B1082" s="24" t="s">
        <v>51</v>
      </c>
      <c r="C1082" s="25" t="s">
        <v>44</v>
      </c>
      <c r="D1082" s="25">
        <v>3</v>
      </c>
      <c r="E1082" s="25">
        <v>0</v>
      </c>
      <c r="F1082" s="25" t="s">
        <v>50</v>
      </c>
      <c r="G1082" s="25" t="s">
        <v>50</v>
      </c>
      <c r="H1082" s="25" t="s">
        <v>50</v>
      </c>
      <c r="I1082" s="25">
        <v>0</v>
      </c>
      <c r="J1082" s="25" t="s">
        <v>44</v>
      </c>
    </row>
    <row r="1083" spans="1:10" ht="12.75" customHeight="1" x14ac:dyDescent="0.2">
      <c r="A1083" s="24"/>
      <c r="B1083" s="24" t="s">
        <v>52</v>
      </c>
      <c r="C1083" s="25" t="s">
        <v>44</v>
      </c>
      <c r="D1083" s="25" t="s">
        <v>50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2">
      <c r="A1084" s="24"/>
      <c r="B1084" s="24" t="s">
        <v>53</v>
      </c>
      <c r="C1084" s="25" t="s">
        <v>44</v>
      </c>
      <c r="D1084" s="25" t="s">
        <v>50</v>
      </c>
      <c r="E1084" s="25">
        <v>0</v>
      </c>
      <c r="F1084" s="25" t="s">
        <v>50</v>
      </c>
      <c r="G1084" s="25" t="s">
        <v>50</v>
      </c>
      <c r="H1084" s="25">
        <v>0</v>
      </c>
      <c r="I1084" s="25">
        <v>0</v>
      </c>
      <c r="J1084" s="25" t="s">
        <v>44</v>
      </c>
    </row>
    <row r="1085" spans="1:10" ht="12.75" customHeight="1" x14ac:dyDescent="0.2">
      <c r="A1085" s="24"/>
      <c r="B1085" s="22" t="s">
        <v>546</v>
      </c>
      <c r="C1085" s="25" t="s">
        <v>44</v>
      </c>
      <c r="D1085" s="25">
        <v>1</v>
      </c>
      <c r="E1085" s="25">
        <v>0</v>
      </c>
      <c r="F1085" s="25" t="s">
        <v>50</v>
      </c>
      <c r="G1085" s="25">
        <v>1</v>
      </c>
      <c r="H1085" s="25" t="s">
        <v>50</v>
      </c>
      <c r="I1085" s="25">
        <v>0</v>
      </c>
      <c r="J1085" s="25" t="s">
        <v>44</v>
      </c>
    </row>
    <row r="1086" spans="1:10" ht="12.75" customHeight="1" x14ac:dyDescent="0.2">
      <c r="A1086" s="24"/>
      <c r="B1086" s="24" t="s">
        <v>547</v>
      </c>
      <c r="C1086" s="25" t="s">
        <v>44</v>
      </c>
      <c r="D1086" s="25" t="s">
        <v>50</v>
      </c>
      <c r="E1086" s="25">
        <v>0</v>
      </c>
      <c r="F1086" s="25">
        <v>0</v>
      </c>
      <c r="G1086" s="25">
        <v>1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2">
      <c r="A1087" s="24"/>
      <c r="B1087" s="24" t="s">
        <v>54</v>
      </c>
      <c r="C1087" s="25" t="s">
        <v>44</v>
      </c>
      <c r="D1087" s="25" t="s">
        <v>50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2">
      <c r="A1088" s="24"/>
      <c r="B1088" s="24" t="s">
        <v>55</v>
      </c>
      <c r="C1088" s="25" t="s">
        <v>44</v>
      </c>
      <c r="D1088" s="25" t="s">
        <v>50</v>
      </c>
      <c r="E1088" s="25">
        <v>0</v>
      </c>
      <c r="F1088" s="25">
        <v>0</v>
      </c>
      <c r="G1088" s="25" t="s">
        <v>50</v>
      </c>
      <c r="H1088" s="25" t="s">
        <v>50</v>
      </c>
      <c r="I1088" s="25">
        <v>0</v>
      </c>
      <c r="J1088" s="25" t="s">
        <v>44</v>
      </c>
    </row>
    <row r="1089" spans="1:10" ht="12.75" customHeight="1" x14ac:dyDescent="0.2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 t="s">
        <v>50</v>
      </c>
      <c r="G1089" s="25" t="s">
        <v>50</v>
      </c>
      <c r="H1089" s="25" t="s">
        <v>50</v>
      </c>
      <c r="I1089" s="25" t="s">
        <v>44</v>
      </c>
      <c r="J1089" s="25" t="s">
        <v>44</v>
      </c>
    </row>
    <row r="1090" spans="1:10" ht="12.75" customHeight="1" x14ac:dyDescent="0.2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>
        <v>0</v>
      </c>
      <c r="I1090" s="25">
        <v>0</v>
      </c>
      <c r="J1090" s="25" t="s">
        <v>44</v>
      </c>
    </row>
    <row r="1091" spans="1:10" ht="12.75" customHeight="1" x14ac:dyDescent="0.2">
      <c r="A1091" s="24"/>
      <c r="B1091" s="24" t="s">
        <v>58</v>
      </c>
      <c r="C1091" s="25" t="s">
        <v>44</v>
      </c>
      <c r="D1091" s="25" t="s">
        <v>50</v>
      </c>
      <c r="E1091" s="25">
        <v>0</v>
      </c>
      <c r="F1091" s="25" t="s">
        <v>50</v>
      </c>
      <c r="G1091" s="25">
        <v>0</v>
      </c>
      <c r="H1091" s="25" t="s">
        <v>50</v>
      </c>
      <c r="I1091" s="25">
        <v>0</v>
      </c>
      <c r="J1091" s="25" t="s">
        <v>44</v>
      </c>
    </row>
    <row r="1092" spans="1:10" ht="12.75" customHeight="1" x14ac:dyDescent="0.2">
      <c r="A1092" s="24"/>
      <c r="B1092" s="22" t="s">
        <v>548</v>
      </c>
      <c r="C1092" s="25">
        <v>2</v>
      </c>
      <c r="D1092" s="25" t="s">
        <v>50</v>
      </c>
      <c r="E1092" s="25">
        <v>0</v>
      </c>
      <c r="F1092" s="25">
        <v>0</v>
      </c>
      <c r="G1092" s="25">
        <v>0</v>
      </c>
      <c r="H1092" s="25" t="s">
        <v>50</v>
      </c>
      <c r="I1092" s="25">
        <v>0</v>
      </c>
      <c r="J1092" s="25">
        <v>2</v>
      </c>
    </row>
    <row r="1093" spans="1:10" ht="12.75" customHeight="1" x14ac:dyDescent="0.2">
      <c r="A1093" s="24"/>
      <c r="B1093" s="24"/>
      <c r="C1093" s="25"/>
      <c r="D1093" s="25"/>
      <c r="E1093" s="25"/>
      <c r="F1093" s="25"/>
      <c r="G1093" s="25"/>
      <c r="H1093" s="25"/>
      <c r="I1093" s="25"/>
      <c r="J1093" s="25"/>
    </row>
    <row r="1094" spans="1:10" s="12" customFormat="1" ht="12.75" customHeight="1" x14ac:dyDescent="0.2">
      <c r="A1094" s="22" t="s">
        <v>111</v>
      </c>
      <c r="B1094" s="22" t="s">
        <v>592</v>
      </c>
      <c r="C1094" s="27"/>
      <c r="D1094" s="27"/>
      <c r="E1094" s="27"/>
      <c r="F1094" s="27"/>
      <c r="G1094" s="27"/>
      <c r="H1094" s="27"/>
      <c r="I1094" s="27"/>
      <c r="J1094" s="27"/>
    </row>
    <row r="1095" spans="1:10" ht="12.75" customHeight="1" x14ac:dyDescent="0.2">
      <c r="A1095" s="29"/>
      <c r="B1095" s="30"/>
      <c r="C1095" s="25"/>
      <c r="D1095" s="25"/>
      <c r="E1095" s="25"/>
      <c r="F1095" s="25"/>
      <c r="G1095" s="25"/>
      <c r="H1095" s="25"/>
      <c r="I1095" s="25"/>
      <c r="J1095" s="25"/>
    </row>
    <row r="1096" spans="1:10" ht="12.75" customHeight="1" x14ac:dyDescent="0.2">
      <c r="A1096" s="24"/>
      <c r="B1096" s="24"/>
      <c r="C1096" s="25"/>
      <c r="D1096" s="25"/>
      <c r="E1096" s="25"/>
      <c r="F1096" s="25"/>
      <c r="G1096" s="25"/>
      <c r="H1096" s="25"/>
      <c r="I1096" s="25"/>
      <c r="J1096" s="25"/>
    </row>
    <row r="1097" spans="1:10" ht="12.75" customHeight="1" x14ac:dyDescent="0.2">
      <c r="A1097" s="24"/>
      <c r="B1097" s="22" t="s">
        <v>543</v>
      </c>
      <c r="C1097" s="25">
        <v>44</v>
      </c>
      <c r="D1097" s="25">
        <v>5</v>
      </c>
      <c r="E1097" s="25">
        <v>0</v>
      </c>
      <c r="F1097" s="25" t="s">
        <v>50</v>
      </c>
      <c r="G1097" s="25">
        <v>38</v>
      </c>
      <c r="H1097" s="25" t="s">
        <v>50</v>
      </c>
      <c r="I1097" s="25">
        <v>0</v>
      </c>
      <c r="J1097" s="25" t="s">
        <v>50</v>
      </c>
    </row>
    <row r="1098" spans="1:10" ht="12.75" customHeight="1" x14ac:dyDescent="0.2">
      <c r="A1098" s="24"/>
      <c r="B1098" s="22" t="s">
        <v>544</v>
      </c>
      <c r="C1098" s="25" t="s">
        <v>44</v>
      </c>
      <c r="D1098" s="25" t="s">
        <v>50</v>
      </c>
      <c r="E1098" s="25">
        <v>0</v>
      </c>
      <c r="F1098" s="25">
        <v>0</v>
      </c>
      <c r="G1098" s="25">
        <v>2</v>
      </c>
      <c r="H1098" s="25">
        <v>0</v>
      </c>
      <c r="I1098" s="25">
        <v>0</v>
      </c>
      <c r="J1098" s="25" t="s">
        <v>44</v>
      </c>
    </row>
    <row r="1099" spans="1:10" ht="12.75" customHeight="1" x14ac:dyDescent="0.2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>
        <v>0</v>
      </c>
      <c r="I1099" s="25">
        <v>0</v>
      </c>
      <c r="J1099" s="25" t="s">
        <v>44</v>
      </c>
    </row>
    <row r="1100" spans="1:10" ht="12.75" customHeight="1" x14ac:dyDescent="0.2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>
        <v>2</v>
      </c>
      <c r="H1100" s="25">
        <v>0</v>
      </c>
      <c r="I1100" s="25">
        <v>0</v>
      </c>
      <c r="J1100" s="25" t="s">
        <v>44</v>
      </c>
    </row>
    <row r="1101" spans="1:10" ht="12.75" customHeight="1" x14ac:dyDescent="0.2">
      <c r="A1101" s="24"/>
      <c r="B1101" s="22" t="s">
        <v>545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0</v>
      </c>
      <c r="J1101" s="25" t="s">
        <v>44</v>
      </c>
    </row>
    <row r="1102" spans="1:10" ht="12.75" customHeight="1" x14ac:dyDescent="0.2">
      <c r="A1102" s="24"/>
      <c r="B1102" s="24" t="s">
        <v>48</v>
      </c>
      <c r="C1102" s="25" t="s">
        <v>44</v>
      </c>
      <c r="D1102" s="25">
        <v>2</v>
      </c>
      <c r="E1102" s="25">
        <v>0</v>
      </c>
      <c r="F1102" s="25" t="s">
        <v>50</v>
      </c>
      <c r="G1102" s="25">
        <v>35</v>
      </c>
      <c r="H1102" s="25" t="s">
        <v>50</v>
      </c>
      <c r="I1102" s="25">
        <v>0</v>
      </c>
      <c r="J1102" s="25" t="s">
        <v>44</v>
      </c>
    </row>
    <row r="1103" spans="1:10" ht="12.75" customHeight="1" x14ac:dyDescent="0.2">
      <c r="A1103" s="24"/>
      <c r="B1103" s="24" t="s">
        <v>49</v>
      </c>
      <c r="C1103" s="25" t="s">
        <v>44</v>
      </c>
      <c r="D1103" s="25">
        <v>1</v>
      </c>
      <c r="E1103" s="25">
        <v>0</v>
      </c>
      <c r="F1103" s="25">
        <v>0</v>
      </c>
      <c r="G1103" s="25" t="s">
        <v>50</v>
      </c>
      <c r="H1103" s="25">
        <v>0</v>
      </c>
      <c r="I1103" s="25">
        <v>0</v>
      </c>
      <c r="J1103" s="25" t="s">
        <v>44</v>
      </c>
    </row>
    <row r="1104" spans="1:10" ht="12.75" customHeight="1" x14ac:dyDescent="0.2">
      <c r="A1104" s="24"/>
      <c r="B1104" s="24" t="s">
        <v>51</v>
      </c>
      <c r="C1104" s="25" t="s">
        <v>44</v>
      </c>
      <c r="D1104" s="25">
        <v>2</v>
      </c>
      <c r="E1104" s="25">
        <v>0</v>
      </c>
      <c r="F1104" s="25">
        <v>0</v>
      </c>
      <c r="G1104" s="25">
        <v>0</v>
      </c>
      <c r="H1104" s="25" t="s">
        <v>50</v>
      </c>
      <c r="I1104" s="25">
        <v>0</v>
      </c>
      <c r="J1104" s="25" t="s">
        <v>44</v>
      </c>
    </row>
    <row r="1105" spans="1:10" ht="12.75" customHeight="1" x14ac:dyDescent="0.2">
      <c r="A1105" s="24"/>
      <c r="B1105" s="24" t="s">
        <v>52</v>
      </c>
      <c r="C1105" s="25" t="s">
        <v>44</v>
      </c>
      <c r="D1105" s="25" t="s">
        <v>50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0" ht="12.75" customHeight="1" x14ac:dyDescent="0.2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>
        <v>0</v>
      </c>
      <c r="I1106" s="25">
        <v>0</v>
      </c>
      <c r="J1106" s="25" t="s">
        <v>44</v>
      </c>
    </row>
    <row r="1107" spans="1:10" ht="12.75" customHeight="1" x14ac:dyDescent="0.2">
      <c r="A1107" s="24"/>
      <c r="B1107" s="22" t="s">
        <v>546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0" ht="12.75" customHeight="1" x14ac:dyDescent="0.2">
      <c r="A1108" s="24"/>
      <c r="B1108" s="24" t="s">
        <v>547</v>
      </c>
      <c r="C1108" s="25" t="s">
        <v>44</v>
      </c>
      <c r="D1108" s="25" t="s">
        <v>50</v>
      </c>
      <c r="E1108" s="25">
        <v>0</v>
      </c>
      <c r="F1108" s="25">
        <v>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0" ht="12.75" customHeight="1" x14ac:dyDescent="0.2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0" ht="12.75" customHeight="1" x14ac:dyDescent="0.2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>
        <v>0</v>
      </c>
      <c r="G1110" s="25" t="s">
        <v>50</v>
      </c>
      <c r="H1110" s="25" t="s">
        <v>50</v>
      </c>
      <c r="I1110" s="25">
        <v>0</v>
      </c>
      <c r="J1110" s="25" t="s">
        <v>44</v>
      </c>
    </row>
    <row r="1111" spans="1:10" ht="12.75" customHeight="1" x14ac:dyDescent="0.2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0" ht="12.75" customHeight="1" x14ac:dyDescent="0.2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 t="s">
        <v>50</v>
      </c>
      <c r="H1112" s="25">
        <v>0</v>
      </c>
      <c r="I1112" s="25">
        <v>0</v>
      </c>
      <c r="J1112" s="25" t="s">
        <v>44</v>
      </c>
    </row>
    <row r="1113" spans="1:10" ht="12.75" customHeight="1" x14ac:dyDescent="0.2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>
        <v>0</v>
      </c>
      <c r="G1113" s="25" t="s">
        <v>50</v>
      </c>
      <c r="H1113" s="25">
        <v>0</v>
      </c>
      <c r="I1113" s="25">
        <v>0</v>
      </c>
      <c r="J1113" s="25" t="s">
        <v>44</v>
      </c>
    </row>
    <row r="1114" spans="1:10" ht="12.75" customHeight="1" x14ac:dyDescent="0.2">
      <c r="A1114" s="24"/>
      <c r="B1114" s="22" t="s">
        <v>548</v>
      </c>
      <c r="C1114" s="25" t="s">
        <v>50</v>
      </c>
      <c r="D1114" s="25">
        <v>0</v>
      </c>
      <c r="E1114" s="25">
        <v>0</v>
      </c>
      <c r="F1114" s="25">
        <v>0</v>
      </c>
      <c r="G1114" s="25" t="s">
        <v>50</v>
      </c>
      <c r="H1114" s="25" t="s">
        <v>50</v>
      </c>
      <c r="I1114" s="25">
        <v>0</v>
      </c>
      <c r="J1114" s="25" t="s">
        <v>50</v>
      </c>
    </row>
    <row r="1115" spans="1:10" ht="12.75" customHeight="1" x14ac:dyDescent="0.2">
      <c r="A1115" s="24"/>
      <c r="B1115" s="24"/>
      <c r="C1115" s="25"/>
      <c r="D1115" s="25"/>
      <c r="E1115" s="25"/>
      <c r="F1115" s="25"/>
      <c r="G1115" s="25"/>
      <c r="H1115" s="25"/>
      <c r="I1115" s="25"/>
      <c r="J1115" s="25"/>
    </row>
    <row r="1116" spans="1:10" s="12" customFormat="1" ht="12.75" customHeight="1" x14ac:dyDescent="0.2">
      <c r="A1116" s="22" t="s">
        <v>112</v>
      </c>
      <c r="B1116" s="22" t="s">
        <v>593</v>
      </c>
      <c r="C1116" s="27"/>
      <c r="D1116" s="27"/>
      <c r="E1116" s="27"/>
      <c r="F1116" s="27"/>
      <c r="G1116" s="27"/>
      <c r="H1116" s="27"/>
      <c r="I1116" s="27"/>
      <c r="J1116" s="27"/>
    </row>
    <row r="1117" spans="1:10" ht="12.75" customHeight="1" x14ac:dyDescent="0.2">
      <c r="A1117" s="24"/>
      <c r="B1117" s="24"/>
      <c r="C1117" s="25"/>
      <c r="D1117" s="25"/>
      <c r="E1117" s="25"/>
      <c r="F1117" s="25"/>
      <c r="G1117" s="25"/>
      <c r="H1117" s="25"/>
      <c r="I1117" s="25"/>
      <c r="J1117" s="25"/>
    </row>
    <row r="1118" spans="1:10" ht="12.75" customHeight="1" x14ac:dyDescent="0.2">
      <c r="A1118" s="24"/>
      <c r="B1118" s="24"/>
      <c r="C1118" s="25"/>
      <c r="D1118" s="25"/>
      <c r="E1118" s="25"/>
      <c r="F1118" s="25"/>
      <c r="G1118" s="25"/>
      <c r="H1118" s="25"/>
      <c r="I1118" s="25"/>
      <c r="J1118" s="25"/>
    </row>
    <row r="1119" spans="1:10" ht="12.75" customHeight="1" x14ac:dyDescent="0.2">
      <c r="A1119" s="24"/>
      <c r="B1119" s="22" t="s">
        <v>543</v>
      </c>
      <c r="C1119" s="25">
        <v>26</v>
      </c>
      <c r="D1119" s="25">
        <v>7</v>
      </c>
      <c r="E1119" s="25">
        <v>0</v>
      </c>
      <c r="F1119" s="25" t="s">
        <v>50</v>
      </c>
      <c r="G1119" s="25">
        <v>19</v>
      </c>
      <c r="H1119" s="25" t="s">
        <v>50</v>
      </c>
      <c r="I1119" s="25">
        <v>0</v>
      </c>
      <c r="J1119" s="25" t="s">
        <v>50</v>
      </c>
    </row>
    <row r="1120" spans="1:10" ht="12.75" customHeight="1" x14ac:dyDescent="0.2">
      <c r="A1120" s="24"/>
      <c r="B1120" s="22" t="s">
        <v>544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 t="s">
        <v>50</v>
      </c>
      <c r="I1120" s="25">
        <v>0</v>
      </c>
      <c r="J1120" s="25" t="s">
        <v>44</v>
      </c>
    </row>
    <row r="1121" spans="1:10" ht="12.75" customHeight="1" x14ac:dyDescent="0.2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2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 t="s">
        <v>50</v>
      </c>
      <c r="I1122" s="25">
        <v>0</v>
      </c>
      <c r="J1122" s="25" t="s">
        <v>44</v>
      </c>
    </row>
    <row r="1123" spans="1:10" ht="12.75" customHeight="1" x14ac:dyDescent="0.2">
      <c r="A1123" s="24"/>
      <c r="B1123" s="22" t="s">
        <v>545</v>
      </c>
      <c r="C1123" s="25" t="s">
        <v>44</v>
      </c>
      <c r="D1123" s="25">
        <v>6</v>
      </c>
      <c r="E1123" s="25">
        <v>0</v>
      </c>
      <c r="F1123" s="25" t="s">
        <v>50</v>
      </c>
      <c r="G1123" s="25">
        <v>18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2">
      <c r="A1124" s="24"/>
      <c r="B1124" s="24" t="s">
        <v>48</v>
      </c>
      <c r="C1124" s="25" t="s">
        <v>44</v>
      </c>
      <c r="D1124" s="25">
        <v>3</v>
      </c>
      <c r="E1124" s="25">
        <v>0</v>
      </c>
      <c r="F1124" s="25">
        <v>0</v>
      </c>
      <c r="G1124" s="25">
        <v>17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2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 t="s">
        <v>50</v>
      </c>
      <c r="H1125" s="25">
        <v>0</v>
      </c>
      <c r="I1125" s="25">
        <v>0</v>
      </c>
      <c r="J1125" s="25" t="s">
        <v>44</v>
      </c>
    </row>
    <row r="1126" spans="1:10" ht="12.75" customHeight="1" x14ac:dyDescent="0.2">
      <c r="A1126" s="24"/>
      <c r="B1126" s="24" t="s">
        <v>51</v>
      </c>
      <c r="C1126" s="25" t="s">
        <v>44</v>
      </c>
      <c r="D1126" s="25">
        <v>2</v>
      </c>
      <c r="E1126" s="25">
        <v>0</v>
      </c>
      <c r="F1126" s="25" t="s">
        <v>50</v>
      </c>
      <c r="G1126" s="25" t="s">
        <v>50</v>
      </c>
      <c r="H1126" s="25">
        <v>0</v>
      </c>
      <c r="I1126" s="25">
        <v>0</v>
      </c>
      <c r="J1126" s="25" t="s">
        <v>44</v>
      </c>
    </row>
    <row r="1127" spans="1:10" ht="12.75" customHeight="1" x14ac:dyDescent="0.2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2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>
        <v>0</v>
      </c>
      <c r="G1128" s="25" t="s">
        <v>50</v>
      </c>
      <c r="H1128" s="25" t="s">
        <v>50</v>
      </c>
      <c r="I1128" s="25">
        <v>0</v>
      </c>
      <c r="J1128" s="25" t="s">
        <v>44</v>
      </c>
    </row>
    <row r="1129" spans="1:10" ht="12.75" customHeight="1" x14ac:dyDescent="0.2">
      <c r="A1129" s="24"/>
      <c r="B1129" s="22" t="s">
        <v>546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1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2">
      <c r="A1130" s="24"/>
      <c r="B1130" s="24" t="s">
        <v>547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 t="s">
        <v>50</v>
      </c>
      <c r="I1130" s="25">
        <v>0</v>
      </c>
      <c r="J1130" s="25" t="s">
        <v>44</v>
      </c>
    </row>
    <row r="1131" spans="1:10" ht="12.75" customHeight="1" x14ac:dyDescent="0.2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2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 t="s">
        <v>50</v>
      </c>
      <c r="I1132" s="25">
        <v>0</v>
      </c>
      <c r="J1132" s="25" t="s">
        <v>44</v>
      </c>
    </row>
    <row r="1133" spans="1:10" ht="12.75" customHeight="1" x14ac:dyDescent="0.2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 t="s">
        <v>50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2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2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>
        <v>0</v>
      </c>
      <c r="H1135" s="25">
        <v>0</v>
      </c>
      <c r="I1135" s="25">
        <v>0</v>
      </c>
      <c r="J1135" s="25" t="s">
        <v>44</v>
      </c>
    </row>
    <row r="1136" spans="1:10" ht="12.75" customHeight="1" x14ac:dyDescent="0.2">
      <c r="A1136" s="24"/>
      <c r="B1136" s="22" t="s">
        <v>548</v>
      </c>
      <c r="C1136" s="25" t="s">
        <v>50</v>
      </c>
      <c r="D1136" s="25">
        <v>0</v>
      </c>
      <c r="E1136" s="25">
        <v>0</v>
      </c>
      <c r="F1136" s="25">
        <v>0</v>
      </c>
      <c r="G1136" s="25" t="s">
        <v>50</v>
      </c>
      <c r="H1136" s="25">
        <v>0</v>
      </c>
      <c r="I1136" s="25">
        <v>0</v>
      </c>
      <c r="J1136" s="25" t="s">
        <v>50</v>
      </c>
    </row>
    <row r="1137" spans="1:10" ht="12.75" customHeight="1" x14ac:dyDescent="0.2">
      <c r="A1137" s="24"/>
      <c r="B1137" s="24"/>
      <c r="C1137" s="25"/>
      <c r="D1137" s="25"/>
      <c r="E1137" s="25"/>
      <c r="F1137" s="25"/>
      <c r="G1137" s="25"/>
      <c r="H1137" s="25"/>
      <c r="I1137" s="25"/>
      <c r="J1137" s="25"/>
    </row>
    <row r="1138" spans="1:10" s="12" customFormat="1" ht="12.75" customHeight="1" x14ac:dyDescent="0.2">
      <c r="A1138" s="22" t="s">
        <v>113</v>
      </c>
      <c r="B1138" s="22" t="s">
        <v>594</v>
      </c>
      <c r="C1138" s="27"/>
      <c r="D1138" s="27"/>
      <c r="E1138" s="27"/>
      <c r="F1138" s="27"/>
      <c r="G1138" s="27"/>
      <c r="H1138" s="27"/>
      <c r="I1138" s="27"/>
      <c r="J1138" s="27"/>
    </row>
    <row r="1139" spans="1:10" ht="12.75" customHeight="1" x14ac:dyDescent="0.2">
      <c r="A1139" s="29"/>
      <c r="B1139" s="30"/>
      <c r="C1139" s="25"/>
      <c r="D1139" s="25"/>
      <c r="E1139" s="25"/>
      <c r="F1139" s="25"/>
      <c r="G1139" s="25"/>
      <c r="H1139" s="25"/>
      <c r="I1139" s="25"/>
      <c r="J1139" s="25"/>
    </row>
    <row r="1140" spans="1:10" ht="12.75" customHeight="1" x14ac:dyDescent="0.2">
      <c r="A1140" s="24"/>
      <c r="B1140" s="24"/>
      <c r="C1140" s="25"/>
      <c r="D1140" s="25"/>
      <c r="E1140" s="25"/>
      <c r="F1140" s="25"/>
      <c r="G1140" s="25"/>
      <c r="H1140" s="25"/>
      <c r="I1140" s="25"/>
      <c r="J1140" s="25"/>
    </row>
    <row r="1141" spans="1:10" ht="12.75" customHeight="1" x14ac:dyDescent="0.2">
      <c r="A1141" s="24"/>
      <c r="B1141" s="22" t="s">
        <v>543</v>
      </c>
      <c r="C1141" s="25">
        <v>54</v>
      </c>
      <c r="D1141" s="25">
        <v>12</v>
      </c>
      <c r="E1141" s="25">
        <v>0</v>
      </c>
      <c r="F1141" s="25" t="s">
        <v>50</v>
      </c>
      <c r="G1141" s="25">
        <v>42</v>
      </c>
      <c r="H1141" s="25" t="s">
        <v>50</v>
      </c>
      <c r="I1141" s="25">
        <v>0</v>
      </c>
      <c r="J1141" s="25" t="s">
        <v>50</v>
      </c>
    </row>
    <row r="1142" spans="1:10" ht="12.75" customHeight="1" x14ac:dyDescent="0.2">
      <c r="A1142" s="24"/>
      <c r="B1142" s="22" t="s">
        <v>544</v>
      </c>
      <c r="C1142" s="25" t="s">
        <v>44</v>
      </c>
      <c r="D1142" s="25" t="s">
        <v>50</v>
      </c>
      <c r="E1142" s="25">
        <v>0</v>
      </c>
      <c r="F1142" s="25">
        <v>0</v>
      </c>
      <c r="G1142" s="25" t="s">
        <v>50</v>
      </c>
      <c r="H1142" s="25">
        <v>0</v>
      </c>
      <c r="I1142" s="25">
        <v>0</v>
      </c>
      <c r="J1142" s="25" t="s">
        <v>44</v>
      </c>
    </row>
    <row r="1143" spans="1:10" ht="12.75" customHeight="1" x14ac:dyDescent="0.2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>
        <v>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0" ht="12.75" customHeight="1" x14ac:dyDescent="0.2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>
        <v>0</v>
      </c>
      <c r="I1144" s="25">
        <v>0</v>
      </c>
      <c r="J1144" s="25" t="s">
        <v>44</v>
      </c>
    </row>
    <row r="1145" spans="1:10" ht="12.75" customHeight="1" x14ac:dyDescent="0.2">
      <c r="A1145" s="24"/>
      <c r="B1145" s="22" t="s">
        <v>545</v>
      </c>
      <c r="C1145" s="25" t="s">
        <v>44</v>
      </c>
      <c r="D1145" s="25">
        <v>10</v>
      </c>
      <c r="E1145" s="25">
        <v>0</v>
      </c>
      <c r="F1145" s="25">
        <v>0</v>
      </c>
      <c r="G1145" s="25">
        <v>38</v>
      </c>
      <c r="H1145" s="25" t="s">
        <v>50</v>
      </c>
      <c r="I1145" s="25">
        <v>0</v>
      </c>
      <c r="J1145" s="25" t="s">
        <v>44</v>
      </c>
    </row>
    <row r="1146" spans="1:10" ht="12.75" customHeight="1" x14ac:dyDescent="0.2">
      <c r="A1146" s="24"/>
      <c r="B1146" s="24" t="s">
        <v>48</v>
      </c>
      <c r="C1146" s="25" t="s">
        <v>44</v>
      </c>
      <c r="D1146" s="25">
        <v>6</v>
      </c>
      <c r="E1146" s="25">
        <v>0</v>
      </c>
      <c r="F1146" s="25">
        <v>0</v>
      </c>
      <c r="G1146" s="25">
        <v>31</v>
      </c>
      <c r="H1146" s="25" t="s">
        <v>50</v>
      </c>
      <c r="I1146" s="25">
        <v>0</v>
      </c>
      <c r="J1146" s="25" t="s">
        <v>44</v>
      </c>
    </row>
    <row r="1147" spans="1:10" ht="12.75" customHeight="1" x14ac:dyDescent="0.2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>
        <v>2</v>
      </c>
      <c r="H1147" s="25">
        <v>0</v>
      </c>
      <c r="I1147" s="25">
        <v>0</v>
      </c>
      <c r="J1147" s="25" t="s">
        <v>44</v>
      </c>
    </row>
    <row r="1148" spans="1:10" ht="12.75" customHeight="1" x14ac:dyDescent="0.2">
      <c r="A1148" s="24"/>
      <c r="B1148" s="24" t="s">
        <v>51</v>
      </c>
      <c r="C1148" s="25" t="s">
        <v>44</v>
      </c>
      <c r="D1148" s="25">
        <v>3</v>
      </c>
      <c r="E1148" s="25">
        <v>0</v>
      </c>
      <c r="F1148" s="25">
        <v>0</v>
      </c>
      <c r="G1148" s="25">
        <v>5</v>
      </c>
      <c r="H1148" s="25">
        <v>0</v>
      </c>
      <c r="I1148" s="25">
        <v>0</v>
      </c>
      <c r="J1148" s="25" t="s">
        <v>44</v>
      </c>
    </row>
    <row r="1149" spans="1:10" ht="12.75" customHeight="1" x14ac:dyDescent="0.2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0" ht="12.75" customHeight="1" x14ac:dyDescent="0.2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>
        <v>0</v>
      </c>
      <c r="G1150" s="25" t="s">
        <v>50</v>
      </c>
      <c r="H1150" s="25">
        <v>0</v>
      </c>
      <c r="I1150" s="25">
        <v>0</v>
      </c>
      <c r="J1150" s="25" t="s">
        <v>44</v>
      </c>
    </row>
    <row r="1151" spans="1:10" ht="12.75" customHeight="1" x14ac:dyDescent="0.2">
      <c r="A1151" s="24"/>
      <c r="B1151" s="22" t="s">
        <v>546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3</v>
      </c>
      <c r="H1151" s="25" t="s">
        <v>50</v>
      </c>
      <c r="I1151" s="25">
        <v>0</v>
      </c>
      <c r="J1151" s="25" t="s">
        <v>44</v>
      </c>
    </row>
    <row r="1152" spans="1:10" ht="12.75" customHeight="1" x14ac:dyDescent="0.2">
      <c r="A1152" s="24"/>
      <c r="B1152" s="24" t="s">
        <v>547</v>
      </c>
      <c r="C1152" s="25" t="s">
        <v>44</v>
      </c>
      <c r="D1152" s="25">
        <v>1</v>
      </c>
      <c r="E1152" s="25">
        <v>0</v>
      </c>
      <c r="F1152" s="25" t="s">
        <v>50</v>
      </c>
      <c r="G1152" s="25">
        <v>3</v>
      </c>
      <c r="H1152" s="25">
        <v>0</v>
      </c>
      <c r="I1152" s="25">
        <v>0</v>
      </c>
      <c r="J1152" s="25" t="s">
        <v>44</v>
      </c>
    </row>
    <row r="1153" spans="1:10" ht="12.75" customHeight="1" x14ac:dyDescent="0.2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0" ht="12.75" customHeight="1" x14ac:dyDescent="0.2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>
        <v>1</v>
      </c>
      <c r="H1154" s="25">
        <v>0</v>
      </c>
      <c r="I1154" s="25">
        <v>0</v>
      </c>
      <c r="J1154" s="25" t="s">
        <v>44</v>
      </c>
    </row>
    <row r="1155" spans="1:10" ht="12.75" customHeight="1" x14ac:dyDescent="0.2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0" ht="12.75" customHeight="1" x14ac:dyDescent="0.2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>
        <v>0</v>
      </c>
      <c r="H1156" s="25">
        <v>0</v>
      </c>
      <c r="I1156" s="25">
        <v>0</v>
      </c>
      <c r="J1156" s="25" t="s">
        <v>44</v>
      </c>
    </row>
    <row r="1157" spans="1:10" ht="12.75" customHeight="1" x14ac:dyDescent="0.2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>
        <v>0</v>
      </c>
      <c r="G1157" s="25" t="s">
        <v>50</v>
      </c>
      <c r="H1157" s="25">
        <v>0</v>
      </c>
      <c r="I1157" s="25">
        <v>0</v>
      </c>
      <c r="J1157" s="25" t="s">
        <v>44</v>
      </c>
    </row>
    <row r="1158" spans="1:10" ht="12.75" customHeight="1" x14ac:dyDescent="0.2">
      <c r="A1158" s="24"/>
      <c r="B1158" s="22" t="s">
        <v>548</v>
      </c>
      <c r="C1158" s="25" t="s">
        <v>50</v>
      </c>
      <c r="D1158" s="25">
        <v>0</v>
      </c>
      <c r="E1158" s="25">
        <v>0</v>
      </c>
      <c r="F1158" s="25">
        <v>0</v>
      </c>
      <c r="G1158" s="25">
        <v>0</v>
      </c>
      <c r="H1158" s="25">
        <v>0</v>
      </c>
      <c r="I1158" s="25">
        <v>0</v>
      </c>
      <c r="J1158" s="25" t="s">
        <v>50</v>
      </c>
    </row>
    <row r="1159" spans="1:10" ht="12.75" customHeight="1" x14ac:dyDescent="0.2">
      <c r="A1159" s="24"/>
      <c r="B1159" s="24"/>
      <c r="C1159" s="25"/>
      <c r="D1159" s="25"/>
      <c r="E1159" s="25"/>
      <c r="F1159" s="25"/>
      <c r="G1159" s="25"/>
      <c r="H1159" s="25"/>
      <c r="I1159" s="25"/>
      <c r="J1159" s="25"/>
    </row>
    <row r="1160" spans="1:10" s="12" customFormat="1" ht="12.75" customHeight="1" x14ac:dyDescent="0.2">
      <c r="A1160" s="22" t="s">
        <v>114</v>
      </c>
      <c r="B1160" s="22" t="s">
        <v>595</v>
      </c>
      <c r="C1160" s="27"/>
      <c r="D1160" s="27"/>
      <c r="E1160" s="27"/>
      <c r="F1160" s="27"/>
      <c r="G1160" s="27"/>
      <c r="H1160" s="27"/>
      <c r="I1160" s="27"/>
      <c r="J1160" s="27"/>
    </row>
    <row r="1161" spans="1:10" ht="12.75" customHeight="1" x14ac:dyDescent="0.2">
      <c r="A1161" s="24"/>
      <c r="B1161" s="24"/>
      <c r="C1161" s="25"/>
      <c r="D1161" s="25"/>
      <c r="E1161" s="25"/>
      <c r="F1161" s="25"/>
      <c r="G1161" s="25"/>
      <c r="H1161" s="25"/>
      <c r="I1161" s="25"/>
      <c r="J1161" s="25"/>
    </row>
    <row r="1162" spans="1:10" ht="12.75" customHeight="1" x14ac:dyDescent="0.2">
      <c r="A1162" s="24"/>
      <c r="B1162" s="24"/>
      <c r="C1162" s="25"/>
      <c r="D1162" s="25"/>
      <c r="E1162" s="25"/>
      <c r="F1162" s="25"/>
      <c r="G1162" s="25"/>
      <c r="H1162" s="25"/>
      <c r="I1162" s="25"/>
      <c r="J1162" s="25"/>
    </row>
    <row r="1163" spans="1:10" ht="12.75" customHeight="1" x14ac:dyDescent="0.2">
      <c r="A1163" s="24"/>
      <c r="B1163" s="22" t="s">
        <v>543</v>
      </c>
      <c r="C1163" s="25" t="s">
        <v>60</v>
      </c>
      <c r="D1163" s="25">
        <v>13</v>
      </c>
      <c r="E1163" s="25">
        <v>0</v>
      </c>
      <c r="F1163" s="25" t="s">
        <v>50</v>
      </c>
      <c r="G1163" s="25">
        <v>9</v>
      </c>
      <c r="H1163" s="25" t="s">
        <v>50</v>
      </c>
      <c r="I1163" s="25">
        <v>0</v>
      </c>
      <c r="J1163" s="25" t="s">
        <v>60</v>
      </c>
    </row>
    <row r="1164" spans="1:10" ht="12.75" customHeight="1" x14ac:dyDescent="0.2">
      <c r="A1164" s="24"/>
      <c r="B1164" s="22" t="s">
        <v>544</v>
      </c>
      <c r="C1164" s="25" t="s">
        <v>44</v>
      </c>
      <c r="D1164" s="25" t="s">
        <v>50</v>
      </c>
      <c r="E1164" s="25">
        <v>0</v>
      </c>
      <c r="F1164" s="25">
        <v>0</v>
      </c>
      <c r="G1164" s="25">
        <v>1</v>
      </c>
      <c r="H1164" s="25">
        <v>0</v>
      </c>
      <c r="I1164" s="25">
        <v>0</v>
      </c>
      <c r="J1164" s="25" t="s">
        <v>44</v>
      </c>
    </row>
    <row r="1165" spans="1:10" ht="12.75" customHeight="1" x14ac:dyDescent="0.2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 t="s">
        <v>50</v>
      </c>
      <c r="H1165" s="25">
        <v>0</v>
      </c>
      <c r="I1165" s="25">
        <v>0</v>
      </c>
      <c r="J1165" s="25" t="s">
        <v>44</v>
      </c>
    </row>
    <row r="1166" spans="1:10" ht="12.75" customHeight="1" x14ac:dyDescent="0.2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0" ht="12.75" customHeight="1" x14ac:dyDescent="0.2">
      <c r="A1167" s="24"/>
      <c r="B1167" s="22" t="s">
        <v>545</v>
      </c>
      <c r="C1167" s="25" t="s">
        <v>44</v>
      </c>
      <c r="D1167" s="25">
        <v>9</v>
      </c>
      <c r="E1167" s="25">
        <v>0</v>
      </c>
      <c r="F1167" s="25">
        <v>0</v>
      </c>
      <c r="G1167" s="25">
        <v>7</v>
      </c>
      <c r="H1167" s="25" t="s">
        <v>50</v>
      </c>
      <c r="I1167" s="25">
        <v>0</v>
      </c>
      <c r="J1167" s="25" t="s">
        <v>44</v>
      </c>
    </row>
    <row r="1168" spans="1:10" ht="12.75" customHeight="1" x14ac:dyDescent="0.2">
      <c r="A1168" s="24"/>
      <c r="B1168" s="24" t="s">
        <v>48</v>
      </c>
      <c r="C1168" s="25" t="s">
        <v>44</v>
      </c>
      <c r="D1168" s="25">
        <v>3</v>
      </c>
      <c r="E1168" s="25">
        <v>0</v>
      </c>
      <c r="F1168" s="25">
        <v>0</v>
      </c>
      <c r="G1168" s="25">
        <v>6</v>
      </c>
      <c r="H1168" s="25" t="s">
        <v>50</v>
      </c>
      <c r="I1168" s="25">
        <v>0</v>
      </c>
      <c r="J1168" s="25" t="s">
        <v>44</v>
      </c>
    </row>
    <row r="1169" spans="1:10" ht="12.75" customHeight="1" x14ac:dyDescent="0.2">
      <c r="A1169" s="24"/>
      <c r="B1169" s="24" t="s">
        <v>49</v>
      </c>
      <c r="C1169" s="25" t="s">
        <v>44</v>
      </c>
      <c r="D1169" s="25">
        <v>1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0" ht="12.75" customHeight="1" x14ac:dyDescent="0.2">
      <c r="A1170" s="24"/>
      <c r="B1170" s="24" t="s">
        <v>51</v>
      </c>
      <c r="C1170" s="25" t="s">
        <v>44</v>
      </c>
      <c r="D1170" s="25">
        <v>3</v>
      </c>
      <c r="E1170" s="25">
        <v>0</v>
      </c>
      <c r="F1170" s="25">
        <v>0</v>
      </c>
      <c r="G1170" s="25" t="s">
        <v>50</v>
      </c>
      <c r="H1170" s="25" t="s">
        <v>50</v>
      </c>
      <c r="I1170" s="25">
        <v>0</v>
      </c>
      <c r="J1170" s="25" t="s">
        <v>44</v>
      </c>
    </row>
    <row r="1171" spans="1:10" ht="12.75" customHeight="1" x14ac:dyDescent="0.2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0" ht="12.75" customHeight="1" x14ac:dyDescent="0.2">
      <c r="A1172" s="24"/>
      <c r="B1172" s="24" t="s">
        <v>53</v>
      </c>
      <c r="C1172" s="25" t="s">
        <v>44</v>
      </c>
      <c r="D1172" s="25">
        <v>2</v>
      </c>
      <c r="E1172" s="25">
        <v>0</v>
      </c>
      <c r="F1172" s="25">
        <v>0</v>
      </c>
      <c r="G1172" s="25" t="s">
        <v>50</v>
      </c>
      <c r="H1172" s="25" t="s">
        <v>50</v>
      </c>
      <c r="I1172" s="25">
        <v>0</v>
      </c>
      <c r="J1172" s="25" t="s">
        <v>44</v>
      </c>
    </row>
    <row r="1173" spans="1:10" ht="12.75" customHeight="1" x14ac:dyDescent="0.2">
      <c r="A1173" s="24"/>
      <c r="B1173" s="22" t="s">
        <v>546</v>
      </c>
      <c r="C1173" s="25" t="s">
        <v>44</v>
      </c>
      <c r="D1173" s="25">
        <v>3</v>
      </c>
      <c r="E1173" s="25">
        <v>0</v>
      </c>
      <c r="F1173" s="25" t="s">
        <v>50</v>
      </c>
      <c r="G1173" s="25">
        <v>2</v>
      </c>
      <c r="H1173" s="25" t="s">
        <v>50</v>
      </c>
      <c r="I1173" s="25">
        <v>0</v>
      </c>
      <c r="J1173" s="25" t="s">
        <v>44</v>
      </c>
    </row>
    <row r="1174" spans="1:10" ht="12.75" customHeight="1" x14ac:dyDescent="0.2">
      <c r="A1174" s="24"/>
      <c r="B1174" s="24" t="s">
        <v>547</v>
      </c>
      <c r="C1174" s="25" t="s">
        <v>44</v>
      </c>
      <c r="D1174" s="25">
        <v>2</v>
      </c>
      <c r="E1174" s="25">
        <v>0</v>
      </c>
      <c r="F1174" s="25" t="s">
        <v>50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0" ht="12.75" customHeight="1" x14ac:dyDescent="0.2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0" ht="12.75" customHeight="1" x14ac:dyDescent="0.2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 t="s">
        <v>50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0" ht="12.75" customHeight="1" x14ac:dyDescent="0.2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 t="s">
        <v>50</v>
      </c>
      <c r="H1177" s="25" t="s">
        <v>50</v>
      </c>
      <c r="I1177" s="25" t="s">
        <v>44</v>
      </c>
      <c r="J1177" s="25" t="s">
        <v>44</v>
      </c>
    </row>
    <row r="1178" spans="1:10" ht="12.75" customHeight="1" x14ac:dyDescent="0.2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>
        <v>0</v>
      </c>
      <c r="G1178" s="25" t="s">
        <v>50</v>
      </c>
      <c r="H1178" s="25">
        <v>0</v>
      </c>
      <c r="I1178" s="25">
        <v>0</v>
      </c>
      <c r="J1178" s="25" t="s">
        <v>44</v>
      </c>
    </row>
    <row r="1179" spans="1:10" ht="12.75" customHeight="1" x14ac:dyDescent="0.2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 t="s">
        <v>50</v>
      </c>
      <c r="G1179" s="25" t="s">
        <v>50</v>
      </c>
      <c r="H1179" s="25" t="s">
        <v>50</v>
      </c>
      <c r="I1179" s="25">
        <v>0</v>
      </c>
      <c r="J1179" s="25" t="s">
        <v>44</v>
      </c>
    </row>
    <row r="1180" spans="1:10" ht="12.75" customHeight="1" x14ac:dyDescent="0.2">
      <c r="A1180" s="24"/>
      <c r="B1180" s="22" t="s">
        <v>548</v>
      </c>
      <c r="C1180" s="25" t="s">
        <v>60</v>
      </c>
      <c r="D1180" s="25" t="s">
        <v>50</v>
      </c>
      <c r="E1180" s="25">
        <v>0</v>
      </c>
      <c r="F1180" s="25">
        <v>0</v>
      </c>
      <c r="G1180" s="25" t="s">
        <v>50</v>
      </c>
      <c r="H1180" s="25" t="s">
        <v>50</v>
      </c>
      <c r="I1180" s="25">
        <v>0</v>
      </c>
      <c r="J1180" s="25" t="s">
        <v>60</v>
      </c>
    </row>
    <row r="1181" spans="1:10" ht="12.75" customHeight="1" x14ac:dyDescent="0.2">
      <c r="A1181" s="24"/>
      <c r="B1181" s="24"/>
      <c r="C1181" s="25"/>
      <c r="D1181" s="25"/>
      <c r="E1181" s="25"/>
      <c r="F1181" s="25"/>
      <c r="G1181" s="25"/>
      <c r="H1181" s="25"/>
      <c r="I1181" s="25"/>
      <c r="J1181" s="25"/>
    </row>
    <row r="1182" spans="1:10" s="12" customFormat="1" ht="12.75" customHeight="1" x14ac:dyDescent="0.2">
      <c r="A1182" s="22" t="s">
        <v>115</v>
      </c>
      <c r="B1182" s="22" t="s">
        <v>116</v>
      </c>
      <c r="C1182" s="27"/>
      <c r="D1182" s="27"/>
      <c r="E1182" s="27"/>
      <c r="F1182" s="27"/>
      <c r="G1182" s="27"/>
      <c r="H1182" s="27"/>
      <c r="I1182" s="27"/>
      <c r="J1182" s="27"/>
    </row>
    <row r="1183" spans="1:10" ht="12.75" customHeight="1" x14ac:dyDescent="0.2">
      <c r="A1183" s="24"/>
      <c r="B1183" s="24"/>
      <c r="C1183" s="25"/>
      <c r="D1183" s="25"/>
      <c r="E1183" s="25"/>
      <c r="F1183" s="25"/>
      <c r="G1183" s="25"/>
      <c r="H1183" s="25"/>
      <c r="I1183" s="25"/>
      <c r="J1183" s="25"/>
    </row>
    <row r="1184" spans="1:10" ht="12.75" customHeight="1" x14ac:dyDescent="0.2">
      <c r="A1184" s="24"/>
      <c r="B1184" s="24"/>
      <c r="C1184" s="25"/>
      <c r="D1184" s="25"/>
      <c r="E1184" s="25"/>
      <c r="F1184" s="25"/>
      <c r="G1184" s="25"/>
      <c r="H1184" s="25"/>
      <c r="I1184" s="25"/>
      <c r="J1184" s="25"/>
    </row>
    <row r="1185" spans="1:10" ht="12.75" customHeight="1" x14ac:dyDescent="0.2">
      <c r="A1185" s="24"/>
      <c r="B1185" s="22" t="s">
        <v>543</v>
      </c>
      <c r="C1185" s="25">
        <v>362</v>
      </c>
      <c r="D1185" s="25">
        <v>44</v>
      </c>
      <c r="E1185" s="25">
        <v>0</v>
      </c>
      <c r="F1185" s="25">
        <v>3</v>
      </c>
      <c r="G1185" s="25">
        <v>90</v>
      </c>
      <c r="H1185" s="25" t="s">
        <v>50</v>
      </c>
      <c r="I1185" s="25">
        <v>121</v>
      </c>
      <c r="J1185" s="25">
        <v>104</v>
      </c>
    </row>
    <row r="1186" spans="1:10" ht="12.75" customHeight="1" x14ac:dyDescent="0.2">
      <c r="A1186" s="24"/>
      <c r="B1186" s="22" t="s">
        <v>544</v>
      </c>
      <c r="C1186" s="25" t="s">
        <v>44</v>
      </c>
      <c r="D1186" s="25" t="s">
        <v>50</v>
      </c>
      <c r="E1186" s="25">
        <v>0</v>
      </c>
      <c r="F1186" s="25">
        <v>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2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>
        <v>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2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>
        <v>0</v>
      </c>
      <c r="G1188" s="25" t="s">
        <v>50</v>
      </c>
      <c r="H1188" s="25">
        <v>0</v>
      </c>
      <c r="I1188" s="25">
        <v>0</v>
      </c>
      <c r="J1188" s="25" t="s">
        <v>44</v>
      </c>
    </row>
    <row r="1189" spans="1:10" ht="12.75" customHeight="1" x14ac:dyDescent="0.2">
      <c r="A1189" s="24"/>
      <c r="B1189" s="22" t="s">
        <v>545</v>
      </c>
      <c r="C1189" s="25" t="s">
        <v>44</v>
      </c>
      <c r="D1189" s="25">
        <v>42</v>
      </c>
      <c r="E1189" s="25">
        <v>0</v>
      </c>
      <c r="F1189" s="25">
        <v>1</v>
      </c>
      <c r="G1189" s="25">
        <v>89</v>
      </c>
      <c r="H1189" s="25" t="s">
        <v>50</v>
      </c>
      <c r="I1189" s="25">
        <v>121</v>
      </c>
      <c r="J1189" s="25" t="s">
        <v>44</v>
      </c>
    </row>
    <row r="1190" spans="1:10" ht="12.75" customHeight="1" x14ac:dyDescent="0.2">
      <c r="A1190" s="24"/>
      <c r="B1190" s="24" t="s">
        <v>48</v>
      </c>
      <c r="C1190" s="25" t="s">
        <v>44</v>
      </c>
      <c r="D1190" s="25">
        <v>4</v>
      </c>
      <c r="E1190" s="25">
        <v>0</v>
      </c>
      <c r="F1190" s="25">
        <v>1</v>
      </c>
      <c r="G1190" s="25">
        <v>84</v>
      </c>
      <c r="H1190" s="25" t="s">
        <v>50</v>
      </c>
      <c r="I1190" s="25">
        <v>121</v>
      </c>
      <c r="J1190" s="25" t="s">
        <v>44</v>
      </c>
    </row>
    <row r="1191" spans="1:10" ht="12.75" customHeight="1" x14ac:dyDescent="0.2">
      <c r="A1191" s="24"/>
      <c r="B1191" s="24" t="s">
        <v>49</v>
      </c>
      <c r="C1191" s="25" t="s">
        <v>44</v>
      </c>
      <c r="D1191" s="25">
        <v>2</v>
      </c>
      <c r="E1191" s="25">
        <v>0</v>
      </c>
      <c r="F1191" s="25">
        <v>0</v>
      </c>
      <c r="G1191" s="25">
        <v>0</v>
      </c>
      <c r="H1191" s="25">
        <v>0</v>
      </c>
      <c r="I1191" s="25">
        <v>0</v>
      </c>
      <c r="J1191" s="25" t="s">
        <v>44</v>
      </c>
    </row>
    <row r="1192" spans="1:10" ht="12.75" customHeight="1" x14ac:dyDescent="0.2">
      <c r="A1192" s="24"/>
      <c r="B1192" s="24" t="s">
        <v>51</v>
      </c>
      <c r="C1192" s="25" t="s">
        <v>44</v>
      </c>
      <c r="D1192" s="25">
        <v>34</v>
      </c>
      <c r="E1192" s="25">
        <v>0</v>
      </c>
      <c r="F1192" s="25" t="s">
        <v>50</v>
      </c>
      <c r="G1192" s="25">
        <v>5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2">
      <c r="A1193" s="24"/>
      <c r="B1193" s="24" t="s">
        <v>52</v>
      </c>
      <c r="C1193" s="25" t="s">
        <v>44</v>
      </c>
      <c r="D1193" s="25">
        <v>2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2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>
        <v>0</v>
      </c>
      <c r="H1194" s="25">
        <v>0</v>
      </c>
      <c r="I1194" s="25">
        <v>0</v>
      </c>
      <c r="J1194" s="25" t="s">
        <v>44</v>
      </c>
    </row>
    <row r="1195" spans="1:10" ht="12.75" customHeight="1" x14ac:dyDescent="0.2">
      <c r="A1195" s="24"/>
      <c r="B1195" s="22" t="s">
        <v>546</v>
      </c>
      <c r="C1195" s="25" t="s">
        <v>44</v>
      </c>
      <c r="D1195" s="25">
        <v>2</v>
      </c>
      <c r="E1195" s="25">
        <v>0</v>
      </c>
      <c r="F1195" s="25">
        <v>2</v>
      </c>
      <c r="G1195" s="25">
        <v>1</v>
      </c>
      <c r="H1195" s="25" t="s">
        <v>50</v>
      </c>
      <c r="I1195" s="25" t="s">
        <v>50</v>
      </c>
      <c r="J1195" s="25" t="s">
        <v>44</v>
      </c>
    </row>
    <row r="1196" spans="1:10" ht="12.75" customHeight="1" x14ac:dyDescent="0.2">
      <c r="A1196" s="24"/>
      <c r="B1196" s="24" t="s">
        <v>547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 t="s">
        <v>50</v>
      </c>
      <c r="J1196" s="25" t="s">
        <v>44</v>
      </c>
    </row>
    <row r="1197" spans="1:10" ht="12.75" customHeight="1" x14ac:dyDescent="0.2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2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>
        <v>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2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>
        <v>2</v>
      </c>
      <c r="G1199" s="25">
        <v>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2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>
        <v>0</v>
      </c>
      <c r="G1200" s="25">
        <v>0</v>
      </c>
      <c r="H1200" s="25">
        <v>0</v>
      </c>
      <c r="I1200" s="25">
        <v>0</v>
      </c>
      <c r="J1200" s="25" t="s">
        <v>44</v>
      </c>
    </row>
    <row r="1201" spans="1:10" ht="12.75" customHeight="1" x14ac:dyDescent="0.2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>
        <v>0</v>
      </c>
      <c r="H1201" s="25" t="s">
        <v>50</v>
      </c>
      <c r="I1201" s="25">
        <v>0</v>
      </c>
      <c r="J1201" s="25" t="s">
        <v>44</v>
      </c>
    </row>
    <row r="1202" spans="1:10" ht="12.75" customHeight="1" x14ac:dyDescent="0.2">
      <c r="A1202" s="24"/>
      <c r="B1202" s="22" t="s">
        <v>548</v>
      </c>
      <c r="C1202" s="25">
        <v>104</v>
      </c>
      <c r="D1202" s="25">
        <v>0</v>
      </c>
      <c r="E1202" s="25">
        <v>0</v>
      </c>
      <c r="F1202" s="25" t="s">
        <v>50</v>
      </c>
      <c r="G1202" s="25">
        <v>0</v>
      </c>
      <c r="H1202" s="25" t="s">
        <v>50</v>
      </c>
      <c r="I1202" s="25">
        <v>0</v>
      </c>
      <c r="J1202" s="25">
        <v>104</v>
      </c>
    </row>
    <row r="1203" spans="1:10" ht="12.75" customHeight="1" x14ac:dyDescent="0.2">
      <c r="A1203" s="24"/>
      <c r="B1203" s="24"/>
      <c r="C1203" s="25"/>
      <c r="D1203" s="25"/>
      <c r="E1203" s="25"/>
      <c r="F1203" s="25"/>
      <c r="G1203" s="25"/>
      <c r="H1203" s="25"/>
      <c r="I1203" s="25"/>
      <c r="J1203" s="25"/>
    </row>
    <row r="1204" spans="1:10" s="12" customFormat="1" ht="12.75" customHeight="1" x14ac:dyDescent="0.2">
      <c r="A1204" s="22" t="s">
        <v>117</v>
      </c>
      <c r="B1204" s="22" t="s">
        <v>118</v>
      </c>
      <c r="C1204" s="27"/>
      <c r="D1204" s="27"/>
      <c r="E1204" s="27"/>
      <c r="F1204" s="27"/>
      <c r="G1204" s="27"/>
      <c r="H1204" s="27"/>
      <c r="I1204" s="27"/>
      <c r="J1204" s="27"/>
    </row>
    <row r="1205" spans="1:10" ht="12.75" customHeight="1" x14ac:dyDescent="0.2">
      <c r="A1205" s="29"/>
      <c r="B1205" s="30"/>
      <c r="C1205" s="25"/>
      <c r="D1205" s="25"/>
      <c r="E1205" s="25"/>
      <c r="F1205" s="25"/>
      <c r="G1205" s="25"/>
      <c r="H1205" s="25"/>
      <c r="I1205" s="25"/>
      <c r="J1205" s="25"/>
    </row>
    <row r="1206" spans="1:10" ht="12.75" customHeight="1" x14ac:dyDescent="0.2">
      <c r="A1206" s="24"/>
      <c r="B1206" s="24"/>
      <c r="C1206" s="25"/>
      <c r="D1206" s="25"/>
      <c r="E1206" s="25"/>
      <c r="F1206" s="25"/>
      <c r="G1206" s="25"/>
      <c r="H1206" s="25"/>
      <c r="I1206" s="25"/>
      <c r="J1206" s="25"/>
    </row>
    <row r="1207" spans="1:10" ht="12.75" customHeight="1" x14ac:dyDescent="0.2">
      <c r="A1207" s="24"/>
      <c r="B1207" s="22" t="s">
        <v>543</v>
      </c>
      <c r="C1207" s="25">
        <v>103</v>
      </c>
      <c r="D1207" s="25">
        <v>5</v>
      </c>
      <c r="E1207" s="25">
        <v>0</v>
      </c>
      <c r="F1207" s="25">
        <v>1</v>
      </c>
      <c r="G1207" s="25">
        <v>26</v>
      </c>
      <c r="H1207" s="25" t="s">
        <v>50</v>
      </c>
      <c r="I1207" s="25">
        <v>56</v>
      </c>
      <c r="J1207" s="25">
        <v>15</v>
      </c>
    </row>
    <row r="1208" spans="1:10" ht="12.75" customHeight="1" x14ac:dyDescent="0.2">
      <c r="A1208" s="24"/>
      <c r="B1208" s="22" t="s">
        <v>544</v>
      </c>
      <c r="C1208" s="25" t="s">
        <v>44</v>
      </c>
      <c r="D1208" s="25">
        <v>0</v>
      </c>
      <c r="E1208" s="25">
        <v>0</v>
      </c>
      <c r="F1208" s="25">
        <v>0</v>
      </c>
      <c r="G1208" s="25" t="s">
        <v>50</v>
      </c>
      <c r="H1208" s="25">
        <v>0</v>
      </c>
      <c r="I1208" s="25">
        <v>0</v>
      </c>
      <c r="J1208" s="25" t="s">
        <v>44</v>
      </c>
    </row>
    <row r="1209" spans="1:10" ht="12.75" customHeight="1" x14ac:dyDescent="0.2">
      <c r="A1209" s="24"/>
      <c r="B1209" s="24" t="s">
        <v>45</v>
      </c>
      <c r="C1209" s="25" t="s">
        <v>44</v>
      </c>
      <c r="D1209" s="25">
        <v>0</v>
      </c>
      <c r="E1209" s="25">
        <v>0</v>
      </c>
      <c r="F1209" s="25">
        <v>0</v>
      </c>
      <c r="G1209" s="25" t="s">
        <v>50</v>
      </c>
      <c r="H1209" s="25">
        <v>0</v>
      </c>
      <c r="I1209" s="25">
        <v>0</v>
      </c>
      <c r="J1209" s="25" t="s">
        <v>44</v>
      </c>
    </row>
    <row r="1210" spans="1:10" ht="12.75" customHeight="1" x14ac:dyDescent="0.2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>
        <v>0</v>
      </c>
      <c r="H1210" s="25">
        <v>0</v>
      </c>
      <c r="I1210" s="25">
        <v>0</v>
      </c>
      <c r="J1210" s="25" t="s">
        <v>44</v>
      </c>
    </row>
    <row r="1211" spans="1:10" ht="12.75" customHeight="1" x14ac:dyDescent="0.2">
      <c r="A1211" s="24"/>
      <c r="B1211" s="22" t="s">
        <v>545</v>
      </c>
      <c r="C1211" s="25" t="s">
        <v>44</v>
      </c>
      <c r="D1211" s="25">
        <v>4</v>
      </c>
      <c r="E1211" s="25">
        <v>0</v>
      </c>
      <c r="F1211" s="25">
        <v>1</v>
      </c>
      <c r="G1211" s="25">
        <v>25</v>
      </c>
      <c r="H1211" s="25" t="s">
        <v>50</v>
      </c>
      <c r="I1211" s="25">
        <v>56</v>
      </c>
      <c r="J1211" s="25" t="s">
        <v>44</v>
      </c>
    </row>
    <row r="1212" spans="1:10" ht="12.75" customHeight="1" x14ac:dyDescent="0.2">
      <c r="A1212" s="24"/>
      <c r="B1212" s="24" t="s">
        <v>48</v>
      </c>
      <c r="C1212" s="25" t="s">
        <v>44</v>
      </c>
      <c r="D1212" s="25">
        <v>2</v>
      </c>
      <c r="E1212" s="25">
        <v>0</v>
      </c>
      <c r="F1212" s="25" t="s">
        <v>50</v>
      </c>
      <c r="G1212" s="25">
        <v>25</v>
      </c>
      <c r="H1212" s="25" t="s">
        <v>50</v>
      </c>
      <c r="I1212" s="25">
        <v>54</v>
      </c>
      <c r="J1212" s="25" t="s">
        <v>44</v>
      </c>
    </row>
    <row r="1213" spans="1:10" ht="12.75" customHeight="1" x14ac:dyDescent="0.2">
      <c r="A1213" s="24"/>
      <c r="B1213" s="24" t="s">
        <v>49</v>
      </c>
      <c r="C1213" s="25" t="s">
        <v>44</v>
      </c>
      <c r="D1213" s="25" t="s">
        <v>50</v>
      </c>
      <c r="E1213" s="25">
        <v>0</v>
      </c>
      <c r="F1213" s="25">
        <v>0</v>
      </c>
      <c r="G1213" s="25">
        <v>0</v>
      </c>
      <c r="H1213" s="25">
        <v>0</v>
      </c>
      <c r="I1213" s="25">
        <v>0</v>
      </c>
      <c r="J1213" s="25" t="s">
        <v>44</v>
      </c>
    </row>
    <row r="1214" spans="1:10" ht="12.75" customHeight="1" x14ac:dyDescent="0.2">
      <c r="A1214" s="24"/>
      <c r="B1214" s="24" t="s">
        <v>51</v>
      </c>
      <c r="C1214" s="25" t="s">
        <v>44</v>
      </c>
      <c r="D1214" s="25">
        <v>3</v>
      </c>
      <c r="E1214" s="25">
        <v>0</v>
      </c>
      <c r="F1214" s="25" t="s">
        <v>50</v>
      </c>
      <c r="G1214" s="25" t="s">
        <v>50</v>
      </c>
      <c r="H1214" s="25" t="s">
        <v>50</v>
      </c>
      <c r="I1214" s="25">
        <v>2</v>
      </c>
      <c r="J1214" s="25" t="s">
        <v>44</v>
      </c>
    </row>
    <row r="1215" spans="1:10" ht="12.75" customHeight="1" x14ac:dyDescent="0.2">
      <c r="A1215" s="24"/>
      <c r="B1215" s="24" t="s">
        <v>52</v>
      </c>
      <c r="C1215" s="25" t="s">
        <v>44</v>
      </c>
      <c r="D1215" s="25">
        <v>0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0" ht="12.75" customHeight="1" x14ac:dyDescent="0.2">
      <c r="A1216" s="24"/>
      <c r="B1216" s="24" t="s">
        <v>53</v>
      </c>
      <c r="C1216" s="25" t="s">
        <v>44</v>
      </c>
      <c r="D1216" s="25" t="s">
        <v>50</v>
      </c>
      <c r="E1216" s="25">
        <v>0</v>
      </c>
      <c r="F1216" s="25" t="s">
        <v>50</v>
      </c>
      <c r="G1216" s="25" t="s">
        <v>50</v>
      </c>
      <c r="H1216" s="25" t="s">
        <v>50</v>
      </c>
      <c r="I1216" s="25">
        <v>0</v>
      </c>
      <c r="J1216" s="25" t="s">
        <v>44</v>
      </c>
    </row>
    <row r="1217" spans="1:10" ht="12.75" customHeight="1" x14ac:dyDescent="0.2">
      <c r="A1217" s="24"/>
      <c r="B1217" s="22" t="s">
        <v>546</v>
      </c>
      <c r="C1217" s="25" t="s">
        <v>44</v>
      </c>
      <c r="D1217" s="25" t="s">
        <v>50</v>
      </c>
      <c r="E1217" s="25">
        <v>0</v>
      </c>
      <c r="F1217" s="25">
        <v>1</v>
      </c>
      <c r="G1217" s="25" t="s">
        <v>50</v>
      </c>
      <c r="H1217" s="25" t="s">
        <v>50</v>
      </c>
      <c r="I1217" s="25">
        <v>0</v>
      </c>
      <c r="J1217" s="25" t="s">
        <v>44</v>
      </c>
    </row>
    <row r="1218" spans="1:10" ht="12.75" customHeight="1" x14ac:dyDescent="0.2">
      <c r="A1218" s="24"/>
      <c r="B1218" s="24" t="s">
        <v>547</v>
      </c>
      <c r="C1218" s="25" t="s">
        <v>44</v>
      </c>
      <c r="D1218" s="25" t="s">
        <v>50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0" ht="12.75" customHeight="1" x14ac:dyDescent="0.2">
      <c r="A1219" s="24"/>
      <c r="B1219" s="24" t="s">
        <v>54</v>
      </c>
      <c r="C1219" s="25" t="s">
        <v>44</v>
      </c>
      <c r="D1219" s="25" t="s">
        <v>50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0" ht="12.75" customHeight="1" x14ac:dyDescent="0.2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>
        <v>0</v>
      </c>
      <c r="I1220" s="25">
        <v>0</v>
      </c>
      <c r="J1220" s="25" t="s">
        <v>44</v>
      </c>
    </row>
    <row r="1221" spans="1:10" ht="12.75" customHeight="1" x14ac:dyDescent="0.2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0" ht="12.75" customHeight="1" x14ac:dyDescent="0.2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0" ht="12.75" customHeight="1" x14ac:dyDescent="0.2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0" ht="12.75" customHeight="1" x14ac:dyDescent="0.2">
      <c r="A1224" s="24"/>
      <c r="B1224" s="22" t="s">
        <v>548</v>
      </c>
      <c r="C1224" s="25">
        <v>15</v>
      </c>
      <c r="D1224" s="25">
        <v>0</v>
      </c>
      <c r="E1224" s="25">
        <v>0</v>
      </c>
      <c r="F1224" s="25">
        <v>0</v>
      </c>
      <c r="G1224" s="25">
        <v>0</v>
      </c>
      <c r="H1224" s="25" t="s">
        <v>50</v>
      </c>
      <c r="I1224" s="25">
        <v>0</v>
      </c>
      <c r="J1224" s="25">
        <v>15</v>
      </c>
    </row>
    <row r="1225" spans="1:10" ht="12.75" customHeight="1" x14ac:dyDescent="0.2">
      <c r="A1225" s="24"/>
      <c r="B1225" s="24"/>
      <c r="C1225" s="25"/>
      <c r="D1225" s="25"/>
      <c r="E1225" s="25"/>
      <c r="F1225" s="25"/>
      <c r="G1225" s="25"/>
      <c r="H1225" s="25"/>
      <c r="I1225" s="25"/>
      <c r="J1225" s="25"/>
    </row>
    <row r="1226" spans="1:10" s="12" customFormat="1" ht="12.75" customHeight="1" x14ac:dyDescent="0.2">
      <c r="A1226" s="22" t="s">
        <v>119</v>
      </c>
      <c r="B1226" s="22" t="s">
        <v>120</v>
      </c>
      <c r="C1226" s="27"/>
      <c r="D1226" s="27"/>
      <c r="E1226" s="27"/>
      <c r="F1226" s="27"/>
      <c r="G1226" s="27"/>
      <c r="H1226" s="27"/>
      <c r="I1226" s="27"/>
      <c r="J1226" s="27"/>
    </row>
    <row r="1227" spans="1:10" ht="12.75" customHeight="1" x14ac:dyDescent="0.2">
      <c r="A1227" s="24"/>
      <c r="B1227" s="24"/>
      <c r="C1227" s="25"/>
      <c r="D1227" s="25"/>
      <c r="E1227" s="25"/>
      <c r="F1227" s="25"/>
      <c r="G1227" s="25"/>
      <c r="H1227" s="25"/>
      <c r="I1227" s="25"/>
      <c r="J1227" s="25"/>
    </row>
    <row r="1228" spans="1:10" ht="12.75" customHeight="1" x14ac:dyDescent="0.2">
      <c r="A1228" s="24"/>
      <c r="B1228" s="24"/>
      <c r="C1228" s="25"/>
      <c r="D1228" s="25"/>
      <c r="E1228" s="25"/>
      <c r="F1228" s="25"/>
      <c r="G1228" s="25"/>
      <c r="H1228" s="25"/>
      <c r="I1228" s="25"/>
      <c r="J1228" s="25"/>
    </row>
    <row r="1229" spans="1:10" ht="12.75" customHeight="1" x14ac:dyDescent="0.2">
      <c r="A1229" s="24"/>
      <c r="B1229" s="22" t="s">
        <v>543</v>
      </c>
      <c r="C1229" s="25">
        <v>77</v>
      </c>
      <c r="D1229" s="25">
        <v>6</v>
      </c>
      <c r="E1229" s="25" t="s">
        <v>50</v>
      </c>
      <c r="F1229" s="25" t="s">
        <v>50</v>
      </c>
      <c r="G1229" s="25">
        <v>70</v>
      </c>
      <c r="H1229" s="25" t="s">
        <v>50</v>
      </c>
      <c r="I1229" s="25">
        <v>0</v>
      </c>
      <c r="J1229" s="25" t="s">
        <v>50</v>
      </c>
    </row>
    <row r="1230" spans="1:10" ht="12.75" customHeight="1" x14ac:dyDescent="0.2">
      <c r="A1230" s="24"/>
      <c r="B1230" s="22" t="s">
        <v>544</v>
      </c>
      <c r="C1230" s="25" t="s">
        <v>44</v>
      </c>
      <c r="D1230" s="25" t="s">
        <v>50</v>
      </c>
      <c r="E1230" s="25" t="s">
        <v>50</v>
      </c>
      <c r="F1230" s="25" t="s">
        <v>50</v>
      </c>
      <c r="G1230" s="25">
        <v>3</v>
      </c>
      <c r="H1230" s="25">
        <v>0</v>
      </c>
      <c r="I1230" s="25">
        <v>0</v>
      </c>
      <c r="J1230" s="25" t="s">
        <v>44</v>
      </c>
    </row>
    <row r="1231" spans="1:10" ht="12.75" customHeight="1" x14ac:dyDescent="0.2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>
        <v>1</v>
      </c>
      <c r="H1231" s="25">
        <v>0</v>
      </c>
      <c r="I1231" s="25">
        <v>0</v>
      </c>
      <c r="J1231" s="25" t="s">
        <v>44</v>
      </c>
    </row>
    <row r="1232" spans="1:10" ht="12.75" customHeight="1" x14ac:dyDescent="0.2">
      <c r="A1232" s="24"/>
      <c r="B1232" s="24" t="s">
        <v>46</v>
      </c>
      <c r="C1232" s="25" t="s">
        <v>44</v>
      </c>
      <c r="D1232" s="25">
        <v>0</v>
      </c>
      <c r="E1232" s="25" t="s">
        <v>50</v>
      </c>
      <c r="F1232" s="25" t="s">
        <v>50</v>
      </c>
      <c r="G1232" s="25">
        <v>2</v>
      </c>
      <c r="H1232" s="25">
        <v>0</v>
      </c>
      <c r="I1232" s="25">
        <v>0</v>
      </c>
      <c r="J1232" s="25" t="s">
        <v>44</v>
      </c>
    </row>
    <row r="1233" spans="1:10" ht="12.75" customHeight="1" x14ac:dyDescent="0.2">
      <c r="A1233" s="24"/>
      <c r="B1233" s="22" t="s">
        <v>545</v>
      </c>
      <c r="C1233" s="25" t="s">
        <v>44</v>
      </c>
      <c r="D1233" s="25">
        <v>5</v>
      </c>
      <c r="E1233" s="25">
        <v>0</v>
      </c>
      <c r="F1233" s="25" t="s">
        <v>50</v>
      </c>
      <c r="G1233" s="25">
        <v>60</v>
      </c>
      <c r="H1233" s="25" t="s">
        <v>50</v>
      </c>
      <c r="I1233" s="25">
        <v>0</v>
      </c>
      <c r="J1233" s="25" t="s">
        <v>44</v>
      </c>
    </row>
    <row r="1234" spans="1:10" ht="12.75" customHeight="1" x14ac:dyDescent="0.2">
      <c r="A1234" s="24"/>
      <c r="B1234" s="24" t="s">
        <v>48</v>
      </c>
      <c r="C1234" s="25" t="s">
        <v>44</v>
      </c>
      <c r="D1234" s="25" t="s">
        <v>50</v>
      </c>
      <c r="E1234" s="25">
        <v>0</v>
      </c>
      <c r="F1234" s="25" t="s">
        <v>50</v>
      </c>
      <c r="G1234" s="25">
        <v>54</v>
      </c>
      <c r="H1234" s="25" t="s">
        <v>50</v>
      </c>
      <c r="I1234" s="25">
        <v>0</v>
      </c>
      <c r="J1234" s="25" t="s">
        <v>44</v>
      </c>
    </row>
    <row r="1235" spans="1:10" ht="12.75" customHeight="1" x14ac:dyDescent="0.2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1</v>
      </c>
      <c r="H1235" s="25">
        <v>0</v>
      </c>
      <c r="I1235" s="25">
        <v>0</v>
      </c>
      <c r="J1235" s="25" t="s">
        <v>44</v>
      </c>
    </row>
    <row r="1236" spans="1:10" ht="12.75" customHeight="1" x14ac:dyDescent="0.2">
      <c r="A1236" s="24"/>
      <c r="B1236" s="24" t="s">
        <v>51</v>
      </c>
      <c r="C1236" s="25" t="s">
        <v>44</v>
      </c>
      <c r="D1236" s="25">
        <v>4</v>
      </c>
      <c r="E1236" s="25">
        <v>0</v>
      </c>
      <c r="F1236" s="25" t="s">
        <v>50</v>
      </c>
      <c r="G1236" s="25">
        <v>4</v>
      </c>
      <c r="H1236" s="25" t="s">
        <v>50</v>
      </c>
      <c r="I1236" s="25">
        <v>0</v>
      </c>
      <c r="J1236" s="25" t="s">
        <v>44</v>
      </c>
    </row>
    <row r="1237" spans="1:10" ht="12.75" customHeight="1" x14ac:dyDescent="0.2">
      <c r="A1237" s="24"/>
      <c r="B1237" s="24" t="s">
        <v>52</v>
      </c>
      <c r="C1237" s="25" t="s">
        <v>44</v>
      </c>
      <c r="D1237" s="25" t="s">
        <v>50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0" ht="12.75" customHeight="1" x14ac:dyDescent="0.2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1</v>
      </c>
      <c r="H1238" s="25">
        <v>0</v>
      </c>
      <c r="I1238" s="25">
        <v>0</v>
      </c>
      <c r="J1238" s="25" t="s">
        <v>44</v>
      </c>
    </row>
    <row r="1239" spans="1:10" ht="12.75" customHeight="1" x14ac:dyDescent="0.2">
      <c r="A1239" s="24"/>
      <c r="B1239" s="22" t="s">
        <v>546</v>
      </c>
      <c r="C1239" s="25" t="s">
        <v>44</v>
      </c>
      <c r="D1239" s="25">
        <v>1</v>
      </c>
      <c r="E1239" s="25" t="s">
        <v>50</v>
      </c>
      <c r="F1239" s="25" t="s">
        <v>50</v>
      </c>
      <c r="G1239" s="25">
        <v>7</v>
      </c>
      <c r="H1239" s="25" t="s">
        <v>50</v>
      </c>
      <c r="I1239" s="25">
        <v>0</v>
      </c>
      <c r="J1239" s="25" t="s">
        <v>44</v>
      </c>
    </row>
    <row r="1240" spans="1:10" ht="12.75" customHeight="1" x14ac:dyDescent="0.2">
      <c r="A1240" s="24"/>
      <c r="B1240" s="24" t="s">
        <v>547</v>
      </c>
      <c r="C1240" s="25" t="s">
        <v>44</v>
      </c>
      <c r="D1240" s="25" t="s">
        <v>50</v>
      </c>
      <c r="E1240" s="25" t="s">
        <v>50</v>
      </c>
      <c r="F1240" s="25" t="s">
        <v>50</v>
      </c>
      <c r="G1240" s="25">
        <v>2</v>
      </c>
      <c r="H1240" s="25" t="s">
        <v>50</v>
      </c>
      <c r="I1240" s="25">
        <v>0</v>
      </c>
      <c r="J1240" s="25" t="s">
        <v>44</v>
      </c>
    </row>
    <row r="1241" spans="1:10" ht="12.75" customHeight="1" x14ac:dyDescent="0.2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0" ht="12.75" customHeight="1" x14ac:dyDescent="0.2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 t="s">
        <v>50</v>
      </c>
      <c r="G1242" s="25">
        <v>1</v>
      </c>
      <c r="H1242" s="25">
        <v>0</v>
      </c>
      <c r="I1242" s="25">
        <v>0</v>
      </c>
      <c r="J1242" s="25" t="s">
        <v>44</v>
      </c>
    </row>
    <row r="1243" spans="1:10" ht="12.75" customHeight="1" x14ac:dyDescent="0.2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 t="s">
        <v>50</v>
      </c>
      <c r="G1243" s="25">
        <v>1</v>
      </c>
      <c r="H1243" s="25" t="s">
        <v>50</v>
      </c>
      <c r="I1243" s="25" t="s">
        <v>44</v>
      </c>
      <c r="J1243" s="25" t="s">
        <v>44</v>
      </c>
    </row>
    <row r="1244" spans="1:10" ht="12.75" customHeight="1" x14ac:dyDescent="0.2">
      <c r="A1244" s="24"/>
      <c r="B1244" s="24" t="s">
        <v>57</v>
      </c>
      <c r="C1244" s="25" t="s">
        <v>44</v>
      </c>
      <c r="D1244" s="25" t="s">
        <v>44</v>
      </c>
      <c r="E1244" s="25" t="s">
        <v>50</v>
      </c>
      <c r="F1244" s="25">
        <v>0</v>
      </c>
      <c r="G1244" s="25">
        <v>1</v>
      </c>
      <c r="H1244" s="25">
        <v>0</v>
      </c>
      <c r="I1244" s="25">
        <v>0</v>
      </c>
      <c r="J1244" s="25" t="s">
        <v>44</v>
      </c>
    </row>
    <row r="1245" spans="1:10" ht="12.75" customHeight="1" x14ac:dyDescent="0.2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1</v>
      </c>
      <c r="H1245" s="25">
        <v>0</v>
      </c>
      <c r="I1245" s="25">
        <v>0</v>
      </c>
      <c r="J1245" s="25" t="s">
        <v>44</v>
      </c>
    </row>
    <row r="1246" spans="1:10" ht="12.75" customHeight="1" x14ac:dyDescent="0.2">
      <c r="A1246" s="24"/>
      <c r="B1246" s="22" t="s">
        <v>548</v>
      </c>
      <c r="C1246" s="25" t="s">
        <v>50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 t="s">
        <v>50</v>
      </c>
    </row>
    <row r="1247" spans="1:10" ht="12.75" customHeight="1" x14ac:dyDescent="0.2">
      <c r="A1247" s="24"/>
      <c r="B1247" s="24"/>
      <c r="C1247" s="25"/>
      <c r="D1247" s="25"/>
      <c r="E1247" s="25"/>
      <c r="F1247" s="25"/>
      <c r="G1247" s="25"/>
      <c r="H1247" s="25"/>
      <c r="I1247" s="25"/>
      <c r="J1247" s="25"/>
    </row>
    <row r="1248" spans="1:10" s="12" customFormat="1" ht="12.75" customHeight="1" x14ac:dyDescent="0.2">
      <c r="A1248" s="22" t="s">
        <v>121</v>
      </c>
      <c r="B1248" s="22" t="s">
        <v>596</v>
      </c>
      <c r="C1248" s="27"/>
      <c r="D1248" s="27"/>
      <c r="E1248" s="27"/>
      <c r="F1248" s="27"/>
      <c r="G1248" s="27"/>
      <c r="H1248" s="27"/>
      <c r="I1248" s="27"/>
      <c r="J1248" s="27"/>
    </row>
    <row r="1249" spans="1:10" ht="12.75" customHeight="1" x14ac:dyDescent="0.2">
      <c r="A1249" s="24"/>
      <c r="B1249" s="24"/>
      <c r="C1249" s="25"/>
      <c r="D1249" s="25"/>
      <c r="E1249" s="25"/>
      <c r="F1249" s="25"/>
      <c r="G1249" s="25"/>
      <c r="H1249" s="25"/>
      <c r="I1249" s="25"/>
      <c r="J1249" s="25"/>
    </row>
    <row r="1250" spans="1:10" ht="12.75" customHeight="1" x14ac:dyDescent="0.2">
      <c r="A1250" s="24"/>
      <c r="B1250" s="24"/>
      <c r="C1250" s="25"/>
      <c r="D1250" s="25"/>
      <c r="E1250" s="25"/>
      <c r="F1250" s="25"/>
      <c r="G1250" s="25"/>
      <c r="H1250" s="25"/>
      <c r="I1250" s="25"/>
      <c r="J1250" s="25"/>
    </row>
    <row r="1251" spans="1:10" ht="12.75" customHeight="1" x14ac:dyDescent="0.2">
      <c r="A1251" s="24"/>
      <c r="B1251" s="22" t="s">
        <v>543</v>
      </c>
      <c r="C1251" s="25">
        <v>47</v>
      </c>
      <c r="D1251" s="25">
        <v>14</v>
      </c>
      <c r="E1251" s="25">
        <v>0</v>
      </c>
      <c r="F1251" s="25" t="s">
        <v>50</v>
      </c>
      <c r="G1251" s="25">
        <v>32</v>
      </c>
      <c r="H1251" s="25" t="s">
        <v>50</v>
      </c>
      <c r="I1251" s="25" t="s">
        <v>50</v>
      </c>
      <c r="J1251" s="25">
        <v>1</v>
      </c>
    </row>
    <row r="1252" spans="1:10" ht="12.75" customHeight="1" x14ac:dyDescent="0.2">
      <c r="A1252" s="24"/>
      <c r="B1252" s="22" t="s">
        <v>544</v>
      </c>
      <c r="C1252" s="25" t="s">
        <v>44</v>
      </c>
      <c r="D1252" s="25" t="s">
        <v>50</v>
      </c>
      <c r="E1252" s="25">
        <v>0</v>
      </c>
      <c r="F1252" s="25">
        <v>0</v>
      </c>
      <c r="G1252" s="25" t="s">
        <v>50</v>
      </c>
      <c r="H1252" s="25">
        <v>0</v>
      </c>
      <c r="I1252" s="25">
        <v>0</v>
      </c>
      <c r="J1252" s="25" t="s">
        <v>44</v>
      </c>
    </row>
    <row r="1253" spans="1:10" ht="12.75" customHeight="1" x14ac:dyDescent="0.2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2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 t="s">
        <v>50</v>
      </c>
      <c r="H1254" s="25">
        <v>0</v>
      </c>
      <c r="I1254" s="25">
        <v>0</v>
      </c>
      <c r="J1254" s="25" t="s">
        <v>44</v>
      </c>
    </row>
    <row r="1255" spans="1:10" ht="12.75" customHeight="1" x14ac:dyDescent="0.2">
      <c r="A1255" s="24"/>
      <c r="B1255" s="22" t="s">
        <v>545</v>
      </c>
      <c r="C1255" s="25" t="s">
        <v>44</v>
      </c>
      <c r="D1255" s="25">
        <v>12</v>
      </c>
      <c r="E1255" s="25">
        <v>0</v>
      </c>
      <c r="F1255" s="25" t="s">
        <v>50</v>
      </c>
      <c r="G1255" s="25">
        <v>29</v>
      </c>
      <c r="H1255" s="25" t="s">
        <v>50</v>
      </c>
      <c r="I1255" s="25" t="s">
        <v>50</v>
      </c>
      <c r="J1255" s="25" t="s">
        <v>44</v>
      </c>
    </row>
    <row r="1256" spans="1:10" ht="12.75" customHeight="1" x14ac:dyDescent="0.2">
      <c r="A1256" s="24"/>
      <c r="B1256" s="24" t="s">
        <v>48</v>
      </c>
      <c r="C1256" s="25" t="s">
        <v>44</v>
      </c>
      <c r="D1256" s="25">
        <v>5</v>
      </c>
      <c r="E1256" s="25">
        <v>0</v>
      </c>
      <c r="F1256" s="25" t="s">
        <v>50</v>
      </c>
      <c r="G1256" s="25">
        <v>28</v>
      </c>
      <c r="H1256" s="25" t="s">
        <v>50</v>
      </c>
      <c r="I1256" s="25" t="s">
        <v>50</v>
      </c>
      <c r="J1256" s="25" t="s">
        <v>44</v>
      </c>
    </row>
    <row r="1257" spans="1:10" ht="12.75" customHeight="1" x14ac:dyDescent="0.2">
      <c r="A1257" s="24"/>
      <c r="B1257" s="24" t="s">
        <v>49</v>
      </c>
      <c r="C1257" s="25" t="s">
        <v>44</v>
      </c>
      <c r="D1257" s="25">
        <v>1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2">
      <c r="A1258" s="24"/>
      <c r="B1258" s="24" t="s">
        <v>51</v>
      </c>
      <c r="C1258" s="25" t="s">
        <v>44</v>
      </c>
      <c r="D1258" s="25">
        <v>5</v>
      </c>
      <c r="E1258" s="25">
        <v>0</v>
      </c>
      <c r="F1258" s="25" t="s">
        <v>50</v>
      </c>
      <c r="G1258" s="25">
        <v>1</v>
      </c>
      <c r="H1258" s="25" t="s">
        <v>50</v>
      </c>
      <c r="I1258" s="25">
        <v>0</v>
      </c>
      <c r="J1258" s="25" t="s">
        <v>44</v>
      </c>
    </row>
    <row r="1259" spans="1:10" ht="12.75" customHeight="1" x14ac:dyDescent="0.2">
      <c r="A1259" s="24"/>
      <c r="B1259" s="24" t="s">
        <v>52</v>
      </c>
      <c r="C1259" s="25" t="s">
        <v>44</v>
      </c>
      <c r="D1259" s="25" t="s">
        <v>50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2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 t="s">
        <v>50</v>
      </c>
      <c r="G1260" s="25" t="s">
        <v>50</v>
      </c>
      <c r="H1260" s="25">
        <v>0</v>
      </c>
      <c r="I1260" s="25">
        <v>0</v>
      </c>
      <c r="J1260" s="25" t="s">
        <v>44</v>
      </c>
    </row>
    <row r="1261" spans="1:10" ht="12.75" customHeight="1" x14ac:dyDescent="0.2">
      <c r="A1261" s="24"/>
      <c r="B1261" s="22" t="s">
        <v>546</v>
      </c>
      <c r="C1261" s="25" t="s">
        <v>44</v>
      </c>
      <c r="D1261" s="25">
        <v>2</v>
      </c>
      <c r="E1261" s="25">
        <v>0</v>
      </c>
      <c r="F1261" s="25" t="s">
        <v>50</v>
      </c>
      <c r="G1261" s="25">
        <v>2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2">
      <c r="A1262" s="24"/>
      <c r="B1262" s="24" t="s">
        <v>547</v>
      </c>
      <c r="C1262" s="25" t="s">
        <v>44</v>
      </c>
      <c r="D1262" s="25">
        <v>1</v>
      </c>
      <c r="E1262" s="25">
        <v>0</v>
      </c>
      <c r="F1262" s="25" t="s">
        <v>50</v>
      </c>
      <c r="G1262" s="25">
        <v>2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2">
      <c r="A1263" s="24"/>
      <c r="B1263" s="24" t="s">
        <v>54</v>
      </c>
      <c r="C1263" s="25" t="s">
        <v>44</v>
      </c>
      <c r="D1263" s="25">
        <v>1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2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>
        <v>0</v>
      </c>
      <c r="G1264" s="25" t="s">
        <v>50</v>
      </c>
      <c r="H1264" s="25" t="s">
        <v>50</v>
      </c>
      <c r="I1264" s="25">
        <v>0</v>
      </c>
      <c r="J1264" s="25" t="s">
        <v>44</v>
      </c>
    </row>
    <row r="1265" spans="1:10" ht="12.75" customHeight="1" x14ac:dyDescent="0.2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 t="s">
        <v>50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2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2">
      <c r="A1267" s="24"/>
      <c r="B1267" s="24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2">
      <c r="A1268" s="24"/>
      <c r="B1268" s="22" t="s">
        <v>548</v>
      </c>
      <c r="C1268" s="25">
        <v>1</v>
      </c>
      <c r="D1268" s="25" t="s">
        <v>50</v>
      </c>
      <c r="E1268" s="25">
        <v>0</v>
      </c>
      <c r="F1268" s="25">
        <v>0</v>
      </c>
      <c r="G1268" s="25">
        <v>0</v>
      </c>
      <c r="H1268" s="25">
        <v>0</v>
      </c>
      <c r="I1268" s="25">
        <v>0</v>
      </c>
      <c r="J1268" s="25">
        <v>1</v>
      </c>
    </row>
    <row r="1269" spans="1:10" ht="12.75" customHeight="1" x14ac:dyDescent="0.2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2">
      <c r="A1270" s="22" t="s">
        <v>122</v>
      </c>
      <c r="B1270" s="22" t="s">
        <v>597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ht="12.75" customHeight="1" x14ac:dyDescent="0.2">
      <c r="A1271" s="29"/>
      <c r="B1271" s="30"/>
      <c r="C1271" s="25"/>
      <c r="D1271" s="25"/>
      <c r="E1271" s="25"/>
      <c r="F1271" s="25"/>
      <c r="G1271" s="25"/>
      <c r="H1271" s="25"/>
      <c r="I1271" s="25"/>
      <c r="J1271" s="25"/>
    </row>
    <row r="1272" spans="1:10" ht="12.75" customHeight="1" x14ac:dyDescent="0.2">
      <c r="A1272" s="24"/>
      <c r="B1272" s="24"/>
      <c r="C1272" s="25"/>
      <c r="D1272" s="25"/>
      <c r="E1272" s="25"/>
      <c r="F1272" s="25"/>
      <c r="G1272" s="25"/>
      <c r="H1272" s="25"/>
      <c r="I1272" s="25"/>
      <c r="J1272" s="25"/>
    </row>
    <row r="1273" spans="1:10" ht="12.75" customHeight="1" x14ac:dyDescent="0.2">
      <c r="A1273" s="24"/>
      <c r="B1273" s="22" t="s">
        <v>543</v>
      </c>
      <c r="C1273" s="25">
        <v>1449</v>
      </c>
      <c r="D1273" s="25">
        <v>339</v>
      </c>
      <c r="E1273" s="25">
        <v>2</v>
      </c>
      <c r="F1273" s="25">
        <v>8</v>
      </c>
      <c r="G1273" s="25">
        <v>626</v>
      </c>
      <c r="H1273" s="25">
        <v>4</v>
      </c>
      <c r="I1273" s="25">
        <v>9</v>
      </c>
      <c r="J1273" s="25">
        <v>460</v>
      </c>
    </row>
    <row r="1274" spans="1:10" ht="12.75" customHeight="1" x14ac:dyDescent="0.2">
      <c r="A1274" s="24"/>
      <c r="B1274" s="22" t="s">
        <v>544</v>
      </c>
      <c r="C1274" s="25" t="s">
        <v>44</v>
      </c>
      <c r="D1274" s="25">
        <v>2</v>
      </c>
      <c r="E1274" s="25" t="s">
        <v>50</v>
      </c>
      <c r="F1274" s="25" t="s">
        <v>50</v>
      </c>
      <c r="G1274" s="25">
        <v>74</v>
      </c>
      <c r="H1274" s="25">
        <v>1</v>
      </c>
      <c r="I1274" s="25">
        <v>2</v>
      </c>
      <c r="J1274" s="25" t="s">
        <v>44</v>
      </c>
    </row>
    <row r="1275" spans="1:10" ht="12.75" customHeight="1" x14ac:dyDescent="0.2">
      <c r="A1275" s="24"/>
      <c r="B1275" s="24" t="s">
        <v>45</v>
      </c>
      <c r="C1275" s="25" t="s">
        <v>44</v>
      </c>
      <c r="D1275" s="25">
        <v>2</v>
      </c>
      <c r="E1275" s="25" t="s">
        <v>50</v>
      </c>
      <c r="F1275" s="25" t="s">
        <v>50</v>
      </c>
      <c r="G1275" s="25">
        <v>18</v>
      </c>
      <c r="H1275" s="25">
        <v>1</v>
      </c>
      <c r="I1275" s="25">
        <v>0</v>
      </c>
      <c r="J1275" s="25" t="s">
        <v>44</v>
      </c>
    </row>
    <row r="1276" spans="1:10" ht="12.75" customHeight="1" x14ac:dyDescent="0.2">
      <c r="A1276" s="24"/>
      <c r="B1276" s="24" t="s">
        <v>46</v>
      </c>
      <c r="C1276" s="25" t="s">
        <v>44</v>
      </c>
      <c r="D1276" s="25">
        <v>0</v>
      </c>
      <c r="E1276" s="25" t="s">
        <v>50</v>
      </c>
      <c r="F1276" s="25" t="s">
        <v>50</v>
      </c>
      <c r="G1276" s="25">
        <v>56</v>
      </c>
      <c r="H1276" s="25" t="s">
        <v>50</v>
      </c>
      <c r="I1276" s="25">
        <v>2</v>
      </c>
      <c r="J1276" s="25" t="s">
        <v>44</v>
      </c>
    </row>
    <row r="1277" spans="1:10" ht="12.75" customHeight="1" x14ac:dyDescent="0.2">
      <c r="A1277" s="24"/>
      <c r="B1277" s="22" t="s">
        <v>545</v>
      </c>
      <c r="C1277" s="25" t="s">
        <v>44</v>
      </c>
      <c r="D1277" s="25">
        <v>301</v>
      </c>
      <c r="E1277" s="25">
        <v>0</v>
      </c>
      <c r="F1277" s="25">
        <v>1</v>
      </c>
      <c r="G1277" s="25">
        <v>502</v>
      </c>
      <c r="H1277" s="25">
        <v>1</v>
      </c>
      <c r="I1277" s="25">
        <v>7</v>
      </c>
      <c r="J1277" s="25" t="s">
        <v>44</v>
      </c>
    </row>
    <row r="1278" spans="1:10" ht="12.75" customHeight="1" x14ac:dyDescent="0.2">
      <c r="A1278" s="24"/>
      <c r="B1278" s="24" t="s">
        <v>48</v>
      </c>
      <c r="C1278" s="25" t="s">
        <v>44</v>
      </c>
      <c r="D1278" s="25">
        <v>83</v>
      </c>
      <c r="E1278" s="25">
        <v>0</v>
      </c>
      <c r="F1278" s="25" t="s">
        <v>50</v>
      </c>
      <c r="G1278" s="25">
        <v>452</v>
      </c>
      <c r="H1278" s="25">
        <v>1</v>
      </c>
      <c r="I1278" s="25">
        <v>5</v>
      </c>
      <c r="J1278" s="25" t="s">
        <v>44</v>
      </c>
    </row>
    <row r="1279" spans="1:10" ht="12.75" customHeight="1" x14ac:dyDescent="0.2">
      <c r="A1279" s="24"/>
      <c r="B1279" s="24" t="s">
        <v>49</v>
      </c>
      <c r="C1279" s="25" t="s">
        <v>44</v>
      </c>
      <c r="D1279" s="25">
        <v>7</v>
      </c>
      <c r="E1279" s="25">
        <v>0</v>
      </c>
      <c r="F1279" s="25" t="s">
        <v>50</v>
      </c>
      <c r="G1279" s="25">
        <v>3</v>
      </c>
      <c r="H1279" s="25" t="s">
        <v>50</v>
      </c>
      <c r="I1279" s="25">
        <v>0</v>
      </c>
      <c r="J1279" s="25" t="s">
        <v>44</v>
      </c>
    </row>
    <row r="1280" spans="1:10" ht="12.75" customHeight="1" x14ac:dyDescent="0.2">
      <c r="A1280" s="24"/>
      <c r="B1280" s="24" t="s">
        <v>51</v>
      </c>
      <c r="C1280" s="25" t="s">
        <v>44</v>
      </c>
      <c r="D1280" s="25">
        <v>128</v>
      </c>
      <c r="E1280" s="25">
        <v>0</v>
      </c>
      <c r="F1280" s="25" t="s">
        <v>50</v>
      </c>
      <c r="G1280" s="25">
        <v>16</v>
      </c>
      <c r="H1280" s="25" t="s">
        <v>50</v>
      </c>
      <c r="I1280" s="25">
        <v>0</v>
      </c>
      <c r="J1280" s="25" t="s">
        <v>44</v>
      </c>
    </row>
    <row r="1281" spans="1:10" ht="12.75" customHeight="1" x14ac:dyDescent="0.2">
      <c r="A1281" s="24"/>
      <c r="B1281" s="24" t="s">
        <v>52</v>
      </c>
      <c r="C1281" s="25" t="s">
        <v>44</v>
      </c>
      <c r="D1281" s="25">
        <v>59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0" ht="12.75" customHeight="1" x14ac:dyDescent="0.2">
      <c r="A1282" s="24"/>
      <c r="B1282" s="24" t="s">
        <v>53</v>
      </c>
      <c r="C1282" s="25" t="s">
        <v>44</v>
      </c>
      <c r="D1282" s="25">
        <v>24</v>
      </c>
      <c r="E1282" s="25">
        <v>0</v>
      </c>
      <c r="F1282" s="25" t="s">
        <v>50</v>
      </c>
      <c r="G1282" s="25">
        <v>31</v>
      </c>
      <c r="H1282" s="25" t="s">
        <v>50</v>
      </c>
      <c r="I1282" s="25">
        <v>2</v>
      </c>
      <c r="J1282" s="25" t="s">
        <v>44</v>
      </c>
    </row>
    <row r="1283" spans="1:10" ht="12.75" customHeight="1" x14ac:dyDescent="0.2">
      <c r="A1283" s="24"/>
      <c r="B1283" s="22" t="s">
        <v>546</v>
      </c>
      <c r="C1283" s="25" t="s">
        <v>44</v>
      </c>
      <c r="D1283" s="25">
        <v>36</v>
      </c>
      <c r="E1283" s="25">
        <v>2</v>
      </c>
      <c r="F1283" s="25">
        <v>5</v>
      </c>
      <c r="G1283" s="25">
        <v>49</v>
      </c>
      <c r="H1283" s="25">
        <v>2</v>
      </c>
      <c r="I1283" s="25" t="s">
        <v>50</v>
      </c>
      <c r="J1283" s="25" t="s">
        <v>44</v>
      </c>
    </row>
    <row r="1284" spans="1:10" ht="12.75" customHeight="1" x14ac:dyDescent="0.2">
      <c r="A1284" s="24"/>
      <c r="B1284" s="24" t="s">
        <v>547</v>
      </c>
      <c r="C1284" s="25" t="s">
        <v>44</v>
      </c>
      <c r="D1284" s="25">
        <v>16</v>
      </c>
      <c r="E1284" s="25">
        <v>0</v>
      </c>
      <c r="F1284" s="25" t="s">
        <v>50</v>
      </c>
      <c r="G1284" s="25">
        <v>41</v>
      </c>
      <c r="H1284" s="25" t="s">
        <v>50</v>
      </c>
      <c r="I1284" s="25" t="s">
        <v>50</v>
      </c>
      <c r="J1284" s="25" t="s">
        <v>44</v>
      </c>
    </row>
    <row r="1285" spans="1:10" ht="12.75" customHeight="1" x14ac:dyDescent="0.2">
      <c r="A1285" s="24"/>
      <c r="B1285" s="24" t="s">
        <v>54</v>
      </c>
      <c r="C1285" s="25" t="s">
        <v>44</v>
      </c>
      <c r="D1285" s="25">
        <v>12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0" ht="12.75" customHeight="1" x14ac:dyDescent="0.2">
      <c r="A1286" s="24"/>
      <c r="B1286" s="24" t="s">
        <v>55</v>
      </c>
      <c r="C1286" s="25" t="s">
        <v>44</v>
      </c>
      <c r="D1286" s="25">
        <v>5</v>
      </c>
      <c r="E1286" s="25">
        <v>0</v>
      </c>
      <c r="F1286" s="25" t="s">
        <v>50</v>
      </c>
      <c r="G1286" s="25">
        <v>5</v>
      </c>
      <c r="H1286" s="25" t="s">
        <v>50</v>
      </c>
      <c r="I1286" s="25">
        <v>0</v>
      </c>
      <c r="J1286" s="25" t="s">
        <v>44</v>
      </c>
    </row>
    <row r="1287" spans="1:10" ht="12.75" customHeight="1" x14ac:dyDescent="0.2">
      <c r="A1287" s="24"/>
      <c r="B1287" s="24" t="s">
        <v>56</v>
      </c>
      <c r="C1287" s="25" t="s">
        <v>44</v>
      </c>
      <c r="D1287" s="25">
        <v>1</v>
      </c>
      <c r="E1287" s="25" t="s">
        <v>44</v>
      </c>
      <c r="F1287" s="25">
        <v>5</v>
      </c>
      <c r="G1287" s="25">
        <v>1</v>
      </c>
      <c r="H1287" s="25">
        <v>2</v>
      </c>
      <c r="I1287" s="25" t="s">
        <v>44</v>
      </c>
      <c r="J1287" s="25" t="s">
        <v>44</v>
      </c>
    </row>
    <row r="1288" spans="1:10" ht="12.75" customHeight="1" x14ac:dyDescent="0.2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>
        <v>1</v>
      </c>
      <c r="H1288" s="25" t="s">
        <v>50</v>
      </c>
      <c r="I1288" s="25">
        <v>0</v>
      </c>
      <c r="J1288" s="25" t="s">
        <v>44</v>
      </c>
    </row>
    <row r="1289" spans="1:10" ht="12.75" customHeight="1" x14ac:dyDescent="0.2">
      <c r="A1289" s="24"/>
      <c r="B1289" s="24" t="s">
        <v>58</v>
      </c>
      <c r="C1289" s="25" t="s">
        <v>44</v>
      </c>
      <c r="D1289" s="25">
        <v>3</v>
      </c>
      <c r="E1289" s="25">
        <v>2</v>
      </c>
      <c r="F1289" s="25" t="s">
        <v>50</v>
      </c>
      <c r="G1289" s="25">
        <v>1</v>
      </c>
      <c r="H1289" s="25" t="s">
        <v>50</v>
      </c>
      <c r="I1289" s="25" t="s">
        <v>50</v>
      </c>
      <c r="J1289" s="25" t="s">
        <v>44</v>
      </c>
    </row>
    <row r="1290" spans="1:10" ht="12.75" customHeight="1" x14ac:dyDescent="0.2">
      <c r="A1290" s="24"/>
      <c r="B1290" s="22" t="s">
        <v>548</v>
      </c>
      <c r="C1290" s="25">
        <v>464</v>
      </c>
      <c r="D1290" s="25" t="s">
        <v>50</v>
      </c>
      <c r="E1290" s="25">
        <v>0</v>
      </c>
      <c r="F1290" s="25">
        <v>2</v>
      </c>
      <c r="G1290" s="25" t="s">
        <v>50</v>
      </c>
      <c r="H1290" s="25" t="s">
        <v>50</v>
      </c>
      <c r="I1290" s="25">
        <v>1</v>
      </c>
      <c r="J1290" s="25">
        <v>460</v>
      </c>
    </row>
    <row r="1291" spans="1:10" ht="12.75" customHeight="1" x14ac:dyDescent="0.2">
      <c r="A1291" s="24"/>
      <c r="B1291" s="24"/>
      <c r="C1291" s="25"/>
      <c r="D1291" s="25"/>
      <c r="E1291" s="25"/>
      <c r="F1291" s="25"/>
      <c r="G1291" s="25"/>
      <c r="H1291" s="25"/>
      <c r="I1291" s="25"/>
      <c r="J1291" s="25"/>
    </row>
    <row r="1292" spans="1:10" s="12" customFormat="1" ht="12.75" customHeight="1" x14ac:dyDescent="0.2">
      <c r="A1292" s="22" t="s">
        <v>123</v>
      </c>
      <c r="B1292" s="22" t="s">
        <v>598</v>
      </c>
      <c r="C1292" s="27"/>
      <c r="D1292" s="27"/>
      <c r="E1292" s="27"/>
      <c r="F1292" s="27"/>
      <c r="G1292" s="27"/>
      <c r="H1292" s="27"/>
      <c r="I1292" s="27"/>
      <c r="J1292" s="27"/>
    </row>
    <row r="1293" spans="1:10" ht="12.75" customHeight="1" x14ac:dyDescent="0.2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0" ht="12.75" customHeight="1" x14ac:dyDescent="0.2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0" ht="12.75" customHeight="1" x14ac:dyDescent="0.2">
      <c r="A1295" s="24"/>
      <c r="B1295" s="22" t="s">
        <v>543</v>
      </c>
      <c r="C1295" s="25">
        <v>1032</v>
      </c>
      <c r="D1295" s="25">
        <v>186</v>
      </c>
      <c r="E1295" s="25">
        <v>2</v>
      </c>
      <c r="F1295" s="25">
        <v>4</v>
      </c>
      <c r="G1295" s="25">
        <v>389</v>
      </c>
      <c r="H1295" s="25" t="s">
        <v>50</v>
      </c>
      <c r="I1295" s="25">
        <v>9</v>
      </c>
      <c r="J1295" s="25">
        <v>441</v>
      </c>
    </row>
    <row r="1296" spans="1:10" ht="12.75" customHeight="1" x14ac:dyDescent="0.2">
      <c r="A1296" s="24"/>
      <c r="B1296" s="22" t="s">
        <v>544</v>
      </c>
      <c r="C1296" s="25" t="s">
        <v>44</v>
      </c>
      <c r="D1296" s="25" t="s">
        <v>50</v>
      </c>
      <c r="E1296" s="25" t="s">
        <v>50</v>
      </c>
      <c r="F1296" s="25">
        <v>0</v>
      </c>
      <c r="G1296" s="25">
        <v>45</v>
      </c>
      <c r="H1296" s="25" t="s">
        <v>50</v>
      </c>
      <c r="I1296" s="25">
        <v>2</v>
      </c>
      <c r="J1296" s="25" t="s">
        <v>44</v>
      </c>
    </row>
    <row r="1297" spans="1:10" ht="12.75" customHeight="1" x14ac:dyDescent="0.2">
      <c r="A1297" s="24"/>
      <c r="B1297" s="24" t="s">
        <v>45</v>
      </c>
      <c r="C1297" s="25" t="s">
        <v>44</v>
      </c>
      <c r="D1297" s="25" t="s">
        <v>50</v>
      </c>
      <c r="E1297" s="25" t="s">
        <v>50</v>
      </c>
      <c r="F1297" s="25">
        <v>0</v>
      </c>
      <c r="G1297" s="25">
        <v>13</v>
      </c>
      <c r="H1297" s="25">
        <v>0</v>
      </c>
      <c r="I1297" s="25">
        <v>0</v>
      </c>
      <c r="J1297" s="25" t="s">
        <v>44</v>
      </c>
    </row>
    <row r="1298" spans="1:10" ht="12.75" customHeight="1" x14ac:dyDescent="0.2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>
        <v>0</v>
      </c>
      <c r="G1298" s="25">
        <v>33</v>
      </c>
      <c r="H1298" s="25" t="s">
        <v>50</v>
      </c>
      <c r="I1298" s="25">
        <v>2</v>
      </c>
      <c r="J1298" s="25" t="s">
        <v>44</v>
      </c>
    </row>
    <row r="1299" spans="1:10" ht="12.75" customHeight="1" x14ac:dyDescent="0.2">
      <c r="A1299" s="24"/>
      <c r="B1299" s="22" t="s">
        <v>545</v>
      </c>
      <c r="C1299" s="25" t="s">
        <v>44</v>
      </c>
      <c r="D1299" s="25">
        <v>169</v>
      </c>
      <c r="E1299" s="25">
        <v>0</v>
      </c>
      <c r="F1299" s="25" t="s">
        <v>50</v>
      </c>
      <c r="G1299" s="25">
        <v>325</v>
      </c>
      <c r="H1299" s="25" t="s">
        <v>50</v>
      </c>
      <c r="I1299" s="25">
        <v>7</v>
      </c>
      <c r="J1299" s="25" t="s">
        <v>44</v>
      </c>
    </row>
    <row r="1300" spans="1:10" ht="12.75" customHeight="1" x14ac:dyDescent="0.2">
      <c r="A1300" s="24"/>
      <c r="B1300" s="24" t="s">
        <v>48</v>
      </c>
      <c r="C1300" s="25" t="s">
        <v>44</v>
      </c>
      <c r="D1300" s="25">
        <v>54</v>
      </c>
      <c r="E1300" s="25">
        <v>0</v>
      </c>
      <c r="F1300" s="25" t="s">
        <v>50</v>
      </c>
      <c r="G1300" s="25">
        <v>293</v>
      </c>
      <c r="H1300" s="25" t="s">
        <v>50</v>
      </c>
      <c r="I1300" s="25">
        <v>5</v>
      </c>
      <c r="J1300" s="25" t="s">
        <v>44</v>
      </c>
    </row>
    <row r="1301" spans="1:10" ht="12.75" customHeight="1" x14ac:dyDescent="0.2">
      <c r="A1301" s="24"/>
      <c r="B1301" s="24" t="s">
        <v>49</v>
      </c>
      <c r="C1301" s="25" t="s">
        <v>44</v>
      </c>
      <c r="D1301" s="25">
        <v>3</v>
      </c>
      <c r="E1301" s="25">
        <v>0</v>
      </c>
      <c r="F1301" s="25">
        <v>0</v>
      </c>
      <c r="G1301" s="25">
        <v>2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2">
      <c r="A1302" s="24"/>
      <c r="B1302" s="24" t="s">
        <v>51</v>
      </c>
      <c r="C1302" s="25" t="s">
        <v>44</v>
      </c>
      <c r="D1302" s="74">
        <v>81.619718309859152</v>
      </c>
      <c r="E1302" s="25">
        <v>0</v>
      </c>
      <c r="F1302" s="25" t="s">
        <v>50</v>
      </c>
      <c r="G1302" s="25">
        <v>4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2">
      <c r="A1303" s="24"/>
      <c r="B1303" s="24" t="s">
        <v>52</v>
      </c>
      <c r="C1303" s="25" t="s">
        <v>44</v>
      </c>
      <c r="D1303" s="74">
        <v>13.380281690140846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2">
      <c r="A1304" s="24"/>
      <c r="B1304" s="24" t="s">
        <v>53</v>
      </c>
      <c r="C1304" s="25" t="s">
        <v>44</v>
      </c>
      <c r="D1304" s="25">
        <v>17</v>
      </c>
      <c r="E1304" s="25">
        <v>0</v>
      </c>
      <c r="F1304" s="25" t="s">
        <v>50</v>
      </c>
      <c r="G1304" s="25">
        <v>27</v>
      </c>
      <c r="H1304" s="25" t="s">
        <v>50</v>
      </c>
      <c r="I1304" s="25">
        <v>2</v>
      </c>
      <c r="J1304" s="25" t="s">
        <v>44</v>
      </c>
    </row>
    <row r="1305" spans="1:10" ht="12.75" customHeight="1" x14ac:dyDescent="0.2">
      <c r="A1305" s="24"/>
      <c r="B1305" s="22" t="s">
        <v>546</v>
      </c>
      <c r="C1305" s="25" t="s">
        <v>44</v>
      </c>
      <c r="D1305" s="25">
        <v>16</v>
      </c>
      <c r="E1305" s="25">
        <v>2</v>
      </c>
      <c r="F1305" s="25">
        <v>4</v>
      </c>
      <c r="G1305" s="25">
        <v>19</v>
      </c>
      <c r="H1305" s="25" t="s">
        <v>50</v>
      </c>
      <c r="I1305" s="25" t="s">
        <v>50</v>
      </c>
      <c r="J1305" s="25" t="s">
        <v>44</v>
      </c>
    </row>
    <row r="1306" spans="1:10" ht="12.75" customHeight="1" x14ac:dyDescent="0.2">
      <c r="A1306" s="24"/>
      <c r="B1306" s="24" t="s">
        <v>547</v>
      </c>
      <c r="C1306" s="25" t="s">
        <v>44</v>
      </c>
      <c r="D1306" s="25">
        <v>7</v>
      </c>
      <c r="E1306" s="25">
        <v>0</v>
      </c>
      <c r="F1306" s="25" t="s">
        <v>50</v>
      </c>
      <c r="G1306" s="25">
        <v>17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2">
      <c r="A1307" s="24"/>
      <c r="B1307" s="24" t="s">
        <v>54</v>
      </c>
      <c r="C1307" s="25" t="s">
        <v>44</v>
      </c>
      <c r="D1307" s="25">
        <v>6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2">
      <c r="A1308" s="24"/>
      <c r="B1308" s="24" t="s">
        <v>55</v>
      </c>
      <c r="C1308" s="25" t="s">
        <v>44</v>
      </c>
      <c r="D1308" s="25">
        <v>2</v>
      </c>
      <c r="E1308" s="25">
        <v>0</v>
      </c>
      <c r="F1308" s="25" t="s">
        <v>50</v>
      </c>
      <c r="G1308" s="25">
        <v>1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2">
      <c r="A1309" s="24"/>
      <c r="B1309" s="24" t="s">
        <v>56</v>
      </c>
      <c r="C1309" s="25" t="s">
        <v>44</v>
      </c>
      <c r="D1309" s="25" t="s">
        <v>50</v>
      </c>
      <c r="E1309" s="25" t="s">
        <v>44</v>
      </c>
      <c r="F1309" s="25">
        <v>3</v>
      </c>
      <c r="G1309" s="25">
        <v>1</v>
      </c>
      <c r="H1309" s="25" t="s">
        <v>50</v>
      </c>
      <c r="I1309" s="25" t="s">
        <v>44</v>
      </c>
      <c r="J1309" s="25" t="s">
        <v>44</v>
      </c>
    </row>
    <row r="1310" spans="1:10" ht="12.75" customHeight="1" x14ac:dyDescent="0.2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>
        <v>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2">
      <c r="A1311" s="24"/>
      <c r="B1311" s="24" t="s">
        <v>58</v>
      </c>
      <c r="C1311" s="25" t="s">
        <v>44</v>
      </c>
      <c r="D1311" s="25">
        <v>2</v>
      </c>
      <c r="E1311" s="25">
        <v>2</v>
      </c>
      <c r="F1311" s="25" t="s">
        <v>50</v>
      </c>
      <c r="G1311" s="25" t="s">
        <v>50</v>
      </c>
      <c r="H1311" s="25" t="s">
        <v>50</v>
      </c>
      <c r="I1311" s="25" t="s">
        <v>50</v>
      </c>
      <c r="J1311" s="25" t="s">
        <v>44</v>
      </c>
    </row>
    <row r="1312" spans="1:10" ht="12.75" customHeight="1" x14ac:dyDescent="0.2">
      <c r="A1312" s="24"/>
      <c r="B1312" s="22" t="s">
        <v>548</v>
      </c>
      <c r="C1312" s="25">
        <v>442</v>
      </c>
      <c r="D1312" s="25">
        <v>0</v>
      </c>
      <c r="E1312" s="25">
        <v>0</v>
      </c>
      <c r="F1312" s="25" t="s">
        <v>50</v>
      </c>
      <c r="G1312" s="25">
        <v>0</v>
      </c>
      <c r="H1312" s="25" t="s">
        <v>50</v>
      </c>
      <c r="I1312" s="25">
        <v>1</v>
      </c>
      <c r="J1312" s="25">
        <v>441</v>
      </c>
    </row>
    <row r="1313" spans="1:10" ht="12.75" customHeight="1" x14ac:dyDescent="0.2">
      <c r="A1313" s="24"/>
      <c r="B1313" s="24"/>
      <c r="C1313" s="25"/>
      <c r="D1313" s="25"/>
      <c r="E1313" s="25"/>
      <c r="F1313" s="25"/>
      <c r="G1313" s="25"/>
      <c r="H1313" s="25"/>
      <c r="I1313" s="25"/>
      <c r="J1313" s="25"/>
    </row>
    <row r="1314" spans="1:10" s="12" customFormat="1" ht="12.75" customHeight="1" x14ac:dyDescent="0.2">
      <c r="A1314" s="22" t="s">
        <v>124</v>
      </c>
      <c r="B1314" s="22" t="s">
        <v>599</v>
      </c>
      <c r="C1314" s="27"/>
      <c r="D1314" s="27"/>
      <c r="E1314" s="27"/>
      <c r="F1314" s="27"/>
      <c r="G1314" s="27"/>
      <c r="H1314" s="27"/>
      <c r="I1314" s="27"/>
      <c r="J1314" s="27"/>
    </row>
    <row r="1315" spans="1:10" ht="12.75" customHeight="1" x14ac:dyDescent="0.2">
      <c r="A1315" s="29"/>
      <c r="B1315" s="30"/>
      <c r="C1315" s="25"/>
      <c r="D1315" s="25"/>
      <c r="E1315" s="25"/>
      <c r="F1315" s="25"/>
      <c r="G1315" s="25"/>
      <c r="H1315" s="25"/>
      <c r="I1315" s="25"/>
      <c r="J1315" s="25"/>
    </row>
    <row r="1316" spans="1:10" ht="12.75" customHeight="1" x14ac:dyDescent="0.2">
      <c r="A1316" s="24"/>
      <c r="B1316" s="24"/>
      <c r="C1316" s="25"/>
      <c r="D1316" s="25"/>
      <c r="E1316" s="25"/>
      <c r="F1316" s="25"/>
      <c r="G1316" s="25"/>
      <c r="H1316" s="25"/>
      <c r="I1316" s="25"/>
      <c r="J1316" s="25"/>
    </row>
    <row r="1317" spans="1:10" ht="12.75" customHeight="1" x14ac:dyDescent="0.2">
      <c r="A1317" s="24"/>
      <c r="B1317" s="22" t="s">
        <v>543</v>
      </c>
      <c r="C1317" s="25">
        <v>55</v>
      </c>
      <c r="D1317" s="25">
        <v>19</v>
      </c>
      <c r="E1317" s="25">
        <v>0</v>
      </c>
      <c r="F1317" s="25">
        <v>2</v>
      </c>
      <c r="G1317" s="25">
        <v>33</v>
      </c>
      <c r="H1317" s="25" t="s">
        <v>50</v>
      </c>
      <c r="I1317" s="25">
        <v>0</v>
      </c>
      <c r="J1317" s="25">
        <v>1</v>
      </c>
    </row>
    <row r="1318" spans="1:10" ht="12.75" customHeight="1" x14ac:dyDescent="0.2">
      <c r="A1318" s="24"/>
      <c r="B1318" s="22" t="s">
        <v>544</v>
      </c>
      <c r="C1318" s="25" t="s">
        <v>44</v>
      </c>
      <c r="D1318" s="25">
        <v>1</v>
      </c>
      <c r="E1318" s="25">
        <v>0</v>
      </c>
      <c r="F1318" s="25">
        <v>0</v>
      </c>
      <c r="G1318" s="25">
        <v>3</v>
      </c>
      <c r="H1318" s="25" t="s">
        <v>50</v>
      </c>
      <c r="I1318" s="25">
        <v>0</v>
      </c>
      <c r="J1318" s="25" t="s">
        <v>44</v>
      </c>
    </row>
    <row r="1319" spans="1:10" ht="12.75" customHeight="1" x14ac:dyDescent="0.2">
      <c r="A1319" s="24"/>
      <c r="B1319" s="24" t="s">
        <v>45</v>
      </c>
      <c r="C1319" s="25" t="s">
        <v>44</v>
      </c>
      <c r="D1319" s="25">
        <v>1</v>
      </c>
      <c r="E1319" s="25">
        <v>0</v>
      </c>
      <c r="F1319" s="25">
        <v>0</v>
      </c>
      <c r="G1319" s="25">
        <v>2</v>
      </c>
      <c r="H1319" s="25">
        <v>0</v>
      </c>
      <c r="I1319" s="25">
        <v>0</v>
      </c>
      <c r="J1319" s="25" t="s">
        <v>44</v>
      </c>
    </row>
    <row r="1320" spans="1:10" ht="12.75" customHeight="1" x14ac:dyDescent="0.2">
      <c r="A1320" s="24"/>
      <c r="B1320" s="24" t="s">
        <v>46</v>
      </c>
      <c r="C1320" s="25" t="s">
        <v>44</v>
      </c>
      <c r="D1320" s="25">
        <v>0</v>
      </c>
      <c r="E1320" s="25">
        <v>0</v>
      </c>
      <c r="F1320" s="25">
        <v>0</v>
      </c>
      <c r="G1320" s="25">
        <v>2</v>
      </c>
      <c r="H1320" s="25" t="s">
        <v>50</v>
      </c>
      <c r="I1320" s="25">
        <v>0</v>
      </c>
      <c r="J1320" s="25" t="s">
        <v>44</v>
      </c>
    </row>
    <row r="1321" spans="1:10" ht="12.75" customHeight="1" x14ac:dyDescent="0.2">
      <c r="A1321" s="24"/>
      <c r="B1321" s="22" t="s">
        <v>545</v>
      </c>
      <c r="C1321" s="25" t="s">
        <v>44</v>
      </c>
      <c r="D1321" s="25">
        <v>15</v>
      </c>
      <c r="E1321" s="25">
        <v>0</v>
      </c>
      <c r="F1321" s="25" t="s">
        <v>50</v>
      </c>
      <c r="G1321" s="25">
        <v>23</v>
      </c>
      <c r="H1321" s="25" t="s">
        <v>50</v>
      </c>
      <c r="I1321" s="25">
        <v>0</v>
      </c>
      <c r="J1321" s="25" t="s">
        <v>44</v>
      </c>
    </row>
    <row r="1322" spans="1:10" ht="12.75" customHeight="1" x14ac:dyDescent="0.2">
      <c r="A1322" s="24"/>
      <c r="B1322" s="24" t="s">
        <v>48</v>
      </c>
      <c r="C1322" s="25" t="s">
        <v>44</v>
      </c>
      <c r="D1322" s="25">
        <v>2</v>
      </c>
      <c r="E1322" s="25">
        <v>0</v>
      </c>
      <c r="F1322" s="25">
        <v>0</v>
      </c>
      <c r="G1322" s="25">
        <v>21</v>
      </c>
      <c r="H1322" s="25" t="s">
        <v>50</v>
      </c>
      <c r="I1322" s="25">
        <v>0</v>
      </c>
      <c r="J1322" s="25" t="s">
        <v>44</v>
      </c>
    </row>
    <row r="1323" spans="1:10" ht="12.75" customHeight="1" x14ac:dyDescent="0.2">
      <c r="A1323" s="24"/>
      <c r="B1323" s="24" t="s">
        <v>49</v>
      </c>
      <c r="C1323" s="25" t="s">
        <v>44</v>
      </c>
      <c r="D1323" s="25">
        <v>1</v>
      </c>
      <c r="E1323" s="25">
        <v>0</v>
      </c>
      <c r="F1323" s="25">
        <v>0</v>
      </c>
      <c r="G1323" s="25">
        <v>1</v>
      </c>
      <c r="H1323" s="25" t="s">
        <v>50</v>
      </c>
      <c r="I1323" s="25">
        <v>0</v>
      </c>
      <c r="J1323" s="25" t="s">
        <v>44</v>
      </c>
    </row>
    <row r="1324" spans="1:10" ht="12.75" customHeight="1" x14ac:dyDescent="0.2">
      <c r="A1324" s="24"/>
      <c r="B1324" s="24" t="s">
        <v>51</v>
      </c>
      <c r="C1324" s="25" t="s">
        <v>44</v>
      </c>
      <c r="D1324" s="25">
        <v>11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0" ht="12.75" customHeight="1" x14ac:dyDescent="0.2">
      <c r="A1325" s="24"/>
      <c r="B1325" s="24" t="s">
        <v>52</v>
      </c>
      <c r="C1325" s="25" t="s">
        <v>44</v>
      </c>
      <c r="D1325" s="25" t="s">
        <v>50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0" ht="12.75" customHeight="1" x14ac:dyDescent="0.2">
      <c r="A1326" s="24"/>
      <c r="B1326" s="24" t="s">
        <v>53</v>
      </c>
      <c r="C1326" s="25" t="s">
        <v>44</v>
      </c>
      <c r="D1326" s="25">
        <v>1</v>
      </c>
      <c r="E1326" s="25">
        <v>0</v>
      </c>
      <c r="F1326" s="25" t="s">
        <v>50</v>
      </c>
      <c r="G1326" s="25">
        <v>0</v>
      </c>
      <c r="H1326" s="25" t="s">
        <v>50</v>
      </c>
      <c r="I1326" s="25">
        <v>0</v>
      </c>
      <c r="J1326" s="25" t="s">
        <v>44</v>
      </c>
    </row>
    <row r="1327" spans="1:10" ht="12.75" customHeight="1" x14ac:dyDescent="0.2">
      <c r="A1327" s="24"/>
      <c r="B1327" s="22" t="s">
        <v>546</v>
      </c>
      <c r="C1327" s="25" t="s">
        <v>44</v>
      </c>
      <c r="D1327" s="25">
        <v>3</v>
      </c>
      <c r="E1327" s="25">
        <v>0</v>
      </c>
      <c r="F1327" s="25" t="s">
        <v>50</v>
      </c>
      <c r="G1327" s="25">
        <v>7</v>
      </c>
      <c r="H1327" s="25" t="s">
        <v>50</v>
      </c>
      <c r="I1327" s="25">
        <v>0</v>
      </c>
      <c r="J1327" s="25" t="s">
        <v>44</v>
      </c>
    </row>
    <row r="1328" spans="1:10" ht="12.75" customHeight="1" x14ac:dyDescent="0.2">
      <c r="A1328" s="24"/>
      <c r="B1328" s="24" t="s">
        <v>547</v>
      </c>
      <c r="C1328" s="25" t="s">
        <v>44</v>
      </c>
      <c r="D1328" s="25">
        <v>2</v>
      </c>
      <c r="E1328" s="25">
        <v>0</v>
      </c>
      <c r="F1328" s="25" t="s">
        <v>50</v>
      </c>
      <c r="G1328" s="25">
        <v>5</v>
      </c>
      <c r="H1328" s="25" t="s">
        <v>50</v>
      </c>
      <c r="I1328" s="25">
        <v>0</v>
      </c>
      <c r="J1328" s="25" t="s">
        <v>44</v>
      </c>
    </row>
    <row r="1329" spans="1:10" ht="12.75" customHeight="1" x14ac:dyDescent="0.2">
      <c r="A1329" s="24"/>
      <c r="B1329" s="24" t="s">
        <v>54</v>
      </c>
      <c r="C1329" s="25" t="s">
        <v>44</v>
      </c>
      <c r="D1329" s="25">
        <v>1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0" ht="12.75" customHeight="1" x14ac:dyDescent="0.2">
      <c r="A1330" s="24"/>
      <c r="B1330" s="24" t="s">
        <v>55</v>
      </c>
      <c r="C1330" s="25" t="s">
        <v>44</v>
      </c>
      <c r="D1330" s="25" t="s">
        <v>50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0" ht="12.75" customHeight="1" x14ac:dyDescent="0.2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 t="s">
        <v>50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0" ht="12.75" customHeight="1" x14ac:dyDescent="0.2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>
        <v>0</v>
      </c>
      <c r="I1332" s="25">
        <v>0</v>
      </c>
      <c r="J1332" s="25" t="s">
        <v>44</v>
      </c>
    </row>
    <row r="1333" spans="1:10" ht="12.75" customHeight="1" x14ac:dyDescent="0.2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1</v>
      </c>
      <c r="H1333" s="25">
        <v>0</v>
      </c>
      <c r="I1333" s="25">
        <v>0</v>
      </c>
      <c r="J1333" s="25" t="s">
        <v>44</v>
      </c>
    </row>
    <row r="1334" spans="1:10" ht="12.75" customHeight="1" x14ac:dyDescent="0.2">
      <c r="A1334" s="24"/>
      <c r="B1334" s="22" t="s">
        <v>548</v>
      </c>
      <c r="C1334" s="25">
        <v>3</v>
      </c>
      <c r="D1334" s="25" t="s">
        <v>50</v>
      </c>
      <c r="E1334" s="25">
        <v>0</v>
      </c>
      <c r="F1334" s="25">
        <v>2</v>
      </c>
      <c r="G1334" s="25">
        <v>0</v>
      </c>
      <c r="H1334" s="25" t="s">
        <v>50</v>
      </c>
      <c r="I1334" s="25">
        <v>0</v>
      </c>
      <c r="J1334" s="25">
        <v>1</v>
      </c>
    </row>
    <row r="1335" spans="1:10" ht="12.75" customHeight="1" x14ac:dyDescent="0.2">
      <c r="A1335" s="24"/>
      <c r="B1335" s="24"/>
      <c r="C1335" s="25"/>
      <c r="D1335" s="25"/>
      <c r="E1335" s="25"/>
      <c r="F1335" s="25"/>
      <c r="G1335" s="25"/>
      <c r="H1335" s="25"/>
      <c r="I1335" s="25"/>
      <c r="J1335" s="25"/>
    </row>
    <row r="1336" spans="1:10" s="12" customFormat="1" ht="12.75" customHeight="1" x14ac:dyDescent="0.2">
      <c r="A1336" s="22" t="s">
        <v>125</v>
      </c>
      <c r="B1336" s="22" t="s">
        <v>600</v>
      </c>
      <c r="C1336" s="27"/>
      <c r="D1336" s="27"/>
      <c r="E1336" s="27"/>
      <c r="F1336" s="27"/>
      <c r="G1336" s="27"/>
      <c r="H1336" s="27"/>
      <c r="I1336" s="27"/>
      <c r="J1336" s="27"/>
    </row>
    <row r="1337" spans="1:10" ht="12.75" customHeight="1" x14ac:dyDescent="0.2">
      <c r="A1337" s="29"/>
      <c r="B1337" s="30"/>
      <c r="C1337" s="25"/>
      <c r="D1337" s="25"/>
      <c r="E1337" s="25"/>
      <c r="F1337" s="25"/>
      <c r="G1337" s="25"/>
      <c r="H1337" s="25"/>
      <c r="I1337" s="25"/>
      <c r="J1337" s="25"/>
    </row>
    <row r="1338" spans="1:10" ht="12.75" customHeight="1" x14ac:dyDescent="0.2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0" ht="12.75" customHeight="1" x14ac:dyDescent="0.2">
      <c r="A1339" s="24"/>
      <c r="B1339" s="22" t="s">
        <v>543</v>
      </c>
      <c r="C1339" s="25">
        <v>189</v>
      </c>
      <c r="D1339" s="25">
        <v>68</v>
      </c>
      <c r="E1339" s="25">
        <v>0</v>
      </c>
      <c r="F1339" s="25">
        <v>1</v>
      </c>
      <c r="G1339" s="25">
        <v>118</v>
      </c>
      <c r="H1339" s="25">
        <v>1</v>
      </c>
      <c r="I1339" s="25">
        <v>0</v>
      </c>
      <c r="J1339" s="25">
        <v>2</v>
      </c>
    </row>
    <row r="1340" spans="1:10" ht="12.75" customHeight="1" x14ac:dyDescent="0.2">
      <c r="A1340" s="24"/>
      <c r="B1340" s="22" t="s">
        <v>544</v>
      </c>
      <c r="C1340" s="25" t="s">
        <v>44</v>
      </c>
      <c r="D1340" s="25" t="s">
        <v>50</v>
      </c>
      <c r="E1340" s="25">
        <v>0</v>
      </c>
      <c r="F1340" s="25">
        <v>0</v>
      </c>
      <c r="G1340" s="25">
        <v>14</v>
      </c>
      <c r="H1340" s="25" t="s">
        <v>50</v>
      </c>
      <c r="I1340" s="25">
        <v>0</v>
      </c>
      <c r="J1340" s="25" t="s">
        <v>44</v>
      </c>
    </row>
    <row r="1341" spans="1:10" ht="12.75" customHeight="1" x14ac:dyDescent="0.2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>
        <v>0</v>
      </c>
      <c r="I1341" s="25">
        <v>0</v>
      </c>
      <c r="J1341" s="25" t="s">
        <v>44</v>
      </c>
    </row>
    <row r="1342" spans="1:10" ht="12.75" customHeight="1" x14ac:dyDescent="0.2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>
        <v>0</v>
      </c>
      <c r="G1342" s="25">
        <v>13</v>
      </c>
      <c r="H1342" s="25" t="s">
        <v>50</v>
      </c>
      <c r="I1342" s="25">
        <v>0</v>
      </c>
      <c r="J1342" s="25" t="s">
        <v>44</v>
      </c>
    </row>
    <row r="1343" spans="1:10" ht="12.75" customHeight="1" x14ac:dyDescent="0.2">
      <c r="A1343" s="24"/>
      <c r="B1343" s="22" t="s">
        <v>545</v>
      </c>
      <c r="C1343" s="25" t="s">
        <v>44</v>
      </c>
      <c r="D1343" s="25">
        <v>61</v>
      </c>
      <c r="E1343" s="25">
        <v>0</v>
      </c>
      <c r="F1343" s="25" t="s">
        <v>50</v>
      </c>
      <c r="G1343" s="25">
        <v>96</v>
      </c>
      <c r="H1343" s="25" t="s">
        <v>50</v>
      </c>
      <c r="I1343" s="25">
        <v>0</v>
      </c>
      <c r="J1343" s="25" t="s">
        <v>44</v>
      </c>
    </row>
    <row r="1344" spans="1:10" ht="12.75" customHeight="1" x14ac:dyDescent="0.2">
      <c r="A1344" s="24"/>
      <c r="B1344" s="24" t="s">
        <v>48</v>
      </c>
      <c r="C1344" s="25" t="s">
        <v>44</v>
      </c>
      <c r="D1344" s="25">
        <v>4</v>
      </c>
      <c r="E1344" s="25">
        <v>0</v>
      </c>
      <c r="F1344" s="25">
        <v>0</v>
      </c>
      <c r="G1344" s="25">
        <v>89</v>
      </c>
      <c r="H1344" s="25" t="s">
        <v>50</v>
      </c>
      <c r="I1344" s="25">
        <v>0</v>
      </c>
      <c r="J1344" s="25" t="s">
        <v>44</v>
      </c>
    </row>
    <row r="1345" spans="1:10" ht="12.75" customHeight="1" x14ac:dyDescent="0.2">
      <c r="A1345" s="24"/>
      <c r="B1345" s="24" t="s">
        <v>49</v>
      </c>
      <c r="C1345" s="25" t="s">
        <v>44</v>
      </c>
      <c r="D1345" s="25">
        <v>1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0" ht="12.75" customHeight="1" x14ac:dyDescent="0.2">
      <c r="A1346" s="24"/>
      <c r="B1346" s="24" t="s">
        <v>51</v>
      </c>
      <c r="C1346" s="25" t="s">
        <v>44</v>
      </c>
      <c r="D1346" s="74">
        <v>14.473684210526315</v>
      </c>
      <c r="E1346" s="25">
        <v>0</v>
      </c>
      <c r="F1346" s="25" t="s">
        <v>50</v>
      </c>
      <c r="G1346" s="25">
        <v>5</v>
      </c>
      <c r="H1346" s="25" t="s">
        <v>50</v>
      </c>
      <c r="I1346" s="25">
        <v>0</v>
      </c>
      <c r="J1346" s="25" t="s">
        <v>44</v>
      </c>
    </row>
    <row r="1347" spans="1:10" ht="12.75" customHeight="1" x14ac:dyDescent="0.2">
      <c r="A1347" s="24"/>
      <c r="B1347" s="24" t="s">
        <v>52</v>
      </c>
      <c r="C1347" s="25" t="s">
        <v>44</v>
      </c>
      <c r="D1347" s="74">
        <v>40.526315789473685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0" ht="12.75" customHeight="1" x14ac:dyDescent="0.2">
      <c r="A1348" s="24"/>
      <c r="B1348" s="24" t="s">
        <v>53</v>
      </c>
      <c r="C1348" s="25" t="s">
        <v>44</v>
      </c>
      <c r="D1348" s="25">
        <v>1</v>
      </c>
      <c r="E1348" s="25">
        <v>0</v>
      </c>
      <c r="F1348" s="25" t="s">
        <v>50</v>
      </c>
      <c r="G1348" s="25">
        <v>2</v>
      </c>
      <c r="H1348" s="25" t="s">
        <v>50</v>
      </c>
      <c r="I1348" s="25">
        <v>0</v>
      </c>
      <c r="J1348" s="25" t="s">
        <v>44</v>
      </c>
    </row>
    <row r="1349" spans="1:10" ht="12.75" customHeight="1" x14ac:dyDescent="0.2">
      <c r="A1349" s="24"/>
      <c r="B1349" s="22" t="s">
        <v>546</v>
      </c>
      <c r="C1349" s="25" t="s">
        <v>44</v>
      </c>
      <c r="D1349" s="25">
        <v>6</v>
      </c>
      <c r="E1349" s="25">
        <v>0</v>
      </c>
      <c r="F1349" s="25">
        <v>1</v>
      </c>
      <c r="G1349" s="25">
        <v>8</v>
      </c>
      <c r="H1349" s="25">
        <v>1</v>
      </c>
      <c r="I1349" s="25">
        <v>0</v>
      </c>
      <c r="J1349" s="25" t="s">
        <v>44</v>
      </c>
    </row>
    <row r="1350" spans="1:10" ht="12.75" customHeight="1" x14ac:dyDescent="0.2">
      <c r="A1350" s="24"/>
      <c r="B1350" s="24" t="s">
        <v>547</v>
      </c>
      <c r="C1350" s="25" t="s">
        <v>44</v>
      </c>
      <c r="D1350" s="25">
        <v>2</v>
      </c>
      <c r="E1350" s="25">
        <v>0</v>
      </c>
      <c r="F1350" s="25" t="s">
        <v>50</v>
      </c>
      <c r="G1350" s="25">
        <v>6</v>
      </c>
      <c r="H1350" s="25" t="s">
        <v>50</v>
      </c>
      <c r="I1350" s="25">
        <v>0</v>
      </c>
      <c r="J1350" s="25" t="s">
        <v>44</v>
      </c>
    </row>
    <row r="1351" spans="1:10" ht="12.75" customHeight="1" x14ac:dyDescent="0.2">
      <c r="A1351" s="24"/>
      <c r="B1351" s="24" t="s">
        <v>54</v>
      </c>
      <c r="C1351" s="25" t="s">
        <v>44</v>
      </c>
      <c r="D1351" s="25">
        <v>2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0" ht="12.75" customHeight="1" x14ac:dyDescent="0.2">
      <c r="A1352" s="24"/>
      <c r="B1352" s="24" t="s">
        <v>55</v>
      </c>
      <c r="C1352" s="25" t="s">
        <v>44</v>
      </c>
      <c r="D1352" s="25">
        <v>1</v>
      </c>
      <c r="E1352" s="25">
        <v>0</v>
      </c>
      <c r="F1352" s="25">
        <v>0</v>
      </c>
      <c r="G1352" s="25">
        <v>2</v>
      </c>
      <c r="H1352" s="25" t="s">
        <v>50</v>
      </c>
      <c r="I1352" s="25">
        <v>0</v>
      </c>
      <c r="J1352" s="25" t="s">
        <v>44</v>
      </c>
    </row>
    <row r="1353" spans="1:10" ht="12.75" customHeight="1" x14ac:dyDescent="0.2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>
        <v>1</v>
      </c>
      <c r="G1353" s="25" t="s">
        <v>50</v>
      </c>
      <c r="H1353" s="25">
        <v>1</v>
      </c>
      <c r="I1353" s="25" t="s">
        <v>44</v>
      </c>
      <c r="J1353" s="25" t="s">
        <v>44</v>
      </c>
    </row>
    <row r="1354" spans="1:10" ht="12.75" customHeight="1" x14ac:dyDescent="0.2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>
        <v>0</v>
      </c>
      <c r="I1354" s="25">
        <v>0</v>
      </c>
      <c r="J1354" s="25" t="s">
        <v>44</v>
      </c>
    </row>
    <row r="1355" spans="1:10" ht="12.75" customHeight="1" x14ac:dyDescent="0.2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 t="s">
        <v>50</v>
      </c>
      <c r="G1355" s="25" t="s">
        <v>50</v>
      </c>
      <c r="H1355" s="25" t="s">
        <v>50</v>
      </c>
      <c r="I1355" s="25">
        <v>0</v>
      </c>
      <c r="J1355" s="25" t="s">
        <v>44</v>
      </c>
    </row>
    <row r="1356" spans="1:10" ht="12.75" customHeight="1" x14ac:dyDescent="0.2">
      <c r="A1356" s="24"/>
      <c r="B1356" s="22" t="s">
        <v>548</v>
      </c>
      <c r="C1356" s="25">
        <v>2</v>
      </c>
      <c r="D1356" s="25" t="s">
        <v>50</v>
      </c>
      <c r="E1356" s="25">
        <v>0</v>
      </c>
      <c r="F1356" s="25">
        <v>0</v>
      </c>
      <c r="G1356" s="25" t="s">
        <v>50</v>
      </c>
      <c r="H1356" s="25" t="s">
        <v>50</v>
      </c>
      <c r="I1356" s="25">
        <v>0</v>
      </c>
      <c r="J1356" s="25">
        <v>2</v>
      </c>
    </row>
    <row r="1357" spans="1:10" ht="12.75" customHeight="1" x14ac:dyDescent="0.2">
      <c r="A1357" s="24"/>
      <c r="B1357" s="24"/>
      <c r="C1357" s="25"/>
      <c r="D1357" s="25"/>
      <c r="E1357" s="25"/>
      <c r="F1357" s="25"/>
      <c r="G1357" s="25"/>
      <c r="H1357" s="25"/>
      <c r="I1357" s="25"/>
      <c r="J1357" s="25"/>
    </row>
    <row r="1358" spans="1:10" s="12" customFormat="1" ht="12.75" customHeight="1" x14ac:dyDescent="0.2">
      <c r="A1358" s="22" t="s">
        <v>126</v>
      </c>
      <c r="B1358" s="22" t="s">
        <v>601</v>
      </c>
      <c r="C1358" s="27"/>
      <c r="D1358" s="27"/>
      <c r="E1358" s="27"/>
      <c r="F1358" s="27"/>
      <c r="G1358" s="27"/>
      <c r="H1358" s="27"/>
      <c r="I1358" s="27"/>
      <c r="J1358" s="27"/>
    </row>
    <row r="1359" spans="1:10" ht="12.75" customHeight="1" x14ac:dyDescent="0.2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0" ht="12.75" customHeight="1" x14ac:dyDescent="0.2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2">
      <c r="A1361" s="24"/>
      <c r="B1361" s="22" t="s">
        <v>543</v>
      </c>
      <c r="C1361" s="25">
        <v>22</v>
      </c>
      <c r="D1361" s="25">
        <v>2</v>
      </c>
      <c r="E1361" s="25">
        <v>0</v>
      </c>
      <c r="F1361" s="25" t="s">
        <v>50</v>
      </c>
      <c r="G1361" s="25">
        <v>20</v>
      </c>
      <c r="H1361" s="25" t="s">
        <v>50</v>
      </c>
      <c r="I1361" s="25">
        <v>0</v>
      </c>
      <c r="J1361" s="25" t="s">
        <v>50</v>
      </c>
    </row>
    <row r="1362" spans="1:10" ht="12.75" customHeight="1" x14ac:dyDescent="0.2">
      <c r="A1362" s="24"/>
      <c r="B1362" s="22" t="s">
        <v>544</v>
      </c>
      <c r="C1362" s="25" t="s">
        <v>44</v>
      </c>
      <c r="D1362" s="25">
        <v>0</v>
      </c>
      <c r="E1362" s="25">
        <v>0</v>
      </c>
      <c r="F1362" s="25">
        <v>0</v>
      </c>
      <c r="G1362" s="25" t="s">
        <v>50</v>
      </c>
      <c r="H1362" s="25">
        <v>0</v>
      </c>
      <c r="I1362" s="25">
        <v>0</v>
      </c>
      <c r="J1362" s="25" t="s">
        <v>44</v>
      </c>
    </row>
    <row r="1363" spans="1:10" ht="12.75" customHeight="1" x14ac:dyDescent="0.2">
      <c r="A1363" s="24"/>
      <c r="B1363" s="24" t="s">
        <v>45</v>
      </c>
      <c r="C1363" s="25" t="s">
        <v>44</v>
      </c>
      <c r="D1363" s="25">
        <v>0</v>
      </c>
      <c r="E1363" s="25">
        <v>0</v>
      </c>
      <c r="F1363" s="25">
        <v>0</v>
      </c>
      <c r="G1363" s="25">
        <v>0</v>
      </c>
      <c r="H1363" s="25">
        <v>0</v>
      </c>
      <c r="I1363" s="25">
        <v>0</v>
      </c>
      <c r="J1363" s="25" t="s">
        <v>44</v>
      </c>
    </row>
    <row r="1364" spans="1:10" ht="12.75" customHeight="1" x14ac:dyDescent="0.2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>
        <v>0</v>
      </c>
      <c r="G1364" s="25" t="s">
        <v>50</v>
      </c>
      <c r="H1364" s="25">
        <v>0</v>
      </c>
      <c r="I1364" s="25">
        <v>0</v>
      </c>
      <c r="J1364" s="25" t="s">
        <v>44</v>
      </c>
    </row>
    <row r="1365" spans="1:10" ht="12.75" customHeight="1" x14ac:dyDescent="0.2">
      <c r="A1365" s="24"/>
      <c r="B1365" s="22" t="s">
        <v>545</v>
      </c>
      <c r="C1365" s="25" t="s">
        <v>44</v>
      </c>
      <c r="D1365" s="25">
        <v>2</v>
      </c>
      <c r="E1365" s="25">
        <v>0</v>
      </c>
      <c r="F1365" s="25" t="s">
        <v>50</v>
      </c>
      <c r="G1365" s="25">
        <v>19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2">
      <c r="A1366" s="24"/>
      <c r="B1366" s="24" t="s">
        <v>48</v>
      </c>
      <c r="C1366" s="25" t="s">
        <v>44</v>
      </c>
      <c r="D1366" s="25" t="s">
        <v>50</v>
      </c>
      <c r="E1366" s="25">
        <v>0</v>
      </c>
      <c r="F1366" s="25">
        <v>0</v>
      </c>
      <c r="G1366" s="25">
        <v>16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2">
      <c r="A1367" s="24"/>
      <c r="B1367" s="24" t="s">
        <v>49</v>
      </c>
      <c r="C1367" s="25" t="s">
        <v>44</v>
      </c>
      <c r="D1367" s="25" t="s">
        <v>50</v>
      </c>
      <c r="E1367" s="25">
        <v>0</v>
      </c>
      <c r="F1367" s="25">
        <v>0</v>
      </c>
      <c r="G1367" s="25" t="s">
        <v>50</v>
      </c>
      <c r="H1367" s="25">
        <v>0</v>
      </c>
      <c r="I1367" s="25">
        <v>0</v>
      </c>
      <c r="J1367" s="25" t="s">
        <v>44</v>
      </c>
    </row>
    <row r="1368" spans="1:10" ht="12.75" customHeight="1" x14ac:dyDescent="0.2">
      <c r="A1368" s="24"/>
      <c r="B1368" s="24" t="s">
        <v>51</v>
      </c>
      <c r="C1368" s="25" t="s">
        <v>44</v>
      </c>
      <c r="D1368" s="25">
        <v>1</v>
      </c>
      <c r="E1368" s="25">
        <v>0</v>
      </c>
      <c r="F1368" s="25" t="s">
        <v>50</v>
      </c>
      <c r="G1368" s="25">
        <v>2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2">
      <c r="A1369" s="24"/>
      <c r="B1369" s="24" t="s">
        <v>52</v>
      </c>
      <c r="C1369" s="25" t="s">
        <v>44</v>
      </c>
      <c r="D1369" s="25" t="s">
        <v>50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2">
      <c r="A1370" s="24"/>
      <c r="B1370" s="24" t="s">
        <v>53</v>
      </c>
      <c r="C1370" s="25" t="s">
        <v>44</v>
      </c>
      <c r="D1370" s="25" t="s">
        <v>50</v>
      </c>
      <c r="E1370" s="25">
        <v>0</v>
      </c>
      <c r="F1370" s="25">
        <v>0</v>
      </c>
      <c r="G1370" s="25" t="s">
        <v>50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2">
      <c r="A1371" s="24"/>
      <c r="B1371" s="22" t="s">
        <v>546</v>
      </c>
      <c r="C1371" s="25" t="s">
        <v>44</v>
      </c>
      <c r="D1371" s="25" t="s">
        <v>50</v>
      </c>
      <c r="E1371" s="25">
        <v>0</v>
      </c>
      <c r="F1371" s="25" t="s">
        <v>50</v>
      </c>
      <c r="G1371" s="25">
        <v>1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2">
      <c r="A1372" s="24"/>
      <c r="B1372" s="24" t="s">
        <v>547</v>
      </c>
      <c r="C1372" s="25" t="s">
        <v>44</v>
      </c>
      <c r="D1372" s="25" t="s">
        <v>50</v>
      </c>
      <c r="E1372" s="25">
        <v>0</v>
      </c>
      <c r="F1372" s="25">
        <v>0</v>
      </c>
      <c r="G1372" s="25">
        <v>1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2">
      <c r="A1373" s="24"/>
      <c r="B1373" s="24" t="s">
        <v>54</v>
      </c>
      <c r="C1373" s="25" t="s">
        <v>44</v>
      </c>
      <c r="D1373" s="25" t="s">
        <v>50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2">
      <c r="A1374" s="24"/>
      <c r="B1374" s="24" t="s">
        <v>55</v>
      </c>
      <c r="C1374" s="25" t="s">
        <v>44</v>
      </c>
      <c r="D1374" s="25" t="s">
        <v>50</v>
      </c>
      <c r="E1374" s="25">
        <v>0</v>
      </c>
      <c r="F1374" s="25">
        <v>0</v>
      </c>
      <c r="G1374" s="25" t="s">
        <v>50</v>
      </c>
      <c r="H1374" s="25">
        <v>0</v>
      </c>
      <c r="I1374" s="25">
        <v>0</v>
      </c>
      <c r="J1374" s="25" t="s">
        <v>44</v>
      </c>
    </row>
    <row r="1375" spans="1:10" ht="12.75" customHeight="1" x14ac:dyDescent="0.2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 t="s">
        <v>50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2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 t="s">
        <v>50</v>
      </c>
      <c r="G1376" s="25" t="s">
        <v>50</v>
      </c>
      <c r="H1376" s="25">
        <v>0</v>
      </c>
      <c r="I1376" s="25">
        <v>0</v>
      </c>
      <c r="J1376" s="25" t="s">
        <v>44</v>
      </c>
    </row>
    <row r="1377" spans="1:10" ht="12.75" customHeight="1" x14ac:dyDescent="0.2">
      <c r="A1377" s="24"/>
      <c r="B1377" s="24" t="s">
        <v>58</v>
      </c>
      <c r="C1377" s="25" t="s">
        <v>44</v>
      </c>
      <c r="D1377" s="25" t="s">
        <v>50</v>
      </c>
      <c r="E1377" s="25">
        <v>0</v>
      </c>
      <c r="F1377" s="25">
        <v>0</v>
      </c>
      <c r="G1377" s="25">
        <v>0</v>
      </c>
      <c r="H1377" s="25">
        <v>0</v>
      </c>
      <c r="I1377" s="25">
        <v>0</v>
      </c>
      <c r="J1377" s="25" t="s">
        <v>44</v>
      </c>
    </row>
    <row r="1378" spans="1:10" ht="12.75" customHeight="1" x14ac:dyDescent="0.2">
      <c r="A1378" s="24"/>
      <c r="B1378" s="22" t="s">
        <v>548</v>
      </c>
      <c r="C1378" s="25" t="s">
        <v>50</v>
      </c>
      <c r="D1378" s="25">
        <v>0</v>
      </c>
      <c r="E1378" s="25">
        <v>0</v>
      </c>
      <c r="F1378" s="25">
        <v>0</v>
      </c>
      <c r="G1378" s="25">
        <v>0</v>
      </c>
      <c r="H1378" s="25">
        <v>0</v>
      </c>
      <c r="I1378" s="25">
        <v>0</v>
      </c>
      <c r="J1378" s="25" t="s">
        <v>50</v>
      </c>
    </row>
    <row r="1379" spans="1:10" ht="12.75" customHeight="1" x14ac:dyDescent="0.2">
      <c r="A1379" s="24"/>
      <c r="B1379" s="24"/>
      <c r="C1379" s="25"/>
      <c r="D1379" s="25"/>
      <c r="E1379" s="25"/>
      <c r="F1379" s="25"/>
      <c r="G1379" s="25"/>
      <c r="H1379" s="25"/>
      <c r="I1379" s="25"/>
      <c r="J1379" s="25"/>
    </row>
    <row r="1380" spans="1:10" s="12" customFormat="1" ht="12.75" customHeight="1" x14ac:dyDescent="0.2">
      <c r="A1380" s="22" t="s">
        <v>127</v>
      </c>
      <c r="B1380" s="22" t="s">
        <v>602</v>
      </c>
      <c r="C1380" s="27"/>
      <c r="D1380" s="27"/>
      <c r="E1380" s="27"/>
      <c r="F1380" s="27"/>
      <c r="G1380" s="27"/>
      <c r="H1380" s="27"/>
      <c r="I1380" s="27"/>
      <c r="J1380" s="27"/>
    </row>
    <row r="1381" spans="1:10" ht="12.75" customHeight="1" x14ac:dyDescent="0.2">
      <c r="A1381" s="24"/>
      <c r="B1381" s="24"/>
      <c r="C1381" s="25"/>
      <c r="D1381" s="25"/>
      <c r="E1381" s="25"/>
      <c r="F1381" s="25"/>
      <c r="G1381" s="25"/>
      <c r="H1381" s="25"/>
      <c r="I1381" s="25"/>
      <c r="J1381" s="25"/>
    </row>
    <row r="1382" spans="1:10" ht="12.75" customHeight="1" x14ac:dyDescent="0.2">
      <c r="A1382" s="24"/>
      <c r="B1382" s="24"/>
      <c r="C1382" s="25"/>
      <c r="D1382" s="25"/>
      <c r="E1382" s="25"/>
      <c r="F1382" s="25"/>
      <c r="G1382" s="25"/>
      <c r="H1382" s="25"/>
      <c r="I1382" s="25"/>
      <c r="J1382" s="25"/>
    </row>
    <row r="1383" spans="1:10" ht="12.75" customHeight="1" x14ac:dyDescent="0.2">
      <c r="A1383" s="24"/>
      <c r="B1383" s="22" t="s">
        <v>543</v>
      </c>
      <c r="C1383" s="25">
        <v>84</v>
      </c>
      <c r="D1383" s="25">
        <v>21</v>
      </c>
      <c r="E1383" s="25">
        <v>0</v>
      </c>
      <c r="F1383" s="25">
        <v>1</v>
      </c>
      <c r="G1383" s="25">
        <v>62</v>
      </c>
      <c r="H1383" s="25" t="s">
        <v>50</v>
      </c>
      <c r="I1383" s="25">
        <v>0</v>
      </c>
      <c r="J1383" s="25" t="s">
        <v>50</v>
      </c>
    </row>
    <row r="1384" spans="1:10" ht="12.75" customHeight="1" x14ac:dyDescent="0.2">
      <c r="A1384" s="24"/>
      <c r="B1384" s="22" t="s">
        <v>544</v>
      </c>
      <c r="C1384" s="25" t="s">
        <v>44</v>
      </c>
      <c r="D1384" s="25" t="s">
        <v>50</v>
      </c>
      <c r="E1384" s="25">
        <v>0</v>
      </c>
      <c r="F1384" s="25">
        <v>0</v>
      </c>
      <c r="G1384" s="25">
        <v>2</v>
      </c>
      <c r="H1384" s="25" t="s">
        <v>50</v>
      </c>
      <c r="I1384" s="25">
        <v>0</v>
      </c>
      <c r="J1384" s="25" t="s">
        <v>44</v>
      </c>
    </row>
    <row r="1385" spans="1:10" ht="12.75" customHeight="1" x14ac:dyDescent="0.2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>
        <v>1</v>
      </c>
      <c r="H1385" s="25">
        <v>0</v>
      </c>
      <c r="I1385" s="25">
        <v>0</v>
      </c>
      <c r="J1385" s="25" t="s">
        <v>44</v>
      </c>
    </row>
    <row r="1386" spans="1:10" ht="12.75" customHeight="1" x14ac:dyDescent="0.2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>
        <v>1</v>
      </c>
      <c r="H1386" s="25" t="s">
        <v>50</v>
      </c>
      <c r="I1386" s="25">
        <v>0</v>
      </c>
      <c r="J1386" s="25" t="s">
        <v>44</v>
      </c>
    </row>
    <row r="1387" spans="1:10" ht="12.75" customHeight="1" x14ac:dyDescent="0.2">
      <c r="A1387" s="24"/>
      <c r="B1387" s="22" t="s">
        <v>545</v>
      </c>
      <c r="C1387" s="25" t="s">
        <v>44</v>
      </c>
      <c r="D1387" s="25">
        <v>17</v>
      </c>
      <c r="E1387" s="25">
        <v>0</v>
      </c>
      <c r="F1387" s="25" t="s">
        <v>50</v>
      </c>
      <c r="G1387" s="25">
        <v>55</v>
      </c>
      <c r="H1387" s="25" t="s">
        <v>50</v>
      </c>
      <c r="I1387" s="25">
        <v>0</v>
      </c>
      <c r="J1387" s="25" t="s">
        <v>44</v>
      </c>
    </row>
    <row r="1388" spans="1:10" ht="12.75" customHeight="1" x14ac:dyDescent="0.2">
      <c r="A1388" s="24"/>
      <c r="B1388" s="24" t="s">
        <v>48</v>
      </c>
      <c r="C1388" s="25" t="s">
        <v>44</v>
      </c>
      <c r="D1388" s="25">
        <v>2</v>
      </c>
      <c r="E1388" s="25">
        <v>0</v>
      </c>
      <c r="F1388" s="25">
        <v>0</v>
      </c>
      <c r="G1388" s="25">
        <v>54</v>
      </c>
      <c r="H1388" s="25" t="s">
        <v>50</v>
      </c>
      <c r="I1388" s="25">
        <v>0</v>
      </c>
      <c r="J1388" s="25" t="s">
        <v>44</v>
      </c>
    </row>
    <row r="1389" spans="1:10" ht="12.75" customHeight="1" x14ac:dyDescent="0.2">
      <c r="A1389" s="24"/>
      <c r="B1389" s="24" t="s">
        <v>49</v>
      </c>
      <c r="C1389" s="25" t="s">
        <v>44</v>
      </c>
      <c r="D1389" s="25">
        <v>1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0" ht="12.75" customHeight="1" x14ac:dyDescent="0.2">
      <c r="A1390" s="24"/>
      <c r="B1390" s="24" t="s">
        <v>51</v>
      </c>
      <c r="C1390" s="25" t="s">
        <v>44</v>
      </c>
      <c r="D1390" s="25">
        <v>14</v>
      </c>
      <c r="E1390" s="25">
        <v>0</v>
      </c>
      <c r="F1390" s="25" t="s">
        <v>50</v>
      </c>
      <c r="G1390" s="25">
        <v>1</v>
      </c>
      <c r="H1390" s="25">
        <v>0</v>
      </c>
      <c r="I1390" s="25">
        <v>0</v>
      </c>
      <c r="J1390" s="25" t="s">
        <v>44</v>
      </c>
    </row>
    <row r="1391" spans="1:10" ht="12.75" customHeight="1" x14ac:dyDescent="0.2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0" ht="12.75" customHeight="1" x14ac:dyDescent="0.2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>
        <v>1</v>
      </c>
      <c r="H1392" s="25" t="s">
        <v>50</v>
      </c>
      <c r="I1392" s="25">
        <v>0</v>
      </c>
      <c r="J1392" s="25" t="s">
        <v>44</v>
      </c>
    </row>
    <row r="1393" spans="1:10" ht="12.75" customHeight="1" x14ac:dyDescent="0.2">
      <c r="A1393" s="24"/>
      <c r="B1393" s="22" t="s">
        <v>546</v>
      </c>
      <c r="C1393" s="25" t="s">
        <v>44</v>
      </c>
      <c r="D1393" s="25">
        <v>4</v>
      </c>
      <c r="E1393" s="25">
        <v>0</v>
      </c>
      <c r="F1393" s="25">
        <v>1</v>
      </c>
      <c r="G1393" s="25">
        <v>5</v>
      </c>
      <c r="H1393" s="25" t="s">
        <v>50</v>
      </c>
      <c r="I1393" s="25">
        <v>0</v>
      </c>
      <c r="J1393" s="25" t="s">
        <v>44</v>
      </c>
    </row>
    <row r="1394" spans="1:10" ht="12.75" customHeight="1" x14ac:dyDescent="0.2">
      <c r="A1394" s="24"/>
      <c r="B1394" s="24" t="s">
        <v>547</v>
      </c>
      <c r="C1394" s="25" t="s">
        <v>44</v>
      </c>
      <c r="D1394" s="25">
        <v>1</v>
      </c>
      <c r="E1394" s="25">
        <v>0</v>
      </c>
      <c r="F1394" s="25" t="s">
        <v>50</v>
      </c>
      <c r="G1394" s="25">
        <v>4</v>
      </c>
      <c r="H1394" s="25" t="s">
        <v>50</v>
      </c>
      <c r="I1394" s="25">
        <v>0</v>
      </c>
      <c r="J1394" s="25" t="s">
        <v>44</v>
      </c>
    </row>
    <row r="1395" spans="1:10" ht="12.75" customHeight="1" x14ac:dyDescent="0.2">
      <c r="A1395" s="24"/>
      <c r="B1395" s="24" t="s">
        <v>54</v>
      </c>
      <c r="C1395" s="25" t="s">
        <v>44</v>
      </c>
      <c r="D1395" s="25">
        <v>1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0" ht="12.75" customHeight="1" x14ac:dyDescent="0.2">
      <c r="A1396" s="24"/>
      <c r="B1396" s="24" t="s">
        <v>55</v>
      </c>
      <c r="C1396" s="25" t="s">
        <v>44</v>
      </c>
      <c r="D1396" s="25">
        <v>1</v>
      </c>
      <c r="E1396" s="25">
        <v>0</v>
      </c>
      <c r="F1396" s="25">
        <v>0</v>
      </c>
      <c r="G1396" s="25">
        <v>1</v>
      </c>
      <c r="H1396" s="25">
        <v>0</v>
      </c>
      <c r="I1396" s="25">
        <v>0</v>
      </c>
      <c r="J1396" s="25" t="s">
        <v>44</v>
      </c>
    </row>
    <row r="1397" spans="1:10" ht="12.75" customHeight="1" x14ac:dyDescent="0.2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 t="s">
        <v>50</v>
      </c>
      <c r="H1397" s="25" t="s">
        <v>50</v>
      </c>
      <c r="I1397" s="25" t="s">
        <v>44</v>
      </c>
      <c r="J1397" s="25" t="s">
        <v>44</v>
      </c>
    </row>
    <row r="1398" spans="1:10" ht="12.75" customHeight="1" x14ac:dyDescent="0.2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 t="s">
        <v>50</v>
      </c>
      <c r="H1398" s="25">
        <v>0</v>
      </c>
      <c r="I1398" s="25">
        <v>0</v>
      </c>
      <c r="J1398" s="25" t="s">
        <v>44</v>
      </c>
    </row>
    <row r="1399" spans="1:10" ht="12.75" customHeight="1" x14ac:dyDescent="0.2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 t="s">
        <v>50</v>
      </c>
      <c r="H1399" s="25" t="s">
        <v>50</v>
      </c>
      <c r="I1399" s="25">
        <v>0</v>
      </c>
      <c r="J1399" s="25" t="s">
        <v>44</v>
      </c>
    </row>
    <row r="1400" spans="1:10" ht="12.75" customHeight="1" x14ac:dyDescent="0.2">
      <c r="A1400" s="24"/>
      <c r="B1400" s="22" t="s">
        <v>548</v>
      </c>
      <c r="C1400" s="25" t="s">
        <v>50</v>
      </c>
      <c r="D1400" s="25" t="s">
        <v>50</v>
      </c>
      <c r="E1400" s="25">
        <v>0</v>
      </c>
      <c r="F1400" s="25">
        <v>0</v>
      </c>
      <c r="G1400" s="25" t="s">
        <v>50</v>
      </c>
      <c r="H1400" s="25">
        <v>0</v>
      </c>
      <c r="I1400" s="25">
        <v>0</v>
      </c>
      <c r="J1400" s="25" t="s">
        <v>50</v>
      </c>
    </row>
    <row r="1401" spans="1:10" ht="12.75" customHeight="1" x14ac:dyDescent="0.2">
      <c r="A1401" s="24"/>
      <c r="B1401" s="24"/>
      <c r="C1401" s="25"/>
      <c r="D1401" s="25"/>
      <c r="E1401" s="25"/>
      <c r="F1401" s="25"/>
      <c r="G1401" s="25"/>
      <c r="H1401" s="25"/>
      <c r="I1401" s="25"/>
      <c r="J1401" s="25"/>
    </row>
    <row r="1402" spans="1:10" s="12" customFormat="1" ht="12.75" customHeight="1" x14ac:dyDescent="0.2">
      <c r="A1402" s="22" t="s">
        <v>128</v>
      </c>
      <c r="B1402" s="22" t="s">
        <v>603</v>
      </c>
      <c r="C1402" s="27"/>
      <c r="D1402" s="27"/>
      <c r="E1402" s="27"/>
      <c r="F1402" s="27"/>
      <c r="G1402" s="27"/>
      <c r="H1402" s="27"/>
      <c r="I1402" s="27"/>
      <c r="J1402" s="27"/>
    </row>
    <row r="1403" spans="1:10" ht="12.75" customHeight="1" x14ac:dyDescent="0.2">
      <c r="A1403" s="24"/>
      <c r="B1403" s="24"/>
      <c r="C1403" s="25"/>
      <c r="D1403" s="25"/>
      <c r="E1403" s="25"/>
      <c r="F1403" s="25"/>
      <c r="G1403" s="25"/>
      <c r="H1403" s="25"/>
      <c r="I1403" s="25"/>
      <c r="J1403" s="25"/>
    </row>
    <row r="1404" spans="1:10" ht="12.75" customHeight="1" x14ac:dyDescent="0.2">
      <c r="A1404" s="24"/>
      <c r="B1404" s="24"/>
      <c r="C1404" s="25"/>
      <c r="D1404" s="25"/>
      <c r="E1404" s="25"/>
      <c r="F1404" s="25"/>
      <c r="G1404" s="25"/>
      <c r="H1404" s="25"/>
      <c r="I1404" s="25"/>
      <c r="J1404" s="25"/>
    </row>
    <row r="1405" spans="1:10" ht="12.75" customHeight="1" x14ac:dyDescent="0.2">
      <c r="A1405" s="24"/>
      <c r="B1405" s="22" t="s">
        <v>543</v>
      </c>
      <c r="C1405" s="25">
        <v>26</v>
      </c>
      <c r="D1405" s="25">
        <v>7</v>
      </c>
      <c r="E1405" s="25">
        <v>0</v>
      </c>
      <c r="F1405" s="25" t="s">
        <v>50</v>
      </c>
      <c r="G1405" s="25">
        <v>18</v>
      </c>
      <c r="H1405" s="25" t="s">
        <v>50</v>
      </c>
      <c r="I1405" s="25">
        <v>0</v>
      </c>
      <c r="J1405" s="25" t="s">
        <v>50</v>
      </c>
    </row>
    <row r="1406" spans="1:10" ht="12.75" customHeight="1" x14ac:dyDescent="0.2">
      <c r="A1406" s="24"/>
      <c r="B1406" s="22" t="s">
        <v>544</v>
      </c>
      <c r="C1406" s="25" t="s">
        <v>44</v>
      </c>
      <c r="D1406" s="25" t="s">
        <v>50</v>
      </c>
      <c r="E1406" s="25">
        <v>0</v>
      </c>
      <c r="F1406" s="25">
        <v>0</v>
      </c>
      <c r="G1406" s="25" t="s">
        <v>47</v>
      </c>
      <c r="H1406" s="25" t="s">
        <v>50</v>
      </c>
      <c r="I1406" s="25">
        <v>0</v>
      </c>
      <c r="J1406" s="25" t="s">
        <v>44</v>
      </c>
    </row>
    <row r="1407" spans="1:10" ht="12.75" customHeight="1" x14ac:dyDescent="0.2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0" ht="12.75" customHeight="1" x14ac:dyDescent="0.2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>
        <v>0</v>
      </c>
      <c r="G1408" s="25" t="s">
        <v>47</v>
      </c>
      <c r="H1408" s="25" t="s">
        <v>50</v>
      </c>
      <c r="I1408" s="25">
        <v>0</v>
      </c>
      <c r="J1408" s="25" t="s">
        <v>44</v>
      </c>
    </row>
    <row r="1409" spans="1:10" ht="12.75" customHeight="1" x14ac:dyDescent="0.2">
      <c r="A1409" s="24"/>
      <c r="B1409" s="22" t="s">
        <v>545</v>
      </c>
      <c r="C1409" s="25" t="s">
        <v>44</v>
      </c>
      <c r="D1409" s="25">
        <v>6</v>
      </c>
      <c r="E1409" s="25">
        <v>0</v>
      </c>
      <c r="F1409" s="25" t="s">
        <v>50</v>
      </c>
      <c r="G1409" s="25" t="s">
        <v>47</v>
      </c>
      <c r="H1409" s="25" t="s">
        <v>50</v>
      </c>
      <c r="I1409" s="25">
        <v>0</v>
      </c>
      <c r="J1409" s="25" t="s">
        <v>44</v>
      </c>
    </row>
    <row r="1410" spans="1:10" ht="12.75" customHeight="1" x14ac:dyDescent="0.2">
      <c r="A1410" s="24"/>
      <c r="B1410" s="24" t="s">
        <v>48</v>
      </c>
      <c r="C1410" s="25" t="s">
        <v>44</v>
      </c>
      <c r="D1410" s="25">
        <v>1</v>
      </c>
      <c r="E1410" s="25">
        <v>0</v>
      </c>
      <c r="F1410" s="25">
        <v>0</v>
      </c>
      <c r="G1410" s="25" t="s">
        <v>47</v>
      </c>
      <c r="H1410" s="25" t="s">
        <v>50</v>
      </c>
      <c r="I1410" s="25">
        <v>0</v>
      </c>
      <c r="J1410" s="25" t="s">
        <v>44</v>
      </c>
    </row>
    <row r="1411" spans="1:10" ht="12.75" customHeight="1" x14ac:dyDescent="0.2">
      <c r="A1411" s="24"/>
      <c r="B1411" s="24" t="s">
        <v>49</v>
      </c>
      <c r="C1411" s="25" t="s">
        <v>44</v>
      </c>
      <c r="D1411" s="25" t="s">
        <v>50</v>
      </c>
      <c r="E1411" s="25">
        <v>0</v>
      </c>
      <c r="F1411" s="25">
        <v>0</v>
      </c>
      <c r="G1411" s="25" t="s">
        <v>50</v>
      </c>
      <c r="H1411" s="25" t="s">
        <v>50</v>
      </c>
      <c r="I1411" s="25">
        <v>0</v>
      </c>
      <c r="J1411" s="25" t="s">
        <v>44</v>
      </c>
    </row>
    <row r="1412" spans="1:10" ht="12.75" customHeight="1" x14ac:dyDescent="0.2">
      <c r="A1412" s="24"/>
      <c r="B1412" s="24" t="s">
        <v>51</v>
      </c>
      <c r="C1412" s="25" t="s">
        <v>44</v>
      </c>
      <c r="D1412" s="25">
        <v>4</v>
      </c>
      <c r="E1412" s="25">
        <v>0</v>
      </c>
      <c r="F1412" s="25">
        <v>0</v>
      </c>
      <c r="G1412" s="25">
        <v>2</v>
      </c>
      <c r="H1412" s="25" t="s">
        <v>50</v>
      </c>
      <c r="I1412" s="25">
        <v>0</v>
      </c>
      <c r="J1412" s="25" t="s">
        <v>44</v>
      </c>
    </row>
    <row r="1413" spans="1:10" ht="12.75" customHeight="1" x14ac:dyDescent="0.2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0" ht="12.75" customHeight="1" x14ac:dyDescent="0.2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1</v>
      </c>
      <c r="H1414" s="25" t="s">
        <v>50</v>
      </c>
      <c r="I1414" s="25">
        <v>0</v>
      </c>
      <c r="J1414" s="25" t="s">
        <v>44</v>
      </c>
    </row>
    <row r="1415" spans="1:10" ht="12.75" customHeight="1" x14ac:dyDescent="0.2">
      <c r="A1415" s="24"/>
      <c r="B1415" s="22" t="s">
        <v>546</v>
      </c>
      <c r="C1415" s="25" t="s">
        <v>44</v>
      </c>
      <c r="D1415" s="25">
        <v>1</v>
      </c>
      <c r="E1415" s="25">
        <v>0</v>
      </c>
      <c r="F1415" s="25" t="s">
        <v>50</v>
      </c>
      <c r="G1415" s="25" t="s">
        <v>47</v>
      </c>
      <c r="H1415" s="25" t="s">
        <v>50</v>
      </c>
      <c r="I1415" s="25">
        <v>0</v>
      </c>
      <c r="J1415" s="25" t="s">
        <v>44</v>
      </c>
    </row>
    <row r="1416" spans="1:10" ht="12.75" customHeight="1" x14ac:dyDescent="0.2">
      <c r="A1416" s="24"/>
      <c r="B1416" s="24" t="s">
        <v>547</v>
      </c>
      <c r="C1416" s="25" t="s">
        <v>44</v>
      </c>
      <c r="D1416" s="25" t="s">
        <v>50</v>
      </c>
      <c r="E1416" s="25">
        <v>0</v>
      </c>
      <c r="F1416" s="25">
        <v>0</v>
      </c>
      <c r="G1416" s="25" t="s">
        <v>47</v>
      </c>
      <c r="H1416" s="25" t="s">
        <v>50</v>
      </c>
      <c r="I1416" s="25">
        <v>0</v>
      </c>
      <c r="J1416" s="25" t="s">
        <v>44</v>
      </c>
    </row>
    <row r="1417" spans="1:10" ht="12.75" customHeight="1" x14ac:dyDescent="0.2">
      <c r="A1417" s="24"/>
      <c r="B1417" s="24" t="s">
        <v>54</v>
      </c>
      <c r="C1417" s="25" t="s">
        <v>44</v>
      </c>
      <c r="D1417" s="25" t="s">
        <v>50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0" ht="12.75" customHeight="1" x14ac:dyDescent="0.2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 t="s">
        <v>50</v>
      </c>
      <c r="I1418" s="25">
        <v>0</v>
      </c>
      <c r="J1418" s="25" t="s">
        <v>44</v>
      </c>
    </row>
    <row r="1419" spans="1:10" ht="12.75" customHeight="1" x14ac:dyDescent="0.2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 t="s">
        <v>50</v>
      </c>
      <c r="H1419" s="25" t="s">
        <v>50</v>
      </c>
      <c r="I1419" s="25" t="s">
        <v>44</v>
      </c>
      <c r="J1419" s="25" t="s">
        <v>44</v>
      </c>
    </row>
    <row r="1420" spans="1:10" ht="12.75" customHeight="1" x14ac:dyDescent="0.2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0" ht="12.75" customHeight="1" x14ac:dyDescent="0.2">
      <c r="A1421" s="24"/>
      <c r="B1421" s="24" t="s">
        <v>58</v>
      </c>
      <c r="C1421" s="25" t="s">
        <v>44</v>
      </c>
      <c r="D1421" s="25" t="s">
        <v>50</v>
      </c>
      <c r="E1421" s="25">
        <v>0</v>
      </c>
      <c r="F1421" s="25">
        <v>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0" ht="12.75" customHeight="1" x14ac:dyDescent="0.2">
      <c r="A1422" s="24"/>
      <c r="B1422" s="22" t="s">
        <v>548</v>
      </c>
      <c r="C1422" s="25" t="s">
        <v>50</v>
      </c>
      <c r="D1422" s="25" t="s">
        <v>50</v>
      </c>
      <c r="E1422" s="25">
        <v>0</v>
      </c>
      <c r="F1422" s="25">
        <v>0</v>
      </c>
      <c r="G1422" s="25">
        <v>0</v>
      </c>
      <c r="H1422" s="25" t="s">
        <v>50</v>
      </c>
      <c r="I1422" s="25">
        <v>0</v>
      </c>
      <c r="J1422" s="25" t="s">
        <v>50</v>
      </c>
    </row>
    <row r="1423" spans="1:10" ht="12.75" customHeight="1" x14ac:dyDescent="0.2">
      <c r="A1423" s="24"/>
      <c r="B1423" s="24"/>
      <c r="C1423" s="25"/>
      <c r="D1423" s="25"/>
      <c r="E1423" s="25"/>
      <c r="F1423" s="25"/>
      <c r="G1423" s="25"/>
      <c r="H1423" s="25"/>
      <c r="I1423" s="25"/>
      <c r="J1423" s="25"/>
    </row>
    <row r="1424" spans="1:10" s="12" customFormat="1" ht="12.75" customHeight="1" x14ac:dyDescent="0.2">
      <c r="A1424" s="22" t="s">
        <v>129</v>
      </c>
      <c r="B1424" s="22" t="s">
        <v>604</v>
      </c>
      <c r="C1424" s="27"/>
      <c r="D1424" s="27"/>
      <c r="E1424" s="27"/>
      <c r="F1424" s="27"/>
      <c r="G1424" s="27"/>
      <c r="H1424" s="27"/>
      <c r="I1424" s="27"/>
      <c r="J1424" s="27"/>
    </row>
    <row r="1425" spans="1:10" ht="12.75" customHeight="1" x14ac:dyDescent="0.2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2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2">
      <c r="A1427" s="24"/>
      <c r="B1427" s="22" t="s">
        <v>543</v>
      </c>
      <c r="C1427" s="25">
        <v>85</v>
      </c>
      <c r="D1427" s="25">
        <v>33</v>
      </c>
      <c r="E1427" s="25">
        <v>0</v>
      </c>
      <c r="F1427" s="25" t="s">
        <v>50</v>
      </c>
      <c r="G1427" s="25">
        <v>43</v>
      </c>
      <c r="H1427" s="25">
        <v>2</v>
      </c>
      <c r="I1427" s="25">
        <v>0</v>
      </c>
      <c r="J1427" s="25">
        <v>6</v>
      </c>
    </row>
    <row r="1428" spans="1:10" ht="12.75" customHeight="1" x14ac:dyDescent="0.2">
      <c r="A1428" s="24"/>
      <c r="B1428" s="22" t="s">
        <v>544</v>
      </c>
      <c r="C1428" s="25" t="s">
        <v>44</v>
      </c>
      <c r="D1428" s="25" t="s">
        <v>50</v>
      </c>
      <c r="E1428" s="25">
        <v>0</v>
      </c>
      <c r="F1428" s="25" t="s">
        <v>50</v>
      </c>
      <c r="G1428" s="25">
        <v>9</v>
      </c>
      <c r="H1428" s="25">
        <v>1</v>
      </c>
      <c r="I1428" s="25">
        <v>0</v>
      </c>
      <c r="J1428" s="25" t="s">
        <v>44</v>
      </c>
    </row>
    <row r="1429" spans="1:10" ht="12.75" customHeight="1" x14ac:dyDescent="0.2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 t="s">
        <v>50</v>
      </c>
      <c r="G1429" s="25">
        <v>2</v>
      </c>
      <c r="H1429" s="25">
        <v>1</v>
      </c>
      <c r="I1429" s="25">
        <v>0</v>
      </c>
      <c r="J1429" s="25" t="s">
        <v>44</v>
      </c>
    </row>
    <row r="1430" spans="1:10" ht="12.75" customHeight="1" x14ac:dyDescent="0.2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 t="s">
        <v>50</v>
      </c>
      <c r="G1430" s="25">
        <v>7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2">
      <c r="A1431" s="24"/>
      <c r="B1431" s="22" t="s">
        <v>545</v>
      </c>
      <c r="C1431" s="25" t="s">
        <v>44</v>
      </c>
      <c r="D1431" s="25">
        <v>29</v>
      </c>
      <c r="E1431" s="25">
        <v>0</v>
      </c>
      <c r="F1431" s="25" t="s">
        <v>50</v>
      </c>
      <c r="G1431" s="25">
        <v>28</v>
      </c>
      <c r="H1431" s="25">
        <v>1</v>
      </c>
      <c r="I1431" s="25">
        <v>0</v>
      </c>
      <c r="J1431" s="25" t="s">
        <v>44</v>
      </c>
    </row>
    <row r="1432" spans="1:10" ht="12.75" customHeight="1" x14ac:dyDescent="0.2">
      <c r="A1432" s="24"/>
      <c r="B1432" s="24" t="s">
        <v>48</v>
      </c>
      <c r="C1432" s="25" t="s">
        <v>44</v>
      </c>
      <c r="D1432" s="25">
        <v>10</v>
      </c>
      <c r="E1432" s="25">
        <v>0</v>
      </c>
      <c r="F1432" s="25" t="s">
        <v>50</v>
      </c>
      <c r="G1432" s="25">
        <v>24</v>
      </c>
      <c r="H1432" s="25">
        <v>1</v>
      </c>
      <c r="I1432" s="25">
        <v>0</v>
      </c>
      <c r="J1432" s="25" t="s">
        <v>44</v>
      </c>
    </row>
    <row r="1433" spans="1:10" ht="12.75" customHeight="1" x14ac:dyDescent="0.2">
      <c r="A1433" s="24"/>
      <c r="B1433" s="24" t="s">
        <v>49</v>
      </c>
      <c r="C1433" s="25" t="s">
        <v>44</v>
      </c>
      <c r="D1433" s="25">
        <v>1</v>
      </c>
      <c r="E1433" s="25">
        <v>0</v>
      </c>
      <c r="F1433" s="25" t="s">
        <v>50</v>
      </c>
      <c r="G1433" s="25" t="s">
        <v>50</v>
      </c>
      <c r="H1433" s="25">
        <v>0</v>
      </c>
      <c r="I1433" s="25">
        <v>0</v>
      </c>
      <c r="J1433" s="25" t="s">
        <v>44</v>
      </c>
    </row>
    <row r="1434" spans="1:10" ht="12.75" customHeight="1" x14ac:dyDescent="0.2">
      <c r="A1434" s="24"/>
      <c r="B1434" s="24" t="s">
        <v>51</v>
      </c>
      <c r="C1434" s="25" t="s">
        <v>44</v>
      </c>
      <c r="D1434" s="25">
        <v>11</v>
      </c>
      <c r="E1434" s="25">
        <v>0</v>
      </c>
      <c r="F1434" s="25" t="s">
        <v>50</v>
      </c>
      <c r="G1434" s="25">
        <v>3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2">
      <c r="A1435" s="24"/>
      <c r="B1435" s="24" t="s">
        <v>52</v>
      </c>
      <c r="C1435" s="25" t="s">
        <v>44</v>
      </c>
      <c r="D1435" s="25">
        <v>4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2">
      <c r="A1436" s="24"/>
      <c r="B1436" s="24" t="s">
        <v>53</v>
      </c>
      <c r="C1436" s="25" t="s">
        <v>44</v>
      </c>
      <c r="D1436" s="25">
        <v>3</v>
      </c>
      <c r="E1436" s="25">
        <v>0</v>
      </c>
      <c r="F1436" s="25" t="s">
        <v>50</v>
      </c>
      <c r="G1436" s="25">
        <v>1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2">
      <c r="A1437" s="24"/>
      <c r="B1437" s="22" t="s">
        <v>546</v>
      </c>
      <c r="C1437" s="25" t="s">
        <v>44</v>
      </c>
      <c r="D1437" s="25">
        <v>4</v>
      </c>
      <c r="E1437" s="25">
        <v>0</v>
      </c>
      <c r="F1437" s="25" t="s">
        <v>50</v>
      </c>
      <c r="G1437" s="25">
        <v>6</v>
      </c>
      <c r="H1437" s="25">
        <v>1</v>
      </c>
      <c r="I1437" s="25">
        <v>0</v>
      </c>
      <c r="J1437" s="25" t="s">
        <v>44</v>
      </c>
    </row>
    <row r="1438" spans="1:10" ht="12.75" customHeight="1" x14ac:dyDescent="0.2">
      <c r="A1438" s="24"/>
      <c r="B1438" s="24" t="s">
        <v>547</v>
      </c>
      <c r="C1438" s="25" t="s">
        <v>44</v>
      </c>
      <c r="D1438" s="25">
        <v>2</v>
      </c>
      <c r="E1438" s="25">
        <v>0</v>
      </c>
      <c r="F1438" s="25" t="s">
        <v>50</v>
      </c>
      <c r="G1438" s="25">
        <v>4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2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2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0" ht="12.75" customHeight="1" x14ac:dyDescent="0.2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0" ht="12.75" customHeight="1" x14ac:dyDescent="0.2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 t="s">
        <v>50</v>
      </c>
      <c r="G1442" s="25" t="s">
        <v>50</v>
      </c>
      <c r="H1442" s="25" t="s">
        <v>50</v>
      </c>
      <c r="I1442" s="25">
        <v>0</v>
      </c>
      <c r="J1442" s="25" t="s">
        <v>44</v>
      </c>
    </row>
    <row r="1443" spans="1:10" ht="12.75" customHeight="1" x14ac:dyDescent="0.2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 t="s">
        <v>50</v>
      </c>
      <c r="G1443" s="25" t="s">
        <v>50</v>
      </c>
      <c r="H1443" s="25" t="s">
        <v>50</v>
      </c>
      <c r="I1443" s="25">
        <v>0</v>
      </c>
      <c r="J1443" s="25" t="s">
        <v>44</v>
      </c>
    </row>
    <row r="1444" spans="1:10" ht="12.75" customHeight="1" x14ac:dyDescent="0.2">
      <c r="A1444" s="24"/>
      <c r="B1444" s="22" t="s">
        <v>548</v>
      </c>
      <c r="C1444" s="25">
        <v>6</v>
      </c>
      <c r="D1444" s="25" t="s">
        <v>50</v>
      </c>
      <c r="E1444" s="25">
        <v>0</v>
      </c>
      <c r="F1444" s="25" t="s">
        <v>50</v>
      </c>
      <c r="G1444" s="25" t="s">
        <v>50</v>
      </c>
      <c r="H1444" s="25" t="s">
        <v>50</v>
      </c>
      <c r="I1444" s="25">
        <v>0</v>
      </c>
      <c r="J1444" s="25">
        <v>6</v>
      </c>
    </row>
    <row r="1445" spans="1:10" ht="12.75" customHeight="1" x14ac:dyDescent="0.2">
      <c r="A1445" s="24"/>
      <c r="B1445" s="24"/>
      <c r="C1445" s="25"/>
      <c r="D1445" s="25"/>
      <c r="E1445" s="25"/>
      <c r="F1445" s="25"/>
      <c r="G1445" s="25"/>
      <c r="H1445" s="25"/>
      <c r="I1445" s="25"/>
      <c r="J1445" s="25"/>
    </row>
    <row r="1446" spans="1:10" s="12" customFormat="1" ht="12.75" customHeight="1" x14ac:dyDescent="0.2">
      <c r="A1446" s="22" t="s">
        <v>130</v>
      </c>
      <c r="B1446" s="22" t="s">
        <v>605</v>
      </c>
      <c r="C1446" s="27"/>
      <c r="D1446" s="27"/>
      <c r="E1446" s="27"/>
      <c r="F1446" s="27"/>
      <c r="G1446" s="27"/>
      <c r="H1446" s="27"/>
      <c r="I1446" s="27"/>
      <c r="J1446" s="27"/>
    </row>
    <row r="1447" spans="1:10" ht="12.75" customHeight="1" x14ac:dyDescent="0.2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0" ht="12.75" customHeight="1" x14ac:dyDescent="0.2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0" ht="12.75" customHeight="1" x14ac:dyDescent="0.2">
      <c r="A1449" s="24"/>
      <c r="B1449" s="22" t="s">
        <v>543</v>
      </c>
      <c r="C1449" s="25">
        <v>30</v>
      </c>
      <c r="D1449" s="25">
        <v>15</v>
      </c>
      <c r="E1449" s="25">
        <v>0</v>
      </c>
      <c r="F1449" s="25" t="s">
        <v>50</v>
      </c>
      <c r="G1449" s="25">
        <v>14</v>
      </c>
      <c r="H1449" s="25" t="s">
        <v>50</v>
      </c>
      <c r="I1449" s="25">
        <v>0</v>
      </c>
      <c r="J1449" s="25" t="s">
        <v>50</v>
      </c>
    </row>
    <row r="1450" spans="1:10" ht="12.75" customHeight="1" x14ac:dyDescent="0.2">
      <c r="A1450" s="24"/>
      <c r="B1450" s="22" t="s">
        <v>544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7</v>
      </c>
      <c r="H1450" s="25" t="s">
        <v>50</v>
      </c>
      <c r="I1450" s="25">
        <v>0</v>
      </c>
      <c r="J1450" s="25" t="s">
        <v>44</v>
      </c>
    </row>
    <row r="1451" spans="1:10" ht="12.75" customHeight="1" x14ac:dyDescent="0.2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 t="s">
        <v>50</v>
      </c>
      <c r="G1451" s="25">
        <v>1</v>
      </c>
      <c r="H1451" s="25">
        <v>0</v>
      </c>
      <c r="I1451" s="25">
        <v>0</v>
      </c>
      <c r="J1451" s="25" t="s">
        <v>44</v>
      </c>
    </row>
    <row r="1452" spans="1:10" ht="12.75" customHeight="1" x14ac:dyDescent="0.2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0" ht="12.75" customHeight="1" x14ac:dyDescent="0.2">
      <c r="A1453" s="24"/>
      <c r="B1453" s="22" t="s">
        <v>545</v>
      </c>
      <c r="C1453" s="25" t="s">
        <v>44</v>
      </c>
      <c r="D1453" s="25">
        <v>14</v>
      </c>
      <c r="E1453" s="25">
        <v>0</v>
      </c>
      <c r="F1453" s="25" t="s">
        <v>50</v>
      </c>
      <c r="G1453" s="25">
        <v>5</v>
      </c>
      <c r="H1453" s="25" t="s">
        <v>50</v>
      </c>
      <c r="I1453" s="25">
        <v>0</v>
      </c>
      <c r="J1453" s="25" t="s">
        <v>44</v>
      </c>
    </row>
    <row r="1454" spans="1:10" ht="12.75" customHeight="1" x14ac:dyDescent="0.2">
      <c r="A1454" s="24"/>
      <c r="B1454" s="24" t="s">
        <v>48</v>
      </c>
      <c r="C1454" s="25" t="s">
        <v>44</v>
      </c>
      <c r="D1454" s="25">
        <v>6</v>
      </c>
      <c r="E1454" s="25">
        <v>0</v>
      </c>
      <c r="F1454" s="25" t="s">
        <v>50</v>
      </c>
      <c r="G1454" s="25">
        <v>4</v>
      </c>
      <c r="H1454" s="25" t="s">
        <v>50</v>
      </c>
      <c r="I1454" s="25">
        <v>0</v>
      </c>
      <c r="J1454" s="25" t="s">
        <v>44</v>
      </c>
    </row>
    <row r="1455" spans="1:10" ht="12.75" customHeight="1" x14ac:dyDescent="0.2">
      <c r="A1455" s="24"/>
      <c r="B1455" s="24" t="s">
        <v>49</v>
      </c>
      <c r="C1455" s="25" t="s">
        <v>44</v>
      </c>
      <c r="D1455" s="25">
        <v>1</v>
      </c>
      <c r="E1455" s="25">
        <v>0</v>
      </c>
      <c r="F1455" s="25">
        <v>0</v>
      </c>
      <c r="G1455" s="25" t="s">
        <v>50</v>
      </c>
      <c r="H1455" s="25">
        <v>0</v>
      </c>
      <c r="I1455" s="25">
        <v>0</v>
      </c>
      <c r="J1455" s="25" t="s">
        <v>44</v>
      </c>
    </row>
    <row r="1456" spans="1:10" ht="12.75" customHeight="1" x14ac:dyDescent="0.2">
      <c r="A1456" s="24"/>
      <c r="B1456" s="24" t="s">
        <v>51</v>
      </c>
      <c r="C1456" s="25" t="s">
        <v>44</v>
      </c>
      <c r="D1456" s="25">
        <v>2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2">
      <c r="A1457" s="24"/>
      <c r="B1457" s="24" t="s">
        <v>52</v>
      </c>
      <c r="C1457" s="25" t="s">
        <v>44</v>
      </c>
      <c r="D1457" s="25">
        <v>4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2">
      <c r="A1458" s="24"/>
      <c r="B1458" s="24" t="s">
        <v>53</v>
      </c>
      <c r="C1458" s="25" t="s">
        <v>44</v>
      </c>
      <c r="D1458" s="25">
        <v>2</v>
      </c>
      <c r="E1458" s="25">
        <v>0</v>
      </c>
      <c r="F1458" s="25" t="s">
        <v>50</v>
      </c>
      <c r="G1458" s="25">
        <v>1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2">
      <c r="A1459" s="24"/>
      <c r="B1459" s="22" t="s">
        <v>546</v>
      </c>
      <c r="C1459" s="25" t="s">
        <v>44</v>
      </c>
      <c r="D1459" s="25">
        <v>1</v>
      </c>
      <c r="E1459" s="25">
        <v>0</v>
      </c>
      <c r="F1459" s="25" t="s">
        <v>50</v>
      </c>
      <c r="G1459" s="25">
        <v>2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2">
      <c r="A1460" s="24"/>
      <c r="B1460" s="24" t="s">
        <v>547</v>
      </c>
      <c r="C1460" s="25" t="s">
        <v>44</v>
      </c>
      <c r="D1460" s="25" t="s">
        <v>50</v>
      </c>
      <c r="E1460" s="25">
        <v>0</v>
      </c>
      <c r="F1460" s="25">
        <v>0</v>
      </c>
      <c r="G1460" s="25">
        <v>1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2">
      <c r="A1461" s="24"/>
      <c r="B1461" s="24" t="s">
        <v>54</v>
      </c>
      <c r="C1461" s="25" t="s">
        <v>44</v>
      </c>
      <c r="D1461" s="25" t="s">
        <v>50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2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>
        <v>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2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2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2">
      <c r="A1465" s="24"/>
      <c r="B1465" s="24" t="s">
        <v>58</v>
      </c>
      <c r="C1465" s="25" t="s">
        <v>44</v>
      </c>
      <c r="D1465" s="25">
        <v>0</v>
      </c>
      <c r="E1465" s="25">
        <v>0</v>
      </c>
      <c r="F1465" s="25">
        <v>0</v>
      </c>
      <c r="G1465" s="25">
        <v>0</v>
      </c>
      <c r="H1465" s="25">
        <v>0</v>
      </c>
      <c r="I1465" s="25">
        <v>0</v>
      </c>
      <c r="J1465" s="25" t="s">
        <v>44</v>
      </c>
    </row>
    <row r="1466" spans="1:10" ht="12.75" customHeight="1" x14ac:dyDescent="0.2">
      <c r="A1466" s="24"/>
      <c r="B1466" s="22" t="s">
        <v>548</v>
      </c>
      <c r="C1466" s="25" t="s">
        <v>50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 t="s">
        <v>50</v>
      </c>
    </row>
    <row r="1467" spans="1:10" ht="12.75" customHeight="1" x14ac:dyDescent="0.2">
      <c r="A1467" s="24"/>
      <c r="B1467" s="24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2">
      <c r="A1468" s="22" t="s">
        <v>131</v>
      </c>
      <c r="B1468" s="22" t="s">
        <v>132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2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2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2">
      <c r="A1471" s="24"/>
      <c r="B1471" s="22" t="s">
        <v>543</v>
      </c>
      <c r="C1471" s="25">
        <v>87</v>
      </c>
      <c r="D1471" s="25">
        <v>34</v>
      </c>
      <c r="E1471" s="25">
        <v>0</v>
      </c>
      <c r="F1471" s="25" t="s">
        <v>50</v>
      </c>
      <c r="G1471" s="25">
        <v>43</v>
      </c>
      <c r="H1471" s="25">
        <v>1</v>
      </c>
      <c r="I1471" s="25" t="s">
        <v>50</v>
      </c>
      <c r="J1471" s="25">
        <v>10</v>
      </c>
    </row>
    <row r="1472" spans="1:10" ht="12.75" customHeight="1" x14ac:dyDescent="0.2">
      <c r="A1472" s="24"/>
      <c r="B1472" s="22" t="s">
        <v>544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2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2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1</v>
      </c>
      <c r="H1473" s="25" t="s">
        <v>50</v>
      </c>
      <c r="I1473" s="25">
        <v>0</v>
      </c>
      <c r="J1473" s="25" t="s">
        <v>44</v>
      </c>
    </row>
    <row r="1474" spans="1:10" ht="12.75" customHeight="1" x14ac:dyDescent="0.2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2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2">
      <c r="A1475" s="24"/>
      <c r="B1475" s="22" t="s">
        <v>545</v>
      </c>
      <c r="C1475" s="25" t="s">
        <v>44</v>
      </c>
      <c r="D1475" s="25">
        <v>28</v>
      </c>
      <c r="E1475" s="25">
        <v>0</v>
      </c>
      <c r="F1475" s="25" t="s">
        <v>50</v>
      </c>
      <c r="G1475" s="25">
        <v>30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2">
      <c r="A1476" s="24"/>
      <c r="B1476" s="24" t="s">
        <v>48</v>
      </c>
      <c r="C1476" s="25" t="s">
        <v>44</v>
      </c>
      <c r="D1476" s="25">
        <v>12</v>
      </c>
      <c r="E1476" s="25">
        <v>0</v>
      </c>
      <c r="F1476" s="25" t="s">
        <v>50</v>
      </c>
      <c r="G1476" s="25">
        <v>25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2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 t="s">
        <v>50</v>
      </c>
      <c r="I1477" s="25">
        <v>0</v>
      </c>
      <c r="J1477" s="25" t="s">
        <v>44</v>
      </c>
    </row>
    <row r="1478" spans="1:10" ht="12.75" customHeight="1" x14ac:dyDescent="0.2">
      <c r="A1478" s="24"/>
      <c r="B1478" s="24" t="s">
        <v>51</v>
      </c>
      <c r="C1478" s="25" t="s">
        <v>44</v>
      </c>
      <c r="D1478" s="25">
        <v>12</v>
      </c>
      <c r="E1478" s="25">
        <v>0</v>
      </c>
      <c r="F1478" s="25" t="s">
        <v>50</v>
      </c>
      <c r="G1478" s="25">
        <v>4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2">
      <c r="A1479" s="24"/>
      <c r="B1479" s="24" t="s">
        <v>52</v>
      </c>
      <c r="C1479" s="25" t="s">
        <v>44</v>
      </c>
      <c r="D1479" s="25" t="s">
        <v>50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2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 t="s">
        <v>50</v>
      </c>
      <c r="G1480" s="25">
        <v>1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2">
      <c r="A1481" s="24"/>
      <c r="B1481" s="22" t="s">
        <v>546</v>
      </c>
      <c r="C1481" s="25" t="s">
        <v>44</v>
      </c>
      <c r="D1481" s="25">
        <v>6</v>
      </c>
      <c r="E1481" s="25">
        <v>0</v>
      </c>
      <c r="F1481" s="25" t="s">
        <v>50</v>
      </c>
      <c r="G1481" s="25">
        <v>10</v>
      </c>
      <c r="H1481" s="25">
        <v>1</v>
      </c>
      <c r="I1481" s="25" t="s">
        <v>50</v>
      </c>
      <c r="J1481" s="25" t="s">
        <v>44</v>
      </c>
    </row>
    <row r="1482" spans="1:10" ht="12.75" customHeight="1" x14ac:dyDescent="0.2">
      <c r="A1482" s="24"/>
      <c r="B1482" s="24" t="s">
        <v>547</v>
      </c>
      <c r="C1482" s="25" t="s">
        <v>44</v>
      </c>
      <c r="D1482" s="25">
        <v>3</v>
      </c>
      <c r="E1482" s="25">
        <v>0</v>
      </c>
      <c r="F1482" s="25" t="s">
        <v>50</v>
      </c>
      <c r="G1482" s="25">
        <v>9</v>
      </c>
      <c r="H1482" s="25" t="s">
        <v>50</v>
      </c>
      <c r="I1482" s="25" t="s">
        <v>50</v>
      </c>
      <c r="J1482" s="25" t="s">
        <v>44</v>
      </c>
    </row>
    <row r="1483" spans="1:10" ht="12.75" customHeight="1" x14ac:dyDescent="0.2">
      <c r="A1483" s="24"/>
      <c r="B1483" s="24" t="s">
        <v>54</v>
      </c>
      <c r="C1483" s="25" t="s">
        <v>44</v>
      </c>
      <c r="D1483" s="25">
        <v>2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2">
      <c r="A1484" s="24"/>
      <c r="B1484" s="24" t="s">
        <v>55</v>
      </c>
      <c r="C1484" s="25" t="s">
        <v>44</v>
      </c>
      <c r="D1484" s="25">
        <v>1</v>
      </c>
      <c r="E1484" s="25">
        <v>0</v>
      </c>
      <c r="F1484" s="25" t="s">
        <v>50</v>
      </c>
      <c r="G1484" s="25">
        <v>1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2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2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 t="s">
        <v>50</v>
      </c>
      <c r="I1486" s="25">
        <v>0</v>
      </c>
      <c r="J1486" s="25" t="s">
        <v>44</v>
      </c>
    </row>
    <row r="1487" spans="1:10" ht="12.75" customHeight="1" x14ac:dyDescent="0.2">
      <c r="A1487" s="24"/>
      <c r="B1487" s="24" t="s">
        <v>58</v>
      </c>
      <c r="C1487" s="25" t="s">
        <v>44</v>
      </c>
      <c r="D1487" s="25">
        <v>1</v>
      </c>
      <c r="E1487" s="25">
        <v>0</v>
      </c>
      <c r="F1487" s="25" t="s">
        <v>50</v>
      </c>
      <c r="G1487" s="25" t="s">
        <v>50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2">
      <c r="A1488" s="24"/>
      <c r="B1488" s="22" t="s">
        <v>548</v>
      </c>
      <c r="C1488" s="25">
        <v>10</v>
      </c>
      <c r="D1488" s="25" t="s">
        <v>50</v>
      </c>
      <c r="E1488" s="25">
        <v>0</v>
      </c>
      <c r="F1488" s="25" t="s">
        <v>50</v>
      </c>
      <c r="G1488" s="25" t="s">
        <v>50</v>
      </c>
      <c r="H1488" s="25" t="s">
        <v>50</v>
      </c>
      <c r="I1488" s="25">
        <v>0</v>
      </c>
      <c r="J1488" s="25">
        <v>10</v>
      </c>
    </row>
    <row r="1489" spans="1:10" ht="12.75" customHeight="1" x14ac:dyDescent="0.2">
      <c r="A1489" s="24"/>
      <c r="B1489" s="24"/>
      <c r="C1489" s="25"/>
      <c r="D1489" s="25"/>
      <c r="E1489" s="25"/>
      <c r="F1489" s="25"/>
      <c r="G1489" s="25"/>
      <c r="H1489" s="25"/>
      <c r="I1489" s="25"/>
      <c r="J1489" s="25"/>
    </row>
    <row r="1490" spans="1:10" s="12" customFormat="1" ht="12.75" customHeight="1" x14ac:dyDescent="0.2">
      <c r="A1490" s="22" t="s">
        <v>133</v>
      </c>
      <c r="B1490" s="22" t="s">
        <v>606</v>
      </c>
      <c r="C1490" s="27"/>
      <c r="D1490" s="27"/>
      <c r="E1490" s="27"/>
      <c r="F1490" s="27"/>
      <c r="G1490" s="27"/>
      <c r="H1490" s="27"/>
      <c r="I1490" s="27"/>
      <c r="J1490" s="27"/>
    </row>
    <row r="1491" spans="1:10" ht="12.75" customHeight="1" x14ac:dyDescent="0.2">
      <c r="A1491" s="24"/>
      <c r="B1491" s="24"/>
      <c r="C1491" s="25"/>
      <c r="D1491" s="25"/>
      <c r="E1491" s="25"/>
      <c r="F1491" s="25"/>
      <c r="G1491" s="25"/>
      <c r="H1491" s="25"/>
      <c r="I1491" s="25"/>
      <c r="J1491" s="25"/>
    </row>
    <row r="1492" spans="1:10" ht="12.75" customHeight="1" x14ac:dyDescent="0.2">
      <c r="A1492" s="24"/>
      <c r="B1492" s="24"/>
      <c r="C1492" s="25"/>
      <c r="D1492" s="25"/>
      <c r="E1492" s="25"/>
      <c r="F1492" s="25"/>
      <c r="G1492" s="25"/>
      <c r="H1492" s="25"/>
      <c r="I1492" s="25"/>
      <c r="J1492" s="25"/>
    </row>
    <row r="1493" spans="1:10" ht="12.75" customHeight="1" x14ac:dyDescent="0.2">
      <c r="A1493" s="24"/>
      <c r="B1493" s="22" t="s">
        <v>543</v>
      </c>
      <c r="C1493" s="25">
        <v>38</v>
      </c>
      <c r="D1493" s="25">
        <v>16</v>
      </c>
      <c r="E1493" s="25">
        <v>0</v>
      </c>
      <c r="F1493" s="25" t="s">
        <v>50</v>
      </c>
      <c r="G1493" s="25">
        <v>11</v>
      </c>
      <c r="H1493" s="25" t="s">
        <v>50</v>
      </c>
      <c r="I1493" s="25" t="s">
        <v>50</v>
      </c>
      <c r="J1493" s="25">
        <v>10</v>
      </c>
    </row>
    <row r="1494" spans="1:10" ht="12.75" customHeight="1" x14ac:dyDescent="0.2">
      <c r="A1494" s="24"/>
      <c r="B1494" s="22" t="s">
        <v>544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 t="s">
        <v>50</v>
      </c>
      <c r="H1494" s="25" t="s">
        <v>50</v>
      </c>
      <c r="I1494" s="25">
        <v>0</v>
      </c>
      <c r="J1494" s="25" t="s">
        <v>44</v>
      </c>
    </row>
    <row r="1495" spans="1:10" ht="12.75" customHeight="1" x14ac:dyDescent="0.2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>
        <v>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0" ht="12.75" customHeight="1" x14ac:dyDescent="0.2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 t="s">
        <v>50</v>
      </c>
      <c r="H1496" s="25" t="s">
        <v>50</v>
      </c>
      <c r="I1496" s="25">
        <v>0</v>
      </c>
      <c r="J1496" s="25" t="s">
        <v>44</v>
      </c>
    </row>
    <row r="1497" spans="1:10" ht="12.75" customHeight="1" x14ac:dyDescent="0.2">
      <c r="A1497" s="24"/>
      <c r="B1497" s="22" t="s">
        <v>545</v>
      </c>
      <c r="C1497" s="25" t="s">
        <v>44</v>
      </c>
      <c r="D1497" s="25">
        <v>14</v>
      </c>
      <c r="E1497" s="25">
        <v>0</v>
      </c>
      <c r="F1497" s="25" t="s">
        <v>50</v>
      </c>
      <c r="G1497" s="25">
        <v>7</v>
      </c>
      <c r="H1497" s="25" t="s">
        <v>50</v>
      </c>
      <c r="I1497" s="25">
        <v>0</v>
      </c>
      <c r="J1497" s="25" t="s">
        <v>44</v>
      </c>
    </row>
    <row r="1498" spans="1:10" ht="12.75" customHeight="1" x14ac:dyDescent="0.2">
      <c r="A1498" s="24"/>
      <c r="B1498" s="24" t="s">
        <v>48</v>
      </c>
      <c r="C1498" s="25" t="s">
        <v>44</v>
      </c>
      <c r="D1498" s="25">
        <v>7</v>
      </c>
      <c r="E1498" s="25">
        <v>0</v>
      </c>
      <c r="F1498" s="25">
        <v>0</v>
      </c>
      <c r="G1498" s="25">
        <v>5</v>
      </c>
      <c r="H1498" s="25" t="s">
        <v>50</v>
      </c>
      <c r="I1498" s="25">
        <v>0</v>
      </c>
      <c r="J1498" s="25" t="s">
        <v>44</v>
      </c>
    </row>
    <row r="1499" spans="1:10" ht="12.75" customHeight="1" x14ac:dyDescent="0.2">
      <c r="A1499" s="24"/>
      <c r="B1499" s="24" t="s">
        <v>49</v>
      </c>
      <c r="C1499" s="25" t="s">
        <v>44</v>
      </c>
      <c r="D1499" s="25" t="s">
        <v>50</v>
      </c>
      <c r="E1499" s="25">
        <v>0</v>
      </c>
      <c r="F1499" s="25">
        <v>0</v>
      </c>
      <c r="G1499" s="25">
        <v>0</v>
      </c>
      <c r="H1499" s="25" t="s">
        <v>50</v>
      </c>
      <c r="I1499" s="25">
        <v>0</v>
      </c>
      <c r="J1499" s="25" t="s">
        <v>44</v>
      </c>
    </row>
    <row r="1500" spans="1:10" ht="12.75" customHeight="1" x14ac:dyDescent="0.2">
      <c r="A1500" s="24"/>
      <c r="B1500" s="24" t="s">
        <v>51</v>
      </c>
      <c r="C1500" s="25" t="s">
        <v>44</v>
      </c>
      <c r="D1500" s="25">
        <v>6</v>
      </c>
      <c r="E1500" s="25">
        <v>0</v>
      </c>
      <c r="F1500" s="25" t="s">
        <v>50</v>
      </c>
      <c r="G1500" s="25">
        <v>1</v>
      </c>
      <c r="H1500" s="25" t="s">
        <v>50</v>
      </c>
      <c r="I1500" s="25">
        <v>0</v>
      </c>
      <c r="J1500" s="25" t="s">
        <v>44</v>
      </c>
    </row>
    <row r="1501" spans="1:10" ht="12.75" customHeight="1" x14ac:dyDescent="0.2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0" ht="12.75" customHeight="1" x14ac:dyDescent="0.2">
      <c r="A1502" s="24"/>
      <c r="B1502" s="24" t="s">
        <v>53</v>
      </c>
      <c r="C1502" s="25" t="s">
        <v>44</v>
      </c>
      <c r="D1502" s="25">
        <v>1</v>
      </c>
      <c r="E1502" s="25">
        <v>0</v>
      </c>
      <c r="F1502" s="25" t="s">
        <v>50</v>
      </c>
      <c r="G1502" s="25" t="s">
        <v>50</v>
      </c>
      <c r="H1502" s="25" t="s">
        <v>50</v>
      </c>
      <c r="I1502" s="25">
        <v>0</v>
      </c>
      <c r="J1502" s="25" t="s">
        <v>44</v>
      </c>
    </row>
    <row r="1503" spans="1:10" ht="12.75" customHeight="1" x14ac:dyDescent="0.2">
      <c r="A1503" s="24"/>
      <c r="B1503" s="22" t="s">
        <v>546</v>
      </c>
      <c r="C1503" s="25" t="s">
        <v>44</v>
      </c>
      <c r="D1503" s="25">
        <v>2</v>
      </c>
      <c r="E1503" s="25">
        <v>0</v>
      </c>
      <c r="F1503" s="25" t="s">
        <v>50</v>
      </c>
      <c r="G1503" s="25">
        <v>5</v>
      </c>
      <c r="H1503" s="25" t="s">
        <v>50</v>
      </c>
      <c r="I1503" s="25" t="s">
        <v>50</v>
      </c>
      <c r="J1503" s="25" t="s">
        <v>44</v>
      </c>
    </row>
    <row r="1504" spans="1:10" ht="12.75" customHeight="1" x14ac:dyDescent="0.2">
      <c r="A1504" s="24"/>
      <c r="B1504" s="24" t="s">
        <v>547</v>
      </c>
      <c r="C1504" s="25" t="s">
        <v>44</v>
      </c>
      <c r="D1504" s="25">
        <v>1</v>
      </c>
      <c r="E1504" s="25">
        <v>0</v>
      </c>
      <c r="F1504" s="25" t="s">
        <v>50</v>
      </c>
      <c r="G1504" s="25">
        <v>4</v>
      </c>
      <c r="H1504" s="25" t="s">
        <v>50</v>
      </c>
      <c r="I1504" s="25" t="s">
        <v>50</v>
      </c>
      <c r="J1504" s="25" t="s">
        <v>44</v>
      </c>
    </row>
    <row r="1505" spans="1:10" ht="12.75" customHeight="1" x14ac:dyDescent="0.2">
      <c r="A1505" s="24"/>
      <c r="B1505" s="24" t="s">
        <v>54</v>
      </c>
      <c r="C1505" s="25" t="s">
        <v>44</v>
      </c>
      <c r="D1505" s="25">
        <v>1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0" ht="12.75" customHeight="1" x14ac:dyDescent="0.2">
      <c r="A1506" s="24"/>
      <c r="B1506" s="24" t="s">
        <v>55</v>
      </c>
      <c r="C1506" s="25" t="s">
        <v>44</v>
      </c>
      <c r="D1506" s="25" t="s">
        <v>50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0" ht="12.75" customHeight="1" x14ac:dyDescent="0.2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0" ht="12.75" customHeight="1" x14ac:dyDescent="0.2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 t="s">
        <v>50</v>
      </c>
      <c r="I1508" s="25">
        <v>0</v>
      </c>
      <c r="J1508" s="25" t="s">
        <v>44</v>
      </c>
    </row>
    <row r="1509" spans="1:10" ht="12.75" customHeight="1" x14ac:dyDescent="0.2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>
        <v>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0" ht="12.75" customHeight="1" x14ac:dyDescent="0.2">
      <c r="A1510" s="24"/>
      <c r="B1510" s="22" t="s">
        <v>548</v>
      </c>
      <c r="C1510" s="25">
        <v>10</v>
      </c>
      <c r="D1510" s="25">
        <v>0</v>
      </c>
      <c r="E1510" s="25">
        <v>0</v>
      </c>
      <c r="F1510" s="25" t="s">
        <v>50</v>
      </c>
      <c r="G1510" s="25">
        <v>0</v>
      </c>
      <c r="H1510" s="25" t="s">
        <v>50</v>
      </c>
      <c r="I1510" s="25">
        <v>0</v>
      </c>
      <c r="J1510" s="25">
        <v>10</v>
      </c>
    </row>
    <row r="1511" spans="1:10" ht="12.75" customHeight="1" x14ac:dyDescent="0.2">
      <c r="A1511" s="24"/>
      <c r="B1511" s="24"/>
      <c r="C1511" s="25"/>
      <c r="D1511" s="25"/>
      <c r="E1511" s="25"/>
      <c r="F1511" s="25"/>
      <c r="G1511" s="25"/>
      <c r="H1511" s="25"/>
      <c r="I1511" s="25"/>
      <c r="J1511" s="25"/>
    </row>
    <row r="1512" spans="1:10" s="12" customFormat="1" ht="12.75" customHeight="1" x14ac:dyDescent="0.2">
      <c r="A1512" s="28" t="s">
        <v>134</v>
      </c>
      <c r="B1512" s="22" t="s">
        <v>607</v>
      </c>
      <c r="C1512" s="27"/>
      <c r="D1512" s="27"/>
      <c r="E1512" s="27"/>
      <c r="F1512" s="27"/>
      <c r="G1512" s="27"/>
      <c r="H1512" s="27"/>
      <c r="I1512" s="27"/>
      <c r="J1512" s="27"/>
    </row>
    <row r="1513" spans="1:10" ht="12.75" customHeight="1" x14ac:dyDescent="0.2">
      <c r="A1513" s="29"/>
      <c r="B1513" s="30"/>
      <c r="C1513" s="25"/>
      <c r="D1513" s="25"/>
      <c r="E1513" s="25"/>
      <c r="F1513" s="25"/>
      <c r="G1513" s="25"/>
      <c r="H1513" s="25"/>
      <c r="I1513" s="25"/>
      <c r="J1513" s="25"/>
    </row>
    <row r="1514" spans="1:10" ht="12.75" customHeight="1" x14ac:dyDescent="0.2">
      <c r="A1514" s="24"/>
      <c r="B1514" s="24"/>
      <c r="C1514" s="25"/>
      <c r="D1514" s="25"/>
      <c r="E1514" s="25"/>
      <c r="F1514" s="25"/>
      <c r="G1514" s="25"/>
      <c r="H1514" s="25"/>
      <c r="I1514" s="25"/>
      <c r="J1514" s="25"/>
    </row>
    <row r="1515" spans="1:10" ht="12.75" customHeight="1" x14ac:dyDescent="0.2">
      <c r="A1515" s="24"/>
      <c r="B1515" s="22" t="s">
        <v>543</v>
      </c>
      <c r="C1515" s="25">
        <v>23</v>
      </c>
      <c r="D1515" s="25">
        <v>7</v>
      </c>
      <c r="E1515" s="25">
        <v>0</v>
      </c>
      <c r="F1515" s="25" t="s">
        <v>50</v>
      </c>
      <c r="G1515" s="25">
        <v>16</v>
      </c>
      <c r="H1515" s="25" t="s">
        <v>50</v>
      </c>
      <c r="I1515" s="25">
        <v>0</v>
      </c>
      <c r="J1515" s="25" t="s">
        <v>50</v>
      </c>
    </row>
    <row r="1516" spans="1:10" ht="12.75" customHeight="1" x14ac:dyDescent="0.2">
      <c r="A1516" s="24"/>
      <c r="B1516" s="22" t="s">
        <v>544</v>
      </c>
      <c r="C1516" s="25" t="s">
        <v>44</v>
      </c>
      <c r="D1516" s="25" t="s">
        <v>50</v>
      </c>
      <c r="E1516" s="25">
        <v>0</v>
      </c>
      <c r="F1516" s="25">
        <v>0</v>
      </c>
      <c r="G1516" s="25">
        <v>1</v>
      </c>
      <c r="H1516" s="25" t="s">
        <v>50</v>
      </c>
      <c r="I1516" s="25">
        <v>0</v>
      </c>
      <c r="J1516" s="25" t="s">
        <v>44</v>
      </c>
    </row>
    <row r="1517" spans="1:10" ht="12.75" customHeight="1" x14ac:dyDescent="0.2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>
        <v>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0" ht="12.75" customHeight="1" x14ac:dyDescent="0.2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>
        <v>0</v>
      </c>
      <c r="G1518" s="25">
        <v>1</v>
      </c>
      <c r="H1518" s="25" t="s">
        <v>50</v>
      </c>
      <c r="I1518" s="25">
        <v>0</v>
      </c>
      <c r="J1518" s="25" t="s">
        <v>44</v>
      </c>
    </row>
    <row r="1519" spans="1:10" ht="12.75" customHeight="1" x14ac:dyDescent="0.2">
      <c r="A1519" s="24"/>
      <c r="B1519" s="22" t="s">
        <v>545</v>
      </c>
      <c r="C1519" s="25" t="s">
        <v>44</v>
      </c>
      <c r="D1519" s="25">
        <v>5</v>
      </c>
      <c r="E1519" s="25">
        <v>0</v>
      </c>
      <c r="F1519" s="25" t="s">
        <v>50</v>
      </c>
      <c r="G1519" s="25">
        <v>12</v>
      </c>
      <c r="H1519" s="25" t="s">
        <v>50</v>
      </c>
      <c r="I1519" s="25">
        <v>0</v>
      </c>
      <c r="J1519" s="25" t="s">
        <v>44</v>
      </c>
    </row>
    <row r="1520" spans="1:10" ht="12.75" customHeight="1" x14ac:dyDescent="0.2">
      <c r="A1520" s="24"/>
      <c r="B1520" s="24" t="s">
        <v>48</v>
      </c>
      <c r="C1520" s="25" t="s">
        <v>44</v>
      </c>
      <c r="D1520" s="25">
        <v>2</v>
      </c>
      <c r="E1520" s="25">
        <v>0</v>
      </c>
      <c r="F1520" s="25">
        <v>0</v>
      </c>
      <c r="G1520" s="25">
        <v>10</v>
      </c>
      <c r="H1520" s="25" t="s">
        <v>50</v>
      </c>
      <c r="I1520" s="25">
        <v>0</v>
      </c>
      <c r="J1520" s="25" t="s">
        <v>44</v>
      </c>
    </row>
    <row r="1521" spans="1:10" ht="12.75" customHeight="1" x14ac:dyDescent="0.2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0" ht="12.75" customHeight="1" x14ac:dyDescent="0.2">
      <c r="A1522" s="24"/>
      <c r="B1522" s="24" t="s">
        <v>51</v>
      </c>
      <c r="C1522" s="25" t="s">
        <v>44</v>
      </c>
      <c r="D1522" s="25">
        <v>3</v>
      </c>
      <c r="E1522" s="25">
        <v>0</v>
      </c>
      <c r="F1522" s="25" t="s">
        <v>50</v>
      </c>
      <c r="G1522" s="25">
        <v>2</v>
      </c>
      <c r="H1522" s="25" t="s">
        <v>50</v>
      </c>
      <c r="I1522" s="25">
        <v>0</v>
      </c>
      <c r="J1522" s="25" t="s">
        <v>44</v>
      </c>
    </row>
    <row r="1523" spans="1:10" ht="12.75" customHeight="1" x14ac:dyDescent="0.2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0" ht="12.75" customHeight="1" x14ac:dyDescent="0.2">
      <c r="A1524" s="24"/>
      <c r="B1524" s="24" t="s">
        <v>53</v>
      </c>
      <c r="C1524" s="25" t="s">
        <v>44</v>
      </c>
      <c r="D1524" s="25" t="s">
        <v>50</v>
      </c>
      <c r="E1524" s="25">
        <v>0</v>
      </c>
      <c r="F1524" s="25" t="s">
        <v>50</v>
      </c>
      <c r="G1524" s="25" t="s">
        <v>50</v>
      </c>
      <c r="H1524" s="25" t="s">
        <v>50</v>
      </c>
      <c r="I1524" s="25">
        <v>0</v>
      </c>
      <c r="J1524" s="25" t="s">
        <v>44</v>
      </c>
    </row>
    <row r="1525" spans="1:10" ht="12.75" customHeight="1" x14ac:dyDescent="0.2">
      <c r="A1525" s="24"/>
      <c r="B1525" s="22" t="s">
        <v>546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3</v>
      </c>
      <c r="H1525" s="25" t="s">
        <v>50</v>
      </c>
      <c r="I1525" s="25">
        <v>0</v>
      </c>
      <c r="J1525" s="25" t="s">
        <v>44</v>
      </c>
    </row>
    <row r="1526" spans="1:10" ht="12.75" customHeight="1" x14ac:dyDescent="0.2">
      <c r="A1526" s="24"/>
      <c r="B1526" s="24" t="s">
        <v>547</v>
      </c>
      <c r="C1526" s="25" t="s">
        <v>44</v>
      </c>
      <c r="D1526" s="25">
        <v>1</v>
      </c>
      <c r="E1526" s="25">
        <v>0</v>
      </c>
      <c r="F1526" s="25">
        <v>0</v>
      </c>
      <c r="G1526" s="25">
        <v>2</v>
      </c>
      <c r="H1526" s="25" t="s">
        <v>50</v>
      </c>
      <c r="I1526" s="25">
        <v>0</v>
      </c>
      <c r="J1526" s="25" t="s">
        <v>44</v>
      </c>
    </row>
    <row r="1527" spans="1:10" ht="12.75" customHeight="1" x14ac:dyDescent="0.2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0" ht="12.75" customHeight="1" x14ac:dyDescent="0.2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0" ht="12.75" customHeight="1" x14ac:dyDescent="0.2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0" ht="12.75" customHeight="1" x14ac:dyDescent="0.2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>
        <v>0</v>
      </c>
      <c r="G1530" s="25" t="s">
        <v>50</v>
      </c>
      <c r="H1530" s="25">
        <v>0</v>
      </c>
      <c r="I1530" s="25">
        <v>0</v>
      </c>
      <c r="J1530" s="25" t="s">
        <v>44</v>
      </c>
    </row>
    <row r="1531" spans="1:10" ht="12.75" customHeight="1" x14ac:dyDescent="0.2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>
        <v>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0" ht="12.75" customHeight="1" x14ac:dyDescent="0.2">
      <c r="A1532" s="24"/>
      <c r="B1532" s="22" t="s">
        <v>548</v>
      </c>
      <c r="C1532" s="25" t="s">
        <v>50</v>
      </c>
      <c r="D1532" s="25">
        <v>0</v>
      </c>
      <c r="E1532" s="25">
        <v>0</v>
      </c>
      <c r="F1532" s="25">
        <v>0</v>
      </c>
      <c r="G1532" s="25">
        <v>0</v>
      </c>
      <c r="H1532" s="25" t="s">
        <v>50</v>
      </c>
      <c r="I1532" s="25">
        <v>0</v>
      </c>
      <c r="J1532" s="25" t="s">
        <v>50</v>
      </c>
    </row>
    <row r="1533" spans="1:10" ht="12.75" customHeight="1" x14ac:dyDescent="0.2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0" s="12" customFormat="1" ht="12.75" customHeight="1" x14ac:dyDescent="0.2">
      <c r="A1534" s="28" t="s">
        <v>135</v>
      </c>
      <c r="B1534" s="22" t="s">
        <v>608</v>
      </c>
      <c r="C1534" s="27"/>
      <c r="D1534" s="27"/>
      <c r="E1534" s="27"/>
      <c r="F1534" s="27"/>
      <c r="G1534" s="27"/>
      <c r="H1534" s="27"/>
      <c r="I1534" s="27"/>
      <c r="J1534" s="27"/>
    </row>
    <row r="1535" spans="1:10" ht="12.75" customHeight="1" x14ac:dyDescent="0.2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0" ht="12.75" customHeight="1" x14ac:dyDescent="0.2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2">
      <c r="A1537" s="24"/>
      <c r="B1537" s="22" t="s">
        <v>543</v>
      </c>
      <c r="C1537" s="25">
        <v>6</v>
      </c>
      <c r="D1537" s="25">
        <v>2</v>
      </c>
      <c r="E1537" s="25">
        <v>0</v>
      </c>
      <c r="F1537" s="25" t="s">
        <v>50</v>
      </c>
      <c r="G1537" s="25">
        <v>4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2">
      <c r="A1538" s="24"/>
      <c r="B1538" s="22" t="s">
        <v>544</v>
      </c>
      <c r="C1538" s="25" t="s">
        <v>44</v>
      </c>
      <c r="D1538" s="25" t="s">
        <v>50</v>
      </c>
      <c r="E1538" s="25">
        <v>0</v>
      </c>
      <c r="F1538" s="25">
        <v>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2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>
        <v>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2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>
        <v>0</v>
      </c>
      <c r="G1540" s="25" t="s">
        <v>50</v>
      </c>
      <c r="H1540" s="25">
        <v>0</v>
      </c>
      <c r="I1540" s="25">
        <v>0</v>
      </c>
      <c r="J1540" s="25" t="s">
        <v>44</v>
      </c>
    </row>
    <row r="1541" spans="1:10" ht="12.75" customHeight="1" x14ac:dyDescent="0.2">
      <c r="A1541" s="24"/>
      <c r="B1541" s="22" t="s">
        <v>545</v>
      </c>
      <c r="C1541" s="25" t="s">
        <v>44</v>
      </c>
      <c r="D1541" s="25">
        <v>1</v>
      </c>
      <c r="E1541" s="25">
        <v>0</v>
      </c>
      <c r="F1541" s="25" t="s">
        <v>50</v>
      </c>
      <c r="G1541" s="25">
        <v>3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2">
      <c r="A1542" s="24"/>
      <c r="B1542" s="24" t="s">
        <v>48</v>
      </c>
      <c r="C1542" s="25" t="s">
        <v>44</v>
      </c>
      <c r="D1542" s="25" t="s">
        <v>50</v>
      </c>
      <c r="E1542" s="25">
        <v>0</v>
      </c>
      <c r="F1542" s="25" t="s">
        <v>50</v>
      </c>
      <c r="G1542" s="25">
        <v>3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2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>
        <v>0</v>
      </c>
      <c r="G1543" s="25" t="s">
        <v>50</v>
      </c>
      <c r="H1543" s="25">
        <v>0</v>
      </c>
      <c r="I1543" s="25">
        <v>0</v>
      </c>
      <c r="J1543" s="25" t="s">
        <v>44</v>
      </c>
    </row>
    <row r="1544" spans="1:10" ht="12.75" customHeight="1" x14ac:dyDescent="0.2">
      <c r="A1544" s="24"/>
      <c r="B1544" s="24" t="s">
        <v>51</v>
      </c>
      <c r="C1544" s="25" t="s">
        <v>44</v>
      </c>
      <c r="D1544" s="25">
        <v>1</v>
      </c>
      <c r="E1544" s="25">
        <v>0</v>
      </c>
      <c r="F1544" s="25" t="s">
        <v>50</v>
      </c>
      <c r="G1544" s="25" t="s">
        <v>50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2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2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>
        <v>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2">
      <c r="A1547" s="24"/>
      <c r="B1547" s="22" t="s">
        <v>546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1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2">
      <c r="A1548" s="24"/>
      <c r="B1548" s="24" t="s">
        <v>547</v>
      </c>
      <c r="C1548" s="25" t="s">
        <v>44</v>
      </c>
      <c r="D1548" s="25" t="s">
        <v>50</v>
      </c>
      <c r="E1548" s="25">
        <v>0</v>
      </c>
      <c r="F1548" s="25" t="s">
        <v>50</v>
      </c>
      <c r="G1548" s="25">
        <v>1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2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2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>
        <v>0</v>
      </c>
      <c r="G1550" s="25" t="s">
        <v>50</v>
      </c>
      <c r="H1550" s="25">
        <v>0</v>
      </c>
      <c r="I1550" s="25">
        <v>0</v>
      </c>
      <c r="J1550" s="25" t="s">
        <v>44</v>
      </c>
    </row>
    <row r="1551" spans="1:10" ht="12.75" customHeight="1" x14ac:dyDescent="0.2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>
        <v>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2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0" ht="12.75" customHeight="1" x14ac:dyDescent="0.2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>
        <v>0</v>
      </c>
      <c r="G1553" s="25" t="s">
        <v>50</v>
      </c>
      <c r="H1553" s="25">
        <v>0</v>
      </c>
      <c r="I1553" s="25">
        <v>0</v>
      </c>
      <c r="J1553" s="25" t="s">
        <v>44</v>
      </c>
    </row>
    <row r="1554" spans="1:10" ht="12.75" customHeight="1" x14ac:dyDescent="0.2">
      <c r="A1554" s="24"/>
      <c r="B1554" s="22" t="s">
        <v>548</v>
      </c>
      <c r="C1554" s="25" t="s">
        <v>50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0" ht="12.75" customHeight="1" x14ac:dyDescent="0.2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0" s="12" customFormat="1" ht="12.75" customHeight="1" x14ac:dyDescent="0.2">
      <c r="A1556" s="22" t="s">
        <v>136</v>
      </c>
      <c r="B1556" s="22" t="s">
        <v>609</v>
      </c>
      <c r="C1556" s="27"/>
      <c r="D1556" s="27"/>
      <c r="E1556" s="27"/>
      <c r="F1556" s="27"/>
      <c r="G1556" s="27"/>
      <c r="H1556" s="27"/>
      <c r="I1556" s="27"/>
      <c r="J1556" s="27"/>
    </row>
    <row r="1557" spans="1:10" ht="12.75" customHeight="1" x14ac:dyDescent="0.2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0" ht="12.75" customHeight="1" x14ac:dyDescent="0.2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0" ht="12.75" customHeight="1" x14ac:dyDescent="0.2">
      <c r="A1559" s="24"/>
      <c r="B1559" s="22" t="s">
        <v>543</v>
      </c>
      <c r="C1559" s="25">
        <v>425</v>
      </c>
      <c r="D1559" s="25">
        <v>143</v>
      </c>
      <c r="E1559" s="25" t="s">
        <v>50</v>
      </c>
      <c r="F1559" s="25">
        <v>2</v>
      </c>
      <c r="G1559" s="25">
        <v>275</v>
      </c>
      <c r="H1559" s="25">
        <v>4</v>
      </c>
      <c r="I1559" s="25">
        <v>0</v>
      </c>
      <c r="J1559" s="25" t="s">
        <v>60</v>
      </c>
    </row>
    <row r="1560" spans="1:10" ht="12.75" customHeight="1" x14ac:dyDescent="0.2">
      <c r="A1560" s="24"/>
      <c r="B1560" s="22" t="s">
        <v>544</v>
      </c>
      <c r="C1560" s="25" t="s">
        <v>44</v>
      </c>
      <c r="D1560" s="25">
        <v>1</v>
      </c>
      <c r="E1560" s="25" t="s">
        <v>50</v>
      </c>
      <c r="F1560" s="25">
        <v>0</v>
      </c>
      <c r="G1560" s="25">
        <v>51</v>
      </c>
      <c r="H1560" s="25" t="s">
        <v>50</v>
      </c>
      <c r="I1560" s="25">
        <v>0</v>
      </c>
      <c r="J1560" s="25" t="s">
        <v>44</v>
      </c>
    </row>
    <row r="1561" spans="1:10" ht="12.75" customHeight="1" x14ac:dyDescent="0.2">
      <c r="A1561" s="24"/>
      <c r="B1561" s="24" t="s">
        <v>45</v>
      </c>
      <c r="C1561" s="25" t="s">
        <v>44</v>
      </c>
      <c r="D1561" s="25">
        <v>1</v>
      </c>
      <c r="E1561" s="25">
        <v>0</v>
      </c>
      <c r="F1561" s="25">
        <v>0</v>
      </c>
      <c r="G1561" s="74" t="e">
        <f>G1560-G1562</f>
        <v>#REF!</v>
      </c>
      <c r="H1561" s="25" t="s">
        <v>50</v>
      </c>
      <c r="I1561" s="25">
        <v>0</v>
      </c>
      <c r="J1561" s="25" t="s">
        <v>44</v>
      </c>
    </row>
    <row r="1562" spans="1:10" ht="12.75" customHeight="1" x14ac:dyDescent="0.2">
      <c r="A1562" s="24"/>
      <c r="B1562" s="24" t="s">
        <v>46</v>
      </c>
      <c r="C1562" s="25" t="s">
        <v>44</v>
      </c>
      <c r="D1562" s="25">
        <v>0</v>
      </c>
      <c r="E1562" s="25" t="s">
        <v>50</v>
      </c>
      <c r="F1562" s="25">
        <v>0</v>
      </c>
      <c r="G1562" s="74" t="e">
        <f>G1560*#REF!/#REF!</f>
        <v>#REF!</v>
      </c>
      <c r="H1562" s="25" t="s">
        <v>50</v>
      </c>
      <c r="I1562" s="25">
        <v>0</v>
      </c>
      <c r="J1562" s="25" t="s">
        <v>44</v>
      </c>
    </row>
    <row r="1563" spans="1:10" ht="12.75" customHeight="1" x14ac:dyDescent="0.2">
      <c r="A1563" s="24"/>
      <c r="B1563" s="22" t="s">
        <v>545</v>
      </c>
      <c r="C1563" s="25" t="s">
        <v>44</v>
      </c>
      <c r="D1563" s="25">
        <v>99</v>
      </c>
      <c r="E1563" s="25" t="s">
        <v>50</v>
      </c>
      <c r="F1563" s="25" t="s">
        <v>50</v>
      </c>
      <c r="G1563" s="25">
        <v>180</v>
      </c>
      <c r="H1563" s="25">
        <v>1</v>
      </c>
      <c r="I1563" s="25">
        <v>0</v>
      </c>
      <c r="J1563" s="25" t="s">
        <v>44</v>
      </c>
    </row>
    <row r="1564" spans="1:10" ht="12.75" customHeight="1" x14ac:dyDescent="0.2">
      <c r="A1564" s="24"/>
      <c r="B1564" s="24" t="s">
        <v>48</v>
      </c>
      <c r="C1564" s="25" t="s">
        <v>44</v>
      </c>
      <c r="D1564" s="25">
        <v>22</v>
      </c>
      <c r="E1564" s="25">
        <v>0</v>
      </c>
      <c r="F1564" s="25" t="s">
        <v>50</v>
      </c>
      <c r="G1564" s="25">
        <v>175</v>
      </c>
      <c r="H1564" s="25" t="s">
        <v>50</v>
      </c>
      <c r="I1564" s="25">
        <v>0</v>
      </c>
      <c r="J1564" s="25" t="s">
        <v>44</v>
      </c>
    </row>
    <row r="1565" spans="1:10" ht="12.75" customHeight="1" x14ac:dyDescent="0.2">
      <c r="A1565" s="24"/>
      <c r="B1565" s="24" t="s">
        <v>49</v>
      </c>
      <c r="C1565" s="25" t="s">
        <v>44</v>
      </c>
      <c r="D1565" s="25">
        <v>3</v>
      </c>
      <c r="E1565" s="25">
        <v>0</v>
      </c>
      <c r="F1565" s="25">
        <v>0</v>
      </c>
      <c r="G1565" s="25" t="s">
        <v>50</v>
      </c>
      <c r="H1565" s="25">
        <v>0</v>
      </c>
      <c r="I1565" s="25">
        <v>0</v>
      </c>
      <c r="J1565" s="25" t="s">
        <v>44</v>
      </c>
    </row>
    <row r="1566" spans="1:10" ht="12.75" customHeight="1" x14ac:dyDescent="0.2">
      <c r="A1566" s="24"/>
      <c r="B1566" s="24" t="s">
        <v>51</v>
      </c>
      <c r="C1566" s="25" t="s">
        <v>44</v>
      </c>
      <c r="D1566" s="25">
        <v>66</v>
      </c>
      <c r="E1566" s="25" t="s">
        <v>50</v>
      </c>
      <c r="F1566" s="25" t="s">
        <v>50</v>
      </c>
      <c r="G1566" s="25">
        <v>3</v>
      </c>
      <c r="H1566" s="25">
        <v>1</v>
      </c>
      <c r="I1566" s="25">
        <v>0</v>
      </c>
      <c r="J1566" s="25" t="s">
        <v>44</v>
      </c>
    </row>
    <row r="1567" spans="1:10" ht="12.75" customHeight="1" x14ac:dyDescent="0.2">
      <c r="A1567" s="24"/>
      <c r="B1567" s="24" t="s">
        <v>52</v>
      </c>
      <c r="C1567" s="25" t="s">
        <v>44</v>
      </c>
      <c r="D1567" s="25">
        <v>3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0" ht="12.75" customHeight="1" x14ac:dyDescent="0.2">
      <c r="A1568" s="24"/>
      <c r="B1568" s="24" t="s">
        <v>53</v>
      </c>
      <c r="C1568" s="25" t="s">
        <v>44</v>
      </c>
      <c r="D1568" s="25">
        <v>6</v>
      </c>
      <c r="E1568" s="25">
        <v>0</v>
      </c>
      <c r="F1568" s="25" t="s">
        <v>50</v>
      </c>
      <c r="G1568" s="74">
        <f>G1563-G1564-G1566</f>
        <v>2</v>
      </c>
      <c r="H1568" s="25" t="s">
        <v>50</v>
      </c>
      <c r="I1568" s="25">
        <v>0</v>
      </c>
      <c r="J1568" s="25" t="s">
        <v>44</v>
      </c>
    </row>
    <row r="1569" spans="1:10" ht="12.75" customHeight="1" x14ac:dyDescent="0.2">
      <c r="A1569" s="24"/>
      <c r="B1569" s="22" t="s">
        <v>546</v>
      </c>
      <c r="C1569" s="25" t="s">
        <v>44</v>
      </c>
      <c r="D1569" s="25">
        <v>38</v>
      </c>
      <c r="E1569" s="25" t="s">
        <v>50</v>
      </c>
      <c r="F1569" s="25">
        <v>2</v>
      </c>
      <c r="G1569" s="25">
        <v>43</v>
      </c>
      <c r="H1569" s="25">
        <v>3</v>
      </c>
      <c r="I1569" s="25">
        <v>0</v>
      </c>
      <c r="J1569" s="25" t="s">
        <v>44</v>
      </c>
    </row>
    <row r="1570" spans="1:10" ht="12.75" customHeight="1" x14ac:dyDescent="0.2">
      <c r="A1570" s="24"/>
      <c r="B1570" s="24" t="s">
        <v>547</v>
      </c>
      <c r="C1570" s="25" t="s">
        <v>44</v>
      </c>
      <c r="D1570" s="25">
        <v>20</v>
      </c>
      <c r="E1570" s="25" t="s">
        <v>50</v>
      </c>
      <c r="F1570" s="25" t="s">
        <v>50</v>
      </c>
      <c r="G1570" s="25">
        <v>40</v>
      </c>
      <c r="H1570" s="25" t="s">
        <v>60</v>
      </c>
      <c r="I1570" s="25">
        <v>0</v>
      </c>
      <c r="J1570" s="25" t="s">
        <v>44</v>
      </c>
    </row>
    <row r="1571" spans="1:10" ht="12.75" customHeight="1" x14ac:dyDescent="0.2">
      <c r="A1571" s="24"/>
      <c r="B1571" s="24" t="s">
        <v>54</v>
      </c>
      <c r="C1571" s="25" t="s">
        <v>44</v>
      </c>
      <c r="D1571" s="25">
        <v>12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0" ht="12.75" customHeight="1" x14ac:dyDescent="0.2">
      <c r="A1572" s="24"/>
      <c r="B1572" s="24" t="s">
        <v>55</v>
      </c>
      <c r="C1572" s="25" t="s">
        <v>44</v>
      </c>
      <c r="D1572" s="25">
        <v>4</v>
      </c>
      <c r="E1572" s="25">
        <v>0</v>
      </c>
      <c r="F1572" s="25">
        <v>0</v>
      </c>
      <c r="G1572" s="25">
        <v>3</v>
      </c>
      <c r="H1572" s="25" t="s">
        <v>50</v>
      </c>
      <c r="I1572" s="25">
        <v>0</v>
      </c>
      <c r="J1572" s="25" t="s">
        <v>44</v>
      </c>
    </row>
    <row r="1573" spans="1:10" ht="12.75" customHeight="1" x14ac:dyDescent="0.2">
      <c r="A1573" s="24"/>
      <c r="B1573" s="24" t="s">
        <v>56</v>
      </c>
      <c r="C1573" s="25" t="s">
        <v>44</v>
      </c>
      <c r="D1573" s="25">
        <v>1</v>
      </c>
      <c r="E1573" s="25" t="s">
        <v>44</v>
      </c>
      <c r="F1573" s="25">
        <v>2</v>
      </c>
      <c r="G1573" s="25" t="s">
        <v>50</v>
      </c>
      <c r="H1573" s="25">
        <v>2</v>
      </c>
      <c r="I1573" s="25" t="s">
        <v>44</v>
      </c>
      <c r="J1573" s="25" t="s">
        <v>44</v>
      </c>
    </row>
    <row r="1574" spans="1:10" ht="12.75" customHeight="1" x14ac:dyDescent="0.2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 t="s">
        <v>50</v>
      </c>
      <c r="G1574" s="25" t="s">
        <v>50</v>
      </c>
      <c r="H1574" s="25" t="s">
        <v>50</v>
      </c>
      <c r="I1574" s="25">
        <v>0</v>
      </c>
      <c r="J1574" s="25" t="s">
        <v>44</v>
      </c>
    </row>
    <row r="1575" spans="1:10" ht="12.75" customHeight="1" x14ac:dyDescent="0.2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 t="s">
        <v>50</v>
      </c>
      <c r="H1575" s="25" t="s">
        <v>50</v>
      </c>
      <c r="I1575" s="25">
        <v>0</v>
      </c>
      <c r="J1575" s="25" t="s">
        <v>44</v>
      </c>
    </row>
    <row r="1576" spans="1:10" ht="12.75" customHeight="1" x14ac:dyDescent="0.2">
      <c r="A1576" s="24"/>
      <c r="B1576" s="22" t="s">
        <v>548</v>
      </c>
      <c r="C1576" s="25">
        <v>7</v>
      </c>
      <c r="D1576" s="25">
        <v>5</v>
      </c>
      <c r="E1576" s="25">
        <v>0</v>
      </c>
      <c r="F1576" s="25">
        <v>0</v>
      </c>
      <c r="G1576" s="25" t="s">
        <v>60</v>
      </c>
      <c r="H1576" s="25" t="s">
        <v>50</v>
      </c>
      <c r="I1576" s="25">
        <v>0</v>
      </c>
      <c r="J1576" s="25" t="s">
        <v>60</v>
      </c>
    </row>
    <row r="1577" spans="1:10" ht="12.75" customHeight="1" x14ac:dyDescent="0.2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0" s="12" customFormat="1" ht="12.75" customHeight="1" x14ac:dyDescent="0.2">
      <c r="A1578" s="22" t="s">
        <v>137</v>
      </c>
      <c r="B1578" s="22" t="s">
        <v>610</v>
      </c>
      <c r="C1578" s="27"/>
      <c r="D1578" s="27"/>
      <c r="E1578" s="27"/>
      <c r="F1578" s="27"/>
      <c r="G1578" s="27"/>
      <c r="H1578" s="27"/>
      <c r="I1578" s="27"/>
      <c r="J1578" s="27"/>
    </row>
    <row r="1579" spans="1:10" ht="12.75" customHeight="1" x14ac:dyDescent="0.2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0" ht="12.75" customHeight="1" x14ac:dyDescent="0.2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0" ht="12.75" customHeight="1" x14ac:dyDescent="0.2">
      <c r="A1581" s="24"/>
      <c r="B1581" s="22" t="s">
        <v>543</v>
      </c>
      <c r="C1581" s="25">
        <v>143</v>
      </c>
      <c r="D1581" s="25">
        <v>76</v>
      </c>
      <c r="E1581" s="25">
        <v>0</v>
      </c>
      <c r="F1581" s="25">
        <v>3</v>
      </c>
      <c r="G1581" s="25">
        <v>60</v>
      </c>
      <c r="H1581" s="25">
        <v>4</v>
      </c>
      <c r="I1581" s="25">
        <v>0</v>
      </c>
      <c r="J1581" s="25" t="s">
        <v>50</v>
      </c>
    </row>
    <row r="1582" spans="1:10" ht="12.75" customHeight="1" x14ac:dyDescent="0.2">
      <c r="A1582" s="24"/>
      <c r="B1582" s="22" t="s">
        <v>544</v>
      </c>
      <c r="C1582" s="25" t="s">
        <v>44</v>
      </c>
      <c r="D1582" s="25" t="s">
        <v>50</v>
      </c>
      <c r="E1582" s="25">
        <v>0</v>
      </c>
      <c r="F1582" s="25" t="s">
        <v>50</v>
      </c>
      <c r="G1582" s="25">
        <v>5</v>
      </c>
      <c r="H1582" s="25" t="s">
        <v>50</v>
      </c>
      <c r="I1582" s="25">
        <v>0</v>
      </c>
      <c r="J1582" s="25" t="s">
        <v>44</v>
      </c>
    </row>
    <row r="1583" spans="1:10" ht="12.75" customHeight="1" x14ac:dyDescent="0.2">
      <c r="A1583" s="24"/>
      <c r="B1583" s="24" t="s">
        <v>45</v>
      </c>
      <c r="C1583" s="25" t="s">
        <v>44</v>
      </c>
      <c r="D1583" s="25" t="s">
        <v>50</v>
      </c>
      <c r="E1583" s="25">
        <v>0</v>
      </c>
      <c r="F1583" s="25">
        <v>0</v>
      </c>
      <c r="G1583" s="25">
        <v>2</v>
      </c>
      <c r="H1583" s="25">
        <v>0</v>
      </c>
      <c r="I1583" s="25">
        <v>0</v>
      </c>
      <c r="J1583" s="25" t="s">
        <v>44</v>
      </c>
    </row>
    <row r="1584" spans="1:10" ht="12.75" customHeight="1" x14ac:dyDescent="0.2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4</v>
      </c>
      <c r="H1584" s="25" t="s">
        <v>50</v>
      </c>
      <c r="I1584" s="25">
        <v>0</v>
      </c>
      <c r="J1584" s="25" t="s">
        <v>44</v>
      </c>
    </row>
    <row r="1585" spans="1:10" ht="12.75" customHeight="1" x14ac:dyDescent="0.2">
      <c r="A1585" s="24"/>
      <c r="B1585" s="22" t="s">
        <v>545</v>
      </c>
      <c r="C1585" s="25" t="s">
        <v>44</v>
      </c>
      <c r="D1585" s="25">
        <v>41</v>
      </c>
      <c r="E1585" s="25">
        <v>0</v>
      </c>
      <c r="F1585" s="74">
        <f>F1581</f>
        <v>3</v>
      </c>
      <c r="G1585" s="25">
        <v>25</v>
      </c>
      <c r="H1585" s="74">
        <f>H1581-H1591</f>
        <v>2</v>
      </c>
      <c r="I1585" s="25">
        <v>0</v>
      </c>
      <c r="J1585" s="25" t="s">
        <v>44</v>
      </c>
    </row>
    <row r="1586" spans="1:10" ht="12.75" customHeight="1" x14ac:dyDescent="0.2">
      <c r="A1586" s="24"/>
      <c r="B1586" s="24" t="s">
        <v>48</v>
      </c>
      <c r="C1586" s="25" t="s">
        <v>44</v>
      </c>
      <c r="D1586" s="25">
        <v>4</v>
      </c>
      <c r="E1586" s="25">
        <v>0</v>
      </c>
      <c r="F1586" s="25" t="s">
        <v>50</v>
      </c>
      <c r="G1586" s="25">
        <v>20</v>
      </c>
      <c r="H1586" s="74">
        <f>H1585</f>
        <v>2</v>
      </c>
      <c r="I1586" s="25">
        <v>0</v>
      </c>
      <c r="J1586" s="25" t="s">
        <v>44</v>
      </c>
    </row>
    <row r="1587" spans="1:10" ht="12.75" customHeight="1" x14ac:dyDescent="0.2">
      <c r="A1587" s="24"/>
      <c r="B1587" s="24" t="s">
        <v>49</v>
      </c>
      <c r="C1587" s="25" t="s">
        <v>44</v>
      </c>
      <c r="D1587" s="25">
        <v>3</v>
      </c>
      <c r="E1587" s="25">
        <v>0</v>
      </c>
      <c r="F1587" s="25" t="s">
        <v>50</v>
      </c>
      <c r="G1587" s="74">
        <f>G1585-G1586-G1588-G1590</f>
        <v>1</v>
      </c>
      <c r="H1587" s="25">
        <v>0</v>
      </c>
      <c r="I1587" s="25">
        <v>0</v>
      </c>
      <c r="J1587" s="25" t="s">
        <v>44</v>
      </c>
    </row>
    <row r="1588" spans="1:10" ht="12.75" customHeight="1" x14ac:dyDescent="0.2">
      <c r="A1588" s="24"/>
      <c r="B1588" s="24" t="s">
        <v>51</v>
      </c>
      <c r="C1588" s="25" t="s">
        <v>44</v>
      </c>
      <c r="D1588" s="25">
        <v>31</v>
      </c>
      <c r="E1588" s="25">
        <v>0</v>
      </c>
      <c r="F1588" s="25" t="s">
        <v>50</v>
      </c>
      <c r="G1588" s="25">
        <v>3</v>
      </c>
      <c r="H1588" s="25" t="s">
        <v>50</v>
      </c>
      <c r="I1588" s="25">
        <v>0</v>
      </c>
      <c r="J1588" s="25" t="s">
        <v>44</v>
      </c>
    </row>
    <row r="1589" spans="1:10" ht="12.75" customHeight="1" x14ac:dyDescent="0.2">
      <c r="A1589" s="24"/>
      <c r="B1589" s="24" t="s">
        <v>52</v>
      </c>
      <c r="C1589" s="25" t="s">
        <v>44</v>
      </c>
      <c r="D1589" s="25" t="s">
        <v>50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0" ht="12.75" customHeight="1" x14ac:dyDescent="0.2">
      <c r="A1590" s="24"/>
      <c r="B1590" s="24" t="s">
        <v>53</v>
      </c>
      <c r="C1590" s="25" t="s">
        <v>44</v>
      </c>
      <c r="D1590" s="25">
        <v>3</v>
      </c>
      <c r="E1590" s="25">
        <v>0</v>
      </c>
      <c r="F1590" s="74">
        <f>F1585</f>
        <v>3</v>
      </c>
      <c r="G1590" s="25">
        <v>1</v>
      </c>
      <c r="H1590" s="25" t="s">
        <v>50</v>
      </c>
      <c r="I1590" s="25">
        <v>0</v>
      </c>
      <c r="J1590" s="25" t="s">
        <v>44</v>
      </c>
    </row>
    <row r="1591" spans="1:10" ht="12.75" customHeight="1" x14ac:dyDescent="0.2">
      <c r="A1591" s="24"/>
      <c r="B1591" s="22" t="s">
        <v>546</v>
      </c>
      <c r="C1591" s="25" t="s">
        <v>44</v>
      </c>
      <c r="D1591" s="25">
        <v>29</v>
      </c>
      <c r="E1591" s="25">
        <v>0</v>
      </c>
      <c r="F1591" s="25" t="s">
        <v>50</v>
      </c>
      <c r="G1591" s="25">
        <v>28</v>
      </c>
      <c r="H1591" s="25">
        <v>2</v>
      </c>
      <c r="I1591" s="25">
        <v>0</v>
      </c>
      <c r="J1591" s="25" t="s">
        <v>44</v>
      </c>
    </row>
    <row r="1592" spans="1:10" ht="12.75" customHeight="1" x14ac:dyDescent="0.2">
      <c r="A1592" s="24"/>
      <c r="B1592" s="24" t="s">
        <v>547</v>
      </c>
      <c r="C1592" s="25" t="s">
        <v>44</v>
      </c>
      <c r="D1592" s="25">
        <v>15</v>
      </c>
      <c r="E1592" s="25">
        <v>0</v>
      </c>
      <c r="F1592" s="25" t="s">
        <v>50</v>
      </c>
      <c r="G1592" s="25">
        <v>25</v>
      </c>
      <c r="H1592" s="25" t="s">
        <v>60</v>
      </c>
      <c r="I1592" s="25">
        <v>0</v>
      </c>
      <c r="J1592" s="25" t="s">
        <v>44</v>
      </c>
    </row>
    <row r="1593" spans="1:10" ht="12.75" customHeight="1" x14ac:dyDescent="0.2">
      <c r="A1593" s="24"/>
      <c r="B1593" s="24" t="s">
        <v>54</v>
      </c>
      <c r="C1593" s="25" t="s">
        <v>44</v>
      </c>
      <c r="D1593" s="25">
        <v>7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0" ht="12.75" customHeight="1" x14ac:dyDescent="0.2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1</v>
      </c>
      <c r="H1594" s="25" t="s">
        <v>50</v>
      </c>
      <c r="I1594" s="25">
        <v>0</v>
      </c>
      <c r="J1594" s="25" t="s">
        <v>44</v>
      </c>
    </row>
    <row r="1595" spans="1:10" ht="12.75" customHeight="1" x14ac:dyDescent="0.2">
      <c r="A1595" s="24"/>
      <c r="B1595" s="24" t="s">
        <v>56</v>
      </c>
      <c r="C1595" s="25" t="s">
        <v>44</v>
      </c>
      <c r="D1595" s="25" t="s">
        <v>60</v>
      </c>
      <c r="E1595" s="25" t="s">
        <v>44</v>
      </c>
      <c r="F1595" s="25" t="s">
        <v>50</v>
      </c>
      <c r="G1595" s="25" t="s">
        <v>50</v>
      </c>
      <c r="H1595" s="25">
        <v>1</v>
      </c>
      <c r="I1595" s="25" t="s">
        <v>44</v>
      </c>
      <c r="J1595" s="25" t="s">
        <v>44</v>
      </c>
    </row>
    <row r="1596" spans="1:10" ht="12.75" customHeight="1" x14ac:dyDescent="0.2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 t="s">
        <v>50</v>
      </c>
      <c r="I1596" s="25">
        <v>0</v>
      </c>
      <c r="J1596" s="25" t="s">
        <v>44</v>
      </c>
    </row>
    <row r="1597" spans="1:10" ht="12.75" customHeight="1" x14ac:dyDescent="0.2">
      <c r="A1597" s="24"/>
      <c r="B1597" s="24" t="s">
        <v>58</v>
      </c>
      <c r="C1597" s="25" t="s">
        <v>44</v>
      </c>
      <c r="D1597" s="25" t="s">
        <v>60</v>
      </c>
      <c r="E1597" s="25">
        <v>0</v>
      </c>
      <c r="F1597" s="25" t="s">
        <v>50</v>
      </c>
      <c r="G1597" s="25" t="s">
        <v>60</v>
      </c>
      <c r="H1597" s="25" t="s">
        <v>50</v>
      </c>
      <c r="I1597" s="25">
        <v>0</v>
      </c>
      <c r="J1597" s="25" t="s">
        <v>44</v>
      </c>
    </row>
    <row r="1598" spans="1:10" ht="12.75" customHeight="1" x14ac:dyDescent="0.2">
      <c r="A1598" s="24"/>
      <c r="B1598" s="22" t="s">
        <v>548</v>
      </c>
      <c r="C1598" s="25">
        <v>7</v>
      </c>
      <c r="D1598" s="25">
        <v>5</v>
      </c>
      <c r="E1598" s="25">
        <v>0</v>
      </c>
      <c r="F1598" s="25" t="s">
        <v>50</v>
      </c>
      <c r="G1598" s="25" t="s">
        <v>60</v>
      </c>
      <c r="H1598" s="25" t="s">
        <v>50</v>
      </c>
      <c r="I1598" s="25">
        <v>0</v>
      </c>
      <c r="J1598" s="25" t="s">
        <v>50</v>
      </c>
    </row>
    <row r="1599" spans="1:10" ht="12.75" customHeight="1" x14ac:dyDescent="0.2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0" s="12" customFormat="1" ht="12.75" customHeight="1" x14ac:dyDescent="0.2">
      <c r="A1600" s="22" t="s">
        <v>138</v>
      </c>
      <c r="B1600" s="22" t="s">
        <v>611</v>
      </c>
      <c r="C1600" s="27"/>
      <c r="D1600" s="27"/>
      <c r="E1600" s="27"/>
      <c r="F1600" s="27"/>
      <c r="G1600" s="27"/>
      <c r="H1600" s="27"/>
      <c r="I1600" s="27"/>
      <c r="J1600" s="27"/>
    </row>
    <row r="1601" spans="1:10" ht="12.75" customHeight="1" x14ac:dyDescent="0.2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2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2">
      <c r="A1603" s="24"/>
      <c r="B1603" s="22" t="s">
        <v>543</v>
      </c>
      <c r="C1603" s="25">
        <v>128</v>
      </c>
      <c r="D1603" s="25">
        <v>95</v>
      </c>
      <c r="E1603" s="25" t="s">
        <v>50</v>
      </c>
      <c r="F1603" s="25" t="s">
        <v>50</v>
      </c>
      <c r="G1603" s="25">
        <v>32</v>
      </c>
      <c r="H1603" s="25" t="s">
        <v>50</v>
      </c>
      <c r="I1603" s="25">
        <v>0</v>
      </c>
      <c r="J1603" s="25" t="s">
        <v>50</v>
      </c>
    </row>
    <row r="1604" spans="1:10" ht="12.75" customHeight="1" x14ac:dyDescent="0.2">
      <c r="A1604" s="24"/>
      <c r="B1604" s="22" t="s">
        <v>544</v>
      </c>
      <c r="C1604" s="25" t="s">
        <v>44</v>
      </c>
      <c r="D1604" s="25">
        <v>1</v>
      </c>
      <c r="E1604" s="25">
        <v>0</v>
      </c>
      <c r="F1604" s="25" t="s">
        <v>50</v>
      </c>
      <c r="G1604" s="25">
        <v>8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2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 t="s">
        <v>50</v>
      </c>
      <c r="G1605" s="25">
        <v>4</v>
      </c>
      <c r="H1605" s="25" t="s">
        <v>50</v>
      </c>
      <c r="I1605" s="25">
        <v>0</v>
      </c>
      <c r="J1605" s="25" t="s">
        <v>44</v>
      </c>
    </row>
    <row r="1606" spans="1:10" ht="12.75" customHeight="1" x14ac:dyDescent="0.2">
      <c r="A1606" s="24"/>
      <c r="B1606" s="24" t="s">
        <v>46</v>
      </c>
      <c r="C1606" s="25" t="s">
        <v>44</v>
      </c>
      <c r="D1606" s="25">
        <v>0</v>
      </c>
      <c r="E1606" s="25">
        <v>0</v>
      </c>
      <c r="F1606" s="25" t="s">
        <v>50</v>
      </c>
      <c r="G1606" s="25">
        <v>4</v>
      </c>
      <c r="H1606" s="25">
        <v>0</v>
      </c>
      <c r="I1606" s="25">
        <v>0</v>
      </c>
      <c r="J1606" s="25" t="s">
        <v>44</v>
      </c>
    </row>
    <row r="1607" spans="1:10" ht="12.75" customHeight="1" x14ac:dyDescent="0.2">
      <c r="A1607" s="24"/>
      <c r="B1607" s="22" t="s">
        <v>545</v>
      </c>
      <c r="C1607" s="25" t="s">
        <v>44</v>
      </c>
      <c r="D1607" s="25">
        <v>58</v>
      </c>
      <c r="E1607" s="25" t="s">
        <v>50</v>
      </c>
      <c r="F1607" s="25" t="s">
        <v>50</v>
      </c>
      <c r="G1607" s="25">
        <v>8</v>
      </c>
      <c r="H1607" s="25" t="s">
        <v>50</v>
      </c>
      <c r="I1607" s="25">
        <v>0</v>
      </c>
      <c r="J1607" s="25" t="s">
        <v>44</v>
      </c>
    </row>
    <row r="1608" spans="1:10" ht="12.75" customHeight="1" x14ac:dyDescent="0.2">
      <c r="A1608" s="24"/>
      <c r="B1608" s="24" t="s">
        <v>48</v>
      </c>
      <c r="C1608" s="25" t="s">
        <v>44</v>
      </c>
      <c r="D1608" s="25">
        <v>5</v>
      </c>
      <c r="E1608" s="25">
        <v>0</v>
      </c>
      <c r="F1608" s="25" t="s">
        <v>50</v>
      </c>
      <c r="G1608" s="25">
        <v>5</v>
      </c>
      <c r="H1608" s="25" t="s">
        <v>50</v>
      </c>
      <c r="I1608" s="25">
        <v>0</v>
      </c>
      <c r="J1608" s="25" t="s">
        <v>44</v>
      </c>
    </row>
    <row r="1609" spans="1:10" ht="12.75" customHeight="1" x14ac:dyDescent="0.2">
      <c r="A1609" s="24"/>
      <c r="B1609" s="24" t="s">
        <v>49</v>
      </c>
      <c r="C1609" s="25" t="s">
        <v>44</v>
      </c>
      <c r="D1609" s="25">
        <v>12</v>
      </c>
      <c r="E1609" s="25">
        <v>0</v>
      </c>
      <c r="F1609" s="25" t="s">
        <v>50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2">
      <c r="A1610" s="24"/>
      <c r="B1610" s="24" t="s">
        <v>51</v>
      </c>
      <c r="C1610" s="25" t="s">
        <v>44</v>
      </c>
      <c r="D1610" s="25">
        <v>20</v>
      </c>
      <c r="E1610" s="25">
        <v>0</v>
      </c>
      <c r="F1610" s="25" t="s">
        <v>50</v>
      </c>
      <c r="G1610" s="74">
        <f>G1607-SUM(G1608,G1612)</f>
        <v>2</v>
      </c>
      <c r="H1610" s="25">
        <v>0</v>
      </c>
      <c r="I1610" s="25">
        <v>0</v>
      </c>
      <c r="J1610" s="25" t="s">
        <v>44</v>
      </c>
    </row>
    <row r="1611" spans="1:10" ht="12.75" customHeight="1" x14ac:dyDescent="0.2">
      <c r="A1611" s="24"/>
      <c r="B1611" s="24" t="s">
        <v>52</v>
      </c>
      <c r="C1611" s="25" t="s">
        <v>44</v>
      </c>
      <c r="D1611" s="25">
        <v>1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2">
      <c r="A1612" s="24"/>
      <c r="B1612" s="24" t="s">
        <v>53</v>
      </c>
      <c r="C1612" s="25" t="s">
        <v>44</v>
      </c>
      <c r="D1612" s="74">
        <f>D1607-SUM(D1608:D1611)</f>
        <v>20</v>
      </c>
      <c r="E1612" s="25" t="s">
        <v>50</v>
      </c>
      <c r="F1612" s="25" t="s">
        <v>50</v>
      </c>
      <c r="G1612" s="25">
        <v>1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2">
      <c r="A1613" s="24"/>
      <c r="B1613" s="22" t="s">
        <v>546</v>
      </c>
      <c r="C1613" s="25" t="s">
        <v>44</v>
      </c>
      <c r="D1613" s="25">
        <v>35</v>
      </c>
      <c r="E1613" s="25">
        <v>0</v>
      </c>
      <c r="F1613" s="25" t="s">
        <v>50</v>
      </c>
      <c r="G1613" s="25">
        <v>16</v>
      </c>
      <c r="H1613" s="25" t="s">
        <v>50</v>
      </c>
      <c r="I1613" s="25">
        <v>0</v>
      </c>
      <c r="J1613" s="25" t="s">
        <v>44</v>
      </c>
    </row>
    <row r="1614" spans="1:10" ht="12.75" customHeight="1" x14ac:dyDescent="0.2">
      <c r="A1614" s="24"/>
      <c r="B1614" s="24" t="s">
        <v>547</v>
      </c>
      <c r="C1614" s="25" t="s">
        <v>44</v>
      </c>
      <c r="D1614" s="25">
        <v>21</v>
      </c>
      <c r="E1614" s="25">
        <v>0</v>
      </c>
      <c r="F1614" s="25" t="s">
        <v>50</v>
      </c>
      <c r="G1614" s="25">
        <v>13</v>
      </c>
      <c r="H1614" s="25" t="s">
        <v>50</v>
      </c>
      <c r="I1614" s="25">
        <v>0</v>
      </c>
      <c r="J1614" s="25" t="s">
        <v>44</v>
      </c>
    </row>
    <row r="1615" spans="1:10" ht="12.75" customHeight="1" x14ac:dyDescent="0.2">
      <c r="A1615" s="24"/>
      <c r="B1615" s="24" t="s">
        <v>54</v>
      </c>
      <c r="C1615" s="25" t="s">
        <v>44</v>
      </c>
      <c r="D1615" s="25">
        <v>7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2">
      <c r="A1616" s="24"/>
      <c r="B1616" s="24" t="s">
        <v>55</v>
      </c>
      <c r="C1616" s="25" t="s">
        <v>44</v>
      </c>
      <c r="D1616" s="25">
        <v>5</v>
      </c>
      <c r="E1616" s="25">
        <v>0</v>
      </c>
      <c r="F1616" s="25" t="s">
        <v>50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2">
      <c r="A1617" s="24"/>
      <c r="B1617" s="24" t="s">
        <v>56</v>
      </c>
      <c r="C1617" s="25" t="s">
        <v>44</v>
      </c>
      <c r="D1617" s="25" t="s">
        <v>50</v>
      </c>
      <c r="E1617" s="25" t="s">
        <v>44</v>
      </c>
      <c r="F1617" s="25" t="s">
        <v>50</v>
      </c>
      <c r="G1617" s="25">
        <v>0</v>
      </c>
      <c r="H1617" s="25" t="s">
        <v>50</v>
      </c>
      <c r="I1617" s="25" t="s">
        <v>44</v>
      </c>
      <c r="J1617" s="25" t="s">
        <v>44</v>
      </c>
    </row>
    <row r="1618" spans="1:10" ht="12.75" customHeight="1" x14ac:dyDescent="0.2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>
        <v>1</v>
      </c>
      <c r="H1618" s="25">
        <v>0</v>
      </c>
      <c r="I1618" s="25">
        <v>0</v>
      </c>
      <c r="J1618" s="25" t="s">
        <v>44</v>
      </c>
    </row>
    <row r="1619" spans="1:10" ht="12.75" customHeight="1" x14ac:dyDescent="0.2">
      <c r="A1619" s="24"/>
      <c r="B1619" s="24" t="s">
        <v>58</v>
      </c>
      <c r="C1619" s="25" t="s">
        <v>44</v>
      </c>
      <c r="D1619" s="25">
        <v>1</v>
      </c>
      <c r="E1619" s="25">
        <v>0</v>
      </c>
      <c r="F1619" s="25" t="s">
        <v>50</v>
      </c>
      <c r="G1619" s="25" t="s">
        <v>60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2">
      <c r="A1620" s="24"/>
      <c r="B1620" s="22" t="s">
        <v>548</v>
      </c>
      <c r="C1620" s="25">
        <v>2</v>
      </c>
      <c r="D1620" s="25">
        <v>1</v>
      </c>
      <c r="E1620" s="25">
        <v>0</v>
      </c>
      <c r="F1620" s="25">
        <v>0</v>
      </c>
      <c r="G1620" s="25" t="s">
        <v>50</v>
      </c>
      <c r="H1620" s="25" t="s">
        <v>50</v>
      </c>
      <c r="I1620" s="25">
        <v>0</v>
      </c>
      <c r="J1620" s="25" t="s">
        <v>50</v>
      </c>
    </row>
    <row r="1621" spans="1:10" ht="12.75" customHeight="1" x14ac:dyDescent="0.2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2">
      <c r="A1622" s="22" t="s">
        <v>139</v>
      </c>
      <c r="B1622" s="22" t="s">
        <v>612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2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2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2">
      <c r="A1625" s="24"/>
      <c r="B1625" s="22" t="s">
        <v>543</v>
      </c>
      <c r="C1625" s="25">
        <v>66</v>
      </c>
      <c r="D1625" s="25">
        <v>47</v>
      </c>
      <c r="E1625" s="25" t="s">
        <v>50</v>
      </c>
      <c r="F1625" s="25" t="s">
        <v>50</v>
      </c>
      <c r="G1625" s="25">
        <v>19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2">
      <c r="A1626" s="24"/>
      <c r="B1626" s="22" t="s">
        <v>544</v>
      </c>
      <c r="C1626" s="25" t="s">
        <v>44</v>
      </c>
      <c r="D1626" s="25" t="s">
        <v>50</v>
      </c>
      <c r="E1626" s="25">
        <v>0</v>
      </c>
      <c r="F1626" s="25" t="s">
        <v>50</v>
      </c>
      <c r="G1626" s="25">
        <v>6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2">
      <c r="A1627" s="24"/>
      <c r="B1627" s="24" t="s">
        <v>45</v>
      </c>
      <c r="C1627" s="25" t="s">
        <v>44</v>
      </c>
      <c r="D1627" s="25" t="s">
        <v>50</v>
      </c>
      <c r="E1627" s="25">
        <v>0</v>
      </c>
      <c r="F1627" s="25" t="s">
        <v>50</v>
      </c>
      <c r="G1627" s="25">
        <v>3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2">
      <c r="A1628" s="24"/>
      <c r="B1628" s="24" t="s">
        <v>46</v>
      </c>
      <c r="C1628" s="25" t="s">
        <v>44</v>
      </c>
      <c r="D1628" s="25">
        <v>0</v>
      </c>
      <c r="E1628" s="25">
        <v>0</v>
      </c>
      <c r="F1628" s="25" t="s">
        <v>50</v>
      </c>
      <c r="G1628" s="25">
        <v>2</v>
      </c>
      <c r="H1628" s="25">
        <v>0</v>
      </c>
      <c r="I1628" s="25">
        <v>0</v>
      </c>
      <c r="J1628" s="25" t="s">
        <v>44</v>
      </c>
    </row>
    <row r="1629" spans="1:10" ht="12.75" customHeight="1" x14ac:dyDescent="0.2">
      <c r="A1629" s="24"/>
      <c r="B1629" s="22" t="s">
        <v>545</v>
      </c>
      <c r="C1629" s="25" t="s">
        <v>44</v>
      </c>
      <c r="D1629" s="25">
        <v>32</v>
      </c>
      <c r="E1629" s="25" t="s">
        <v>50</v>
      </c>
      <c r="F1629" s="25" t="s">
        <v>50</v>
      </c>
      <c r="G1629" s="25">
        <v>4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2">
      <c r="A1630" s="24"/>
      <c r="B1630" s="24" t="s">
        <v>48</v>
      </c>
      <c r="C1630" s="25" t="s">
        <v>44</v>
      </c>
      <c r="D1630" s="25">
        <v>4</v>
      </c>
      <c r="E1630" s="25">
        <v>0</v>
      </c>
      <c r="F1630" s="25" t="s">
        <v>50</v>
      </c>
      <c r="G1630" s="25">
        <v>2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2">
      <c r="A1631" s="24"/>
      <c r="B1631" s="24" t="s">
        <v>49</v>
      </c>
      <c r="C1631" s="25" t="s">
        <v>44</v>
      </c>
      <c r="D1631" s="25">
        <v>8</v>
      </c>
      <c r="E1631" s="25">
        <v>0</v>
      </c>
      <c r="F1631" s="25" t="s">
        <v>50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2">
      <c r="A1632" s="24"/>
      <c r="B1632" s="24" t="s">
        <v>51</v>
      </c>
      <c r="C1632" s="25" t="s">
        <v>44</v>
      </c>
      <c r="D1632" s="25">
        <v>11</v>
      </c>
      <c r="E1632" s="25">
        <v>0</v>
      </c>
      <c r="F1632" s="25" t="s">
        <v>50</v>
      </c>
      <c r="G1632" s="25" t="s">
        <v>50</v>
      </c>
      <c r="H1632" s="25">
        <v>0</v>
      </c>
      <c r="I1632" s="25">
        <v>0</v>
      </c>
      <c r="J1632" s="25" t="s">
        <v>44</v>
      </c>
    </row>
    <row r="1633" spans="1:10" ht="12.75" customHeight="1" x14ac:dyDescent="0.2">
      <c r="A1633" s="24"/>
      <c r="B1633" s="24" t="s">
        <v>52</v>
      </c>
      <c r="C1633" s="25" t="s">
        <v>44</v>
      </c>
      <c r="D1633" s="25">
        <v>1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0" ht="12.75" customHeight="1" x14ac:dyDescent="0.2">
      <c r="A1634" s="24"/>
      <c r="B1634" s="24" t="s">
        <v>53</v>
      </c>
      <c r="C1634" s="25" t="s">
        <v>44</v>
      </c>
      <c r="D1634" s="25">
        <v>9</v>
      </c>
      <c r="E1634" s="25" t="s">
        <v>50</v>
      </c>
      <c r="F1634" s="25" t="s">
        <v>50</v>
      </c>
      <c r="G1634" s="25">
        <v>1</v>
      </c>
      <c r="H1634" s="25" t="s">
        <v>50</v>
      </c>
      <c r="I1634" s="25">
        <v>0</v>
      </c>
      <c r="J1634" s="25" t="s">
        <v>44</v>
      </c>
    </row>
    <row r="1635" spans="1:10" ht="12.75" customHeight="1" x14ac:dyDescent="0.2">
      <c r="A1635" s="24"/>
      <c r="B1635" s="22" t="s">
        <v>546</v>
      </c>
      <c r="C1635" s="25" t="s">
        <v>44</v>
      </c>
      <c r="D1635" s="25">
        <v>14</v>
      </c>
      <c r="E1635" s="25">
        <v>0</v>
      </c>
      <c r="F1635" s="25" t="s">
        <v>50</v>
      </c>
      <c r="G1635" s="25">
        <v>9</v>
      </c>
      <c r="H1635" s="25" t="s">
        <v>50</v>
      </c>
      <c r="I1635" s="25">
        <v>0</v>
      </c>
      <c r="J1635" s="25" t="s">
        <v>44</v>
      </c>
    </row>
    <row r="1636" spans="1:10" ht="12.75" customHeight="1" x14ac:dyDescent="0.2">
      <c r="A1636" s="24"/>
      <c r="B1636" s="24" t="s">
        <v>547</v>
      </c>
      <c r="C1636" s="25" t="s">
        <v>44</v>
      </c>
      <c r="D1636" s="25">
        <v>10</v>
      </c>
      <c r="E1636" s="25">
        <v>0</v>
      </c>
      <c r="F1636" s="25" t="s">
        <v>50</v>
      </c>
      <c r="G1636" s="25">
        <v>7</v>
      </c>
      <c r="H1636" s="25" t="s">
        <v>50</v>
      </c>
      <c r="I1636" s="25">
        <v>0</v>
      </c>
      <c r="J1636" s="25" t="s">
        <v>44</v>
      </c>
    </row>
    <row r="1637" spans="1:10" ht="12.75" customHeight="1" x14ac:dyDescent="0.2">
      <c r="A1637" s="24"/>
      <c r="B1637" s="24" t="s">
        <v>54</v>
      </c>
      <c r="C1637" s="25" t="s">
        <v>44</v>
      </c>
      <c r="D1637" s="25">
        <v>2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0" ht="12.75" customHeight="1" x14ac:dyDescent="0.2">
      <c r="A1638" s="24"/>
      <c r="B1638" s="24" t="s">
        <v>55</v>
      </c>
      <c r="C1638" s="25" t="s">
        <v>44</v>
      </c>
      <c r="D1638" s="25">
        <v>2</v>
      </c>
      <c r="E1638" s="25">
        <v>0</v>
      </c>
      <c r="F1638" s="25" t="s">
        <v>50</v>
      </c>
      <c r="G1638" s="25" t="s">
        <v>50</v>
      </c>
      <c r="H1638" s="25" t="s">
        <v>50</v>
      </c>
      <c r="I1638" s="25">
        <v>0</v>
      </c>
      <c r="J1638" s="25" t="s">
        <v>44</v>
      </c>
    </row>
    <row r="1639" spans="1:10" ht="12.75" customHeight="1" x14ac:dyDescent="0.2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>
        <v>0</v>
      </c>
      <c r="H1639" s="25" t="s">
        <v>50</v>
      </c>
      <c r="I1639" s="25" t="s">
        <v>44</v>
      </c>
      <c r="J1639" s="25" t="s">
        <v>44</v>
      </c>
    </row>
    <row r="1640" spans="1:10" ht="12.75" customHeight="1" x14ac:dyDescent="0.2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>
        <v>1</v>
      </c>
      <c r="H1640" s="25">
        <v>0</v>
      </c>
      <c r="I1640" s="25">
        <v>0</v>
      </c>
      <c r="J1640" s="25" t="s">
        <v>44</v>
      </c>
    </row>
    <row r="1641" spans="1:10" ht="12.75" customHeight="1" x14ac:dyDescent="0.2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 t="s">
        <v>50</v>
      </c>
      <c r="H1641" s="25">
        <v>0</v>
      </c>
      <c r="I1641" s="25">
        <v>0</v>
      </c>
      <c r="J1641" s="25" t="s">
        <v>44</v>
      </c>
    </row>
    <row r="1642" spans="1:10" ht="12.75" customHeight="1" x14ac:dyDescent="0.2">
      <c r="A1642" s="24"/>
      <c r="B1642" s="22" t="s">
        <v>548</v>
      </c>
      <c r="C1642" s="25" t="s">
        <v>50</v>
      </c>
      <c r="D1642" s="25" t="s">
        <v>50</v>
      </c>
      <c r="E1642" s="25">
        <v>0</v>
      </c>
      <c r="F1642" s="25">
        <v>0</v>
      </c>
      <c r="G1642" s="25" t="s">
        <v>50</v>
      </c>
      <c r="H1642" s="25">
        <v>0</v>
      </c>
      <c r="I1642" s="25">
        <v>0</v>
      </c>
      <c r="J1642" s="25" t="s">
        <v>50</v>
      </c>
    </row>
    <row r="1643" spans="1:10" ht="12.75" customHeight="1" x14ac:dyDescent="0.2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0" s="12" customFormat="1" ht="12.75" customHeight="1" x14ac:dyDescent="0.2">
      <c r="A1644" s="22" t="s">
        <v>140</v>
      </c>
      <c r="B1644" s="22" t="s">
        <v>613</v>
      </c>
      <c r="C1644" s="27"/>
      <c r="D1644" s="27"/>
      <c r="E1644" s="27"/>
      <c r="F1644" s="27"/>
      <c r="G1644" s="27"/>
      <c r="H1644" s="27"/>
      <c r="I1644" s="27"/>
      <c r="J1644" s="27"/>
    </row>
    <row r="1645" spans="1:10" ht="12.75" customHeight="1" x14ac:dyDescent="0.2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0" ht="12.75" customHeight="1" x14ac:dyDescent="0.2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0" ht="12.75" customHeight="1" x14ac:dyDescent="0.2">
      <c r="A1647" s="24"/>
      <c r="B1647" s="22" t="s">
        <v>543</v>
      </c>
      <c r="C1647" s="25">
        <v>87</v>
      </c>
      <c r="D1647" s="25">
        <v>40</v>
      </c>
      <c r="E1647" s="25">
        <v>0</v>
      </c>
      <c r="F1647" s="25" t="s">
        <v>60</v>
      </c>
      <c r="G1647" s="25">
        <v>37</v>
      </c>
      <c r="H1647" s="25" t="s">
        <v>50</v>
      </c>
      <c r="I1647" s="25">
        <v>0</v>
      </c>
      <c r="J1647" s="25">
        <v>9</v>
      </c>
    </row>
    <row r="1648" spans="1:10" ht="12.75" customHeight="1" x14ac:dyDescent="0.2">
      <c r="A1648" s="24"/>
      <c r="B1648" s="22" t="s">
        <v>544</v>
      </c>
      <c r="C1648" s="25" t="s">
        <v>44</v>
      </c>
      <c r="D1648" s="25" t="s">
        <v>50</v>
      </c>
      <c r="E1648" s="25">
        <v>0</v>
      </c>
      <c r="F1648" s="25">
        <v>0</v>
      </c>
      <c r="G1648" s="25">
        <v>5</v>
      </c>
      <c r="H1648" s="25">
        <v>0</v>
      </c>
      <c r="I1648" s="25">
        <v>0</v>
      </c>
      <c r="J1648" s="25" t="s">
        <v>44</v>
      </c>
    </row>
    <row r="1649" spans="1:10" ht="12.75" customHeight="1" x14ac:dyDescent="0.2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>
        <v>0</v>
      </c>
      <c r="G1649" s="25">
        <v>5</v>
      </c>
      <c r="H1649" s="25">
        <v>0</v>
      </c>
      <c r="I1649" s="25">
        <v>0</v>
      </c>
      <c r="J1649" s="25" t="s">
        <v>44</v>
      </c>
    </row>
    <row r="1650" spans="1:10" ht="12.75" customHeight="1" x14ac:dyDescent="0.2">
      <c r="A1650" s="24"/>
      <c r="B1650" s="24" t="s">
        <v>46</v>
      </c>
      <c r="C1650" s="25" t="s">
        <v>44</v>
      </c>
      <c r="D1650" s="25">
        <v>0</v>
      </c>
      <c r="E1650" s="25">
        <v>0</v>
      </c>
      <c r="F1650" s="25">
        <v>0</v>
      </c>
      <c r="G1650" s="25" t="s">
        <v>50</v>
      </c>
      <c r="H1650" s="25">
        <v>0</v>
      </c>
      <c r="I1650" s="25">
        <v>0</v>
      </c>
      <c r="J1650" s="25" t="s">
        <v>44</v>
      </c>
    </row>
    <row r="1651" spans="1:10" ht="12.75" customHeight="1" x14ac:dyDescent="0.2">
      <c r="A1651" s="24"/>
      <c r="B1651" s="22" t="s">
        <v>545</v>
      </c>
      <c r="C1651" s="25" t="s">
        <v>44</v>
      </c>
      <c r="D1651" s="25">
        <v>26</v>
      </c>
      <c r="E1651" s="25">
        <v>0</v>
      </c>
      <c r="F1651" s="25" t="s">
        <v>50</v>
      </c>
      <c r="G1651" s="25">
        <v>19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2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16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2">
      <c r="A1653" s="24"/>
      <c r="B1653" s="24" t="s">
        <v>49</v>
      </c>
      <c r="C1653" s="25" t="s">
        <v>44</v>
      </c>
      <c r="D1653" s="25">
        <v>1</v>
      </c>
      <c r="E1653" s="25">
        <v>0</v>
      </c>
      <c r="F1653" s="25" t="s">
        <v>50</v>
      </c>
      <c r="G1653" s="25" t="s">
        <v>50</v>
      </c>
      <c r="H1653" s="25">
        <v>0</v>
      </c>
      <c r="I1653" s="25">
        <v>0</v>
      </c>
      <c r="J1653" s="25" t="s">
        <v>44</v>
      </c>
    </row>
    <row r="1654" spans="1:10" ht="12.75" customHeight="1" x14ac:dyDescent="0.2">
      <c r="A1654" s="24"/>
      <c r="B1654" s="24" t="s">
        <v>51</v>
      </c>
      <c r="C1654" s="25" t="s">
        <v>44</v>
      </c>
      <c r="D1654" s="25">
        <v>15</v>
      </c>
      <c r="E1654" s="25">
        <v>0</v>
      </c>
      <c r="F1654" s="25" t="s">
        <v>50</v>
      </c>
      <c r="G1654" s="25">
        <v>2</v>
      </c>
      <c r="H1654" s="25" t="s">
        <v>50</v>
      </c>
      <c r="I1654" s="25">
        <v>0</v>
      </c>
      <c r="J1654" s="25" t="s">
        <v>44</v>
      </c>
    </row>
    <row r="1655" spans="1:10" ht="12.75" customHeight="1" x14ac:dyDescent="0.2">
      <c r="A1655" s="24"/>
      <c r="B1655" s="24" t="s">
        <v>52</v>
      </c>
      <c r="C1655" s="25" t="s">
        <v>44</v>
      </c>
      <c r="D1655" s="25">
        <v>3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2">
      <c r="A1656" s="24"/>
      <c r="B1656" s="24" t="s">
        <v>53</v>
      </c>
      <c r="C1656" s="25" t="s">
        <v>44</v>
      </c>
      <c r="D1656" s="25">
        <v>1</v>
      </c>
      <c r="E1656" s="25">
        <v>0</v>
      </c>
      <c r="F1656" s="25" t="s">
        <v>50</v>
      </c>
      <c r="G1656" s="74">
        <f>G1651-G1652-G1654</f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2">
      <c r="A1657" s="24"/>
      <c r="B1657" s="22" t="s">
        <v>546</v>
      </c>
      <c r="C1657" s="25" t="s">
        <v>44</v>
      </c>
      <c r="D1657" s="25">
        <v>12</v>
      </c>
      <c r="E1657" s="25">
        <v>0</v>
      </c>
      <c r="F1657" s="25" t="s">
        <v>60</v>
      </c>
      <c r="G1657" s="25">
        <v>11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2">
      <c r="A1658" s="24"/>
      <c r="B1658" s="24" t="s">
        <v>547</v>
      </c>
      <c r="C1658" s="25" t="s">
        <v>44</v>
      </c>
      <c r="D1658" s="25">
        <v>7</v>
      </c>
      <c r="E1658" s="25">
        <v>0</v>
      </c>
      <c r="F1658" s="25" t="s">
        <v>50</v>
      </c>
      <c r="G1658" s="25">
        <v>10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2">
      <c r="A1659" s="24"/>
      <c r="B1659" s="24" t="s">
        <v>54</v>
      </c>
      <c r="C1659" s="25" t="s">
        <v>44</v>
      </c>
      <c r="D1659" s="25">
        <v>3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2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>
        <v>0</v>
      </c>
      <c r="G1660" s="25">
        <v>1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2">
      <c r="A1661" s="24"/>
      <c r="B1661" s="24" t="s">
        <v>56</v>
      </c>
      <c r="C1661" s="25" t="s">
        <v>44</v>
      </c>
      <c r="D1661" s="25">
        <v>1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2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 t="s">
        <v>50</v>
      </c>
      <c r="I1662" s="25">
        <v>0</v>
      </c>
      <c r="J1662" s="25" t="s">
        <v>44</v>
      </c>
    </row>
    <row r="1663" spans="1:10" ht="12.75" customHeight="1" x14ac:dyDescent="0.2">
      <c r="A1663" s="24"/>
      <c r="B1663" s="24" t="s">
        <v>58</v>
      </c>
      <c r="C1663" s="25" t="s">
        <v>44</v>
      </c>
      <c r="D1663" s="25" t="s">
        <v>60</v>
      </c>
      <c r="E1663" s="25">
        <v>0</v>
      </c>
      <c r="F1663" s="25" t="s">
        <v>50</v>
      </c>
      <c r="G1663" s="25" t="s">
        <v>50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2">
      <c r="A1664" s="24"/>
      <c r="B1664" s="22" t="s">
        <v>548</v>
      </c>
      <c r="C1664" s="25">
        <v>12</v>
      </c>
      <c r="D1664" s="25">
        <v>2</v>
      </c>
      <c r="E1664" s="25">
        <v>0</v>
      </c>
      <c r="F1664" s="25">
        <v>0</v>
      </c>
      <c r="G1664" s="25" t="s">
        <v>60</v>
      </c>
      <c r="H1664" s="25" t="s">
        <v>50</v>
      </c>
      <c r="I1664" s="25">
        <v>0</v>
      </c>
      <c r="J1664" s="25">
        <v>9</v>
      </c>
    </row>
    <row r="1665" spans="1:10" ht="12.75" customHeight="1" x14ac:dyDescent="0.2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2">
      <c r="A1666" s="22" t="s">
        <v>141</v>
      </c>
      <c r="B1666" s="22" t="s">
        <v>614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2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2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2">
      <c r="A1669" s="24"/>
      <c r="B1669" s="22" t="s">
        <v>543</v>
      </c>
      <c r="C1669" s="25">
        <v>304</v>
      </c>
      <c r="D1669" s="25">
        <v>159</v>
      </c>
      <c r="E1669" s="25" t="s">
        <v>50</v>
      </c>
      <c r="F1669" s="25">
        <v>1</v>
      </c>
      <c r="G1669" s="25">
        <v>130</v>
      </c>
      <c r="H1669" s="25">
        <v>3</v>
      </c>
      <c r="I1669" s="25">
        <v>0</v>
      </c>
      <c r="J1669" s="25">
        <v>11</v>
      </c>
    </row>
    <row r="1670" spans="1:10" ht="12.75" customHeight="1" x14ac:dyDescent="0.2">
      <c r="A1670" s="24"/>
      <c r="B1670" s="22" t="s">
        <v>544</v>
      </c>
      <c r="C1670" s="25" t="s">
        <v>44</v>
      </c>
      <c r="D1670" s="25">
        <v>1</v>
      </c>
      <c r="E1670" s="25">
        <v>0</v>
      </c>
      <c r="F1670" s="25" t="s">
        <v>50</v>
      </c>
      <c r="G1670" s="25">
        <v>20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2">
      <c r="A1671" s="24"/>
      <c r="B1671" s="24" t="s">
        <v>45</v>
      </c>
      <c r="C1671" s="25" t="s">
        <v>44</v>
      </c>
      <c r="D1671" s="25">
        <v>1</v>
      </c>
      <c r="E1671" s="25">
        <v>0</v>
      </c>
      <c r="F1671" s="25" t="s">
        <v>50</v>
      </c>
      <c r="G1671" s="25">
        <v>10</v>
      </c>
      <c r="H1671" s="25" t="s">
        <v>50</v>
      </c>
      <c r="I1671" s="25">
        <v>0</v>
      </c>
      <c r="J1671" s="25" t="s">
        <v>44</v>
      </c>
    </row>
    <row r="1672" spans="1:10" ht="12.75" customHeight="1" x14ac:dyDescent="0.2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 t="s">
        <v>50</v>
      </c>
      <c r="G1672" s="25">
        <v>10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2">
      <c r="A1673" s="24"/>
      <c r="B1673" s="22" t="s">
        <v>545</v>
      </c>
      <c r="C1673" s="25" t="s">
        <v>44</v>
      </c>
      <c r="D1673" s="25">
        <v>94</v>
      </c>
      <c r="E1673" s="25">
        <v>0</v>
      </c>
      <c r="F1673" s="25" t="s">
        <v>50</v>
      </c>
      <c r="G1673" s="25">
        <v>55</v>
      </c>
      <c r="H1673" s="25">
        <v>1</v>
      </c>
      <c r="I1673" s="25">
        <v>0</v>
      </c>
      <c r="J1673" s="25" t="s">
        <v>44</v>
      </c>
    </row>
    <row r="1674" spans="1:10" ht="12.75" customHeight="1" x14ac:dyDescent="0.2">
      <c r="A1674" s="24"/>
      <c r="B1674" s="24" t="s">
        <v>48</v>
      </c>
      <c r="C1674" s="25" t="s">
        <v>44</v>
      </c>
      <c r="D1674" s="25">
        <v>12</v>
      </c>
      <c r="E1674" s="25">
        <v>0</v>
      </c>
      <c r="F1674" s="25" t="s">
        <v>50</v>
      </c>
      <c r="G1674" s="25">
        <v>50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2">
      <c r="A1675" s="24"/>
      <c r="B1675" s="24" t="s">
        <v>49</v>
      </c>
      <c r="C1675" s="25" t="s">
        <v>44</v>
      </c>
      <c r="D1675" s="25">
        <v>9</v>
      </c>
      <c r="E1675" s="25">
        <v>0</v>
      </c>
      <c r="F1675" s="25">
        <v>0</v>
      </c>
      <c r="G1675" s="25" t="s">
        <v>50</v>
      </c>
      <c r="H1675" s="25" t="s">
        <v>50</v>
      </c>
      <c r="I1675" s="25">
        <v>0</v>
      </c>
      <c r="J1675" s="25" t="s">
        <v>44</v>
      </c>
    </row>
    <row r="1676" spans="1:10" ht="12.75" customHeight="1" x14ac:dyDescent="0.2">
      <c r="A1676" s="24"/>
      <c r="B1676" s="24" t="s">
        <v>51</v>
      </c>
      <c r="C1676" s="25" t="s">
        <v>44</v>
      </c>
      <c r="D1676" s="25">
        <v>66</v>
      </c>
      <c r="E1676" s="25">
        <v>0</v>
      </c>
      <c r="F1676" s="25" t="s">
        <v>50</v>
      </c>
      <c r="G1676" s="74">
        <f>G1673-G1674</f>
        <v>5</v>
      </c>
      <c r="H1676" s="25" t="s">
        <v>50</v>
      </c>
      <c r="I1676" s="25">
        <v>0</v>
      </c>
      <c r="J1676" s="25" t="s">
        <v>44</v>
      </c>
    </row>
    <row r="1677" spans="1:10" ht="12.75" customHeight="1" x14ac:dyDescent="0.2">
      <c r="A1677" s="24"/>
      <c r="B1677" s="24" t="s">
        <v>52</v>
      </c>
      <c r="C1677" s="25" t="s">
        <v>44</v>
      </c>
      <c r="D1677" s="25">
        <v>1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2">
      <c r="A1678" s="24"/>
      <c r="B1678" s="24" t="s">
        <v>53</v>
      </c>
      <c r="C1678" s="25" t="s">
        <v>44</v>
      </c>
      <c r="D1678" s="25">
        <v>6</v>
      </c>
      <c r="E1678" s="25">
        <v>0</v>
      </c>
      <c r="F1678" s="25" t="s">
        <v>50</v>
      </c>
      <c r="G1678" s="25">
        <v>3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2">
      <c r="A1679" s="24"/>
      <c r="B1679" s="22" t="s">
        <v>546</v>
      </c>
      <c r="C1679" s="25" t="s">
        <v>44</v>
      </c>
      <c r="D1679" s="25">
        <v>58</v>
      </c>
      <c r="E1679" s="25" t="s">
        <v>50</v>
      </c>
      <c r="F1679" s="25">
        <v>1</v>
      </c>
      <c r="G1679" s="25">
        <v>54</v>
      </c>
      <c r="H1679" s="25">
        <v>2</v>
      </c>
      <c r="I1679" s="25">
        <v>0</v>
      </c>
      <c r="J1679" s="25" t="s">
        <v>44</v>
      </c>
    </row>
    <row r="1680" spans="1:10" ht="12.75" customHeight="1" x14ac:dyDescent="0.2">
      <c r="A1680" s="24"/>
      <c r="B1680" s="24" t="s">
        <v>547</v>
      </c>
      <c r="C1680" s="25" t="s">
        <v>44</v>
      </c>
      <c r="D1680" s="25">
        <v>30</v>
      </c>
      <c r="E1680" s="25" t="s">
        <v>50</v>
      </c>
      <c r="F1680" s="25" t="s">
        <v>50</v>
      </c>
      <c r="G1680" s="25">
        <v>50</v>
      </c>
      <c r="H1680" s="25" t="s">
        <v>60</v>
      </c>
      <c r="I1680" s="25">
        <v>0</v>
      </c>
      <c r="J1680" s="25" t="s">
        <v>44</v>
      </c>
    </row>
    <row r="1681" spans="1:10" ht="12.75" customHeight="1" x14ac:dyDescent="0.2">
      <c r="A1681" s="24"/>
      <c r="B1681" s="24" t="s">
        <v>54</v>
      </c>
      <c r="C1681" s="25" t="s">
        <v>44</v>
      </c>
      <c r="D1681" s="25">
        <v>20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0" ht="12.75" customHeight="1" x14ac:dyDescent="0.2">
      <c r="A1682" s="24"/>
      <c r="B1682" s="24" t="s">
        <v>55</v>
      </c>
      <c r="C1682" s="25" t="s">
        <v>44</v>
      </c>
      <c r="D1682" s="25">
        <v>5</v>
      </c>
      <c r="E1682" s="25">
        <v>0</v>
      </c>
      <c r="F1682" s="25" t="s">
        <v>50</v>
      </c>
      <c r="G1682" s="25">
        <v>3</v>
      </c>
      <c r="H1682" s="25" t="s">
        <v>50</v>
      </c>
      <c r="I1682" s="25">
        <v>0</v>
      </c>
      <c r="J1682" s="25" t="s">
        <v>44</v>
      </c>
    </row>
    <row r="1683" spans="1:10" ht="12.75" customHeight="1" x14ac:dyDescent="0.2">
      <c r="A1683" s="24"/>
      <c r="B1683" s="24" t="s">
        <v>56</v>
      </c>
      <c r="C1683" s="25" t="s">
        <v>44</v>
      </c>
      <c r="D1683" s="25">
        <v>2</v>
      </c>
      <c r="E1683" s="25" t="s">
        <v>44</v>
      </c>
      <c r="F1683" s="25">
        <v>1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0" ht="12.75" customHeight="1" x14ac:dyDescent="0.2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 t="s">
        <v>50</v>
      </c>
      <c r="I1684" s="25">
        <v>0</v>
      </c>
      <c r="J1684" s="25" t="s">
        <v>44</v>
      </c>
    </row>
    <row r="1685" spans="1:10" ht="12.75" customHeight="1" x14ac:dyDescent="0.2">
      <c r="A1685" s="24"/>
      <c r="B1685" s="24" t="s">
        <v>58</v>
      </c>
      <c r="C1685" s="25" t="s">
        <v>44</v>
      </c>
      <c r="D1685" s="25">
        <v>1</v>
      </c>
      <c r="E1685" s="25">
        <v>0</v>
      </c>
      <c r="F1685" s="25" t="s">
        <v>50</v>
      </c>
      <c r="G1685" s="25">
        <v>1</v>
      </c>
      <c r="H1685" s="25" t="s">
        <v>50</v>
      </c>
      <c r="I1685" s="25">
        <v>0</v>
      </c>
      <c r="J1685" s="25" t="s">
        <v>44</v>
      </c>
    </row>
    <row r="1686" spans="1:10" ht="12.75" customHeight="1" x14ac:dyDescent="0.2">
      <c r="A1686" s="24"/>
      <c r="B1686" s="22" t="s">
        <v>548</v>
      </c>
      <c r="C1686" s="25">
        <v>17</v>
      </c>
      <c r="D1686" s="25">
        <v>5</v>
      </c>
      <c r="E1686" s="25">
        <v>0</v>
      </c>
      <c r="F1686" s="25" t="s">
        <v>50</v>
      </c>
      <c r="G1686" s="25">
        <v>1</v>
      </c>
      <c r="H1686" s="25" t="s">
        <v>50</v>
      </c>
      <c r="I1686" s="25">
        <v>0</v>
      </c>
      <c r="J1686" s="25">
        <v>11</v>
      </c>
    </row>
    <row r="1687" spans="1:10" ht="12.75" customHeight="1" x14ac:dyDescent="0.2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0" s="12" customFormat="1" ht="12.75" customHeight="1" x14ac:dyDescent="0.2">
      <c r="A1688" s="22" t="s">
        <v>615</v>
      </c>
      <c r="B1688" s="22" t="s">
        <v>616</v>
      </c>
      <c r="C1688" s="27"/>
      <c r="D1688" s="27"/>
      <c r="E1688" s="27"/>
      <c r="F1688" s="27"/>
      <c r="G1688" s="27"/>
      <c r="H1688" s="27"/>
      <c r="I1688" s="27"/>
      <c r="J1688" s="27"/>
    </row>
    <row r="1689" spans="1:10" ht="12.75" customHeight="1" x14ac:dyDescent="0.2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0" ht="12.75" customHeight="1" x14ac:dyDescent="0.2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0" ht="12.75" customHeight="1" x14ac:dyDescent="0.2">
      <c r="A1691" s="24"/>
      <c r="B1691" s="22" t="s">
        <v>543</v>
      </c>
      <c r="C1691" s="25">
        <v>77</v>
      </c>
      <c r="D1691" s="25">
        <v>27</v>
      </c>
      <c r="E1691" s="25">
        <v>0</v>
      </c>
      <c r="F1691" s="25" t="s">
        <v>50</v>
      </c>
      <c r="G1691" s="25">
        <v>40</v>
      </c>
      <c r="H1691" s="25" t="s">
        <v>50</v>
      </c>
      <c r="I1691" s="25">
        <v>0</v>
      </c>
      <c r="J1691" s="25">
        <v>8</v>
      </c>
    </row>
    <row r="1692" spans="1:10" ht="12.75" customHeight="1" x14ac:dyDescent="0.2">
      <c r="A1692" s="24"/>
      <c r="B1692" s="22" t="s">
        <v>544</v>
      </c>
      <c r="C1692" s="25" t="s">
        <v>44</v>
      </c>
      <c r="D1692" s="25">
        <v>1</v>
      </c>
      <c r="E1692" s="25">
        <v>0</v>
      </c>
      <c r="F1692" s="25">
        <v>0</v>
      </c>
      <c r="G1692" s="25">
        <v>4</v>
      </c>
      <c r="H1692" s="25">
        <v>0</v>
      </c>
      <c r="I1692" s="25">
        <v>0</v>
      </c>
      <c r="J1692" s="25" t="s">
        <v>44</v>
      </c>
    </row>
    <row r="1693" spans="1:10" ht="12.75" customHeight="1" x14ac:dyDescent="0.2">
      <c r="A1693" s="24"/>
      <c r="B1693" s="24" t="s">
        <v>45</v>
      </c>
      <c r="C1693" s="25" t="s">
        <v>44</v>
      </c>
      <c r="D1693" s="25">
        <v>1</v>
      </c>
      <c r="E1693" s="25">
        <v>0</v>
      </c>
      <c r="F1693" s="25">
        <v>0</v>
      </c>
      <c r="G1693" s="25">
        <v>4</v>
      </c>
      <c r="H1693" s="25">
        <v>0</v>
      </c>
      <c r="I1693" s="25">
        <v>0</v>
      </c>
      <c r="J1693" s="25" t="s">
        <v>44</v>
      </c>
    </row>
    <row r="1694" spans="1:10" ht="12.75" customHeight="1" x14ac:dyDescent="0.2">
      <c r="A1694" s="24"/>
      <c r="B1694" s="24" t="s">
        <v>46</v>
      </c>
      <c r="C1694" s="25" t="s">
        <v>44</v>
      </c>
      <c r="D1694" s="25">
        <v>0</v>
      </c>
      <c r="E1694" s="25">
        <v>0</v>
      </c>
      <c r="F1694" s="25">
        <v>0</v>
      </c>
      <c r="G1694" s="25">
        <v>1</v>
      </c>
      <c r="H1694" s="25">
        <v>0</v>
      </c>
      <c r="I1694" s="25">
        <v>0</v>
      </c>
      <c r="J1694" s="25" t="s">
        <v>44</v>
      </c>
    </row>
    <row r="1695" spans="1:10" ht="12.75" customHeight="1" x14ac:dyDescent="0.2">
      <c r="A1695" s="24"/>
      <c r="B1695" s="22" t="s">
        <v>545</v>
      </c>
      <c r="C1695" s="25" t="s">
        <v>44</v>
      </c>
      <c r="D1695" s="25">
        <v>17</v>
      </c>
      <c r="E1695" s="25">
        <v>0</v>
      </c>
      <c r="F1695" s="25" t="s">
        <v>50</v>
      </c>
      <c r="G1695" s="25">
        <v>25</v>
      </c>
      <c r="H1695" s="25" t="s">
        <v>50</v>
      </c>
      <c r="I1695" s="25">
        <v>0</v>
      </c>
      <c r="J1695" s="25" t="s">
        <v>44</v>
      </c>
    </row>
    <row r="1696" spans="1:10" ht="12.75" customHeight="1" x14ac:dyDescent="0.2">
      <c r="A1696" s="24"/>
      <c r="B1696" s="24" t="s">
        <v>48</v>
      </c>
      <c r="C1696" s="25" t="s">
        <v>44</v>
      </c>
      <c r="D1696" s="25">
        <v>1</v>
      </c>
      <c r="E1696" s="25">
        <v>0</v>
      </c>
      <c r="F1696" s="25">
        <v>0</v>
      </c>
      <c r="G1696" s="25">
        <v>24</v>
      </c>
      <c r="H1696" s="25" t="s">
        <v>50</v>
      </c>
      <c r="I1696" s="25">
        <v>0</v>
      </c>
      <c r="J1696" s="25" t="s">
        <v>44</v>
      </c>
    </row>
    <row r="1697" spans="1:10" ht="12.75" customHeight="1" x14ac:dyDescent="0.2">
      <c r="A1697" s="24"/>
      <c r="B1697" s="24" t="s">
        <v>49</v>
      </c>
      <c r="C1697" s="25" t="s">
        <v>44</v>
      </c>
      <c r="D1697" s="25">
        <v>2</v>
      </c>
      <c r="E1697" s="25">
        <v>0</v>
      </c>
      <c r="F1697" s="25">
        <v>0</v>
      </c>
      <c r="G1697" s="25" t="s">
        <v>50</v>
      </c>
      <c r="H1697" s="25">
        <v>0</v>
      </c>
      <c r="I1697" s="25">
        <v>0</v>
      </c>
      <c r="J1697" s="25" t="s">
        <v>44</v>
      </c>
    </row>
    <row r="1698" spans="1:10" ht="12.75" customHeight="1" x14ac:dyDescent="0.2">
      <c r="A1698" s="24"/>
      <c r="B1698" s="24" t="s">
        <v>51</v>
      </c>
      <c r="C1698" s="25" t="s">
        <v>44</v>
      </c>
      <c r="D1698" s="25">
        <v>13</v>
      </c>
      <c r="E1698" s="25">
        <v>0</v>
      </c>
      <c r="F1698" s="25" t="s">
        <v>50</v>
      </c>
      <c r="G1698" s="25" t="s">
        <v>50</v>
      </c>
      <c r="H1698" s="25">
        <v>0</v>
      </c>
      <c r="I1698" s="25">
        <v>0</v>
      </c>
      <c r="J1698" s="25" t="s">
        <v>44</v>
      </c>
    </row>
    <row r="1699" spans="1:10" ht="12.75" customHeight="1" x14ac:dyDescent="0.2">
      <c r="A1699" s="24"/>
      <c r="B1699" s="24" t="s">
        <v>52</v>
      </c>
      <c r="C1699" s="25" t="s">
        <v>44</v>
      </c>
      <c r="D1699" s="25" t="s">
        <v>50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0" ht="12.75" customHeight="1" x14ac:dyDescent="0.2">
      <c r="A1700" s="24"/>
      <c r="B1700" s="24" t="s">
        <v>53</v>
      </c>
      <c r="C1700" s="25" t="s">
        <v>44</v>
      </c>
      <c r="D1700" s="25">
        <v>1</v>
      </c>
      <c r="E1700" s="25">
        <v>0</v>
      </c>
      <c r="F1700" s="25" t="s">
        <v>50</v>
      </c>
      <c r="G1700" s="25">
        <v>1</v>
      </c>
      <c r="H1700" s="25" t="s">
        <v>50</v>
      </c>
      <c r="I1700" s="25">
        <v>0</v>
      </c>
      <c r="J1700" s="25" t="s">
        <v>44</v>
      </c>
    </row>
    <row r="1701" spans="1:10" ht="12.75" customHeight="1" x14ac:dyDescent="0.2">
      <c r="A1701" s="24"/>
      <c r="B1701" s="22" t="s">
        <v>546</v>
      </c>
      <c r="C1701" s="25" t="s">
        <v>44</v>
      </c>
      <c r="D1701" s="25">
        <v>9</v>
      </c>
      <c r="E1701" s="25">
        <v>0</v>
      </c>
      <c r="F1701" s="25" t="s">
        <v>50</v>
      </c>
      <c r="G1701" s="25">
        <v>11</v>
      </c>
      <c r="H1701" s="25" t="s">
        <v>50</v>
      </c>
      <c r="I1701" s="25">
        <v>0</v>
      </c>
      <c r="J1701" s="25" t="s">
        <v>44</v>
      </c>
    </row>
    <row r="1702" spans="1:10" ht="12.75" customHeight="1" x14ac:dyDescent="0.2">
      <c r="A1702" s="24"/>
      <c r="B1702" s="24" t="s">
        <v>547</v>
      </c>
      <c r="C1702" s="25" t="s">
        <v>44</v>
      </c>
      <c r="D1702" s="25">
        <v>6</v>
      </c>
      <c r="E1702" s="25">
        <v>0</v>
      </c>
      <c r="F1702" s="25">
        <v>0</v>
      </c>
      <c r="G1702" s="25">
        <v>10</v>
      </c>
      <c r="H1702" s="25" t="s">
        <v>50</v>
      </c>
      <c r="I1702" s="25">
        <v>0</v>
      </c>
      <c r="J1702" s="25" t="s">
        <v>44</v>
      </c>
    </row>
    <row r="1703" spans="1:10" ht="12.75" customHeight="1" x14ac:dyDescent="0.2">
      <c r="A1703" s="24"/>
      <c r="B1703" s="24" t="s">
        <v>54</v>
      </c>
      <c r="C1703" s="25" t="s">
        <v>44</v>
      </c>
      <c r="D1703" s="25">
        <v>2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0" ht="12.75" customHeight="1" x14ac:dyDescent="0.2">
      <c r="A1704" s="24"/>
      <c r="B1704" s="24" t="s">
        <v>55</v>
      </c>
      <c r="C1704" s="25" t="s">
        <v>44</v>
      </c>
      <c r="D1704" s="25">
        <v>1</v>
      </c>
      <c r="E1704" s="25">
        <v>0</v>
      </c>
      <c r="F1704" s="25" t="s">
        <v>50</v>
      </c>
      <c r="G1704" s="25" t="s">
        <v>50</v>
      </c>
      <c r="H1704" s="25">
        <v>0</v>
      </c>
      <c r="I1704" s="25">
        <v>0</v>
      </c>
      <c r="J1704" s="25" t="s">
        <v>44</v>
      </c>
    </row>
    <row r="1705" spans="1:10" ht="12.75" customHeight="1" x14ac:dyDescent="0.2">
      <c r="A1705" s="24"/>
      <c r="B1705" s="24" t="s">
        <v>56</v>
      </c>
      <c r="C1705" s="25" t="s">
        <v>44</v>
      </c>
      <c r="D1705" s="25" t="s">
        <v>50</v>
      </c>
      <c r="E1705" s="25" t="s">
        <v>44</v>
      </c>
      <c r="F1705" s="25" t="s">
        <v>50</v>
      </c>
      <c r="G1705" s="25" t="s">
        <v>50</v>
      </c>
      <c r="H1705" s="25" t="s">
        <v>50</v>
      </c>
      <c r="I1705" s="25" t="s">
        <v>44</v>
      </c>
      <c r="J1705" s="25" t="s">
        <v>44</v>
      </c>
    </row>
    <row r="1706" spans="1:10" ht="12.75" customHeight="1" x14ac:dyDescent="0.2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>
        <v>0</v>
      </c>
      <c r="I1706" s="25">
        <v>0</v>
      </c>
      <c r="J1706" s="25" t="s">
        <v>44</v>
      </c>
    </row>
    <row r="1707" spans="1:10" ht="12.75" customHeight="1" x14ac:dyDescent="0.2">
      <c r="A1707" s="24"/>
      <c r="B1707" s="24" t="s">
        <v>58</v>
      </c>
      <c r="C1707" s="25" t="s">
        <v>44</v>
      </c>
      <c r="D1707" s="25" t="s">
        <v>50</v>
      </c>
      <c r="E1707" s="25">
        <v>0</v>
      </c>
      <c r="F1707" s="25" t="s">
        <v>50</v>
      </c>
      <c r="G1707" s="25">
        <v>0</v>
      </c>
      <c r="H1707" s="25" t="s">
        <v>50</v>
      </c>
      <c r="I1707" s="25">
        <v>0</v>
      </c>
      <c r="J1707" s="25" t="s">
        <v>44</v>
      </c>
    </row>
    <row r="1708" spans="1:10" ht="12.75" customHeight="1" x14ac:dyDescent="0.2">
      <c r="A1708" s="24"/>
      <c r="B1708" s="22" t="s">
        <v>548</v>
      </c>
      <c r="C1708" s="25">
        <v>10</v>
      </c>
      <c r="D1708" s="25" t="s">
        <v>50</v>
      </c>
      <c r="E1708" s="25">
        <v>0</v>
      </c>
      <c r="F1708" s="25" t="s">
        <v>50</v>
      </c>
      <c r="G1708" s="25">
        <v>1</v>
      </c>
      <c r="H1708" s="25">
        <v>0</v>
      </c>
      <c r="I1708" s="25">
        <v>0</v>
      </c>
      <c r="J1708" s="25">
        <v>8</v>
      </c>
    </row>
    <row r="1709" spans="1:10" ht="12.75" customHeight="1" x14ac:dyDescent="0.2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0" s="12" customFormat="1" ht="12.75" customHeight="1" x14ac:dyDescent="0.2">
      <c r="A1710" s="28" t="s">
        <v>142</v>
      </c>
      <c r="B1710" s="28" t="s">
        <v>617</v>
      </c>
      <c r="C1710" s="27"/>
      <c r="D1710" s="27"/>
      <c r="E1710" s="27"/>
      <c r="F1710" s="27"/>
      <c r="G1710" s="27"/>
      <c r="H1710" s="27"/>
      <c r="I1710" s="27"/>
      <c r="J1710" s="27"/>
    </row>
    <row r="1711" spans="1:10" ht="12.75" customHeight="1" x14ac:dyDescent="0.2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0" ht="12.75" customHeight="1" x14ac:dyDescent="0.2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2">
      <c r="A1713" s="24"/>
      <c r="B1713" s="22" t="s">
        <v>543</v>
      </c>
      <c r="C1713" s="25">
        <v>62</v>
      </c>
      <c r="D1713" s="25">
        <v>33</v>
      </c>
      <c r="E1713" s="25">
        <v>0</v>
      </c>
      <c r="F1713" s="25" t="s">
        <v>50</v>
      </c>
      <c r="G1713" s="25">
        <v>27</v>
      </c>
      <c r="H1713" s="25" t="s">
        <v>50</v>
      </c>
      <c r="I1713" s="25">
        <v>0</v>
      </c>
      <c r="J1713" s="25">
        <v>1</v>
      </c>
    </row>
    <row r="1714" spans="1:10" ht="12.75" customHeight="1" x14ac:dyDescent="0.2">
      <c r="A1714" s="24"/>
      <c r="B1714" s="22" t="s">
        <v>544</v>
      </c>
      <c r="C1714" s="25" t="s">
        <v>44</v>
      </c>
      <c r="D1714" s="25" t="s">
        <v>50</v>
      </c>
      <c r="E1714" s="25">
        <v>0</v>
      </c>
      <c r="F1714" s="25" t="s">
        <v>50</v>
      </c>
      <c r="G1714" s="25">
        <v>9</v>
      </c>
      <c r="H1714" s="25" t="s">
        <v>50</v>
      </c>
      <c r="I1714" s="25">
        <v>0</v>
      </c>
      <c r="J1714" s="25" t="s">
        <v>44</v>
      </c>
    </row>
    <row r="1715" spans="1:10" ht="12.75" customHeight="1" x14ac:dyDescent="0.2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 t="s">
        <v>50</v>
      </c>
      <c r="G1715" s="25">
        <v>4</v>
      </c>
      <c r="H1715" s="25" t="s">
        <v>50</v>
      </c>
      <c r="I1715" s="25">
        <v>0</v>
      </c>
      <c r="J1715" s="25" t="s">
        <v>44</v>
      </c>
    </row>
    <row r="1716" spans="1:10" ht="12.75" customHeight="1" x14ac:dyDescent="0.2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 t="s">
        <v>50</v>
      </c>
      <c r="G1716" s="25">
        <v>5</v>
      </c>
      <c r="H1716" s="25" t="s">
        <v>50</v>
      </c>
      <c r="I1716" s="25">
        <v>0</v>
      </c>
      <c r="J1716" s="25" t="s">
        <v>44</v>
      </c>
    </row>
    <row r="1717" spans="1:10" ht="12.75" customHeight="1" x14ac:dyDescent="0.2">
      <c r="A1717" s="24"/>
      <c r="B1717" s="22" t="s">
        <v>545</v>
      </c>
      <c r="C1717" s="25" t="s">
        <v>44</v>
      </c>
      <c r="D1717" s="25">
        <v>18</v>
      </c>
      <c r="E1717" s="25">
        <v>0</v>
      </c>
      <c r="F1717" s="25" t="s">
        <v>50</v>
      </c>
      <c r="G1717" s="25">
        <v>8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2">
      <c r="A1718" s="24"/>
      <c r="B1718" s="24" t="s">
        <v>48</v>
      </c>
      <c r="C1718" s="25" t="s">
        <v>44</v>
      </c>
      <c r="D1718" s="25">
        <v>4</v>
      </c>
      <c r="E1718" s="25">
        <v>0</v>
      </c>
      <c r="F1718" s="25" t="s">
        <v>50</v>
      </c>
      <c r="G1718" s="25">
        <v>6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2">
      <c r="A1719" s="24"/>
      <c r="B1719" s="24" t="s">
        <v>49</v>
      </c>
      <c r="C1719" s="25" t="s">
        <v>44</v>
      </c>
      <c r="D1719" s="25">
        <v>3</v>
      </c>
      <c r="E1719" s="25">
        <v>0</v>
      </c>
      <c r="F1719" s="25">
        <v>0</v>
      </c>
      <c r="G1719" s="25" t="s">
        <v>50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2">
      <c r="A1720" s="24"/>
      <c r="B1720" s="24" t="s">
        <v>51</v>
      </c>
      <c r="C1720" s="25" t="s">
        <v>44</v>
      </c>
      <c r="D1720" s="25">
        <v>9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2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2">
      <c r="A1722" s="24"/>
      <c r="B1722" s="24" t="s">
        <v>53</v>
      </c>
      <c r="C1722" s="25" t="s">
        <v>44</v>
      </c>
      <c r="D1722" s="25">
        <v>1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2">
      <c r="A1723" s="24"/>
      <c r="B1723" s="22" t="s">
        <v>546</v>
      </c>
      <c r="C1723" s="25" t="s">
        <v>44</v>
      </c>
      <c r="D1723" s="25">
        <v>14</v>
      </c>
      <c r="E1723" s="25">
        <v>0</v>
      </c>
      <c r="F1723" s="25" t="s">
        <v>50</v>
      </c>
      <c r="G1723" s="25">
        <v>11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2">
      <c r="A1724" s="24"/>
      <c r="B1724" s="24" t="s">
        <v>547</v>
      </c>
      <c r="C1724" s="25" t="s">
        <v>44</v>
      </c>
      <c r="D1724" s="25">
        <v>8</v>
      </c>
      <c r="E1724" s="25">
        <v>0</v>
      </c>
      <c r="F1724" s="25" t="s">
        <v>50</v>
      </c>
      <c r="G1724" s="25">
        <v>9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2">
      <c r="A1725" s="24"/>
      <c r="B1725" s="24" t="s">
        <v>54</v>
      </c>
      <c r="C1725" s="25" t="s">
        <v>44</v>
      </c>
      <c r="D1725" s="25">
        <v>5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2">
      <c r="A1726" s="24"/>
      <c r="B1726" s="24" t="s">
        <v>55</v>
      </c>
      <c r="C1726" s="25" t="s">
        <v>44</v>
      </c>
      <c r="D1726" s="25">
        <v>1</v>
      </c>
      <c r="E1726" s="25">
        <v>0</v>
      </c>
      <c r="F1726" s="25" t="s">
        <v>50</v>
      </c>
      <c r="G1726" s="25">
        <v>1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2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 t="s">
        <v>50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2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0" ht="12.75" customHeight="1" x14ac:dyDescent="0.2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1</v>
      </c>
      <c r="H1729" s="25" t="s">
        <v>50</v>
      </c>
      <c r="I1729" s="25">
        <v>0</v>
      </c>
      <c r="J1729" s="25" t="s">
        <v>44</v>
      </c>
    </row>
    <row r="1730" spans="1:10" ht="12.75" customHeight="1" x14ac:dyDescent="0.2">
      <c r="A1730" s="24"/>
      <c r="B1730" s="22" t="s">
        <v>548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1</v>
      </c>
    </row>
    <row r="1731" spans="1:10" ht="12.75" customHeight="1" x14ac:dyDescent="0.2">
      <c r="A1731" s="29"/>
      <c r="B1731" s="30"/>
      <c r="C1731" s="25"/>
      <c r="D1731" s="25"/>
      <c r="E1731" s="25"/>
      <c r="F1731" s="25"/>
      <c r="G1731" s="25"/>
      <c r="H1731" s="25"/>
      <c r="I1731" s="25"/>
      <c r="J1731" s="25"/>
    </row>
    <row r="1732" spans="1:10" s="12" customFormat="1" ht="12.75" customHeight="1" x14ac:dyDescent="0.2">
      <c r="A1732" s="22" t="s">
        <v>143</v>
      </c>
      <c r="B1732" s="22" t="s">
        <v>144</v>
      </c>
      <c r="C1732" s="27"/>
      <c r="D1732" s="27"/>
      <c r="E1732" s="27"/>
      <c r="F1732" s="27"/>
      <c r="G1732" s="27"/>
      <c r="H1732" s="27"/>
      <c r="I1732" s="27"/>
      <c r="J1732" s="27"/>
    </row>
    <row r="1733" spans="1:10" ht="12.75" customHeight="1" x14ac:dyDescent="0.2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0" ht="12.75" customHeight="1" x14ac:dyDescent="0.2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0" ht="12.75" customHeight="1" x14ac:dyDescent="0.2">
      <c r="A1735" s="24"/>
      <c r="B1735" s="22" t="s">
        <v>543</v>
      </c>
      <c r="C1735" s="25">
        <v>18</v>
      </c>
      <c r="D1735" s="25">
        <v>9</v>
      </c>
      <c r="E1735" s="25">
        <v>0</v>
      </c>
      <c r="F1735" s="25" t="s">
        <v>50</v>
      </c>
      <c r="G1735" s="25">
        <v>8</v>
      </c>
      <c r="H1735" s="25" t="s">
        <v>50</v>
      </c>
      <c r="I1735" s="25">
        <v>0</v>
      </c>
      <c r="J1735" s="25" t="s">
        <v>50</v>
      </c>
    </row>
    <row r="1736" spans="1:10" ht="12.75" customHeight="1" x14ac:dyDescent="0.2">
      <c r="A1736" s="24"/>
      <c r="B1736" s="22" t="s">
        <v>544</v>
      </c>
      <c r="C1736" s="25" t="s">
        <v>44</v>
      </c>
      <c r="D1736" s="25" t="s">
        <v>50</v>
      </c>
      <c r="E1736" s="25">
        <v>0</v>
      </c>
      <c r="F1736" s="25" t="s">
        <v>50</v>
      </c>
      <c r="G1736" s="25">
        <v>4</v>
      </c>
      <c r="H1736" s="25">
        <v>0</v>
      </c>
      <c r="I1736" s="25">
        <v>0</v>
      </c>
      <c r="J1736" s="25" t="s">
        <v>44</v>
      </c>
    </row>
    <row r="1737" spans="1:10" ht="12.75" customHeight="1" x14ac:dyDescent="0.2">
      <c r="A1737" s="24"/>
      <c r="B1737" s="24" t="s">
        <v>45</v>
      </c>
      <c r="C1737" s="25" t="s">
        <v>44</v>
      </c>
      <c r="D1737" s="25" t="s">
        <v>50</v>
      </c>
      <c r="E1737" s="25">
        <v>0</v>
      </c>
      <c r="F1737" s="25" t="s">
        <v>50</v>
      </c>
      <c r="G1737" s="25">
        <v>2</v>
      </c>
      <c r="H1737" s="25">
        <v>0</v>
      </c>
      <c r="I1737" s="25">
        <v>0</v>
      </c>
      <c r="J1737" s="25" t="s">
        <v>44</v>
      </c>
    </row>
    <row r="1738" spans="1:10" ht="12.75" customHeight="1" x14ac:dyDescent="0.2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 t="s">
        <v>50</v>
      </c>
      <c r="G1738" s="25">
        <v>2</v>
      </c>
      <c r="H1738" s="25">
        <v>0</v>
      </c>
      <c r="I1738" s="25">
        <v>0</v>
      </c>
      <c r="J1738" s="25" t="s">
        <v>44</v>
      </c>
    </row>
    <row r="1739" spans="1:10" ht="12.75" customHeight="1" x14ac:dyDescent="0.2">
      <c r="A1739" s="24"/>
      <c r="B1739" s="22" t="s">
        <v>545</v>
      </c>
      <c r="C1739" s="25" t="s">
        <v>44</v>
      </c>
      <c r="D1739" s="25">
        <v>4</v>
      </c>
      <c r="E1739" s="25">
        <v>0</v>
      </c>
      <c r="F1739" s="25" t="s">
        <v>50</v>
      </c>
      <c r="G1739" s="25">
        <v>2</v>
      </c>
      <c r="H1739" s="25" t="s">
        <v>50</v>
      </c>
      <c r="I1739" s="25">
        <v>0</v>
      </c>
      <c r="J1739" s="25" t="s">
        <v>44</v>
      </c>
    </row>
    <row r="1740" spans="1:10" ht="12.75" customHeight="1" x14ac:dyDescent="0.2">
      <c r="A1740" s="24"/>
      <c r="B1740" s="24" t="s">
        <v>48</v>
      </c>
      <c r="C1740" s="25" t="s">
        <v>44</v>
      </c>
      <c r="D1740" s="25" t="s">
        <v>50</v>
      </c>
      <c r="E1740" s="25">
        <v>0</v>
      </c>
      <c r="F1740" s="25" t="s">
        <v>50</v>
      </c>
      <c r="G1740" s="25">
        <v>2</v>
      </c>
      <c r="H1740" s="25" t="s">
        <v>50</v>
      </c>
      <c r="I1740" s="25">
        <v>0</v>
      </c>
      <c r="J1740" s="25" t="s">
        <v>44</v>
      </c>
    </row>
    <row r="1741" spans="1:10" ht="12.75" customHeight="1" x14ac:dyDescent="0.2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 t="s">
        <v>50</v>
      </c>
      <c r="I1741" s="25">
        <v>0</v>
      </c>
      <c r="J1741" s="25" t="s">
        <v>44</v>
      </c>
    </row>
    <row r="1742" spans="1:10" ht="12.75" customHeight="1" x14ac:dyDescent="0.2">
      <c r="A1742" s="24"/>
      <c r="B1742" s="24" t="s">
        <v>51</v>
      </c>
      <c r="C1742" s="25" t="s">
        <v>44</v>
      </c>
      <c r="D1742" s="25">
        <v>2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0" ht="12.75" customHeight="1" x14ac:dyDescent="0.2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0" ht="12.75" customHeight="1" x14ac:dyDescent="0.2">
      <c r="A1744" s="24"/>
      <c r="B1744" s="24" t="s">
        <v>53</v>
      </c>
      <c r="C1744" s="25" t="s">
        <v>44</v>
      </c>
      <c r="D1744" s="25" t="s">
        <v>50</v>
      </c>
      <c r="E1744" s="25">
        <v>0</v>
      </c>
      <c r="F1744" s="25">
        <v>0</v>
      </c>
      <c r="G1744" s="25" t="s">
        <v>50</v>
      </c>
      <c r="H1744" s="25">
        <v>0</v>
      </c>
      <c r="I1744" s="25">
        <v>0</v>
      </c>
      <c r="J1744" s="25" t="s">
        <v>44</v>
      </c>
    </row>
    <row r="1745" spans="1:10" ht="12.75" customHeight="1" x14ac:dyDescent="0.2">
      <c r="A1745" s="24"/>
      <c r="B1745" s="22" t="s">
        <v>546</v>
      </c>
      <c r="C1745" s="25" t="s">
        <v>44</v>
      </c>
      <c r="D1745" s="25">
        <v>5</v>
      </c>
      <c r="E1745" s="25">
        <v>0</v>
      </c>
      <c r="F1745" s="25" t="s">
        <v>50</v>
      </c>
      <c r="G1745" s="25">
        <v>3</v>
      </c>
      <c r="H1745" s="25" t="s">
        <v>50</v>
      </c>
      <c r="I1745" s="25">
        <v>0</v>
      </c>
      <c r="J1745" s="25" t="s">
        <v>44</v>
      </c>
    </row>
    <row r="1746" spans="1:10" ht="12.75" customHeight="1" x14ac:dyDescent="0.2">
      <c r="A1746" s="24"/>
      <c r="B1746" s="24" t="s">
        <v>547</v>
      </c>
      <c r="C1746" s="25" t="s">
        <v>44</v>
      </c>
      <c r="D1746" s="25">
        <v>3</v>
      </c>
      <c r="E1746" s="25">
        <v>0</v>
      </c>
      <c r="F1746" s="25">
        <v>0</v>
      </c>
      <c r="G1746" s="25">
        <v>2</v>
      </c>
      <c r="H1746" s="25" t="s">
        <v>50</v>
      </c>
      <c r="I1746" s="25">
        <v>0</v>
      </c>
      <c r="J1746" s="25" t="s">
        <v>44</v>
      </c>
    </row>
    <row r="1747" spans="1:10" ht="12.75" customHeight="1" x14ac:dyDescent="0.2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0" ht="12.75" customHeight="1" x14ac:dyDescent="0.2">
      <c r="A1748" s="24"/>
      <c r="B1748" s="24" t="s">
        <v>55</v>
      </c>
      <c r="C1748" s="25" t="s">
        <v>44</v>
      </c>
      <c r="D1748" s="25">
        <v>1</v>
      </c>
      <c r="E1748" s="25">
        <v>0</v>
      </c>
      <c r="F1748" s="25" t="s">
        <v>50</v>
      </c>
      <c r="G1748" s="25" t="s">
        <v>50</v>
      </c>
      <c r="H1748" s="25" t="s">
        <v>50</v>
      </c>
      <c r="I1748" s="25">
        <v>0</v>
      </c>
      <c r="J1748" s="25" t="s">
        <v>44</v>
      </c>
    </row>
    <row r="1749" spans="1:10" ht="12.75" customHeight="1" x14ac:dyDescent="0.2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0" ht="12.75" customHeight="1" x14ac:dyDescent="0.2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 t="s">
        <v>50</v>
      </c>
      <c r="I1750" s="25">
        <v>0</v>
      </c>
      <c r="J1750" s="25" t="s">
        <v>44</v>
      </c>
    </row>
    <row r="1751" spans="1:10" ht="12.75" customHeight="1" x14ac:dyDescent="0.2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 t="s">
        <v>50</v>
      </c>
      <c r="H1751" s="25" t="s">
        <v>50</v>
      </c>
      <c r="I1751" s="25">
        <v>0</v>
      </c>
      <c r="J1751" s="25" t="s">
        <v>44</v>
      </c>
    </row>
    <row r="1752" spans="1:10" ht="12.75" customHeight="1" x14ac:dyDescent="0.2">
      <c r="A1752" s="24"/>
      <c r="B1752" s="22" t="s">
        <v>548</v>
      </c>
      <c r="C1752" s="25" t="s">
        <v>50</v>
      </c>
      <c r="D1752" s="25" t="s">
        <v>50</v>
      </c>
      <c r="E1752" s="25">
        <v>0</v>
      </c>
      <c r="F1752" s="25">
        <v>0</v>
      </c>
      <c r="G1752" s="25">
        <v>0</v>
      </c>
      <c r="H1752" s="25" t="s">
        <v>50</v>
      </c>
      <c r="I1752" s="25">
        <v>0</v>
      </c>
      <c r="J1752" s="25" t="s">
        <v>50</v>
      </c>
    </row>
    <row r="1753" spans="1:10" ht="12.75" customHeight="1" x14ac:dyDescent="0.2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0" s="12" customFormat="1" ht="12.75" customHeight="1" x14ac:dyDescent="0.2">
      <c r="A1754" s="22" t="s">
        <v>145</v>
      </c>
      <c r="B1754" s="22" t="s">
        <v>618</v>
      </c>
      <c r="C1754" s="27"/>
      <c r="D1754" s="27"/>
      <c r="E1754" s="27"/>
      <c r="F1754" s="27"/>
      <c r="G1754" s="27"/>
      <c r="H1754" s="27"/>
      <c r="I1754" s="27"/>
      <c r="J1754" s="27"/>
    </row>
    <row r="1755" spans="1:10" ht="12.75" customHeight="1" x14ac:dyDescent="0.2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0" ht="12.75" customHeight="1" x14ac:dyDescent="0.2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0" ht="12.75" customHeight="1" x14ac:dyDescent="0.2">
      <c r="A1757" s="24"/>
      <c r="B1757" s="22" t="s">
        <v>543</v>
      </c>
      <c r="C1757" s="25">
        <v>51</v>
      </c>
      <c r="D1757" s="25" t="s">
        <v>60</v>
      </c>
      <c r="E1757" s="25">
        <v>0</v>
      </c>
      <c r="F1757" s="25" t="s">
        <v>50</v>
      </c>
      <c r="G1757" s="25">
        <v>14</v>
      </c>
      <c r="H1757" s="25">
        <v>1</v>
      </c>
      <c r="I1757" s="25" t="s">
        <v>50</v>
      </c>
      <c r="J1757" s="25">
        <v>4</v>
      </c>
    </row>
    <row r="1758" spans="1:10" ht="12.75" customHeight="1" x14ac:dyDescent="0.2">
      <c r="A1758" s="24"/>
      <c r="B1758" s="22" t="s">
        <v>544</v>
      </c>
      <c r="C1758" s="25" t="s">
        <v>44</v>
      </c>
      <c r="D1758" s="25" t="s">
        <v>50</v>
      </c>
      <c r="E1758" s="25">
        <v>0</v>
      </c>
      <c r="F1758" s="25">
        <v>0</v>
      </c>
      <c r="G1758" s="25">
        <v>1</v>
      </c>
      <c r="H1758" s="25" t="s">
        <v>50</v>
      </c>
      <c r="I1758" s="25">
        <v>0</v>
      </c>
      <c r="J1758" s="25" t="s">
        <v>44</v>
      </c>
    </row>
    <row r="1759" spans="1:10" ht="12.75" customHeight="1" x14ac:dyDescent="0.2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>
        <v>0</v>
      </c>
      <c r="G1759" s="25" t="s">
        <v>50</v>
      </c>
      <c r="H1759" s="25">
        <v>0</v>
      </c>
      <c r="I1759" s="25">
        <v>0</v>
      </c>
      <c r="J1759" s="25" t="s">
        <v>44</v>
      </c>
    </row>
    <row r="1760" spans="1:10" ht="12.75" customHeight="1" x14ac:dyDescent="0.2">
      <c r="A1760" s="24"/>
      <c r="B1760" s="24" t="s">
        <v>46</v>
      </c>
      <c r="C1760" s="25" t="s">
        <v>44</v>
      </c>
      <c r="D1760" s="25">
        <v>0</v>
      </c>
      <c r="E1760" s="25">
        <v>0</v>
      </c>
      <c r="F1760" s="25">
        <v>0</v>
      </c>
      <c r="G1760" s="25" t="s">
        <v>50</v>
      </c>
      <c r="H1760" s="25" t="s">
        <v>50</v>
      </c>
      <c r="I1760" s="25">
        <v>0</v>
      </c>
      <c r="J1760" s="25" t="s">
        <v>44</v>
      </c>
    </row>
    <row r="1761" spans="1:10" ht="12.75" customHeight="1" x14ac:dyDescent="0.2">
      <c r="A1761" s="24"/>
      <c r="B1761" s="22" t="s">
        <v>545</v>
      </c>
      <c r="C1761" s="25" t="s">
        <v>44</v>
      </c>
      <c r="D1761" s="25">
        <v>15</v>
      </c>
      <c r="E1761" s="25">
        <v>0</v>
      </c>
      <c r="F1761" s="25" t="s">
        <v>50</v>
      </c>
      <c r="G1761" s="25">
        <v>6</v>
      </c>
      <c r="H1761" s="25" t="s">
        <v>50</v>
      </c>
      <c r="I1761" s="25">
        <v>0</v>
      </c>
      <c r="J1761" s="25" t="s">
        <v>44</v>
      </c>
    </row>
    <row r="1762" spans="1:10" ht="12.75" customHeight="1" x14ac:dyDescent="0.2">
      <c r="A1762" s="24"/>
      <c r="B1762" s="24" t="s">
        <v>48</v>
      </c>
      <c r="C1762" s="25" t="s">
        <v>44</v>
      </c>
      <c r="D1762" s="25" t="s">
        <v>50</v>
      </c>
      <c r="E1762" s="25">
        <v>0</v>
      </c>
      <c r="F1762" s="25">
        <v>0</v>
      </c>
      <c r="G1762" s="25">
        <v>5</v>
      </c>
      <c r="H1762" s="25" t="s">
        <v>50</v>
      </c>
      <c r="I1762" s="25">
        <v>0</v>
      </c>
      <c r="J1762" s="25" t="s">
        <v>44</v>
      </c>
    </row>
    <row r="1763" spans="1:10" ht="12.75" customHeight="1" x14ac:dyDescent="0.2">
      <c r="A1763" s="24"/>
      <c r="B1763" s="24" t="s">
        <v>49</v>
      </c>
      <c r="C1763" s="25" t="s">
        <v>44</v>
      </c>
      <c r="D1763" s="25" t="s">
        <v>60</v>
      </c>
      <c r="E1763" s="25">
        <v>0</v>
      </c>
      <c r="F1763" s="25">
        <v>0</v>
      </c>
      <c r="G1763" s="25" t="s">
        <v>50</v>
      </c>
      <c r="H1763" s="25">
        <v>0</v>
      </c>
      <c r="I1763" s="25">
        <v>0</v>
      </c>
      <c r="J1763" s="25" t="s">
        <v>44</v>
      </c>
    </row>
    <row r="1764" spans="1:10" ht="12.75" customHeight="1" x14ac:dyDescent="0.2">
      <c r="A1764" s="24"/>
      <c r="B1764" s="24" t="s">
        <v>51</v>
      </c>
      <c r="C1764" s="25" t="s">
        <v>44</v>
      </c>
      <c r="D1764" s="25">
        <v>12</v>
      </c>
      <c r="E1764" s="25">
        <v>0</v>
      </c>
      <c r="F1764" s="25" t="s">
        <v>50</v>
      </c>
      <c r="G1764" s="25" t="s">
        <v>50</v>
      </c>
      <c r="H1764" s="25" t="s">
        <v>50</v>
      </c>
      <c r="I1764" s="25">
        <v>0</v>
      </c>
      <c r="J1764" s="25" t="s">
        <v>44</v>
      </c>
    </row>
    <row r="1765" spans="1:10" ht="12.75" customHeight="1" x14ac:dyDescent="0.2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0" ht="12.75" customHeight="1" x14ac:dyDescent="0.2">
      <c r="A1766" s="24"/>
      <c r="B1766" s="24" t="s">
        <v>53</v>
      </c>
      <c r="C1766" s="25" t="s">
        <v>44</v>
      </c>
      <c r="D1766" s="25" t="s">
        <v>50</v>
      </c>
      <c r="E1766" s="25">
        <v>0</v>
      </c>
      <c r="F1766" s="25">
        <v>0</v>
      </c>
      <c r="G1766" s="25">
        <v>0</v>
      </c>
      <c r="H1766" s="25" t="s">
        <v>50</v>
      </c>
      <c r="I1766" s="25">
        <v>0</v>
      </c>
      <c r="J1766" s="25" t="s">
        <v>44</v>
      </c>
    </row>
    <row r="1767" spans="1:10" ht="12.75" customHeight="1" x14ac:dyDescent="0.2">
      <c r="A1767" s="24"/>
      <c r="B1767" s="22" t="s">
        <v>546</v>
      </c>
      <c r="C1767" s="25" t="s">
        <v>44</v>
      </c>
      <c r="D1767" s="25" t="s">
        <v>60</v>
      </c>
      <c r="E1767" s="25">
        <v>0</v>
      </c>
      <c r="F1767" s="25" t="s">
        <v>50</v>
      </c>
      <c r="G1767" s="25">
        <v>6</v>
      </c>
      <c r="H1767" s="25">
        <v>1</v>
      </c>
      <c r="I1767" s="25" t="s">
        <v>50</v>
      </c>
      <c r="J1767" s="25" t="s">
        <v>44</v>
      </c>
    </row>
    <row r="1768" spans="1:10" ht="12.75" customHeight="1" x14ac:dyDescent="0.2">
      <c r="A1768" s="24"/>
      <c r="B1768" s="24" t="s">
        <v>547</v>
      </c>
      <c r="C1768" s="25" t="s">
        <v>44</v>
      </c>
      <c r="D1768" s="25" t="s">
        <v>60</v>
      </c>
      <c r="E1768" s="25">
        <v>0</v>
      </c>
      <c r="F1768" s="25">
        <v>0</v>
      </c>
      <c r="G1768" s="25">
        <v>6</v>
      </c>
      <c r="H1768" s="25" t="s">
        <v>50</v>
      </c>
      <c r="I1768" s="25" t="s">
        <v>50</v>
      </c>
      <c r="J1768" s="25" t="s">
        <v>44</v>
      </c>
    </row>
    <row r="1769" spans="1:10" ht="12.75" customHeight="1" x14ac:dyDescent="0.2">
      <c r="A1769" s="24"/>
      <c r="B1769" s="24" t="s">
        <v>54</v>
      </c>
      <c r="C1769" s="25" t="s">
        <v>44</v>
      </c>
      <c r="D1769" s="25" t="s">
        <v>60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0" ht="12.75" customHeight="1" x14ac:dyDescent="0.2">
      <c r="A1770" s="24"/>
      <c r="B1770" s="24" t="s">
        <v>55</v>
      </c>
      <c r="C1770" s="25" t="s">
        <v>44</v>
      </c>
      <c r="D1770" s="25" t="s">
        <v>60</v>
      </c>
      <c r="E1770" s="25">
        <v>0</v>
      </c>
      <c r="F1770" s="25">
        <v>0</v>
      </c>
      <c r="G1770" s="25" t="s">
        <v>50</v>
      </c>
      <c r="H1770" s="25" t="s">
        <v>50</v>
      </c>
      <c r="I1770" s="25">
        <v>0</v>
      </c>
      <c r="J1770" s="25" t="s">
        <v>44</v>
      </c>
    </row>
    <row r="1771" spans="1:10" ht="12.75" customHeight="1" x14ac:dyDescent="0.2">
      <c r="A1771" s="24"/>
      <c r="B1771" s="24" t="s">
        <v>56</v>
      </c>
      <c r="C1771" s="25" t="s">
        <v>44</v>
      </c>
      <c r="D1771" s="25" t="s">
        <v>60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0" ht="12.75" customHeight="1" x14ac:dyDescent="0.2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>
        <v>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0" ht="12.75" customHeight="1" x14ac:dyDescent="0.2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0</v>
      </c>
      <c r="H1773" s="25">
        <v>0</v>
      </c>
      <c r="I1773" s="25">
        <v>0</v>
      </c>
      <c r="J1773" s="25" t="s">
        <v>44</v>
      </c>
    </row>
    <row r="1774" spans="1:10" ht="12.75" customHeight="1" x14ac:dyDescent="0.2">
      <c r="A1774" s="24"/>
      <c r="B1774" s="22" t="s">
        <v>548</v>
      </c>
      <c r="C1774" s="25">
        <v>7</v>
      </c>
      <c r="D1774" s="25">
        <v>1</v>
      </c>
      <c r="E1774" s="25">
        <v>0</v>
      </c>
      <c r="F1774" s="25" t="s">
        <v>50</v>
      </c>
      <c r="G1774" s="25" t="s">
        <v>60</v>
      </c>
      <c r="H1774" s="25" t="s">
        <v>50</v>
      </c>
      <c r="I1774" s="25">
        <v>0</v>
      </c>
      <c r="J1774" s="25">
        <v>4</v>
      </c>
    </row>
    <row r="1775" spans="1:10" ht="12.75" customHeight="1" x14ac:dyDescent="0.2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0" s="12" customFormat="1" ht="12.75" customHeight="1" x14ac:dyDescent="0.2">
      <c r="A1776" s="22" t="s">
        <v>146</v>
      </c>
      <c r="B1776" s="22" t="s">
        <v>619</v>
      </c>
      <c r="C1776" s="27"/>
      <c r="D1776" s="27"/>
      <c r="E1776" s="27"/>
      <c r="F1776" s="27"/>
      <c r="G1776" s="27"/>
      <c r="H1776" s="27"/>
      <c r="I1776" s="27"/>
      <c r="J1776" s="27"/>
    </row>
    <row r="1777" spans="1:10" ht="12.75" customHeight="1" x14ac:dyDescent="0.2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2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2">
      <c r="A1779" s="24"/>
      <c r="B1779" s="22" t="s">
        <v>543</v>
      </c>
      <c r="C1779" s="25">
        <v>57</v>
      </c>
      <c r="D1779" s="25">
        <v>33</v>
      </c>
      <c r="E1779" s="25">
        <v>0</v>
      </c>
      <c r="F1779" s="25" t="s">
        <v>50</v>
      </c>
      <c r="G1779" s="25">
        <v>24</v>
      </c>
      <c r="H1779" s="25" t="s">
        <v>50</v>
      </c>
      <c r="I1779" s="25">
        <v>0</v>
      </c>
      <c r="J1779" s="25" t="s">
        <v>50</v>
      </c>
    </row>
    <row r="1780" spans="1:10" ht="12.75" customHeight="1" x14ac:dyDescent="0.2">
      <c r="A1780" s="24"/>
      <c r="B1780" s="22" t="s">
        <v>544</v>
      </c>
      <c r="C1780" s="25" t="s">
        <v>44</v>
      </c>
      <c r="D1780" s="25" t="s">
        <v>50</v>
      </c>
      <c r="E1780" s="25">
        <v>0</v>
      </c>
      <c r="F1780" s="25">
        <v>0</v>
      </c>
      <c r="G1780" s="25">
        <v>3</v>
      </c>
      <c r="H1780" s="25">
        <v>0</v>
      </c>
      <c r="I1780" s="25">
        <v>0</v>
      </c>
      <c r="J1780" s="25" t="s">
        <v>44</v>
      </c>
    </row>
    <row r="1781" spans="1:10" ht="12.75" customHeight="1" x14ac:dyDescent="0.2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>
        <v>0</v>
      </c>
      <c r="G1781" s="25" t="s">
        <v>50</v>
      </c>
      <c r="H1781" s="25">
        <v>0</v>
      </c>
      <c r="I1781" s="25">
        <v>0</v>
      </c>
      <c r="J1781" s="25" t="s">
        <v>44</v>
      </c>
    </row>
    <row r="1782" spans="1:10" ht="12.75" customHeight="1" x14ac:dyDescent="0.2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>
        <v>3</v>
      </c>
      <c r="H1782" s="25">
        <v>0</v>
      </c>
      <c r="I1782" s="25">
        <v>0</v>
      </c>
      <c r="J1782" s="25" t="s">
        <v>44</v>
      </c>
    </row>
    <row r="1783" spans="1:10" ht="12.75" customHeight="1" x14ac:dyDescent="0.2">
      <c r="A1783" s="24"/>
      <c r="B1783" s="22" t="s">
        <v>545</v>
      </c>
      <c r="C1783" s="25" t="s">
        <v>44</v>
      </c>
      <c r="D1783" s="25">
        <v>18</v>
      </c>
      <c r="E1783" s="25">
        <v>0</v>
      </c>
      <c r="F1783" s="25" t="s">
        <v>50</v>
      </c>
      <c r="G1783" s="25">
        <v>10</v>
      </c>
      <c r="H1783" s="25" t="s">
        <v>50</v>
      </c>
      <c r="I1783" s="25">
        <v>0</v>
      </c>
      <c r="J1783" s="25" t="s">
        <v>44</v>
      </c>
    </row>
    <row r="1784" spans="1:10" ht="12.75" customHeight="1" x14ac:dyDescent="0.2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9</v>
      </c>
      <c r="H1784" s="25" t="s">
        <v>50</v>
      </c>
      <c r="I1784" s="25">
        <v>0</v>
      </c>
      <c r="J1784" s="25" t="s">
        <v>44</v>
      </c>
    </row>
    <row r="1785" spans="1:10" ht="12.75" customHeight="1" x14ac:dyDescent="0.2">
      <c r="A1785" s="24"/>
      <c r="B1785" s="24" t="s">
        <v>49</v>
      </c>
      <c r="C1785" s="25" t="s">
        <v>44</v>
      </c>
      <c r="D1785" s="25">
        <v>2</v>
      </c>
      <c r="E1785" s="25">
        <v>0</v>
      </c>
      <c r="F1785" s="25">
        <v>0</v>
      </c>
      <c r="G1785" s="25" t="s">
        <v>50</v>
      </c>
      <c r="H1785" s="25" t="s">
        <v>50</v>
      </c>
      <c r="I1785" s="25">
        <v>0</v>
      </c>
      <c r="J1785" s="25" t="s">
        <v>44</v>
      </c>
    </row>
    <row r="1786" spans="1:10" ht="12.75" customHeight="1" x14ac:dyDescent="0.2">
      <c r="A1786" s="24"/>
      <c r="B1786" s="24" t="s">
        <v>51</v>
      </c>
      <c r="C1786" s="25" t="s">
        <v>44</v>
      </c>
      <c r="D1786" s="25">
        <v>12</v>
      </c>
      <c r="E1786" s="25">
        <v>0</v>
      </c>
      <c r="F1786" s="25" t="s">
        <v>50</v>
      </c>
      <c r="G1786" s="25" t="s">
        <v>50</v>
      </c>
      <c r="H1786" s="25" t="s">
        <v>50</v>
      </c>
      <c r="I1786" s="25">
        <v>0</v>
      </c>
      <c r="J1786" s="25" t="s">
        <v>44</v>
      </c>
    </row>
    <row r="1787" spans="1:10" ht="12.75" customHeight="1" x14ac:dyDescent="0.2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2">
      <c r="A1788" s="24"/>
      <c r="B1788" s="24" t="s">
        <v>53</v>
      </c>
      <c r="C1788" s="25" t="s">
        <v>44</v>
      </c>
      <c r="D1788" s="25">
        <v>2</v>
      </c>
      <c r="E1788" s="25">
        <v>0</v>
      </c>
      <c r="F1788" s="25">
        <v>0</v>
      </c>
      <c r="G1788" s="25" t="s">
        <v>50</v>
      </c>
      <c r="H1788" s="25" t="s">
        <v>50</v>
      </c>
      <c r="I1788" s="25">
        <v>0</v>
      </c>
      <c r="J1788" s="25" t="s">
        <v>44</v>
      </c>
    </row>
    <row r="1789" spans="1:10" ht="12.75" customHeight="1" x14ac:dyDescent="0.2">
      <c r="A1789" s="24"/>
      <c r="B1789" s="22" t="s">
        <v>546</v>
      </c>
      <c r="C1789" s="25" t="s">
        <v>44</v>
      </c>
      <c r="D1789" s="25">
        <v>14</v>
      </c>
      <c r="E1789" s="25">
        <v>0</v>
      </c>
      <c r="F1789" s="25" t="s">
        <v>50</v>
      </c>
      <c r="G1789" s="25">
        <v>11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2">
      <c r="A1790" s="24"/>
      <c r="B1790" s="24" t="s">
        <v>547</v>
      </c>
      <c r="C1790" s="25" t="s">
        <v>44</v>
      </c>
      <c r="D1790" s="25">
        <v>9</v>
      </c>
      <c r="E1790" s="25">
        <v>0</v>
      </c>
      <c r="F1790" s="25" t="s">
        <v>50</v>
      </c>
      <c r="G1790" s="25">
        <v>10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2">
      <c r="A1791" s="24"/>
      <c r="B1791" s="24" t="s">
        <v>54</v>
      </c>
      <c r="C1791" s="25" t="s">
        <v>44</v>
      </c>
      <c r="D1791" s="25">
        <v>4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2">
      <c r="A1792" s="24"/>
      <c r="B1792" s="24" t="s">
        <v>55</v>
      </c>
      <c r="C1792" s="25" t="s">
        <v>44</v>
      </c>
      <c r="D1792" s="25">
        <v>1</v>
      </c>
      <c r="E1792" s="25">
        <v>0</v>
      </c>
      <c r="F1792" s="25">
        <v>0</v>
      </c>
      <c r="G1792" s="25">
        <v>1</v>
      </c>
      <c r="H1792" s="25" t="s">
        <v>50</v>
      </c>
      <c r="I1792" s="25">
        <v>0</v>
      </c>
      <c r="J1792" s="25" t="s">
        <v>44</v>
      </c>
    </row>
    <row r="1793" spans="1:12" ht="12.75" customHeight="1" x14ac:dyDescent="0.2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2" ht="12.75" customHeight="1" x14ac:dyDescent="0.2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 t="s">
        <v>50</v>
      </c>
      <c r="H1794" s="25">
        <v>0</v>
      </c>
      <c r="I1794" s="25">
        <v>0</v>
      </c>
      <c r="J1794" s="25" t="s">
        <v>44</v>
      </c>
    </row>
    <row r="1795" spans="1:12" ht="12.75" customHeight="1" x14ac:dyDescent="0.2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 t="s">
        <v>50</v>
      </c>
      <c r="H1795" s="25">
        <v>0</v>
      </c>
      <c r="I1795" s="25">
        <v>0</v>
      </c>
      <c r="J1795" s="25" t="s">
        <v>44</v>
      </c>
    </row>
    <row r="1796" spans="1:12" ht="12.75" customHeight="1" thickBot="1" x14ac:dyDescent="0.25">
      <c r="A1796" s="24"/>
      <c r="B1796" s="22" t="s">
        <v>548</v>
      </c>
      <c r="C1796" s="25" t="s">
        <v>60</v>
      </c>
      <c r="D1796" s="25" t="s">
        <v>60</v>
      </c>
      <c r="E1796" s="25">
        <v>0</v>
      </c>
      <c r="F1796" s="25">
        <v>0</v>
      </c>
      <c r="G1796" s="25" t="s">
        <v>50</v>
      </c>
      <c r="H1796" s="25" t="s">
        <v>50</v>
      </c>
      <c r="I1796" s="25">
        <v>0</v>
      </c>
      <c r="J1796" s="25" t="s">
        <v>50</v>
      </c>
    </row>
    <row r="1797" spans="1:12" s="33" customFormat="1" ht="12" customHeight="1" x14ac:dyDescent="0.2">
      <c r="A1797" s="81"/>
      <c r="B1797" s="81"/>
      <c r="C1797" s="81"/>
      <c r="D1797" s="81"/>
      <c r="E1797" s="81"/>
      <c r="F1797" s="81"/>
      <c r="G1797" s="81"/>
      <c r="H1797" s="81"/>
      <c r="I1797" s="81"/>
      <c r="J1797" s="81"/>
      <c r="K1797" s="31"/>
      <c r="L1797" s="32"/>
    </row>
    <row r="1798" spans="1:12" ht="12" customHeight="1" x14ac:dyDescent="0.2">
      <c r="A1798" s="82"/>
      <c r="B1798" s="82"/>
      <c r="C1798" s="82"/>
      <c r="D1798" s="82"/>
      <c r="E1798" s="82"/>
      <c r="F1798" s="82"/>
      <c r="G1798" s="82"/>
      <c r="H1798" s="82"/>
      <c r="I1798" s="82"/>
      <c r="J1798" s="82"/>
      <c r="K1798" s="34"/>
      <c r="L1798" s="35"/>
    </row>
    <row r="1799" spans="1:12" ht="12" customHeight="1" x14ac:dyDescent="0.2">
      <c r="A1799" s="82"/>
      <c r="B1799" s="82"/>
      <c r="C1799" s="82"/>
      <c r="D1799" s="82"/>
      <c r="E1799" s="82"/>
      <c r="F1799" s="82"/>
      <c r="G1799" s="82"/>
      <c r="H1799" s="82"/>
      <c r="I1799" s="82"/>
      <c r="J1799" s="82"/>
      <c r="K1799" s="34"/>
      <c r="L1799" s="35"/>
    </row>
    <row r="1800" spans="1:12" ht="12" customHeight="1" x14ac:dyDescent="0.2">
      <c r="A1800" s="80"/>
      <c r="B1800" s="80"/>
      <c r="C1800" s="80"/>
      <c r="D1800" s="80"/>
      <c r="E1800" s="80"/>
      <c r="F1800" s="80"/>
      <c r="G1800" s="80"/>
      <c r="H1800" s="80"/>
      <c r="I1800" s="80"/>
      <c r="J1800" s="80"/>
      <c r="K1800" s="36"/>
      <c r="L1800" s="35"/>
    </row>
    <row r="1801" spans="1:12" ht="12" customHeight="1" x14ac:dyDescent="0.2">
      <c r="A1801" s="80"/>
      <c r="B1801" s="80"/>
      <c r="C1801" s="80"/>
      <c r="D1801" s="80"/>
      <c r="E1801" s="80"/>
      <c r="F1801" s="80"/>
      <c r="G1801" s="80"/>
      <c r="H1801" s="80"/>
      <c r="I1801" s="80"/>
      <c r="J1801" s="80"/>
      <c r="K1801" s="36"/>
      <c r="L1801" s="35"/>
    </row>
    <row r="1802" spans="1:12" ht="12" customHeight="1" x14ac:dyDescent="0.2">
      <c r="A1802" s="80"/>
      <c r="B1802" s="80"/>
      <c r="C1802" s="80"/>
      <c r="D1802" s="80"/>
      <c r="E1802" s="80"/>
      <c r="F1802" s="80"/>
      <c r="G1802" s="80"/>
      <c r="H1802" s="80"/>
      <c r="I1802" s="80"/>
      <c r="J1802" s="80"/>
      <c r="K1802" s="36"/>
      <c r="L1802" s="35"/>
    </row>
    <row r="1803" spans="1:12" ht="12" customHeight="1" x14ac:dyDescent="0.2">
      <c r="A1803" s="80"/>
      <c r="B1803" s="80"/>
      <c r="C1803" s="80"/>
      <c r="D1803" s="80"/>
      <c r="E1803" s="80"/>
      <c r="F1803" s="80"/>
      <c r="G1803" s="80"/>
      <c r="H1803" s="80"/>
      <c r="I1803" s="80"/>
      <c r="J1803" s="80"/>
      <c r="K1803" s="36"/>
      <c r="L1803" s="35"/>
    </row>
    <row r="1804" spans="1:12" ht="12" customHeight="1" x14ac:dyDescent="0.2">
      <c r="A1804" s="79"/>
      <c r="B1804" s="79"/>
      <c r="C1804" s="79"/>
      <c r="D1804" s="79"/>
      <c r="E1804" s="79"/>
      <c r="F1804" s="79"/>
      <c r="G1804" s="79"/>
      <c r="H1804" s="79"/>
      <c r="I1804" s="79"/>
      <c r="J1804" s="79"/>
      <c r="K1804" s="35"/>
      <c r="L1804" s="35"/>
    </row>
    <row r="1805" spans="1:12" ht="12" customHeight="1" x14ac:dyDescent="0.2">
      <c r="A1805" s="79"/>
      <c r="B1805" s="79"/>
      <c r="C1805" s="79"/>
      <c r="D1805" s="79"/>
      <c r="E1805" s="79"/>
      <c r="F1805" s="79"/>
      <c r="G1805" s="79"/>
      <c r="H1805" s="79"/>
      <c r="I1805" s="79"/>
      <c r="J1805" s="79"/>
      <c r="K1805" s="35"/>
      <c r="L1805" s="35"/>
    </row>
    <row r="1806" spans="1:12" ht="12" customHeight="1" x14ac:dyDescent="0.2">
      <c r="A1806" s="80"/>
      <c r="B1806" s="80"/>
      <c r="C1806" s="80"/>
      <c r="D1806" s="80"/>
      <c r="E1806" s="80"/>
      <c r="F1806" s="80"/>
      <c r="G1806" s="80"/>
      <c r="H1806" s="80"/>
      <c r="I1806" s="80"/>
      <c r="J1806" s="80"/>
      <c r="K1806" s="36"/>
      <c r="L1806" s="35"/>
    </row>
    <row r="1807" spans="1:12" ht="12" customHeight="1" x14ac:dyDescent="0.2">
      <c r="A1807" s="80"/>
      <c r="B1807" s="80"/>
      <c r="C1807" s="80"/>
      <c r="D1807" s="80"/>
      <c r="E1807" s="80"/>
      <c r="F1807" s="80"/>
      <c r="G1807" s="80"/>
      <c r="H1807" s="80"/>
      <c r="I1807" s="80"/>
      <c r="J1807" s="80"/>
      <c r="K1807" s="36"/>
      <c r="L1807" s="35"/>
    </row>
    <row r="1808" spans="1:12" ht="12" customHeight="1" x14ac:dyDescent="0.2">
      <c r="A1808" s="80"/>
      <c r="B1808" s="80"/>
      <c r="C1808" s="80"/>
      <c r="D1808" s="80"/>
      <c r="E1808" s="80"/>
      <c r="F1808" s="80"/>
      <c r="G1808" s="80"/>
      <c r="H1808" s="80"/>
      <c r="I1808" s="80"/>
      <c r="J1808" s="80"/>
      <c r="K1808" s="36"/>
      <c r="L1808" s="35"/>
    </row>
    <row r="1809" spans="1:12" ht="12" customHeight="1" x14ac:dyDescent="0.2">
      <c r="A1809" s="80"/>
      <c r="B1809" s="80"/>
      <c r="C1809" s="80"/>
      <c r="D1809" s="80"/>
      <c r="E1809" s="80"/>
      <c r="F1809" s="80"/>
      <c r="G1809" s="80"/>
      <c r="H1809" s="80"/>
      <c r="I1809" s="80"/>
      <c r="J1809" s="80"/>
      <c r="K1809" s="36"/>
      <c r="L1809" s="35"/>
    </row>
    <row r="1810" spans="1:12" ht="12" customHeight="1" x14ac:dyDescent="0.2">
      <c r="A1810" s="80"/>
      <c r="B1810" s="80"/>
      <c r="C1810" s="80"/>
      <c r="D1810" s="80"/>
      <c r="E1810" s="80"/>
      <c r="F1810" s="80"/>
      <c r="G1810" s="80"/>
      <c r="H1810" s="80"/>
      <c r="I1810" s="80"/>
      <c r="J1810" s="80"/>
      <c r="K1810" s="36"/>
      <c r="L1810" s="35"/>
    </row>
    <row r="1811" spans="1:12" ht="12" customHeight="1" x14ac:dyDescent="0.2">
      <c r="A1811" s="80"/>
      <c r="B1811" s="80"/>
      <c r="C1811" s="80"/>
      <c r="D1811" s="80"/>
      <c r="E1811" s="80"/>
      <c r="F1811" s="80"/>
      <c r="G1811" s="80"/>
      <c r="H1811" s="80"/>
      <c r="I1811" s="80"/>
      <c r="J1811" s="80"/>
      <c r="K1811" s="36"/>
      <c r="L1811" s="35"/>
    </row>
    <row r="1812" spans="1:12" ht="12" customHeight="1" x14ac:dyDescent="0.2">
      <c r="A1812" s="79"/>
      <c r="B1812" s="79"/>
      <c r="C1812" s="79"/>
      <c r="D1812" s="79"/>
      <c r="E1812" s="79"/>
      <c r="F1812" s="79"/>
      <c r="G1812" s="79"/>
      <c r="H1812" s="79"/>
      <c r="I1812" s="79"/>
      <c r="J1812" s="79"/>
      <c r="K1812" s="35"/>
      <c r="L1812" s="35"/>
    </row>
    <row r="1813" spans="1:12" ht="12" customHeight="1" x14ac:dyDescent="0.2">
      <c r="A1813" s="79"/>
      <c r="B1813" s="79"/>
      <c r="C1813" s="79"/>
      <c r="D1813" s="79"/>
      <c r="E1813" s="79"/>
      <c r="F1813" s="79"/>
      <c r="G1813" s="79"/>
      <c r="H1813" s="79"/>
      <c r="I1813" s="79"/>
      <c r="J1813" s="79"/>
      <c r="K1813" s="35"/>
      <c r="L1813" s="35"/>
    </row>
    <row r="1814" spans="1:12" ht="12" customHeight="1" x14ac:dyDescent="0.2">
      <c r="A1814" s="79"/>
      <c r="B1814" s="79"/>
      <c r="C1814" s="79"/>
      <c r="D1814" s="79"/>
      <c r="E1814" s="79"/>
      <c r="F1814" s="79"/>
      <c r="G1814" s="79"/>
      <c r="H1814" s="79"/>
      <c r="I1814" s="79"/>
      <c r="J1814" s="79"/>
      <c r="K1814" s="35"/>
      <c r="L1814" s="35"/>
    </row>
    <row r="1815" spans="1:12" ht="12" customHeight="1" x14ac:dyDescent="0.2">
      <c r="A1815" s="79"/>
      <c r="B1815" s="79"/>
      <c r="C1815" s="79"/>
      <c r="D1815" s="79"/>
      <c r="E1815" s="79"/>
      <c r="F1815" s="79"/>
      <c r="G1815" s="79"/>
      <c r="H1815" s="79"/>
      <c r="I1815" s="79"/>
      <c r="J1815" s="79"/>
      <c r="K1815" s="35"/>
      <c r="L1815" s="35"/>
    </row>
    <row r="1816" spans="1:12" ht="12" customHeight="1" x14ac:dyDescent="0.2">
      <c r="A1816" s="80"/>
      <c r="B1816" s="80"/>
      <c r="C1816" s="80"/>
      <c r="D1816" s="80"/>
      <c r="E1816" s="80"/>
      <c r="F1816" s="80"/>
      <c r="G1816" s="80"/>
      <c r="H1816" s="80"/>
      <c r="I1816" s="80"/>
      <c r="J1816" s="80"/>
      <c r="K1816" s="36"/>
      <c r="L1816" s="35"/>
    </row>
    <row r="1817" spans="1:12" ht="12" customHeight="1" x14ac:dyDescent="0.2">
      <c r="A1817" s="79"/>
      <c r="B1817" s="79"/>
      <c r="C1817" s="79"/>
      <c r="D1817" s="79"/>
      <c r="E1817" s="79"/>
      <c r="F1817" s="79"/>
      <c r="G1817" s="79"/>
      <c r="H1817" s="79"/>
      <c r="I1817" s="79"/>
      <c r="J1817" s="79"/>
      <c r="K1817" s="35"/>
    </row>
    <row r="1818" spans="1:12" ht="12" customHeight="1" x14ac:dyDescent="0.2">
      <c r="A1818" s="37"/>
      <c r="B1818" s="35"/>
      <c r="C1818" s="35"/>
      <c r="D1818" s="35"/>
      <c r="E1818" s="35"/>
      <c r="F1818" s="35"/>
      <c r="G1818" s="35"/>
      <c r="H1818" s="35"/>
      <c r="I1818" s="35"/>
      <c r="J1818" s="35"/>
      <c r="K1818" s="35"/>
    </row>
    <row r="1819" spans="1:12" ht="12" customHeight="1" x14ac:dyDescent="0.2">
      <c r="A1819" s="37"/>
      <c r="B1819" s="35"/>
      <c r="C1819" s="35"/>
      <c r="D1819" s="35"/>
      <c r="E1819" s="35"/>
      <c r="F1819" s="35"/>
      <c r="G1819" s="35"/>
      <c r="H1819" s="35"/>
      <c r="I1819" s="35"/>
      <c r="J1819" s="35"/>
      <c r="K1819" s="35"/>
    </row>
    <row r="1820" spans="1:12" ht="12" customHeight="1" x14ac:dyDescent="0.2">
      <c r="A1820" s="37"/>
      <c r="B1820" s="35"/>
      <c r="C1820" s="35"/>
      <c r="D1820" s="35"/>
      <c r="E1820" s="35"/>
      <c r="F1820" s="35"/>
      <c r="G1820" s="35"/>
      <c r="H1820" s="35"/>
      <c r="I1820" s="35"/>
      <c r="J1820" s="35"/>
      <c r="K1820" s="35"/>
    </row>
    <row r="1821" spans="1:12" ht="12" customHeight="1" x14ac:dyDescent="0.2">
      <c r="A1821" s="37"/>
      <c r="B1821" s="35"/>
      <c r="C1821" s="35"/>
      <c r="D1821" s="35"/>
      <c r="E1821" s="35"/>
      <c r="F1821" s="35"/>
      <c r="G1821" s="35"/>
      <c r="H1821" s="35"/>
      <c r="I1821" s="35"/>
      <c r="J1821" s="35"/>
      <c r="K1821" s="35"/>
    </row>
    <row r="1822" spans="1:12" ht="12" customHeight="1" x14ac:dyDescent="0.2">
      <c r="A1822" s="37"/>
    </row>
    <row r="1823" spans="1:12" ht="12" customHeight="1" x14ac:dyDescent="0.2">
      <c r="A1823" s="37"/>
    </row>
    <row r="1824" spans="1:12" ht="12" customHeight="1" x14ac:dyDescent="0.2"/>
    <row r="1825" ht="12" customHeight="1" x14ac:dyDescent="0.2"/>
    <row r="1826" ht="12" customHeight="1" x14ac:dyDescent="0.2"/>
    <row r="1827" ht="12" customHeight="1" x14ac:dyDescent="0.2"/>
    <row r="1828" ht="12" customHeight="1" x14ac:dyDescent="0.2"/>
    <row r="1829" ht="12" customHeight="1" x14ac:dyDescent="0.2"/>
    <row r="1830" ht="12" customHeight="1" x14ac:dyDescent="0.2"/>
    <row r="1831" ht="12" customHeight="1" x14ac:dyDescent="0.2"/>
    <row r="1832" ht="12" customHeight="1" x14ac:dyDescent="0.2"/>
    <row r="1833" ht="12" customHeight="1" x14ac:dyDescent="0.2"/>
    <row r="1834" ht="12" customHeight="1" x14ac:dyDescent="0.2"/>
    <row r="1835" ht="12" customHeight="1" x14ac:dyDescent="0.2"/>
    <row r="1836" ht="12" customHeight="1" x14ac:dyDescent="0.2"/>
  </sheetData>
  <mergeCells count="21">
    <mergeCell ref="A1808:J1808"/>
    <mergeCell ref="A1797:J1797"/>
    <mergeCell ref="A1798:J1798"/>
    <mergeCell ref="A1799:J1799"/>
    <mergeCell ref="A1800:J1800"/>
    <mergeCell ref="A1801:J1801"/>
    <mergeCell ref="A1802:J1802"/>
    <mergeCell ref="A1803:J1803"/>
    <mergeCell ref="A1804:J1804"/>
    <mergeCell ref="A1805:J1805"/>
    <mergeCell ref="A1806:J1806"/>
    <mergeCell ref="A1807:J1807"/>
    <mergeCell ref="A1815:J1815"/>
    <mergeCell ref="A1816:J1816"/>
    <mergeCell ref="A1817:J1817"/>
    <mergeCell ref="A1809:J1809"/>
    <mergeCell ref="A1810:J1810"/>
    <mergeCell ref="A1811:J1811"/>
    <mergeCell ref="A1812:J1812"/>
    <mergeCell ref="A1813:J1813"/>
    <mergeCell ref="A1814:J1814"/>
  </mergeCells>
  <pageMargins left="0" right="0" top="0.75" bottom="0.75" header="0.3" footer="0.3"/>
  <pageSetup scale="95" fitToHeight="0" orientation="landscape" r:id="rId1"/>
  <ignoredErrors>
    <ignoredError sqref="A808" numberStoredAsText="1"/>
  </ignoredErrors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autoPict="0" r:id="rId5">
            <anchor moveWithCells="1">
              <from>
                <xdr:col>0</xdr:col>
                <xdr:colOff>0</xdr:colOff>
                <xdr:row>1797</xdr:row>
                <xdr:rowOff>0</xdr:rowOff>
              </from>
              <to>
                <xdr:col>10</xdr:col>
                <xdr:colOff>419100</xdr:colOff>
                <xdr:row>1824</xdr:row>
                <xdr:rowOff>76200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29129-FD83-4041-9DB3-3E9D0E21A95E}">
  <dimension ref="A1:BA48"/>
  <sheetViews>
    <sheetView tabSelected="1" topLeftCell="AF1" zoomScale="72" zoomScaleNormal="100" workbookViewId="0">
      <selection activeCell="AT17" sqref="AT17"/>
    </sheetView>
  </sheetViews>
  <sheetFormatPr defaultRowHeight="15" x14ac:dyDescent="0.25"/>
  <cols>
    <col min="1" max="1" width="12.5703125" style="2" customWidth="1"/>
    <col min="2" max="2" width="48.42578125" customWidth="1"/>
    <col min="3" max="8" width="16.140625" customWidth="1"/>
    <col min="9" max="9" width="6.7109375" customWidth="1"/>
    <col min="10" max="15" width="16.140625" customWidth="1"/>
    <col min="16" max="16" width="6.7109375" customWidth="1"/>
    <col min="17" max="22" width="16.140625" customWidth="1"/>
    <col min="23" max="23" width="6.7109375" customWidth="1"/>
    <col min="24" max="29" width="16.140625" customWidth="1"/>
    <col min="30" max="30" width="6.7109375" customWidth="1"/>
    <col min="31" max="36" width="16.140625" customWidth="1"/>
    <col min="37" max="37" width="6.7109375" customWidth="1"/>
    <col min="38" max="43" width="16.140625" customWidth="1"/>
    <col min="44" max="44" width="6.7109375" customWidth="1"/>
    <col min="45" max="50" width="16.140625" customWidth="1"/>
    <col min="51" max="51" width="6.7109375" customWidth="1"/>
    <col min="52" max="52" width="16.85546875" style="2" customWidth="1"/>
  </cols>
  <sheetData>
    <row r="1" spans="1:53" ht="15.75" thickBot="1" x14ac:dyDescent="0.3">
      <c r="C1" s="62"/>
      <c r="D1" s="61" t="s">
        <v>475</v>
      </c>
      <c r="E1" s="62"/>
      <c r="F1" s="62" t="s">
        <v>492</v>
      </c>
      <c r="G1" s="56"/>
      <c r="H1" s="63" t="s">
        <v>47</v>
      </c>
      <c r="J1" s="62"/>
      <c r="K1" s="61" t="s">
        <v>486</v>
      </c>
      <c r="L1" s="62"/>
      <c r="M1" s="62" t="s">
        <v>492</v>
      </c>
      <c r="N1" s="56"/>
      <c r="O1" s="63" t="s">
        <v>487</v>
      </c>
      <c r="Q1" s="62"/>
      <c r="R1" s="61" t="s">
        <v>493</v>
      </c>
      <c r="S1" s="62"/>
      <c r="T1" s="62" t="s">
        <v>492</v>
      </c>
      <c r="U1" s="56"/>
      <c r="V1" s="63" t="s">
        <v>488</v>
      </c>
      <c r="X1" s="62"/>
      <c r="Y1" s="61" t="s">
        <v>494</v>
      </c>
      <c r="Z1" s="62"/>
      <c r="AA1" s="62" t="s">
        <v>492</v>
      </c>
      <c r="AB1" s="56"/>
      <c r="AC1" s="63" t="s">
        <v>489</v>
      </c>
      <c r="AE1" s="62"/>
      <c r="AF1" s="61" t="s">
        <v>495</v>
      </c>
      <c r="AG1" s="62"/>
      <c r="AH1" s="62" t="s">
        <v>492</v>
      </c>
      <c r="AI1" s="56"/>
      <c r="AJ1" s="63" t="s">
        <v>490</v>
      </c>
      <c r="AL1" s="62"/>
      <c r="AM1" s="61" t="s">
        <v>33</v>
      </c>
      <c r="AN1" s="62"/>
      <c r="AO1" s="62" t="s">
        <v>492</v>
      </c>
      <c r="AP1" s="56"/>
      <c r="AQ1" s="63" t="s">
        <v>491</v>
      </c>
      <c r="AS1" s="62"/>
      <c r="AT1" s="61" t="s">
        <v>496</v>
      </c>
      <c r="AU1" s="62"/>
      <c r="AV1" s="62" t="s">
        <v>492</v>
      </c>
      <c r="AW1" s="56"/>
      <c r="AX1" s="63" t="s">
        <v>497</v>
      </c>
    </row>
    <row r="2" spans="1:53" x14ac:dyDescent="0.25">
      <c r="B2" s="48" t="s">
        <v>504</v>
      </c>
      <c r="C2" t="s">
        <v>505</v>
      </c>
      <c r="D2" t="s">
        <v>505</v>
      </c>
      <c r="E2" t="s">
        <v>505</v>
      </c>
      <c r="F2" t="s">
        <v>505</v>
      </c>
      <c r="G2" t="s">
        <v>505</v>
      </c>
      <c r="H2" t="s">
        <v>505</v>
      </c>
      <c r="J2" t="s">
        <v>506</v>
      </c>
      <c r="K2" t="s">
        <v>506</v>
      </c>
      <c r="L2" t="s">
        <v>506</v>
      </c>
      <c r="M2" t="s">
        <v>506</v>
      </c>
      <c r="N2" t="s">
        <v>506</v>
      </c>
      <c r="O2" t="s">
        <v>506</v>
      </c>
      <c r="Q2" t="s">
        <v>507</v>
      </c>
      <c r="R2" t="s">
        <v>507</v>
      </c>
      <c r="S2" t="s">
        <v>507</v>
      </c>
      <c r="T2" t="s">
        <v>507</v>
      </c>
      <c r="U2" t="s">
        <v>507</v>
      </c>
      <c r="V2" t="s">
        <v>507</v>
      </c>
      <c r="X2" t="s">
        <v>508</v>
      </c>
      <c r="Y2" t="s">
        <v>508</v>
      </c>
      <c r="Z2" t="s">
        <v>508</v>
      </c>
      <c r="AA2" t="s">
        <v>508</v>
      </c>
      <c r="AB2" t="s">
        <v>508</v>
      </c>
      <c r="AC2" t="s">
        <v>508</v>
      </c>
      <c r="AE2" t="s">
        <v>509</v>
      </c>
      <c r="AF2" t="s">
        <v>509</v>
      </c>
      <c r="AG2" t="s">
        <v>509</v>
      </c>
      <c r="AH2" t="s">
        <v>509</v>
      </c>
      <c r="AI2" t="s">
        <v>509</v>
      </c>
      <c r="AJ2" t="s">
        <v>509</v>
      </c>
      <c r="AL2" t="s">
        <v>510</v>
      </c>
      <c r="AM2" t="s">
        <v>510</v>
      </c>
      <c r="AN2" t="s">
        <v>510</v>
      </c>
      <c r="AO2" t="s">
        <v>510</v>
      </c>
      <c r="AP2" t="s">
        <v>510</v>
      </c>
      <c r="AQ2" t="s">
        <v>510</v>
      </c>
      <c r="AS2" t="s">
        <v>511</v>
      </c>
      <c r="AT2" t="s">
        <v>511</v>
      </c>
      <c r="AU2" t="s">
        <v>511</v>
      </c>
      <c r="AV2" t="s">
        <v>511</v>
      </c>
      <c r="AW2" t="s">
        <v>511</v>
      </c>
      <c r="AX2" t="s">
        <v>511</v>
      </c>
    </row>
    <row r="3" spans="1:53" x14ac:dyDescent="0.25">
      <c r="B3" s="48" t="s">
        <v>456</v>
      </c>
      <c r="C3">
        <v>4</v>
      </c>
      <c r="D3">
        <v>8</v>
      </c>
      <c r="E3">
        <v>9</v>
      </c>
      <c r="F3">
        <v>10</v>
      </c>
      <c r="G3">
        <v>11</v>
      </c>
      <c r="H3">
        <v>12</v>
      </c>
      <c r="J3">
        <v>4</v>
      </c>
      <c r="K3">
        <v>8</v>
      </c>
      <c r="L3">
        <v>9</v>
      </c>
      <c r="M3">
        <v>10</v>
      </c>
      <c r="N3">
        <v>11</v>
      </c>
      <c r="O3">
        <v>12</v>
      </c>
      <c r="Q3">
        <v>4</v>
      </c>
      <c r="R3">
        <v>8</v>
      </c>
      <c r="S3">
        <v>9</v>
      </c>
      <c r="T3">
        <v>10</v>
      </c>
      <c r="U3">
        <v>11</v>
      </c>
      <c r="V3">
        <v>12</v>
      </c>
      <c r="X3">
        <v>4</v>
      </c>
      <c r="Y3">
        <v>8</v>
      </c>
      <c r="Z3">
        <v>9</v>
      </c>
      <c r="AA3">
        <v>10</v>
      </c>
      <c r="AB3">
        <v>11</v>
      </c>
      <c r="AC3">
        <v>12</v>
      </c>
      <c r="AE3">
        <v>4</v>
      </c>
      <c r="AF3">
        <v>8</v>
      </c>
      <c r="AG3">
        <v>9</v>
      </c>
      <c r="AH3">
        <v>10</v>
      </c>
      <c r="AI3">
        <v>11</v>
      </c>
      <c r="AJ3">
        <v>12</v>
      </c>
      <c r="AL3">
        <v>4</v>
      </c>
      <c r="AM3">
        <v>8</v>
      </c>
      <c r="AN3">
        <v>9</v>
      </c>
      <c r="AO3">
        <v>10</v>
      </c>
      <c r="AP3">
        <v>11</v>
      </c>
      <c r="AQ3">
        <v>12</v>
      </c>
    </row>
    <row r="4" spans="1:53" s="39" customFormat="1" ht="45" x14ac:dyDescent="0.25">
      <c r="A4" s="58" t="s">
        <v>455</v>
      </c>
      <c r="B4" s="58" t="s">
        <v>474</v>
      </c>
      <c r="C4" s="59" t="s">
        <v>149</v>
      </c>
      <c r="D4" s="59" t="s">
        <v>454</v>
      </c>
      <c r="E4" s="59" t="s">
        <v>153</v>
      </c>
      <c r="F4" s="59" t="s">
        <v>154</v>
      </c>
      <c r="G4" s="59" t="s">
        <v>155</v>
      </c>
      <c r="H4" s="59" t="s">
        <v>444</v>
      </c>
      <c r="J4" s="59" t="s">
        <v>149</v>
      </c>
      <c r="K4" s="59" t="s">
        <v>454</v>
      </c>
      <c r="L4" s="59" t="s">
        <v>153</v>
      </c>
      <c r="M4" s="59" t="s">
        <v>154</v>
      </c>
      <c r="N4" s="59" t="s">
        <v>155</v>
      </c>
      <c r="O4" s="59" t="s">
        <v>444</v>
      </c>
      <c r="Q4" s="59" t="s">
        <v>149</v>
      </c>
      <c r="R4" s="59" t="s">
        <v>454</v>
      </c>
      <c r="S4" s="59" t="s">
        <v>153</v>
      </c>
      <c r="T4" s="59" t="s">
        <v>154</v>
      </c>
      <c r="U4" s="59" t="s">
        <v>155</v>
      </c>
      <c r="V4" s="59" t="s">
        <v>444</v>
      </c>
      <c r="X4" s="59" t="s">
        <v>149</v>
      </c>
      <c r="Y4" s="59" t="s">
        <v>454</v>
      </c>
      <c r="Z4" s="59" t="s">
        <v>153</v>
      </c>
      <c r="AA4" s="59" t="s">
        <v>154</v>
      </c>
      <c r="AB4" s="59" t="s">
        <v>155</v>
      </c>
      <c r="AC4" s="59" t="s">
        <v>444</v>
      </c>
      <c r="AE4" s="59" t="s">
        <v>149</v>
      </c>
      <c r="AF4" s="59" t="s">
        <v>454</v>
      </c>
      <c r="AG4" s="59" t="s">
        <v>153</v>
      </c>
      <c r="AH4" s="59" t="s">
        <v>154</v>
      </c>
      <c r="AI4" s="59" t="s">
        <v>155</v>
      </c>
      <c r="AJ4" s="59" t="s">
        <v>444</v>
      </c>
      <c r="AL4" s="59" t="s">
        <v>149</v>
      </c>
      <c r="AM4" s="59" t="s">
        <v>454</v>
      </c>
      <c r="AN4" s="59" t="s">
        <v>153</v>
      </c>
      <c r="AO4" s="59" t="s">
        <v>154</v>
      </c>
      <c r="AP4" s="59" t="s">
        <v>155</v>
      </c>
      <c r="AQ4" s="59" t="s">
        <v>444</v>
      </c>
      <c r="AS4" s="59" t="s">
        <v>149</v>
      </c>
      <c r="AT4" s="59" t="s">
        <v>454</v>
      </c>
      <c r="AU4" s="59" t="s">
        <v>153</v>
      </c>
      <c r="AV4" s="59" t="s">
        <v>154</v>
      </c>
      <c r="AW4" s="59" t="s">
        <v>155</v>
      </c>
      <c r="AX4" s="59" t="s">
        <v>444</v>
      </c>
      <c r="AZ4" s="58" t="s">
        <v>620</v>
      </c>
      <c r="BA4" s="60" t="s">
        <v>160</v>
      </c>
    </row>
    <row r="5" spans="1:53" x14ac:dyDescent="0.25">
      <c r="A5" s="2" t="s">
        <v>472</v>
      </c>
      <c r="B5" s="1" t="s">
        <v>6</v>
      </c>
      <c r="C5" s="66"/>
      <c r="D5" s="44">
        <f>'EIA Requested Industry table'!C44+'EIA Requested Industry table'!C189</f>
        <v>195.29399999999998</v>
      </c>
      <c r="F5" s="44">
        <f>'EIA Requested Industry table'!C61+'EIA Requested Industry table'!C206</f>
        <v>56.357000000000006</v>
      </c>
      <c r="J5" s="64">
        <f>'EIA Requested Industry table'!C85+'EIA Requested Industry table'!C230</f>
        <v>0.1</v>
      </c>
      <c r="K5" s="44"/>
      <c r="L5" s="44"/>
      <c r="M5" s="44"/>
      <c r="N5" s="44"/>
      <c r="O5" s="44"/>
      <c r="Q5" s="66"/>
      <c r="R5" s="44">
        <f>SUM('EIA Requested Industry table'!C46,'EIA Requested Industry table'!C48:C49,'EIA Requested Industry table'!C191,'EIA Requested Industry table'!C193:C194)</f>
        <v>132.26199999999997</v>
      </c>
      <c r="S5" s="44"/>
      <c r="T5" s="44">
        <f>SUM('EIA Requested Industry table'!C63,'EIA Requested Industry table'!C65:C66,'EIA Requested Industry table'!C208,'EIA Requested Industry table'!C210:C211)</f>
        <v>21.256</v>
      </c>
      <c r="U5" s="44"/>
      <c r="V5" s="44">
        <f>SUM('EIA Requested Industry table'!C55,'EIA Requested Industry table'!C57:C58,'EIA Requested Industry table'!C200,'EIA Requested Industry table'!C202:C203)</f>
        <v>442.11099999999999</v>
      </c>
      <c r="X5" s="64">
        <f>'EIA Requested Industry table'!C83+'EIA Requested Industry table'!C228</f>
        <v>0.2</v>
      </c>
      <c r="Y5" s="44">
        <f>'EIA Requested Industry table'!C45+'EIA Requested Industry table'!C190</f>
        <v>87.088999999999999</v>
      </c>
      <c r="Z5" s="44"/>
      <c r="AA5" s="44">
        <f>'EIA Requested Industry table'!C62+'EIA Requested Industry table'!C207</f>
        <v>20.942</v>
      </c>
      <c r="AB5" s="44"/>
      <c r="AC5" s="44">
        <f>'EIA Requested Industry table'!C54</f>
        <v>3.8719999999999999</v>
      </c>
      <c r="AE5" s="66"/>
      <c r="AF5" s="44">
        <f>'EIA Requested Industry table'!C47+'EIA Requested Industry table'!C192</f>
        <v>78.049000000000007</v>
      </c>
      <c r="AG5" s="44"/>
      <c r="AH5" s="44">
        <f>'EIA Requested Industry table'!C64+'EIA Requested Industry table'!C209</f>
        <v>1.494</v>
      </c>
      <c r="AI5" s="44"/>
      <c r="AJ5" s="44">
        <f>'EIA Requested Industry table'!C56+'EIA Requested Industry table'!C201</f>
        <v>6.1970000000000001</v>
      </c>
      <c r="AL5" s="66"/>
      <c r="AM5" s="44"/>
      <c r="AN5" s="44"/>
      <c r="AO5" s="44"/>
      <c r="AP5" s="44"/>
      <c r="AQ5" s="44"/>
      <c r="AS5" s="44">
        <f>'EIA Requested Industry table'!C90+'EIA Requested Industry table'!C235</f>
        <v>48.2</v>
      </c>
      <c r="AT5" s="44">
        <f>'EIA Requested Industry table'!C51+'EIA Requested Industry table'!C196</f>
        <v>154.173</v>
      </c>
      <c r="AU5" s="44"/>
      <c r="AV5" s="44"/>
      <c r="AW5" s="44"/>
      <c r="AX5" s="44"/>
      <c r="BA5" t="s">
        <v>498</v>
      </c>
    </row>
    <row r="6" spans="1:53" x14ac:dyDescent="0.25">
      <c r="A6" s="2" t="s">
        <v>472</v>
      </c>
      <c r="B6" s="1" t="s">
        <v>7</v>
      </c>
      <c r="C6" s="66"/>
      <c r="F6" s="44">
        <f>'EIA Requested Industry table'!C323</f>
        <v>31.623999999999999</v>
      </c>
      <c r="J6" s="44"/>
      <c r="K6" s="44"/>
      <c r="L6" s="44"/>
      <c r="M6" s="44"/>
      <c r="N6" s="44"/>
      <c r="O6" s="44"/>
      <c r="Q6" s="44"/>
      <c r="R6" s="44"/>
      <c r="S6" s="44"/>
      <c r="T6" s="44">
        <f>SUM('EIA Requested Industry table'!C325:C327)*(1-'Mobile vs Stationary'!J30)</f>
        <v>11.141385078413025</v>
      </c>
      <c r="U6" s="44"/>
      <c r="V6" s="44">
        <f>SUM('EIA Requested Industry table'!C325:C327)*'Mobile vs Stationary'!J30</f>
        <v>46.221614921586969</v>
      </c>
      <c r="X6" s="44"/>
      <c r="Y6" s="44">
        <f>'EIA Requested Industry table'!C324</f>
        <v>13.858000000000001</v>
      </c>
      <c r="Z6" s="44"/>
      <c r="AA6" s="44"/>
      <c r="AB6" s="44"/>
      <c r="AC6" s="44"/>
      <c r="AE6" s="44"/>
      <c r="AF6" s="44"/>
      <c r="AG6" s="44"/>
      <c r="AH6" s="44"/>
      <c r="AI6" s="44"/>
      <c r="AJ6" s="44"/>
      <c r="AL6" s="44"/>
      <c r="AM6" s="44"/>
      <c r="AN6" s="44"/>
      <c r="AO6" s="44"/>
      <c r="AP6" s="44"/>
      <c r="AQ6" s="44"/>
      <c r="AS6" s="44"/>
      <c r="AT6" s="44"/>
      <c r="AU6" s="44"/>
      <c r="AV6" s="44"/>
      <c r="AW6" s="44"/>
      <c r="AX6" s="44"/>
      <c r="BA6" t="s">
        <v>500</v>
      </c>
    </row>
    <row r="7" spans="1:53" x14ac:dyDescent="0.25">
      <c r="A7" s="2" t="s">
        <v>472</v>
      </c>
      <c r="B7" s="1" t="s">
        <v>8</v>
      </c>
      <c r="C7" s="66"/>
      <c r="F7" s="44">
        <f>'EIA Requested Industry table'!C432</f>
        <v>138.822</v>
      </c>
      <c r="J7" s="44"/>
      <c r="K7" s="44"/>
      <c r="L7" s="44"/>
      <c r="M7" s="44">
        <f>'EIA Requested Industry table'!C435</f>
        <v>9.4600000000000009</v>
      </c>
      <c r="N7" s="44"/>
      <c r="O7" s="44"/>
      <c r="Q7" s="44"/>
      <c r="R7" s="44"/>
      <c r="S7" s="44"/>
      <c r="T7" s="44">
        <f>SUM('EIA Requested Industry table'!C436:C438)</f>
        <v>169.648</v>
      </c>
      <c r="U7" s="44"/>
      <c r="V7" s="44"/>
      <c r="X7" s="44">
        <f>'EIA Requested Industry table'!C447</f>
        <v>101.6</v>
      </c>
      <c r="Y7" s="44">
        <f>'EIA Requested Industry table'!C433</f>
        <v>271.51499999999999</v>
      </c>
      <c r="Z7" s="44"/>
      <c r="AA7" s="44"/>
      <c r="AB7" s="44"/>
      <c r="AC7" s="44"/>
      <c r="AE7" s="44"/>
      <c r="AF7" s="44"/>
      <c r="AG7" s="44"/>
      <c r="AH7" s="44"/>
      <c r="AI7" s="44"/>
      <c r="AJ7" s="44"/>
      <c r="AL7" s="44"/>
      <c r="AM7" s="64">
        <f>'EIA Requested Industry table'!C434</f>
        <v>0.16</v>
      </c>
      <c r="AN7" s="44"/>
      <c r="AO7" s="44"/>
      <c r="AP7" s="44"/>
      <c r="AQ7" s="44"/>
      <c r="AS7" s="44"/>
      <c r="AT7" s="44">
        <f>'EIA Requested Industry table'!C440</f>
        <v>8.6010000000000009</v>
      </c>
      <c r="AU7" s="44"/>
      <c r="AV7" s="44"/>
      <c r="AW7" s="44"/>
      <c r="AX7" s="44"/>
      <c r="BA7" t="s">
        <v>499</v>
      </c>
    </row>
    <row r="8" spans="1:53" x14ac:dyDescent="0.25">
      <c r="A8" s="2" t="s">
        <v>472</v>
      </c>
      <c r="B8" s="1" t="s">
        <v>9</v>
      </c>
      <c r="C8" s="66"/>
      <c r="F8" s="44">
        <f>'EIA Requested Industry table'!C541</f>
        <v>120.01300000000001</v>
      </c>
      <c r="J8" s="44"/>
      <c r="K8" s="44"/>
      <c r="L8" s="44"/>
      <c r="M8" s="44"/>
      <c r="N8" s="44"/>
      <c r="O8" s="44"/>
      <c r="Q8" s="44"/>
      <c r="R8" s="44"/>
      <c r="S8" s="44"/>
      <c r="T8" s="44">
        <f>SUM('EIA Requested Industry table'!C544:C545)*(1-'Mobile vs Stationary'!J30)</f>
        <v>24.184825211005556</v>
      </c>
      <c r="U8" s="44"/>
      <c r="V8" s="44">
        <f>SUM('EIA Requested Industry table'!C544:C545)*'Mobile vs Stationary'!J30</f>
        <v>100.33417478899445</v>
      </c>
      <c r="X8" s="44">
        <f>'EIA Requested Industry table'!C553</f>
        <v>10.7</v>
      </c>
      <c r="Y8" s="44">
        <f>'EIA Requested Industry table'!C542</f>
        <v>195.63399999999999</v>
      </c>
      <c r="Z8" s="44"/>
      <c r="AA8" s="44"/>
      <c r="AB8" s="44"/>
      <c r="AC8" s="44"/>
      <c r="AE8" s="44"/>
      <c r="AF8" s="44"/>
      <c r="AG8" s="44"/>
      <c r="AH8" s="44"/>
      <c r="AI8" s="44"/>
      <c r="AJ8" s="44"/>
      <c r="AL8" s="44">
        <f>'EIA Requested Industry table'!C554</f>
        <v>6.6</v>
      </c>
      <c r="AM8" s="44">
        <f>'EIA Requested Industry table'!C543</f>
        <v>3.0819999999999999</v>
      </c>
      <c r="AN8" s="44"/>
      <c r="AO8" s="44"/>
      <c r="AP8" s="44"/>
      <c r="AQ8" s="44"/>
      <c r="AS8" s="44"/>
      <c r="AT8" s="44"/>
      <c r="AU8" s="44"/>
      <c r="AV8" s="44"/>
      <c r="AW8" s="44"/>
      <c r="AX8" s="44"/>
      <c r="BA8" t="s">
        <v>499</v>
      </c>
    </row>
    <row r="9" spans="1:53" x14ac:dyDescent="0.25">
      <c r="A9" s="2">
        <v>38</v>
      </c>
      <c r="B9" s="1" t="s">
        <v>10</v>
      </c>
      <c r="C9" s="75">
        <f t="shared" ref="C9:H18" ca="1" si="0">MAX(0,SUM(INDIRECT("'Table 5.2'!"&amp;$H$1&amp;$A9+C$3)))+MAX(0,SUM(INDIRECT("'Table 5.2'!"&amp;$H$1&amp;$AZ9+C$3)))</f>
        <v>11</v>
      </c>
      <c r="D9" s="75">
        <f t="shared" ca="1" si="0"/>
        <v>14</v>
      </c>
      <c r="E9" s="75">
        <f t="shared" ca="1" si="0"/>
        <v>85</v>
      </c>
      <c r="F9" s="75">
        <f t="shared" ca="1" si="0"/>
        <v>140</v>
      </c>
      <c r="G9" s="75">
        <f t="shared" ca="1" si="0"/>
        <v>1</v>
      </c>
      <c r="H9" s="75">
        <f t="shared" ca="1" si="0"/>
        <v>6</v>
      </c>
      <c r="J9" s="44">
        <f t="shared" ref="J9:O18" ca="1" si="1">SUM(INDIRECT("'Table 5.2'!"&amp;$O$1&amp;$A9+J$3))+SUM(INDIRECT("'Table 5.2'!"&amp;$O$1&amp;$AZ9+J$3))</f>
        <v>0</v>
      </c>
      <c r="K9" s="44">
        <f t="shared" ca="1" si="1"/>
        <v>0</v>
      </c>
      <c r="L9" s="44">
        <f t="shared" ca="1" si="1"/>
        <v>0</v>
      </c>
      <c r="M9" s="44">
        <f t="shared" ca="1" si="1"/>
        <v>0</v>
      </c>
      <c r="N9" s="44">
        <f t="shared" ca="1" si="1"/>
        <v>0</v>
      </c>
      <c r="O9" s="44">
        <f t="shared" ca="1" si="1"/>
        <v>0</v>
      </c>
      <c r="Q9" s="44">
        <f t="shared" ref="Q9:V18" ca="1" si="2">SUM(INDIRECT("'Table 5.2'!"&amp;$V$1&amp;$A9+Q$3))+SUM(INDIRECT("'Table 5.2'!"&amp;$V$1&amp;$AZ9+Q$3))</f>
        <v>4</v>
      </c>
      <c r="R9" s="44">
        <f t="shared" ca="1" si="2"/>
        <v>0</v>
      </c>
      <c r="S9" s="44">
        <f t="shared" ca="1" si="2"/>
        <v>0</v>
      </c>
      <c r="T9" s="44">
        <f t="shared" ca="1" si="2"/>
        <v>0</v>
      </c>
      <c r="U9" s="44">
        <f t="shared" ca="1" si="2"/>
        <v>0</v>
      </c>
      <c r="V9" s="44">
        <f t="shared" ca="1" si="2"/>
        <v>0</v>
      </c>
      <c r="X9" s="44">
        <f t="shared" ref="X9:AC18" ca="1" si="3">SUM(INDIRECT("'Table 5.2'!"&amp;$AC$1&amp;$A9+X$3))+SUM(INDIRECT("'Table 5.2'!"&amp;$AC$1&amp;$AZ9+X$3))</f>
        <v>533</v>
      </c>
      <c r="Y9" s="44">
        <f t="shared" ca="1" si="3"/>
        <v>219</v>
      </c>
      <c r="Z9" s="44">
        <f t="shared" ca="1" si="3"/>
        <v>15</v>
      </c>
      <c r="AA9" s="44">
        <f t="shared" ca="1" si="3"/>
        <v>24</v>
      </c>
      <c r="AB9" s="44">
        <f t="shared" ca="1" si="3"/>
        <v>0</v>
      </c>
      <c r="AC9" s="44">
        <f t="shared" ca="1" si="3"/>
        <v>15</v>
      </c>
      <c r="AE9" s="44">
        <f t="shared" ref="AE9:AJ18" ca="1" si="4">SUM(INDIRECT("'Table 5.2'!"&amp;$AJ$1&amp;$A9+AE$3))+SUM(INDIRECT("'Table 5.2'!"&amp;$AJ$1&amp;$AZ9+AE$3))</f>
        <v>3</v>
      </c>
      <c r="AF9" s="44">
        <f t="shared" ca="1" si="4"/>
        <v>3</v>
      </c>
      <c r="AG9" s="44">
        <f t="shared" ca="1" si="4"/>
        <v>0</v>
      </c>
      <c r="AH9" s="44">
        <f t="shared" ca="1" si="4"/>
        <v>0</v>
      </c>
      <c r="AI9" s="44">
        <f t="shared" ca="1" si="4"/>
        <v>0</v>
      </c>
      <c r="AJ9" s="44">
        <f t="shared" ca="1" si="4"/>
        <v>0</v>
      </c>
      <c r="AL9" s="44">
        <f t="shared" ref="AL9:AQ18" ca="1" si="5">SUM(INDIRECT("'Table 5.2'!"&amp;$AQ$1&amp;$A9+AL$3))+SUM(INDIRECT("'Table 5.2'!"&amp;$AQ$1&amp;$AZ9+AL$3))</f>
        <v>47</v>
      </c>
      <c r="AM9" s="44">
        <f t="shared" ca="1" si="5"/>
        <v>6</v>
      </c>
      <c r="AN9" s="44">
        <f t="shared" ca="1" si="5"/>
        <v>0</v>
      </c>
      <c r="AO9" s="44">
        <f t="shared" ca="1" si="5"/>
        <v>1</v>
      </c>
      <c r="AP9" s="44">
        <f t="shared" ca="1" si="5"/>
        <v>0</v>
      </c>
      <c r="AQ9" s="44">
        <f t="shared" ca="1" si="5"/>
        <v>0</v>
      </c>
      <c r="AS9" s="44">
        <f>'EIA Requested Industry table'!C955</f>
        <v>73.3</v>
      </c>
      <c r="AT9" s="44"/>
      <c r="AU9" s="44"/>
      <c r="AV9" s="44"/>
      <c r="AW9" s="44"/>
      <c r="AX9" s="44"/>
      <c r="AZ9" s="2">
        <v>192</v>
      </c>
    </row>
    <row r="10" spans="1:53" x14ac:dyDescent="0.25">
      <c r="A10" s="2">
        <v>258</v>
      </c>
      <c r="B10" s="1" t="s">
        <v>11</v>
      </c>
      <c r="C10" s="75">
        <f t="shared" ca="1" si="0"/>
        <v>1</v>
      </c>
      <c r="D10" s="75">
        <f t="shared" ca="1" si="0"/>
        <v>2</v>
      </c>
      <c r="E10" s="75">
        <f t="shared" ca="1" si="0"/>
        <v>2</v>
      </c>
      <c r="F10" s="75">
        <f t="shared" ca="1" si="0"/>
        <v>23</v>
      </c>
      <c r="G10" s="75">
        <f t="shared" ca="1" si="0"/>
        <v>0</v>
      </c>
      <c r="H10" s="75">
        <f t="shared" ca="1" si="0"/>
        <v>0</v>
      </c>
      <c r="J10" s="44">
        <f t="shared" ca="1" si="1"/>
        <v>0</v>
      </c>
      <c r="K10" s="44">
        <f t="shared" ca="1" si="1"/>
        <v>0</v>
      </c>
      <c r="L10" s="44">
        <f t="shared" ca="1" si="1"/>
        <v>0</v>
      </c>
      <c r="M10" s="44">
        <f t="shared" ca="1" si="1"/>
        <v>0</v>
      </c>
      <c r="N10" s="44">
        <f t="shared" ca="1" si="1"/>
        <v>0</v>
      </c>
      <c r="O10" s="44">
        <f t="shared" ca="1" si="1"/>
        <v>0</v>
      </c>
      <c r="Q10" s="44">
        <f t="shared" ca="1" si="2"/>
        <v>0</v>
      </c>
      <c r="R10" s="44">
        <f t="shared" ca="1" si="2"/>
        <v>0</v>
      </c>
      <c r="S10" s="44">
        <f t="shared" ca="1" si="2"/>
        <v>0</v>
      </c>
      <c r="T10" s="44">
        <f t="shared" ca="1" si="2"/>
        <v>0</v>
      </c>
      <c r="U10" s="44">
        <f t="shared" ca="1" si="2"/>
        <v>0</v>
      </c>
      <c r="V10" s="44">
        <f t="shared" ca="1" si="2"/>
        <v>0</v>
      </c>
      <c r="X10" s="44">
        <f t="shared" ca="1" si="3"/>
        <v>13</v>
      </c>
      <c r="Y10" s="44">
        <f t="shared" ca="1" si="3"/>
        <v>14</v>
      </c>
      <c r="Z10" s="44">
        <f t="shared" ca="1" si="3"/>
        <v>0</v>
      </c>
      <c r="AA10" s="44">
        <f t="shared" ca="1" si="3"/>
        <v>1</v>
      </c>
      <c r="AB10" s="44">
        <f t="shared" ca="1" si="3"/>
        <v>0</v>
      </c>
      <c r="AC10" s="44">
        <f t="shared" ca="1" si="3"/>
        <v>0</v>
      </c>
      <c r="AE10" s="44">
        <f t="shared" ca="1" si="4"/>
        <v>0</v>
      </c>
      <c r="AF10" s="44">
        <f t="shared" ca="1" si="4"/>
        <v>0</v>
      </c>
      <c r="AG10" s="44">
        <f t="shared" ca="1" si="4"/>
        <v>0</v>
      </c>
      <c r="AH10" s="44">
        <f t="shared" ca="1" si="4"/>
        <v>0</v>
      </c>
      <c r="AI10" s="44">
        <f t="shared" ca="1" si="4"/>
        <v>0</v>
      </c>
      <c r="AJ10" s="44">
        <f t="shared" ca="1" si="4"/>
        <v>0</v>
      </c>
      <c r="AL10" s="44">
        <f t="shared" ca="1" si="5"/>
        <v>0</v>
      </c>
      <c r="AM10" s="44">
        <f t="shared" ca="1" si="5"/>
        <v>0</v>
      </c>
      <c r="AN10" s="44">
        <f t="shared" ca="1" si="5"/>
        <v>0</v>
      </c>
      <c r="AO10" s="44">
        <f t="shared" ca="1" si="5"/>
        <v>0</v>
      </c>
      <c r="AP10" s="44">
        <f t="shared" ca="1" si="5"/>
        <v>0</v>
      </c>
      <c r="AQ10" s="44">
        <f t="shared" ca="1" si="5"/>
        <v>0</v>
      </c>
      <c r="AS10" s="44"/>
      <c r="AT10" s="44"/>
      <c r="AU10" s="44"/>
      <c r="AV10" s="44"/>
      <c r="AW10" s="44"/>
      <c r="AX10" s="44"/>
      <c r="AZ10" s="2">
        <v>280</v>
      </c>
    </row>
    <row r="11" spans="1:53" x14ac:dyDescent="0.25">
      <c r="A11" s="2">
        <v>346</v>
      </c>
      <c r="B11" s="1" t="s">
        <v>12</v>
      </c>
      <c r="C11" s="75">
        <f t="shared" ca="1" si="0"/>
        <v>2</v>
      </c>
      <c r="D11" s="75">
        <f t="shared" ca="1" si="0"/>
        <v>6</v>
      </c>
      <c r="E11" s="75">
        <f t="shared" ca="1" si="0"/>
        <v>1</v>
      </c>
      <c r="F11" s="75">
        <f t="shared" ca="1" si="0"/>
        <v>47</v>
      </c>
      <c r="G11" s="75">
        <f t="shared" ca="1" si="0"/>
        <v>1</v>
      </c>
      <c r="H11" s="75">
        <f t="shared" ca="1" si="0"/>
        <v>1</v>
      </c>
      <c r="J11" s="44">
        <f t="shared" ca="1" si="1"/>
        <v>0</v>
      </c>
      <c r="K11" s="44">
        <f t="shared" ca="1" si="1"/>
        <v>0</v>
      </c>
      <c r="L11" s="44">
        <f t="shared" ca="1" si="1"/>
        <v>0</v>
      </c>
      <c r="M11" s="44">
        <f t="shared" ca="1" si="1"/>
        <v>0</v>
      </c>
      <c r="N11" s="44">
        <f t="shared" ca="1" si="1"/>
        <v>0</v>
      </c>
      <c r="O11" s="44">
        <f t="shared" ca="1" si="1"/>
        <v>0</v>
      </c>
      <c r="Q11" s="44">
        <f t="shared" ca="1" si="2"/>
        <v>1</v>
      </c>
      <c r="R11" s="44">
        <f t="shared" ca="1" si="2"/>
        <v>1</v>
      </c>
      <c r="S11" s="44">
        <f t="shared" ca="1" si="2"/>
        <v>0</v>
      </c>
      <c r="T11" s="44">
        <f t="shared" ca="1" si="2"/>
        <v>1</v>
      </c>
      <c r="U11" s="44">
        <f t="shared" ca="1" si="2"/>
        <v>0</v>
      </c>
      <c r="V11" s="44">
        <f t="shared" ca="1" si="2"/>
        <v>0</v>
      </c>
      <c r="X11" s="44">
        <f t="shared" ca="1" si="3"/>
        <v>17</v>
      </c>
      <c r="Y11" s="44">
        <f t="shared" ca="1" si="3"/>
        <v>50</v>
      </c>
      <c r="Z11" s="44">
        <f t="shared" ca="1" si="3"/>
        <v>0</v>
      </c>
      <c r="AA11" s="44">
        <f t="shared" ca="1" si="3"/>
        <v>2</v>
      </c>
      <c r="AB11" s="44">
        <f t="shared" ca="1" si="3"/>
        <v>0</v>
      </c>
      <c r="AC11" s="44">
        <f t="shared" ca="1" si="3"/>
        <v>2</v>
      </c>
      <c r="AE11" s="44">
        <f t="shared" ca="1" si="4"/>
        <v>0</v>
      </c>
      <c r="AF11" s="44">
        <f t="shared" ca="1" si="4"/>
        <v>0</v>
      </c>
      <c r="AG11" s="44">
        <f t="shared" ca="1" si="4"/>
        <v>0</v>
      </c>
      <c r="AH11" s="44">
        <f t="shared" ca="1" si="4"/>
        <v>0</v>
      </c>
      <c r="AI11" s="44">
        <f t="shared" ca="1" si="4"/>
        <v>0</v>
      </c>
      <c r="AJ11" s="44">
        <f t="shared" ca="1" si="4"/>
        <v>0</v>
      </c>
      <c r="AL11" s="44">
        <f t="shared" ca="1" si="5"/>
        <v>0</v>
      </c>
      <c r="AM11" s="44">
        <f t="shared" ca="1" si="5"/>
        <v>0</v>
      </c>
      <c r="AN11" s="44">
        <f t="shared" ca="1" si="5"/>
        <v>0</v>
      </c>
      <c r="AO11" s="44">
        <f t="shared" ca="1" si="5"/>
        <v>0</v>
      </c>
      <c r="AP11" s="44">
        <f t="shared" ca="1" si="5"/>
        <v>0</v>
      </c>
      <c r="AQ11" s="44">
        <f t="shared" ca="1" si="5"/>
        <v>0</v>
      </c>
      <c r="AS11" s="44">
        <f>'EIA Requested Industry table'!C3221</f>
        <v>470.5</v>
      </c>
      <c r="AT11" s="44"/>
      <c r="AU11" s="44"/>
      <c r="AV11" s="44"/>
      <c r="AW11" s="44"/>
      <c r="AX11" s="44"/>
    </row>
    <row r="12" spans="1:53" x14ac:dyDescent="0.25">
      <c r="A12" s="2">
        <v>456</v>
      </c>
      <c r="B12" s="1" t="s">
        <v>13</v>
      </c>
      <c r="C12" s="75">
        <f t="shared" ca="1" si="0"/>
        <v>4</v>
      </c>
      <c r="D12" s="75">
        <f t="shared" ca="1" si="0"/>
        <v>8</v>
      </c>
      <c r="E12" s="75">
        <f t="shared" ca="1" si="0"/>
        <v>7</v>
      </c>
      <c r="F12" s="75">
        <f t="shared" ca="1" si="0"/>
        <v>142</v>
      </c>
      <c r="G12" s="75">
        <f t="shared" ca="1" si="0"/>
        <v>1</v>
      </c>
      <c r="H12" s="75">
        <f t="shared" ca="1" si="0"/>
        <v>2</v>
      </c>
      <c r="J12" s="44">
        <f t="shared" ca="1" si="1"/>
        <v>7</v>
      </c>
      <c r="K12" s="44">
        <f t="shared" ca="1" si="1"/>
        <v>0</v>
      </c>
      <c r="L12" s="44">
        <f t="shared" ca="1" si="1"/>
        <v>0</v>
      </c>
      <c r="M12" s="44">
        <f t="shared" ca="1" si="1"/>
        <v>0</v>
      </c>
      <c r="N12" s="44">
        <f t="shared" ca="1" si="1"/>
        <v>0</v>
      </c>
      <c r="O12" s="44">
        <f t="shared" ca="1" si="1"/>
        <v>0</v>
      </c>
      <c r="Q12" s="44">
        <f t="shared" ca="1" si="2"/>
        <v>2</v>
      </c>
      <c r="R12" s="44">
        <f t="shared" ca="1" si="2"/>
        <v>0</v>
      </c>
      <c r="S12" s="44">
        <f t="shared" ca="1" si="2"/>
        <v>0</v>
      </c>
      <c r="T12" s="44">
        <f t="shared" ca="1" si="2"/>
        <v>0</v>
      </c>
      <c r="U12" s="44">
        <f t="shared" ca="1" si="2"/>
        <v>0</v>
      </c>
      <c r="V12" s="44">
        <f t="shared" ca="1" si="2"/>
        <v>0</v>
      </c>
      <c r="X12" s="44">
        <f t="shared" ca="1" si="3"/>
        <v>411</v>
      </c>
      <c r="Y12" s="44">
        <f t="shared" ca="1" si="3"/>
        <v>153</v>
      </c>
      <c r="Z12" s="44">
        <f t="shared" ca="1" si="3"/>
        <v>2</v>
      </c>
      <c r="AA12" s="44">
        <f t="shared" ca="1" si="3"/>
        <v>24</v>
      </c>
      <c r="AB12" s="44">
        <f t="shared" ca="1" si="3"/>
        <v>0</v>
      </c>
      <c r="AC12" s="44">
        <f t="shared" ca="1" si="3"/>
        <v>3</v>
      </c>
      <c r="AE12" s="44">
        <f t="shared" ca="1" si="4"/>
        <v>0</v>
      </c>
      <c r="AF12" s="44">
        <f t="shared" ca="1" si="4"/>
        <v>0</v>
      </c>
      <c r="AG12" s="44">
        <f t="shared" ca="1" si="4"/>
        <v>0</v>
      </c>
      <c r="AH12" s="44">
        <f t="shared" ca="1" si="4"/>
        <v>0</v>
      </c>
      <c r="AI12" s="44">
        <f t="shared" ca="1" si="4"/>
        <v>0</v>
      </c>
      <c r="AJ12" s="44">
        <f t="shared" ca="1" si="4"/>
        <v>0</v>
      </c>
      <c r="AL12" s="44">
        <f t="shared" ca="1" si="5"/>
        <v>32</v>
      </c>
      <c r="AM12" s="44">
        <f t="shared" ca="1" si="5"/>
        <v>0</v>
      </c>
      <c r="AN12" s="44">
        <f t="shared" ca="1" si="5"/>
        <v>0</v>
      </c>
      <c r="AO12" s="44">
        <f t="shared" ca="1" si="5"/>
        <v>0</v>
      </c>
      <c r="AP12" s="44">
        <f t="shared" ca="1" si="5"/>
        <v>0</v>
      </c>
      <c r="AQ12" s="44">
        <f t="shared" ca="1" si="5"/>
        <v>0</v>
      </c>
      <c r="AS12" s="44">
        <f>SUM('EIA Requested Industry table'!C1033:C1034)/2</f>
        <v>491.33000000000004</v>
      </c>
      <c r="AT12" s="44">
        <f>SUM('EIA Requested Industry table'!C1033:C1034)/2</f>
        <v>491.33000000000004</v>
      </c>
      <c r="AU12" s="44"/>
      <c r="AV12" s="44"/>
      <c r="AW12" s="44"/>
      <c r="AX12" s="44"/>
      <c r="AZ12" s="2">
        <v>544</v>
      </c>
      <c r="BA12" t="s">
        <v>502</v>
      </c>
    </row>
    <row r="13" spans="1:53" x14ac:dyDescent="0.25">
      <c r="A13" s="2">
        <v>566</v>
      </c>
      <c r="B13" s="1" t="s">
        <v>14</v>
      </c>
      <c r="C13" s="75">
        <f t="shared" ca="1" si="0"/>
        <v>0</v>
      </c>
      <c r="D13" s="75">
        <f t="shared" ca="1" si="0"/>
        <v>0</v>
      </c>
      <c r="E13" s="75">
        <f t="shared" ca="1" si="0"/>
        <v>7</v>
      </c>
      <c r="F13" s="75">
        <f t="shared" ca="1" si="0"/>
        <v>141</v>
      </c>
      <c r="G13" s="75">
        <f t="shared" ca="1" si="0"/>
        <v>4</v>
      </c>
      <c r="H13" s="75">
        <f t="shared" ca="1" si="0"/>
        <v>1</v>
      </c>
      <c r="J13" s="44">
        <f t="shared" ca="1" si="1"/>
        <v>0</v>
      </c>
      <c r="K13" s="44">
        <f t="shared" ca="1" si="1"/>
        <v>2</v>
      </c>
      <c r="L13" s="44">
        <f t="shared" ca="1" si="1"/>
        <v>0</v>
      </c>
      <c r="M13" s="44">
        <f t="shared" ca="1" si="1"/>
        <v>0</v>
      </c>
      <c r="N13" s="44">
        <f t="shared" ca="1" si="1"/>
        <v>0</v>
      </c>
      <c r="O13" s="44">
        <f t="shared" ca="1" si="1"/>
        <v>0</v>
      </c>
      <c r="Q13" s="44">
        <f t="shared" ca="1" si="2"/>
        <v>0</v>
      </c>
      <c r="R13" s="44">
        <f t="shared" ca="1" si="2"/>
        <v>1</v>
      </c>
      <c r="S13" s="44">
        <f t="shared" ca="1" si="2"/>
        <v>0</v>
      </c>
      <c r="T13" s="44">
        <f t="shared" ca="1" si="2"/>
        <v>2</v>
      </c>
      <c r="U13" s="44">
        <f t="shared" ca="1" si="2"/>
        <v>0</v>
      </c>
      <c r="V13" s="44">
        <f t="shared" ca="1" si="2"/>
        <v>0</v>
      </c>
      <c r="X13" s="44">
        <f t="shared" ca="1" si="3"/>
        <v>352</v>
      </c>
      <c r="Y13" s="44">
        <f t="shared" ca="1" si="3"/>
        <v>628</v>
      </c>
      <c r="Z13" s="44">
        <f t="shared" ca="1" si="3"/>
        <v>6</v>
      </c>
      <c r="AA13" s="44">
        <f t="shared" ca="1" si="3"/>
        <v>15</v>
      </c>
      <c r="AB13" s="44">
        <f t="shared" ca="1" si="3"/>
        <v>0</v>
      </c>
      <c r="AC13" s="44">
        <f t="shared" ca="1" si="3"/>
        <v>57</v>
      </c>
      <c r="AE13" s="44">
        <f t="shared" ca="1" si="4"/>
        <v>5</v>
      </c>
      <c r="AF13" s="44">
        <f t="shared" ca="1" si="4"/>
        <v>23</v>
      </c>
      <c r="AG13" s="44">
        <f t="shared" ca="1" si="4"/>
        <v>0</v>
      </c>
      <c r="AH13" s="44">
        <f t="shared" ca="1" si="4"/>
        <v>1</v>
      </c>
      <c r="AI13" s="44">
        <f t="shared" ca="1" si="4"/>
        <v>0</v>
      </c>
      <c r="AJ13" s="44">
        <f t="shared" ca="1" si="4"/>
        <v>0</v>
      </c>
      <c r="AL13" s="44">
        <f t="shared" ca="1" si="5"/>
        <v>0</v>
      </c>
      <c r="AM13" s="44">
        <f t="shared" ca="1" si="5"/>
        <v>0</v>
      </c>
      <c r="AN13" s="44">
        <f t="shared" ca="1" si="5"/>
        <v>0</v>
      </c>
      <c r="AO13" s="44">
        <f t="shared" ca="1" si="5"/>
        <v>0</v>
      </c>
      <c r="AP13" s="44">
        <f t="shared" ca="1" si="5"/>
        <v>0</v>
      </c>
      <c r="AQ13" s="44">
        <f t="shared" ca="1" si="5"/>
        <v>7</v>
      </c>
      <c r="AS13" s="44"/>
      <c r="AT13" s="44"/>
      <c r="AU13" s="44"/>
      <c r="AV13" s="44"/>
      <c r="AW13" s="44"/>
      <c r="AX13" s="44"/>
    </row>
    <row r="14" spans="1:53" x14ac:dyDescent="0.25">
      <c r="A14" s="2">
        <v>698</v>
      </c>
      <c r="B14" s="1" t="s">
        <v>15</v>
      </c>
      <c r="C14" s="75">
        <f t="shared" ca="1" si="0"/>
        <v>14</v>
      </c>
      <c r="D14" s="75">
        <f t="shared" ca="1" si="0"/>
        <v>21</v>
      </c>
      <c r="E14" s="75">
        <f t="shared" ca="1" si="0"/>
        <v>43</v>
      </c>
      <c r="F14" s="75">
        <f t="shared" ca="1" si="0"/>
        <v>278</v>
      </c>
      <c r="G14" s="75">
        <f t="shared" ca="1" si="0"/>
        <v>50</v>
      </c>
      <c r="H14" s="75">
        <f t="shared" ca="1" si="0"/>
        <v>6</v>
      </c>
      <c r="J14" s="44">
        <f t="shared" ca="1" si="1"/>
        <v>0</v>
      </c>
      <c r="K14" s="44">
        <f t="shared" ca="1" si="1"/>
        <v>0</v>
      </c>
      <c r="L14" s="44">
        <f t="shared" ca="1" si="1"/>
        <v>0</v>
      </c>
      <c r="M14" s="44">
        <f t="shared" ca="1" si="1"/>
        <v>0</v>
      </c>
      <c r="N14" s="44">
        <f t="shared" ca="1" si="1"/>
        <v>0</v>
      </c>
      <c r="O14" s="44">
        <f t="shared" ca="1" si="1"/>
        <v>0</v>
      </c>
      <c r="Q14" s="44">
        <f t="shared" ca="1" si="2"/>
        <v>3</v>
      </c>
      <c r="R14" s="44">
        <f t="shared" ca="1" si="2"/>
        <v>0</v>
      </c>
      <c r="S14" s="44">
        <f t="shared" ca="1" si="2"/>
        <v>0</v>
      </c>
      <c r="T14" s="44">
        <f t="shared" ca="1" si="2"/>
        <v>1</v>
      </c>
      <c r="U14" s="44">
        <f t="shared" ca="1" si="2"/>
        <v>0</v>
      </c>
      <c r="V14" s="44">
        <f t="shared" ca="1" si="2"/>
        <v>1</v>
      </c>
      <c r="X14" s="44">
        <f t="shared" ca="1" si="3"/>
        <v>1440</v>
      </c>
      <c r="Y14" s="44">
        <f t="shared" ca="1" si="3"/>
        <v>771</v>
      </c>
      <c r="Z14" s="44">
        <f t="shared" ca="1" si="3"/>
        <v>11</v>
      </c>
      <c r="AA14" s="44">
        <f t="shared" ca="1" si="3"/>
        <v>126</v>
      </c>
      <c r="AB14" s="44">
        <f t="shared" ca="1" si="3"/>
        <v>0</v>
      </c>
      <c r="AC14" s="44">
        <f t="shared" ca="1" si="3"/>
        <v>152</v>
      </c>
      <c r="AE14" s="44">
        <f t="shared" ca="1" si="4"/>
        <v>3</v>
      </c>
      <c r="AF14" s="44">
        <f t="shared" ca="1" si="4"/>
        <v>7</v>
      </c>
      <c r="AG14" s="44">
        <f t="shared" ca="1" si="4"/>
        <v>0</v>
      </c>
      <c r="AH14" s="44">
        <f t="shared" ca="1" si="4"/>
        <v>0</v>
      </c>
      <c r="AI14" s="44">
        <f t="shared" ca="1" si="4"/>
        <v>0</v>
      </c>
      <c r="AJ14" s="44">
        <f t="shared" ca="1" si="4"/>
        <v>3</v>
      </c>
      <c r="AL14" s="44">
        <f t="shared" ca="1" si="5"/>
        <v>17</v>
      </c>
      <c r="AM14" s="44">
        <f t="shared" ca="1" si="5"/>
        <v>2</v>
      </c>
      <c r="AN14" s="44">
        <f t="shared" ca="1" si="5"/>
        <v>0</v>
      </c>
      <c r="AO14" s="44">
        <f t="shared" ca="1" si="5"/>
        <v>0</v>
      </c>
      <c r="AP14" s="44">
        <f t="shared" ca="1" si="5"/>
        <v>0</v>
      </c>
      <c r="AQ14" s="44">
        <f t="shared" ca="1" si="5"/>
        <v>7</v>
      </c>
      <c r="AS14" s="44"/>
      <c r="AT14" s="44"/>
      <c r="AU14" s="44"/>
      <c r="AV14" s="44"/>
      <c r="AW14" s="44"/>
      <c r="AX14" s="44"/>
    </row>
    <row r="15" spans="1:53" x14ac:dyDescent="0.25">
      <c r="A15" s="2">
        <v>1028</v>
      </c>
      <c r="B15" s="1" t="s">
        <v>16</v>
      </c>
      <c r="C15" s="75">
        <f t="shared" ca="1" si="0"/>
        <v>8</v>
      </c>
      <c r="D15" s="75">
        <f t="shared" ca="1" si="0"/>
        <v>21</v>
      </c>
      <c r="E15" s="75">
        <f t="shared" ca="1" si="0"/>
        <v>24</v>
      </c>
      <c r="F15" s="75">
        <f t="shared" ca="1" si="0"/>
        <v>114</v>
      </c>
      <c r="G15" s="75">
        <f t="shared" ca="1" si="0"/>
        <v>0</v>
      </c>
      <c r="H15" s="75">
        <f t="shared" ca="1" si="0"/>
        <v>5</v>
      </c>
      <c r="J15" s="44">
        <f t="shared" ca="1" si="1"/>
        <v>0</v>
      </c>
      <c r="K15" s="44">
        <f t="shared" ca="1" si="1"/>
        <v>0</v>
      </c>
      <c r="L15" s="44">
        <f t="shared" ca="1" si="1"/>
        <v>0</v>
      </c>
      <c r="M15" s="44">
        <f t="shared" ca="1" si="1"/>
        <v>0</v>
      </c>
      <c r="N15" s="44">
        <f t="shared" ca="1" si="1"/>
        <v>0</v>
      </c>
      <c r="O15" s="44">
        <f t="shared" ca="1" si="1"/>
        <v>0</v>
      </c>
      <c r="Q15" s="44">
        <f t="shared" ca="1" si="2"/>
        <v>0</v>
      </c>
      <c r="R15" s="44">
        <f t="shared" ca="1" si="2"/>
        <v>0</v>
      </c>
      <c r="S15" s="44">
        <f t="shared" ca="1" si="2"/>
        <v>0</v>
      </c>
      <c r="T15" s="44">
        <f t="shared" ca="1" si="2"/>
        <v>0</v>
      </c>
      <c r="U15" s="44">
        <f t="shared" ca="1" si="2"/>
        <v>0</v>
      </c>
      <c r="V15" s="44">
        <f t="shared" ca="1" si="2"/>
        <v>0</v>
      </c>
      <c r="X15" s="44">
        <f t="shared" ca="1" si="3"/>
        <v>43</v>
      </c>
      <c r="Y15" s="44">
        <f t="shared" ca="1" si="3"/>
        <v>27</v>
      </c>
      <c r="Z15" s="44">
        <f t="shared" ca="1" si="3"/>
        <v>0</v>
      </c>
      <c r="AA15" s="44">
        <f t="shared" ca="1" si="3"/>
        <v>7</v>
      </c>
      <c r="AB15" s="44">
        <f t="shared" ca="1" si="3"/>
        <v>0</v>
      </c>
      <c r="AC15" s="44">
        <f t="shared" ca="1" si="3"/>
        <v>3</v>
      </c>
      <c r="AE15" s="44">
        <f t="shared" ca="1" si="4"/>
        <v>0</v>
      </c>
      <c r="AF15" s="44">
        <f t="shared" ca="1" si="4"/>
        <v>0</v>
      </c>
      <c r="AG15" s="44">
        <f t="shared" ca="1" si="4"/>
        <v>0</v>
      </c>
      <c r="AH15" s="44">
        <f t="shared" ca="1" si="4"/>
        <v>2</v>
      </c>
      <c r="AI15" s="44">
        <f t="shared" ca="1" si="4"/>
        <v>0</v>
      </c>
      <c r="AJ15" s="44">
        <f t="shared" ca="1" si="4"/>
        <v>0</v>
      </c>
      <c r="AL15" s="44">
        <f t="shared" ca="1" si="5"/>
        <v>0</v>
      </c>
      <c r="AM15" s="44">
        <f t="shared" ca="1" si="5"/>
        <v>0</v>
      </c>
      <c r="AN15" s="44">
        <f t="shared" ca="1" si="5"/>
        <v>0</v>
      </c>
      <c r="AO15" s="44">
        <f t="shared" ca="1" si="5"/>
        <v>0</v>
      </c>
      <c r="AP15" s="44">
        <f t="shared" ca="1" si="5"/>
        <v>0</v>
      </c>
      <c r="AQ15" s="44">
        <f t="shared" ca="1" si="5"/>
        <v>0</v>
      </c>
      <c r="AS15" s="44"/>
      <c r="AT15" s="44"/>
      <c r="AU15" s="44"/>
      <c r="AV15" s="44"/>
      <c r="AW15" s="44"/>
      <c r="AX15" s="44"/>
    </row>
    <row r="16" spans="1:53" x14ac:dyDescent="0.25">
      <c r="A16" s="2">
        <v>1138</v>
      </c>
      <c r="B16" s="1" t="s">
        <v>17</v>
      </c>
      <c r="C16" s="75">
        <f t="shared" ca="1" si="0"/>
        <v>0</v>
      </c>
      <c r="D16" s="75">
        <f t="shared" ca="1" si="0"/>
        <v>8</v>
      </c>
      <c r="E16" s="75">
        <f t="shared" ca="1" si="0"/>
        <v>2</v>
      </c>
      <c r="F16" s="75">
        <f t="shared" ca="1" si="0"/>
        <v>5</v>
      </c>
      <c r="G16" s="75">
        <f t="shared" ca="1" si="0"/>
        <v>0</v>
      </c>
      <c r="H16" s="75">
        <f t="shared" ca="1" si="0"/>
        <v>0</v>
      </c>
      <c r="J16" s="44">
        <f t="shared" ca="1" si="1"/>
        <v>0</v>
      </c>
      <c r="K16" s="44">
        <f t="shared" ca="1" si="1"/>
        <v>0</v>
      </c>
      <c r="L16" s="44">
        <f t="shared" ca="1" si="1"/>
        <v>0</v>
      </c>
      <c r="M16" s="44">
        <f t="shared" ca="1" si="1"/>
        <v>0</v>
      </c>
      <c r="N16" s="44">
        <f t="shared" ca="1" si="1"/>
        <v>0</v>
      </c>
      <c r="O16" s="44">
        <f t="shared" ca="1" si="1"/>
        <v>0</v>
      </c>
      <c r="Q16" s="44">
        <f t="shared" ca="1" si="2"/>
        <v>0</v>
      </c>
      <c r="R16" s="44">
        <f t="shared" ca="1" si="2"/>
        <v>0</v>
      </c>
      <c r="S16" s="44">
        <f t="shared" ca="1" si="2"/>
        <v>0</v>
      </c>
      <c r="T16" s="44">
        <f t="shared" ca="1" si="2"/>
        <v>0</v>
      </c>
      <c r="U16" s="44">
        <f t="shared" ca="1" si="2"/>
        <v>0</v>
      </c>
      <c r="V16" s="44">
        <f t="shared" ca="1" si="2"/>
        <v>0</v>
      </c>
      <c r="X16" s="44">
        <f t="shared" ca="1" si="3"/>
        <v>2</v>
      </c>
      <c r="Y16" s="44">
        <f t="shared" ca="1" si="3"/>
        <v>66</v>
      </c>
      <c r="Z16" s="44">
        <f t="shared" ca="1" si="3"/>
        <v>2</v>
      </c>
      <c r="AA16" s="44">
        <f t="shared" ca="1" si="3"/>
        <v>5</v>
      </c>
      <c r="AB16" s="44">
        <f t="shared" ca="1" si="3"/>
        <v>0</v>
      </c>
      <c r="AC16" s="44">
        <f t="shared" ca="1" si="3"/>
        <v>0</v>
      </c>
      <c r="AE16" s="44">
        <f t="shared" ca="1" si="4"/>
        <v>0</v>
      </c>
      <c r="AF16" s="44">
        <f t="shared" ca="1" si="4"/>
        <v>0</v>
      </c>
      <c r="AG16" s="44">
        <f t="shared" ca="1" si="4"/>
        <v>0</v>
      </c>
      <c r="AH16" s="44">
        <f t="shared" ca="1" si="4"/>
        <v>0</v>
      </c>
      <c r="AI16" s="44">
        <f t="shared" ca="1" si="4"/>
        <v>0</v>
      </c>
      <c r="AJ16" s="44">
        <f t="shared" ca="1" si="4"/>
        <v>0</v>
      </c>
      <c r="AL16" s="44">
        <f t="shared" ca="1" si="5"/>
        <v>0</v>
      </c>
      <c r="AM16" s="44">
        <f t="shared" ca="1" si="5"/>
        <v>0</v>
      </c>
      <c r="AN16" s="44">
        <f t="shared" ca="1" si="5"/>
        <v>0</v>
      </c>
      <c r="AO16" s="44">
        <f t="shared" ca="1" si="5"/>
        <v>0</v>
      </c>
      <c r="AP16" s="44">
        <f t="shared" ca="1" si="5"/>
        <v>0</v>
      </c>
      <c r="AQ16" s="44">
        <f t="shared" ca="1" si="5"/>
        <v>0</v>
      </c>
      <c r="AS16" s="44"/>
      <c r="AT16" s="44"/>
      <c r="AU16" s="44"/>
      <c r="AV16" s="44"/>
      <c r="AW16" s="44"/>
      <c r="AX16" s="44"/>
      <c r="AZ16" s="2">
        <v>1094</v>
      </c>
    </row>
    <row r="17" spans="1:53" x14ac:dyDescent="0.25">
      <c r="A17" s="2">
        <v>1050</v>
      </c>
      <c r="B17" s="1" t="s">
        <v>18</v>
      </c>
      <c r="C17" s="75">
        <f t="shared" ca="1" si="0"/>
        <v>1</v>
      </c>
      <c r="D17" s="75">
        <f t="shared" ca="1" si="0"/>
        <v>39</v>
      </c>
      <c r="E17" s="75">
        <f t="shared" ca="1" si="0"/>
        <v>10</v>
      </c>
      <c r="F17" s="75">
        <f t="shared" ca="1" si="0"/>
        <v>118</v>
      </c>
      <c r="G17" s="75">
        <f t="shared" ca="1" si="0"/>
        <v>4</v>
      </c>
      <c r="H17" s="75">
        <f t="shared" ca="1" si="0"/>
        <v>3</v>
      </c>
      <c r="J17" s="44">
        <f t="shared" ca="1" si="1"/>
        <v>0</v>
      </c>
      <c r="K17" s="44">
        <f t="shared" ca="1" si="1"/>
        <v>0</v>
      </c>
      <c r="L17" s="44">
        <f t="shared" ca="1" si="1"/>
        <v>0</v>
      </c>
      <c r="M17" s="44">
        <f t="shared" ca="1" si="1"/>
        <v>0</v>
      </c>
      <c r="N17" s="44">
        <f t="shared" ca="1" si="1"/>
        <v>0</v>
      </c>
      <c r="O17" s="44">
        <f t="shared" ca="1" si="1"/>
        <v>0</v>
      </c>
      <c r="Q17" s="44">
        <f t="shared" ca="1" si="2"/>
        <v>0</v>
      </c>
      <c r="R17" s="44">
        <f t="shared" ca="1" si="2"/>
        <v>1</v>
      </c>
      <c r="S17" s="44">
        <f t="shared" ca="1" si="2"/>
        <v>0</v>
      </c>
      <c r="T17" s="44">
        <f t="shared" ca="1" si="2"/>
        <v>3</v>
      </c>
      <c r="U17" s="44">
        <f t="shared" ca="1" si="2"/>
        <v>0</v>
      </c>
      <c r="V17" s="44">
        <f t="shared" ca="1" si="2"/>
        <v>5</v>
      </c>
      <c r="X17" s="44">
        <f t="shared" ca="1" si="3"/>
        <v>16</v>
      </c>
      <c r="Y17" s="44">
        <f t="shared" ca="1" si="3"/>
        <v>350</v>
      </c>
      <c r="Z17" s="44">
        <f t="shared" ca="1" si="3"/>
        <v>4</v>
      </c>
      <c r="AA17" s="44">
        <f t="shared" ca="1" si="3"/>
        <v>20</v>
      </c>
      <c r="AB17" s="44">
        <f t="shared" ca="1" si="3"/>
        <v>0</v>
      </c>
      <c r="AC17" s="44">
        <f t="shared" ca="1" si="3"/>
        <v>3</v>
      </c>
      <c r="AE17" s="44">
        <f t="shared" ca="1" si="4"/>
        <v>0</v>
      </c>
      <c r="AF17" s="44">
        <f t="shared" ca="1" si="4"/>
        <v>1</v>
      </c>
      <c r="AG17" s="44">
        <f t="shared" ca="1" si="4"/>
        <v>0</v>
      </c>
      <c r="AH17" s="44">
        <f t="shared" ca="1" si="4"/>
        <v>0</v>
      </c>
      <c r="AI17" s="44">
        <f t="shared" ca="1" si="4"/>
        <v>0</v>
      </c>
      <c r="AJ17" s="44">
        <f t="shared" ca="1" si="4"/>
        <v>0</v>
      </c>
      <c r="AL17" s="44">
        <f t="shared" ca="1" si="5"/>
        <v>0</v>
      </c>
      <c r="AM17" s="44">
        <f t="shared" ca="1" si="5"/>
        <v>191</v>
      </c>
      <c r="AN17" s="44">
        <f t="shared" ca="1" si="5"/>
        <v>0</v>
      </c>
      <c r="AO17" s="44">
        <f t="shared" ca="1" si="5"/>
        <v>2</v>
      </c>
      <c r="AP17" s="44">
        <f t="shared" ca="1" si="5"/>
        <v>0</v>
      </c>
      <c r="AQ17" s="44">
        <f t="shared" ca="1" si="5"/>
        <v>0</v>
      </c>
      <c r="AS17" s="44"/>
      <c r="AT17" s="44">
        <f>'EIA Requested Industry table'!C1865</f>
        <v>43.451999999999998</v>
      </c>
      <c r="AU17" s="44"/>
      <c r="AV17" s="44"/>
      <c r="AW17" s="44"/>
      <c r="AX17" s="44"/>
    </row>
    <row r="18" spans="1:53" x14ac:dyDescent="0.25">
      <c r="A18" s="2">
        <v>1292</v>
      </c>
      <c r="B18" s="1" t="s">
        <v>19</v>
      </c>
      <c r="C18" s="75">
        <f t="shared" ca="1" si="0"/>
        <v>0</v>
      </c>
      <c r="D18" s="75">
        <f t="shared" ca="1" si="0"/>
        <v>54</v>
      </c>
      <c r="E18" s="75">
        <f t="shared" ca="1" si="0"/>
        <v>3</v>
      </c>
      <c r="F18" s="75">
        <f t="shared" ca="1" si="0"/>
        <v>81.619718309859152</v>
      </c>
      <c r="G18" s="75">
        <f t="shared" ca="1" si="0"/>
        <v>13.380281690140846</v>
      </c>
      <c r="H18" s="75">
        <f t="shared" ca="1" si="0"/>
        <v>17</v>
      </c>
      <c r="J18" s="44">
        <f t="shared" ca="1" si="1"/>
        <v>0</v>
      </c>
      <c r="K18" s="44">
        <f t="shared" ca="1" si="1"/>
        <v>0</v>
      </c>
      <c r="L18" s="44">
        <f t="shared" ca="1" si="1"/>
        <v>0</v>
      </c>
      <c r="M18" s="44">
        <f t="shared" ca="1" si="1"/>
        <v>0</v>
      </c>
      <c r="N18" s="44">
        <f t="shared" ca="1" si="1"/>
        <v>0</v>
      </c>
      <c r="O18" s="44">
        <f t="shared" ca="1" si="1"/>
        <v>0</v>
      </c>
      <c r="Q18" s="44">
        <f t="shared" ca="1" si="2"/>
        <v>0</v>
      </c>
      <c r="R18" s="44">
        <f t="shared" ca="1" si="2"/>
        <v>0</v>
      </c>
      <c r="S18" s="44">
        <f t="shared" ca="1" si="2"/>
        <v>0</v>
      </c>
      <c r="T18" s="44">
        <f t="shared" ca="1" si="2"/>
        <v>0</v>
      </c>
      <c r="U18" s="44">
        <f t="shared" ca="1" si="2"/>
        <v>0</v>
      </c>
      <c r="V18" s="44">
        <f t="shared" ca="1" si="2"/>
        <v>0</v>
      </c>
      <c r="X18" s="44">
        <f t="shared" ca="1" si="3"/>
        <v>45</v>
      </c>
      <c r="Y18" s="44">
        <f t="shared" ca="1" si="3"/>
        <v>293</v>
      </c>
      <c r="Z18" s="44">
        <f t="shared" ca="1" si="3"/>
        <v>2</v>
      </c>
      <c r="AA18" s="44">
        <f t="shared" ca="1" si="3"/>
        <v>4</v>
      </c>
      <c r="AB18" s="44">
        <f t="shared" ca="1" si="3"/>
        <v>0</v>
      </c>
      <c r="AC18" s="44">
        <f t="shared" ca="1" si="3"/>
        <v>27</v>
      </c>
      <c r="AE18" s="44">
        <f t="shared" ca="1" si="4"/>
        <v>0</v>
      </c>
      <c r="AF18" s="44">
        <f t="shared" ca="1" si="4"/>
        <v>0</v>
      </c>
      <c r="AG18" s="44">
        <f t="shared" ca="1" si="4"/>
        <v>0</v>
      </c>
      <c r="AH18" s="44">
        <f t="shared" ca="1" si="4"/>
        <v>0</v>
      </c>
      <c r="AI18" s="44">
        <f t="shared" ca="1" si="4"/>
        <v>0</v>
      </c>
      <c r="AJ18" s="44">
        <f t="shared" ca="1" si="4"/>
        <v>0</v>
      </c>
      <c r="AL18" s="44">
        <f t="shared" ca="1" si="5"/>
        <v>2</v>
      </c>
      <c r="AM18" s="44">
        <f t="shared" ca="1" si="5"/>
        <v>5</v>
      </c>
      <c r="AN18" s="44">
        <f t="shared" ca="1" si="5"/>
        <v>0</v>
      </c>
      <c r="AO18" s="44">
        <f t="shared" ca="1" si="5"/>
        <v>0</v>
      </c>
      <c r="AP18" s="44">
        <f t="shared" ca="1" si="5"/>
        <v>0</v>
      </c>
      <c r="AQ18" s="44">
        <f t="shared" ca="1" si="5"/>
        <v>2</v>
      </c>
      <c r="AS18" s="44"/>
      <c r="AT18" s="44"/>
      <c r="AU18" s="44"/>
      <c r="AV18" s="44"/>
      <c r="AW18" s="44"/>
      <c r="AX18" s="44"/>
    </row>
    <row r="19" spans="1:53" x14ac:dyDescent="0.25">
      <c r="A19" s="2">
        <v>1336</v>
      </c>
      <c r="B19" s="1" t="s">
        <v>20</v>
      </c>
      <c r="C19" s="75">
        <f t="shared" ref="C19:H26" ca="1" si="6">MAX(0,SUM(INDIRECT("'Table 5.2'!"&amp;$H$1&amp;$A19+C$3)))+MAX(0,SUM(INDIRECT("'Table 5.2'!"&amp;$H$1&amp;$AZ19+C$3)))</f>
        <v>0</v>
      </c>
      <c r="D19" s="75">
        <f t="shared" ca="1" si="6"/>
        <v>14</v>
      </c>
      <c r="E19" s="75">
        <f t="shared" ca="1" si="6"/>
        <v>2</v>
      </c>
      <c r="F19" s="75">
        <f t="shared" ca="1" si="6"/>
        <v>25.473684210526315</v>
      </c>
      <c r="G19" s="75">
        <f t="shared" ca="1" si="6"/>
        <v>44.526315789473685</v>
      </c>
      <c r="H19" s="75">
        <f t="shared" ca="1" si="6"/>
        <v>4</v>
      </c>
      <c r="J19" s="44">
        <f t="shared" ref="J19:O26" ca="1" si="7">SUM(INDIRECT("'Table 5.2'!"&amp;$O$1&amp;$A19+J$3))+SUM(INDIRECT("'Table 5.2'!"&amp;$O$1&amp;$AZ19+J$3))</f>
        <v>0</v>
      </c>
      <c r="K19" s="44">
        <f t="shared" ca="1" si="7"/>
        <v>0</v>
      </c>
      <c r="L19" s="44">
        <f t="shared" ca="1" si="7"/>
        <v>0</v>
      </c>
      <c r="M19" s="44">
        <f t="shared" ca="1" si="7"/>
        <v>0</v>
      </c>
      <c r="N19" s="44">
        <f t="shared" ca="1" si="7"/>
        <v>0</v>
      </c>
      <c r="O19" s="44">
        <f t="shared" ca="1" si="7"/>
        <v>0</v>
      </c>
      <c r="Q19" s="44">
        <f t="shared" ref="Q19:V26" ca="1" si="8">SUM(INDIRECT("'Table 5.2'!"&amp;$V$1&amp;$A19+Q$3))+SUM(INDIRECT("'Table 5.2'!"&amp;$V$1&amp;$AZ19+Q$3))</f>
        <v>0</v>
      </c>
      <c r="R19" s="44">
        <f t="shared" ca="1" si="8"/>
        <v>0</v>
      </c>
      <c r="S19" s="44">
        <f t="shared" ca="1" si="8"/>
        <v>0</v>
      </c>
      <c r="T19" s="44">
        <f t="shared" ca="1" si="8"/>
        <v>0</v>
      </c>
      <c r="U19" s="44">
        <f t="shared" ca="1" si="8"/>
        <v>0</v>
      </c>
      <c r="V19" s="44">
        <f t="shared" ca="1" si="8"/>
        <v>0</v>
      </c>
      <c r="X19" s="44">
        <f t="shared" ref="X19:AC26" ca="1" si="9">SUM(INDIRECT("'Table 5.2'!"&amp;$AC$1&amp;$A19+X$3))+SUM(INDIRECT("'Table 5.2'!"&amp;$AC$1&amp;$AZ19+X$3))</f>
        <v>23</v>
      </c>
      <c r="Y19" s="44">
        <f t="shared" ca="1" si="9"/>
        <v>113</v>
      </c>
      <c r="Z19" s="44">
        <f t="shared" ca="1" si="9"/>
        <v>0</v>
      </c>
      <c r="AA19" s="44">
        <f t="shared" ca="1" si="9"/>
        <v>8</v>
      </c>
      <c r="AB19" s="44">
        <f t="shared" ca="1" si="9"/>
        <v>0</v>
      </c>
      <c r="AC19" s="44">
        <f t="shared" ca="1" si="9"/>
        <v>3</v>
      </c>
      <c r="AE19" s="44">
        <f t="shared" ref="AE19:AJ26" ca="1" si="10">SUM(INDIRECT("'Table 5.2'!"&amp;$AJ$1&amp;$A19+AE$3))+SUM(INDIRECT("'Table 5.2'!"&amp;$AJ$1&amp;$AZ19+AE$3))</f>
        <v>1</v>
      </c>
      <c r="AF19" s="44">
        <f t="shared" ca="1" si="10"/>
        <v>1</v>
      </c>
      <c r="AG19" s="44">
        <f t="shared" ca="1" si="10"/>
        <v>0</v>
      </c>
      <c r="AH19" s="44">
        <f t="shared" ca="1" si="10"/>
        <v>0</v>
      </c>
      <c r="AI19" s="44">
        <f t="shared" ca="1" si="10"/>
        <v>0</v>
      </c>
      <c r="AJ19" s="44">
        <f t="shared" ca="1" si="10"/>
        <v>0</v>
      </c>
      <c r="AL19" s="44">
        <f t="shared" ref="AL19:AQ26" ca="1" si="11">SUM(INDIRECT("'Table 5.2'!"&amp;$AQ$1&amp;$A19+AL$3))+SUM(INDIRECT("'Table 5.2'!"&amp;$AQ$1&amp;$AZ19+AL$3))</f>
        <v>0</v>
      </c>
      <c r="AM19" s="44">
        <f t="shared" ca="1" si="11"/>
        <v>0</v>
      </c>
      <c r="AN19" s="44">
        <f t="shared" ca="1" si="11"/>
        <v>0</v>
      </c>
      <c r="AO19" s="44">
        <f t="shared" ca="1" si="11"/>
        <v>0</v>
      </c>
      <c r="AP19" s="44">
        <f t="shared" ca="1" si="11"/>
        <v>0</v>
      </c>
      <c r="AQ19" s="44">
        <f t="shared" ca="1" si="11"/>
        <v>0</v>
      </c>
      <c r="AS19" s="44"/>
      <c r="AT19" s="44"/>
      <c r="AU19" s="44"/>
      <c r="AV19" s="44"/>
      <c r="AW19" s="44"/>
      <c r="AX19" s="44"/>
      <c r="AZ19" s="2">
        <v>1424</v>
      </c>
    </row>
    <row r="20" spans="1:53" x14ac:dyDescent="0.25">
      <c r="A20" s="2">
        <v>1556</v>
      </c>
      <c r="B20" s="1" t="s">
        <v>21</v>
      </c>
      <c r="C20" s="75">
        <f t="shared" ca="1" si="6"/>
        <v>1</v>
      </c>
      <c r="D20" s="75">
        <f t="shared" ca="1" si="6"/>
        <v>22</v>
      </c>
      <c r="E20" s="75">
        <f t="shared" ca="1" si="6"/>
        <v>3</v>
      </c>
      <c r="F20" s="75">
        <f t="shared" ca="1" si="6"/>
        <v>66</v>
      </c>
      <c r="G20" s="75">
        <f t="shared" ca="1" si="6"/>
        <v>3</v>
      </c>
      <c r="H20" s="75">
        <f t="shared" ca="1" si="6"/>
        <v>6</v>
      </c>
      <c r="J20" s="44">
        <f t="shared" ca="1" si="7"/>
        <v>0</v>
      </c>
      <c r="K20" s="44">
        <f t="shared" ca="1" si="7"/>
        <v>0</v>
      </c>
      <c r="L20" s="44">
        <f t="shared" ca="1" si="7"/>
        <v>0</v>
      </c>
      <c r="M20" s="44">
        <f t="shared" ca="1" si="7"/>
        <v>0</v>
      </c>
      <c r="N20" s="44">
        <f t="shared" ca="1" si="7"/>
        <v>0</v>
      </c>
      <c r="O20" s="44">
        <f t="shared" ca="1" si="7"/>
        <v>0</v>
      </c>
      <c r="Q20" s="44">
        <f t="shared" ca="1" si="8"/>
        <v>0</v>
      </c>
      <c r="R20" s="44">
        <f t="shared" ca="1" si="8"/>
        <v>0</v>
      </c>
      <c r="S20" s="44">
        <f t="shared" ca="1" si="8"/>
        <v>0</v>
      </c>
      <c r="T20" s="44">
        <f t="shared" ca="1" si="8"/>
        <v>0</v>
      </c>
      <c r="U20" s="44">
        <f t="shared" ca="1" si="8"/>
        <v>0</v>
      </c>
      <c r="V20" s="44">
        <f t="shared" ca="1" si="8"/>
        <v>0</v>
      </c>
      <c r="X20" s="44">
        <f t="shared" ca="1" si="9"/>
        <v>51</v>
      </c>
      <c r="Y20" s="44">
        <f t="shared" ca="1" si="9"/>
        <v>175</v>
      </c>
      <c r="Z20" s="44">
        <f t="shared" ca="1" si="9"/>
        <v>0</v>
      </c>
      <c r="AA20" s="44">
        <f t="shared" ca="1" si="9"/>
        <v>3</v>
      </c>
      <c r="AB20" s="44">
        <f t="shared" ca="1" si="9"/>
        <v>0</v>
      </c>
      <c r="AC20" s="44">
        <f t="shared" ca="1" si="9"/>
        <v>2</v>
      </c>
      <c r="AE20" s="44">
        <f t="shared" ca="1" si="10"/>
        <v>0</v>
      </c>
      <c r="AF20" s="44">
        <f t="shared" ca="1" si="10"/>
        <v>0</v>
      </c>
      <c r="AG20" s="44">
        <f t="shared" ca="1" si="10"/>
        <v>0</v>
      </c>
      <c r="AH20" s="44">
        <f t="shared" ca="1" si="10"/>
        <v>1</v>
      </c>
      <c r="AI20" s="44">
        <f t="shared" ca="1" si="10"/>
        <v>0</v>
      </c>
      <c r="AJ20" s="44">
        <f t="shared" ca="1" si="10"/>
        <v>0</v>
      </c>
      <c r="AL20" s="44">
        <f t="shared" ca="1" si="11"/>
        <v>0</v>
      </c>
      <c r="AM20" s="44">
        <f t="shared" ca="1" si="11"/>
        <v>0</v>
      </c>
      <c r="AN20" s="44">
        <f t="shared" ca="1" si="11"/>
        <v>0</v>
      </c>
      <c r="AO20" s="44">
        <f t="shared" ca="1" si="11"/>
        <v>0</v>
      </c>
      <c r="AP20" s="44">
        <f t="shared" ca="1" si="11"/>
        <v>0</v>
      </c>
      <c r="AQ20" s="44">
        <f t="shared" ca="1" si="11"/>
        <v>0</v>
      </c>
      <c r="AS20" s="44"/>
      <c r="AT20" s="44"/>
      <c r="AU20" s="44"/>
      <c r="AV20" s="44"/>
      <c r="AW20" s="44"/>
      <c r="AX20" s="44"/>
    </row>
    <row r="21" spans="1:53" x14ac:dyDescent="0.25">
      <c r="A21" s="2">
        <v>1600</v>
      </c>
      <c r="B21" s="1" t="s">
        <v>22</v>
      </c>
      <c r="C21" s="75">
        <f t="shared" ca="1" si="6"/>
        <v>1</v>
      </c>
      <c r="D21" s="75">
        <f t="shared" ca="1" si="6"/>
        <v>5</v>
      </c>
      <c r="E21" s="75">
        <f t="shared" ca="1" si="6"/>
        <v>12</v>
      </c>
      <c r="F21" s="75">
        <f t="shared" ca="1" si="6"/>
        <v>20</v>
      </c>
      <c r="G21" s="75">
        <f t="shared" ca="1" si="6"/>
        <v>1</v>
      </c>
      <c r="H21" s="75">
        <f t="shared" ca="1" si="6"/>
        <v>20</v>
      </c>
      <c r="J21" s="44">
        <f t="shared" ca="1" si="7"/>
        <v>0</v>
      </c>
      <c r="K21" s="44">
        <f t="shared" ca="1" si="7"/>
        <v>0</v>
      </c>
      <c r="L21" s="44">
        <f t="shared" ca="1" si="7"/>
        <v>0</v>
      </c>
      <c r="M21" s="44">
        <f t="shared" ca="1" si="7"/>
        <v>0</v>
      </c>
      <c r="N21" s="44">
        <f t="shared" ca="1" si="7"/>
        <v>0</v>
      </c>
      <c r="O21" s="44">
        <f t="shared" ca="1" si="7"/>
        <v>0</v>
      </c>
      <c r="Q21" s="44">
        <f t="shared" ca="1" si="8"/>
        <v>0</v>
      </c>
      <c r="R21" s="44">
        <f t="shared" ca="1" si="8"/>
        <v>0</v>
      </c>
      <c r="S21" s="44">
        <f t="shared" ca="1" si="8"/>
        <v>0</v>
      </c>
      <c r="T21" s="44">
        <f t="shared" ca="1" si="8"/>
        <v>0</v>
      </c>
      <c r="U21" s="44">
        <f t="shared" ca="1" si="8"/>
        <v>0</v>
      </c>
      <c r="V21" s="44">
        <f t="shared" ca="1" si="8"/>
        <v>0</v>
      </c>
      <c r="X21" s="44">
        <f t="shared" ca="1" si="9"/>
        <v>8</v>
      </c>
      <c r="Y21" s="44">
        <f t="shared" ca="1" si="9"/>
        <v>5</v>
      </c>
      <c r="Z21" s="44">
        <f t="shared" ca="1" si="9"/>
        <v>0</v>
      </c>
      <c r="AA21" s="44">
        <f t="shared" ca="1" si="9"/>
        <v>2</v>
      </c>
      <c r="AB21" s="44">
        <f t="shared" ca="1" si="9"/>
        <v>0</v>
      </c>
      <c r="AC21" s="44">
        <f t="shared" ca="1" si="9"/>
        <v>1</v>
      </c>
      <c r="AE21" s="44">
        <f t="shared" ca="1" si="10"/>
        <v>0</v>
      </c>
      <c r="AF21" s="44">
        <f t="shared" ca="1" si="10"/>
        <v>0</v>
      </c>
      <c r="AG21" s="44">
        <f t="shared" ca="1" si="10"/>
        <v>0</v>
      </c>
      <c r="AH21" s="44">
        <f t="shared" ca="1" si="10"/>
        <v>0</v>
      </c>
      <c r="AI21" s="44">
        <f t="shared" ca="1" si="10"/>
        <v>0</v>
      </c>
      <c r="AJ21" s="44">
        <f t="shared" ca="1" si="10"/>
        <v>0</v>
      </c>
      <c r="AL21" s="44">
        <f t="shared" ca="1" si="11"/>
        <v>0</v>
      </c>
      <c r="AM21" s="44">
        <f t="shared" ca="1" si="11"/>
        <v>0</v>
      </c>
      <c r="AN21" s="44">
        <f t="shared" ca="1" si="11"/>
        <v>0</v>
      </c>
      <c r="AO21" s="44">
        <f t="shared" ca="1" si="11"/>
        <v>0</v>
      </c>
      <c r="AP21" s="44">
        <f t="shared" ca="1" si="11"/>
        <v>0</v>
      </c>
      <c r="AQ21" s="44">
        <f t="shared" ca="1" si="11"/>
        <v>0</v>
      </c>
      <c r="AS21" s="44"/>
      <c r="AT21" s="44"/>
      <c r="AU21" s="44"/>
      <c r="AV21" s="44"/>
      <c r="AW21" s="44"/>
      <c r="AX21" s="44"/>
    </row>
    <row r="22" spans="1:53" x14ac:dyDescent="0.25">
      <c r="A22" s="2">
        <v>1644</v>
      </c>
      <c r="B22" s="1" t="s">
        <v>23</v>
      </c>
      <c r="C22" s="75">
        <f t="shared" ca="1" si="6"/>
        <v>0</v>
      </c>
      <c r="D22" s="75">
        <f t="shared" ca="1" si="6"/>
        <v>5</v>
      </c>
      <c r="E22" s="75">
        <f t="shared" ca="1" si="6"/>
        <v>1</v>
      </c>
      <c r="F22" s="75">
        <f t="shared" ca="1" si="6"/>
        <v>15</v>
      </c>
      <c r="G22" s="75">
        <f t="shared" ca="1" si="6"/>
        <v>3</v>
      </c>
      <c r="H22" s="75">
        <f t="shared" ca="1" si="6"/>
        <v>1</v>
      </c>
      <c r="J22" s="44">
        <f t="shared" ca="1" si="7"/>
        <v>0</v>
      </c>
      <c r="K22" s="44">
        <f t="shared" ca="1" si="7"/>
        <v>0</v>
      </c>
      <c r="L22" s="44">
        <f t="shared" ca="1" si="7"/>
        <v>0</v>
      </c>
      <c r="M22" s="44">
        <f t="shared" ca="1" si="7"/>
        <v>0</v>
      </c>
      <c r="N22" s="44">
        <f t="shared" ca="1" si="7"/>
        <v>0</v>
      </c>
      <c r="O22" s="44">
        <f t="shared" ca="1" si="7"/>
        <v>0</v>
      </c>
      <c r="Q22" s="44">
        <f t="shared" ca="1" si="8"/>
        <v>0</v>
      </c>
      <c r="R22" s="44">
        <f t="shared" ca="1" si="8"/>
        <v>0</v>
      </c>
      <c r="S22" s="44">
        <f t="shared" ca="1" si="8"/>
        <v>0</v>
      </c>
      <c r="T22" s="44">
        <f t="shared" ca="1" si="8"/>
        <v>0</v>
      </c>
      <c r="U22" s="44">
        <f t="shared" ca="1" si="8"/>
        <v>0</v>
      </c>
      <c r="V22" s="44">
        <f t="shared" ca="1" si="8"/>
        <v>0</v>
      </c>
      <c r="X22" s="44">
        <f t="shared" ca="1" si="9"/>
        <v>5</v>
      </c>
      <c r="Y22" s="44">
        <f t="shared" ca="1" si="9"/>
        <v>16</v>
      </c>
      <c r="Z22" s="44">
        <f t="shared" ca="1" si="9"/>
        <v>0</v>
      </c>
      <c r="AA22" s="44">
        <f t="shared" ca="1" si="9"/>
        <v>2</v>
      </c>
      <c r="AB22" s="44">
        <f t="shared" ca="1" si="9"/>
        <v>0</v>
      </c>
      <c r="AC22" s="44">
        <f t="shared" ca="1" si="9"/>
        <v>1</v>
      </c>
      <c r="AE22" s="44">
        <f t="shared" ca="1" si="10"/>
        <v>0</v>
      </c>
      <c r="AF22" s="44">
        <f t="shared" ca="1" si="10"/>
        <v>0</v>
      </c>
      <c r="AG22" s="44">
        <f t="shared" ca="1" si="10"/>
        <v>0</v>
      </c>
      <c r="AH22" s="44">
        <f t="shared" ca="1" si="10"/>
        <v>0</v>
      </c>
      <c r="AI22" s="44">
        <f t="shared" ca="1" si="10"/>
        <v>0</v>
      </c>
      <c r="AJ22" s="44">
        <f t="shared" ca="1" si="10"/>
        <v>0</v>
      </c>
      <c r="AL22" s="44">
        <f t="shared" ca="1" si="11"/>
        <v>0</v>
      </c>
      <c r="AM22" s="44">
        <f t="shared" ca="1" si="11"/>
        <v>0</v>
      </c>
      <c r="AN22" s="44">
        <f t="shared" ca="1" si="11"/>
        <v>0</v>
      </c>
      <c r="AO22" s="44">
        <f t="shared" ca="1" si="11"/>
        <v>0</v>
      </c>
      <c r="AP22" s="44">
        <f t="shared" ca="1" si="11"/>
        <v>0</v>
      </c>
      <c r="AQ22" s="44">
        <f t="shared" ca="1" si="11"/>
        <v>0</v>
      </c>
      <c r="AS22" s="44"/>
      <c r="AT22" s="44"/>
      <c r="AU22" s="44"/>
      <c r="AV22" s="44"/>
      <c r="AW22" s="44"/>
      <c r="AX22" s="44"/>
    </row>
    <row r="23" spans="1:53" x14ac:dyDescent="0.25">
      <c r="A23" s="2">
        <v>1578</v>
      </c>
      <c r="B23" s="1" t="s">
        <v>24</v>
      </c>
      <c r="C23" s="75">
        <f t="shared" ca="1" si="6"/>
        <v>0</v>
      </c>
      <c r="D23" s="75">
        <f t="shared" ca="1" si="6"/>
        <v>4</v>
      </c>
      <c r="E23" s="75">
        <f t="shared" ca="1" si="6"/>
        <v>3</v>
      </c>
      <c r="F23" s="75">
        <f t="shared" ca="1" si="6"/>
        <v>31</v>
      </c>
      <c r="G23" s="75">
        <f t="shared" ca="1" si="6"/>
        <v>0</v>
      </c>
      <c r="H23" s="75">
        <f t="shared" ca="1" si="6"/>
        <v>3</v>
      </c>
      <c r="J23" s="44">
        <f t="shared" ca="1" si="7"/>
        <v>0</v>
      </c>
      <c r="K23" s="44">
        <f t="shared" ca="1" si="7"/>
        <v>0</v>
      </c>
      <c r="L23" s="44">
        <f t="shared" ca="1" si="7"/>
        <v>0</v>
      </c>
      <c r="M23" s="44">
        <f t="shared" ca="1" si="7"/>
        <v>0</v>
      </c>
      <c r="N23" s="44">
        <f t="shared" ca="1" si="7"/>
        <v>0</v>
      </c>
      <c r="O23" s="44">
        <f t="shared" ca="1" si="7"/>
        <v>0</v>
      </c>
      <c r="Q23" s="44">
        <f t="shared" ca="1" si="8"/>
        <v>0</v>
      </c>
      <c r="R23" s="44">
        <f t="shared" ca="1" si="8"/>
        <v>0</v>
      </c>
      <c r="S23" s="44">
        <f t="shared" ca="1" si="8"/>
        <v>0</v>
      </c>
      <c r="T23" s="44">
        <f t="shared" ca="1" si="8"/>
        <v>0</v>
      </c>
      <c r="U23" s="44">
        <f t="shared" ca="1" si="8"/>
        <v>0</v>
      </c>
      <c r="V23" s="44">
        <f t="shared" ca="1" si="8"/>
        <v>3</v>
      </c>
      <c r="X23" s="44">
        <f t="shared" ca="1" si="9"/>
        <v>5</v>
      </c>
      <c r="Y23" s="44">
        <f t="shared" ca="1" si="9"/>
        <v>20</v>
      </c>
      <c r="Z23" s="44">
        <f t="shared" ca="1" si="9"/>
        <v>1</v>
      </c>
      <c r="AA23" s="44">
        <f t="shared" ca="1" si="9"/>
        <v>3</v>
      </c>
      <c r="AB23" s="44">
        <f t="shared" ca="1" si="9"/>
        <v>0</v>
      </c>
      <c r="AC23" s="44">
        <f t="shared" ca="1" si="9"/>
        <v>1</v>
      </c>
      <c r="AE23" s="44">
        <f t="shared" ca="1" si="10"/>
        <v>0</v>
      </c>
      <c r="AF23" s="44">
        <f t="shared" ca="1" si="10"/>
        <v>2</v>
      </c>
      <c r="AG23" s="44">
        <f t="shared" ca="1" si="10"/>
        <v>0</v>
      </c>
      <c r="AH23" s="44">
        <f t="shared" ca="1" si="10"/>
        <v>0</v>
      </c>
      <c r="AI23" s="44">
        <f t="shared" ca="1" si="10"/>
        <v>0</v>
      </c>
      <c r="AJ23" s="44">
        <f t="shared" ca="1" si="10"/>
        <v>0</v>
      </c>
      <c r="AL23" s="44">
        <f t="shared" ca="1" si="11"/>
        <v>0</v>
      </c>
      <c r="AM23" s="44">
        <f t="shared" ca="1" si="11"/>
        <v>0</v>
      </c>
      <c r="AN23" s="44">
        <f t="shared" ca="1" si="11"/>
        <v>0</v>
      </c>
      <c r="AO23" s="44">
        <f t="shared" ca="1" si="11"/>
        <v>0</v>
      </c>
      <c r="AP23" s="44">
        <f t="shared" ca="1" si="11"/>
        <v>0</v>
      </c>
      <c r="AQ23" s="44">
        <f t="shared" ca="1" si="11"/>
        <v>0</v>
      </c>
      <c r="AS23" s="44"/>
      <c r="AT23" s="44"/>
      <c r="AU23" s="44"/>
      <c r="AV23" s="44"/>
      <c r="AW23" s="44"/>
      <c r="AX23" s="44"/>
    </row>
    <row r="24" spans="1:53" x14ac:dyDescent="0.25">
      <c r="A24" s="2">
        <v>1688</v>
      </c>
      <c r="B24" s="1" t="s">
        <v>25</v>
      </c>
      <c r="C24" s="75">
        <f t="shared" ca="1" si="6"/>
        <v>1</v>
      </c>
      <c r="D24" s="75">
        <f t="shared" ca="1" si="6"/>
        <v>1</v>
      </c>
      <c r="E24" s="75">
        <f t="shared" ca="1" si="6"/>
        <v>2</v>
      </c>
      <c r="F24" s="75">
        <f t="shared" ca="1" si="6"/>
        <v>13</v>
      </c>
      <c r="G24" s="75">
        <f t="shared" ca="1" si="6"/>
        <v>0</v>
      </c>
      <c r="H24" s="75">
        <f t="shared" ca="1" si="6"/>
        <v>1</v>
      </c>
      <c r="J24" s="44">
        <f t="shared" ca="1" si="7"/>
        <v>0</v>
      </c>
      <c r="K24" s="44">
        <f t="shared" ca="1" si="7"/>
        <v>0</v>
      </c>
      <c r="L24" s="44">
        <f t="shared" ca="1" si="7"/>
        <v>0</v>
      </c>
      <c r="M24" s="44">
        <f t="shared" ca="1" si="7"/>
        <v>0</v>
      </c>
      <c r="N24" s="44">
        <f t="shared" ca="1" si="7"/>
        <v>0</v>
      </c>
      <c r="O24" s="44">
        <f t="shared" ca="1" si="7"/>
        <v>0</v>
      </c>
      <c r="Q24" s="44">
        <f t="shared" ca="1" si="8"/>
        <v>0</v>
      </c>
      <c r="R24" s="44">
        <f t="shared" ca="1" si="8"/>
        <v>0</v>
      </c>
      <c r="S24" s="44">
        <f t="shared" ca="1" si="8"/>
        <v>0</v>
      </c>
      <c r="T24" s="44">
        <f t="shared" ca="1" si="8"/>
        <v>0</v>
      </c>
      <c r="U24" s="44">
        <f t="shared" ca="1" si="8"/>
        <v>0</v>
      </c>
      <c r="V24" s="44">
        <f t="shared" ca="1" si="8"/>
        <v>0</v>
      </c>
      <c r="X24" s="44">
        <f t="shared" ca="1" si="9"/>
        <v>4</v>
      </c>
      <c r="Y24" s="44">
        <f t="shared" ca="1" si="9"/>
        <v>24</v>
      </c>
      <c r="Z24" s="44">
        <f t="shared" ca="1" si="9"/>
        <v>0</v>
      </c>
      <c r="AA24" s="44">
        <f t="shared" ca="1" si="9"/>
        <v>0</v>
      </c>
      <c r="AB24" s="44">
        <f t="shared" ca="1" si="9"/>
        <v>0</v>
      </c>
      <c r="AC24" s="44">
        <f t="shared" ca="1" si="9"/>
        <v>1</v>
      </c>
      <c r="AE24" s="44">
        <f t="shared" ca="1" si="10"/>
        <v>0</v>
      </c>
      <c r="AF24" s="44">
        <f t="shared" ca="1" si="10"/>
        <v>0</v>
      </c>
      <c r="AG24" s="44">
        <f t="shared" ca="1" si="10"/>
        <v>0</v>
      </c>
      <c r="AH24" s="44">
        <f t="shared" ca="1" si="10"/>
        <v>0</v>
      </c>
      <c r="AI24" s="44">
        <f t="shared" ca="1" si="10"/>
        <v>0</v>
      </c>
      <c r="AJ24" s="44">
        <f t="shared" ca="1" si="10"/>
        <v>0</v>
      </c>
      <c r="AL24" s="44">
        <f t="shared" ca="1" si="11"/>
        <v>0</v>
      </c>
      <c r="AM24" s="44">
        <f t="shared" ca="1" si="11"/>
        <v>0</v>
      </c>
      <c r="AN24" s="44">
        <f t="shared" ca="1" si="11"/>
        <v>0</v>
      </c>
      <c r="AO24" s="44">
        <f t="shared" ca="1" si="11"/>
        <v>0</v>
      </c>
      <c r="AP24" s="44">
        <f t="shared" ca="1" si="11"/>
        <v>0</v>
      </c>
      <c r="AQ24" s="44">
        <f t="shared" ca="1" si="11"/>
        <v>0</v>
      </c>
      <c r="AS24" s="44"/>
      <c r="AT24" s="44"/>
      <c r="AU24" s="44"/>
      <c r="AV24" s="44"/>
      <c r="AW24" s="44"/>
      <c r="AX24" s="44"/>
    </row>
    <row r="25" spans="1:53" x14ac:dyDescent="0.25">
      <c r="A25" s="2">
        <v>1710</v>
      </c>
      <c r="B25" s="1" t="s">
        <v>26</v>
      </c>
      <c r="C25" s="75">
        <f t="shared" ca="1" si="6"/>
        <v>0</v>
      </c>
      <c r="D25" s="75">
        <f t="shared" ca="1" si="6"/>
        <v>4</v>
      </c>
      <c r="E25" s="75">
        <f t="shared" ca="1" si="6"/>
        <v>3</v>
      </c>
      <c r="F25" s="75">
        <f t="shared" ca="1" si="6"/>
        <v>9</v>
      </c>
      <c r="G25" s="75">
        <f t="shared" ca="1" si="6"/>
        <v>0</v>
      </c>
      <c r="H25" s="75">
        <f t="shared" ca="1" si="6"/>
        <v>1</v>
      </c>
      <c r="J25" s="44">
        <f t="shared" ca="1" si="7"/>
        <v>0</v>
      </c>
      <c r="K25" s="44">
        <f t="shared" ca="1" si="7"/>
        <v>0</v>
      </c>
      <c r="L25" s="44">
        <f t="shared" ca="1" si="7"/>
        <v>0</v>
      </c>
      <c r="M25" s="44">
        <f t="shared" ca="1" si="7"/>
        <v>0</v>
      </c>
      <c r="N25" s="44">
        <f t="shared" ca="1" si="7"/>
        <v>0</v>
      </c>
      <c r="O25" s="44">
        <f t="shared" ca="1" si="7"/>
        <v>0</v>
      </c>
      <c r="Q25" s="44">
        <f t="shared" ca="1" si="8"/>
        <v>0</v>
      </c>
      <c r="R25" s="44">
        <f t="shared" ca="1" si="8"/>
        <v>0</v>
      </c>
      <c r="S25" s="44">
        <f t="shared" ca="1" si="8"/>
        <v>0</v>
      </c>
      <c r="T25" s="44">
        <f t="shared" ca="1" si="8"/>
        <v>0</v>
      </c>
      <c r="U25" s="44">
        <f t="shared" ca="1" si="8"/>
        <v>0</v>
      </c>
      <c r="V25" s="44">
        <f t="shared" ca="1" si="8"/>
        <v>0</v>
      </c>
      <c r="X25" s="44">
        <f t="shared" ca="1" si="9"/>
        <v>9</v>
      </c>
      <c r="Y25" s="44">
        <f t="shared" ca="1" si="9"/>
        <v>6</v>
      </c>
      <c r="Z25" s="44">
        <f t="shared" ca="1" si="9"/>
        <v>0</v>
      </c>
      <c r="AA25" s="44">
        <f t="shared" ca="1" si="9"/>
        <v>0</v>
      </c>
      <c r="AB25" s="44">
        <f t="shared" ca="1" si="9"/>
        <v>0</v>
      </c>
      <c r="AC25" s="44">
        <f t="shared" ca="1" si="9"/>
        <v>1</v>
      </c>
      <c r="AE25" s="44">
        <f t="shared" ca="1" si="10"/>
        <v>0</v>
      </c>
      <c r="AF25" s="44">
        <f t="shared" ca="1" si="10"/>
        <v>0</v>
      </c>
      <c r="AG25" s="44">
        <f t="shared" ca="1" si="10"/>
        <v>0</v>
      </c>
      <c r="AH25" s="44">
        <f t="shared" ca="1" si="10"/>
        <v>0</v>
      </c>
      <c r="AI25" s="44">
        <f t="shared" ca="1" si="10"/>
        <v>0</v>
      </c>
      <c r="AJ25" s="44">
        <f t="shared" ca="1" si="10"/>
        <v>0</v>
      </c>
      <c r="AL25" s="44">
        <f t="shared" ca="1" si="11"/>
        <v>0</v>
      </c>
      <c r="AM25" s="44">
        <f t="shared" ca="1" si="11"/>
        <v>0</v>
      </c>
      <c r="AN25" s="44">
        <f t="shared" ca="1" si="11"/>
        <v>0</v>
      </c>
      <c r="AO25" s="44">
        <f t="shared" ca="1" si="11"/>
        <v>0</v>
      </c>
      <c r="AP25" s="44">
        <f t="shared" ca="1" si="11"/>
        <v>0</v>
      </c>
      <c r="AQ25" s="44">
        <f t="shared" ca="1" si="11"/>
        <v>0</v>
      </c>
      <c r="AS25" s="44"/>
      <c r="AT25" s="44"/>
      <c r="AU25" s="44"/>
      <c r="AV25" s="44"/>
      <c r="AW25" s="44"/>
      <c r="AX25" s="44"/>
    </row>
    <row r="26" spans="1:53" x14ac:dyDescent="0.25">
      <c r="A26" s="2">
        <v>1754</v>
      </c>
      <c r="B26" s="1" t="s">
        <v>27</v>
      </c>
      <c r="C26" s="75">
        <f t="shared" ca="1" si="6"/>
        <v>0</v>
      </c>
      <c r="D26" s="75">
        <f t="shared" ca="1" si="6"/>
        <v>1</v>
      </c>
      <c r="E26" s="75">
        <f t="shared" ca="1" si="6"/>
        <v>2</v>
      </c>
      <c r="F26" s="75">
        <f t="shared" ca="1" si="6"/>
        <v>24</v>
      </c>
      <c r="G26" s="75">
        <f t="shared" ca="1" si="6"/>
        <v>0</v>
      </c>
      <c r="H26" s="75">
        <f t="shared" ca="1" si="6"/>
        <v>2</v>
      </c>
      <c r="J26" s="44">
        <f t="shared" ca="1" si="7"/>
        <v>0</v>
      </c>
      <c r="K26" s="44">
        <f t="shared" ca="1" si="7"/>
        <v>0</v>
      </c>
      <c r="L26" s="44">
        <f t="shared" ca="1" si="7"/>
        <v>0</v>
      </c>
      <c r="M26" s="44">
        <f t="shared" ca="1" si="7"/>
        <v>0</v>
      </c>
      <c r="N26" s="44">
        <f t="shared" ca="1" si="7"/>
        <v>0</v>
      </c>
      <c r="O26" s="44">
        <f t="shared" ca="1" si="7"/>
        <v>0</v>
      </c>
      <c r="Q26" s="44">
        <f t="shared" ca="1" si="8"/>
        <v>0</v>
      </c>
      <c r="R26" s="44">
        <f t="shared" ca="1" si="8"/>
        <v>0</v>
      </c>
      <c r="S26" s="44">
        <f t="shared" ca="1" si="8"/>
        <v>0</v>
      </c>
      <c r="T26" s="44">
        <f t="shared" ca="1" si="8"/>
        <v>0</v>
      </c>
      <c r="U26" s="44">
        <f t="shared" ca="1" si="8"/>
        <v>0</v>
      </c>
      <c r="V26" s="44">
        <f t="shared" ca="1" si="8"/>
        <v>0</v>
      </c>
      <c r="X26" s="44">
        <f t="shared" ca="1" si="9"/>
        <v>4</v>
      </c>
      <c r="Y26" s="44">
        <f t="shared" ca="1" si="9"/>
        <v>14</v>
      </c>
      <c r="Z26" s="44">
        <f t="shared" ca="1" si="9"/>
        <v>0</v>
      </c>
      <c r="AA26" s="44">
        <f t="shared" ca="1" si="9"/>
        <v>0</v>
      </c>
      <c r="AB26" s="44">
        <f t="shared" ca="1" si="9"/>
        <v>0</v>
      </c>
      <c r="AC26" s="44">
        <f t="shared" ca="1" si="9"/>
        <v>0</v>
      </c>
      <c r="AE26" s="44">
        <f t="shared" ca="1" si="10"/>
        <v>0</v>
      </c>
      <c r="AF26" s="44">
        <f t="shared" ca="1" si="10"/>
        <v>0</v>
      </c>
      <c r="AG26" s="44">
        <f t="shared" ca="1" si="10"/>
        <v>0</v>
      </c>
      <c r="AH26" s="44">
        <f t="shared" ca="1" si="10"/>
        <v>0</v>
      </c>
      <c r="AI26" s="44">
        <f t="shared" ca="1" si="10"/>
        <v>0</v>
      </c>
      <c r="AJ26" s="44">
        <f t="shared" ca="1" si="10"/>
        <v>0</v>
      </c>
      <c r="AL26" s="44">
        <f t="shared" ca="1" si="11"/>
        <v>0</v>
      </c>
      <c r="AM26" s="44">
        <f t="shared" ca="1" si="11"/>
        <v>0</v>
      </c>
      <c r="AN26" s="44">
        <f t="shared" ca="1" si="11"/>
        <v>0</v>
      </c>
      <c r="AO26" s="44">
        <f t="shared" ca="1" si="11"/>
        <v>0</v>
      </c>
      <c r="AP26" s="44">
        <f t="shared" ca="1" si="11"/>
        <v>0</v>
      </c>
      <c r="AQ26" s="44">
        <f t="shared" ca="1" si="11"/>
        <v>0</v>
      </c>
      <c r="AS26" s="44">
        <f>'EIA Requested Industry table'!C3535</f>
        <v>22.6</v>
      </c>
      <c r="AT26" s="44"/>
      <c r="AU26" s="44"/>
      <c r="AV26" s="44"/>
      <c r="AW26" s="44"/>
      <c r="AX26" s="44"/>
      <c r="AZ26" s="2">
        <v>1776</v>
      </c>
    </row>
    <row r="27" spans="1:53" x14ac:dyDescent="0.25">
      <c r="A27" s="2" t="s">
        <v>471</v>
      </c>
      <c r="B27" s="1" t="s">
        <v>28</v>
      </c>
      <c r="F27">
        <v>1</v>
      </c>
      <c r="J27" s="44"/>
      <c r="K27" s="44"/>
      <c r="L27" s="44"/>
      <c r="M27" s="44">
        <v>1</v>
      </c>
      <c r="N27" s="44"/>
      <c r="O27" s="44"/>
      <c r="Q27" s="44"/>
      <c r="R27" s="44"/>
      <c r="S27" s="44"/>
      <c r="T27" s="44">
        <v>1</v>
      </c>
      <c r="U27" s="44"/>
      <c r="V27" s="44"/>
      <c r="X27" s="44"/>
      <c r="Y27" s="44"/>
      <c r="Z27" s="44"/>
      <c r="AA27" s="44">
        <v>1</v>
      </c>
      <c r="AB27" s="44"/>
      <c r="AC27" s="44"/>
      <c r="AE27" s="44"/>
      <c r="AF27" s="44"/>
      <c r="AG27" s="44"/>
      <c r="AH27" s="44">
        <v>1</v>
      </c>
      <c r="AI27" s="44"/>
      <c r="AJ27" s="44"/>
      <c r="AL27" s="44"/>
      <c r="AM27" s="44"/>
      <c r="AN27" s="44"/>
      <c r="AO27" s="44">
        <v>1</v>
      </c>
      <c r="AP27" s="44"/>
      <c r="AQ27" s="44"/>
      <c r="AS27" s="44"/>
      <c r="AT27" s="44"/>
      <c r="AU27" s="44"/>
      <c r="AV27" s="44">
        <v>1</v>
      </c>
      <c r="AW27" s="44"/>
      <c r="AX27" s="44"/>
      <c r="BA27" t="s">
        <v>477</v>
      </c>
    </row>
    <row r="28" spans="1:53" x14ac:dyDescent="0.25">
      <c r="A28" s="2" t="s">
        <v>471</v>
      </c>
      <c r="B28" s="1" t="s">
        <v>29</v>
      </c>
      <c r="F28">
        <v>1</v>
      </c>
      <c r="J28" s="44">
        <v>1</v>
      </c>
      <c r="K28" s="44"/>
      <c r="L28" s="44"/>
      <c r="M28" s="44"/>
      <c r="N28" s="44"/>
      <c r="O28" s="44"/>
      <c r="Q28" s="44">
        <v>1</v>
      </c>
      <c r="R28" s="44"/>
      <c r="S28" s="44"/>
      <c r="T28" s="44"/>
      <c r="U28" s="44"/>
      <c r="V28" s="44"/>
      <c r="X28" s="44">
        <v>1</v>
      </c>
      <c r="Y28" s="44"/>
      <c r="Z28" s="44"/>
      <c r="AA28" s="44"/>
      <c r="AB28" s="44"/>
      <c r="AC28" s="44"/>
      <c r="AE28" s="44">
        <v>1</v>
      </c>
      <c r="AF28" s="44"/>
      <c r="AG28" s="44"/>
      <c r="AH28" s="44"/>
      <c r="AI28" s="44"/>
      <c r="AJ28" s="44"/>
      <c r="AL28" s="44">
        <v>1</v>
      </c>
      <c r="AM28" s="44"/>
      <c r="AN28" s="44"/>
      <c r="AO28" s="44"/>
      <c r="AP28" s="44"/>
      <c r="AQ28" s="44"/>
      <c r="AS28" s="44">
        <v>1</v>
      </c>
      <c r="AT28" s="44"/>
      <c r="AU28" s="44"/>
      <c r="AV28" s="44"/>
      <c r="AW28" s="44"/>
      <c r="AX28" s="44"/>
      <c r="BA28" t="s">
        <v>478</v>
      </c>
    </row>
    <row r="29" spans="1:53" x14ac:dyDescent="0.25">
      <c r="A29" s="2" t="s">
        <v>472</v>
      </c>
      <c r="B29" s="1" t="s">
        <v>30</v>
      </c>
      <c r="F29" s="44">
        <f>'EIA Requested Industry table'!C648</f>
        <v>258.81200000000001</v>
      </c>
      <c r="J29" s="44"/>
      <c r="K29" s="44"/>
      <c r="L29" s="44"/>
      <c r="M29" s="44"/>
      <c r="N29" s="44"/>
      <c r="O29" s="44"/>
      <c r="Q29" s="44"/>
      <c r="R29" s="44"/>
      <c r="S29" s="44"/>
      <c r="T29" s="44">
        <f>SUM('EIA Requested Industry table'!C650,'EIA Requested Industry table'!C652,'EIA Requested Industry table'!C654)*(1-'Mobile vs Stationary'!J29)</f>
        <v>114.4191802311273</v>
      </c>
      <c r="U29" s="44"/>
      <c r="V29" s="44">
        <f>SUM('EIA Requested Industry table'!C650,'EIA Requested Industry table'!C652,'EIA Requested Industry table'!C654)*('Mobile vs Stationary'!J29)</f>
        <v>477.26581976887275</v>
      </c>
      <c r="X29" s="44"/>
      <c r="Y29" s="44">
        <f>'EIA Requested Industry table'!C649</f>
        <v>217.392</v>
      </c>
      <c r="Z29" s="44"/>
      <c r="AA29" s="44"/>
      <c r="AB29" s="44"/>
      <c r="AC29" s="44"/>
      <c r="AE29" s="44"/>
      <c r="AF29" s="44"/>
      <c r="AG29" s="44"/>
      <c r="AH29" s="44">
        <f>'EIA Requested Industry table'!C651*(1-'Mobile vs Stationary'!J29)</f>
        <v>3.9994549220280629</v>
      </c>
      <c r="AI29" s="44"/>
      <c r="AJ29" s="44">
        <f>'EIA Requested Industry table'!C651*'Mobile vs Stationary'!J29</f>
        <v>16.682545077971938</v>
      </c>
      <c r="AL29" s="44"/>
      <c r="AM29" s="44"/>
      <c r="AN29" s="44"/>
      <c r="AO29" s="44"/>
      <c r="AP29" s="44"/>
      <c r="AQ29" s="44"/>
      <c r="AS29" s="44"/>
      <c r="AT29" s="44"/>
      <c r="AU29" s="44"/>
      <c r="AV29" s="44"/>
      <c r="AW29" s="44"/>
      <c r="AX29" s="44"/>
      <c r="BA29" t="s">
        <v>501</v>
      </c>
    </row>
    <row r="31" spans="1:53" x14ac:dyDescent="0.25">
      <c r="A31" s="41" t="s">
        <v>461</v>
      </c>
      <c r="AZ31" s="41"/>
    </row>
    <row r="32" spans="1:53" x14ac:dyDescent="0.25">
      <c r="A32" s="55" t="s">
        <v>457</v>
      </c>
      <c r="AZ32" s="55"/>
    </row>
    <row r="33" spans="1:52" x14ac:dyDescent="0.25">
      <c r="A33" s="55" t="s">
        <v>458</v>
      </c>
      <c r="AZ33" s="55"/>
    </row>
    <row r="34" spans="1:52" x14ac:dyDescent="0.25">
      <c r="A34" s="55" t="s">
        <v>459</v>
      </c>
      <c r="AZ34" s="55"/>
    </row>
    <row r="36" spans="1:52" x14ac:dyDescent="0.25">
      <c r="A36" s="41" t="s">
        <v>462</v>
      </c>
      <c r="AZ36" s="41"/>
    </row>
    <row r="37" spans="1:52" x14ac:dyDescent="0.25">
      <c r="A37" s="2" t="s">
        <v>460</v>
      </c>
    </row>
    <row r="38" spans="1:52" x14ac:dyDescent="0.25">
      <c r="A38" s="2" t="s">
        <v>479</v>
      </c>
    </row>
    <row r="40" spans="1:52" x14ac:dyDescent="0.25">
      <c r="A40" s="41" t="s">
        <v>463</v>
      </c>
      <c r="AZ40" s="41"/>
    </row>
    <row r="41" spans="1:52" x14ac:dyDescent="0.25">
      <c r="A41" s="2" t="s">
        <v>470</v>
      </c>
    </row>
    <row r="42" spans="1:52" x14ac:dyDescent="0.25">
      <c r="A42" s="2" t="s">
        <v>464</v>
      </c>
    </row>
    <row r="43" spans="1:52" x14ac:dyDescent="0.25">
      <c r="A43" s="2" t="s">
        <v>465</v>
      </c>
    </row>
    <row r="44" spans="1:52" x14ac:dyDescent="0.25">
      <c r="A44" s="2" t="s">
        <v>466</v>
      </c>
    </row>
    <row r="45" spans="1:52" x14ac:dyDescent="0.25">
      <c r="A45" s="2" t="s">
        <v>467</v>
      </c>
    </row>
    <row r="46" spans="1:52" x14ac:dyDescent="0.25">
      <c r="A46" s="57" t="s">
        <v>468</v>
      </c>
      <c r="AZ46" s="57"/>
    </row>
    <row r="47" spans="1:52" x14ac:dyDescent="0.25">
      <c r="A47" s="2" t="s">
        <v>469</v>
      </c>
    </row>
    <row r="48" spans="1:52" x14ac:dyDescent="0.25">
      <c r="A48" s="2" t="s">
        <v>476</v>
      </c>
    </row>
  </sheetData>
  <hyperlinks>
    <hyperlink ref="A46" r:id="rId1" xr:uid="{F3B92943-3322-44C2-BE12-FC4213ED5379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BE29-AAAE-49C9-9221-0DE548536500}">
  <dimension ref="A1:I20"/>
  <sheetViews>
    <sheetView zoomScale="92" zoomScaleNormal="115" workbookViewId="0"/>
  </sheetViews>
  <sheetFormatPr defaultRowHeight="15" x14ac:dyDescent="0.25"/>
  <cols>
    <col min="1" max="1" width="33.28515625" customWidth="1"/>
    <col min="2" max="2" width="14.42578125" customWidth="1"/>
    <col min="3" max="3" width="17" customWidth="1"/>
    <col min="4" max="5" width="12.5703125" customWidth="1"/>
    <col min="6" max="6" width="18.42578125" customWidth="1"/>
    <col min="7" max="7" width="18.85546875" customWidth="1"/>
    <col min="8" max="8" width="28.85546875" customWidth="1"/>
    <col min="9" max="9" width="27.140625" customWidth="1"/>
  </cols>
  <sheetData>
    <row r="1" spans="1:9" x14ac:dyDescent="0.25">
      <c r="A1" s="48" t="s">
        <v>449</v>
      </c>
    </row>
    <row r="3" spans="1:9" x14ac:dyDescent="0.25">
      <c r="A3" s="49" t="s">
        <v>164</v>
      </c>
      <c r="B3" s="49"/>
      <c r="C3" s="49"/>
      <c r="D3" s="50"/>
      <c r="E3" s="50"/>
      <c r="F3" s="50"/>
      <c r="G3" s="50"/>
      <c r="I3" s="1"/>
    </row>
    <row r="4" spans="1:9" x14ac:dyDescent="0.25">
      <c r="D4" s="83" t="s">
        <v>165</v>
      </c>
      <c r="E4" s="83"/>
      <c r="F4" s="83"/>
      <c r="G4" s="83"/>
    </row>
    <row r="5" spans="1:9" x14ac:dyDescent="0.25">
      <c r="B5" s="43" t="s">
        <v>166</v>
      </c>
      <c r="C5" s="43" t="s">
        <v>167</v>
      </c>
      <c r="D5" s="43" t="s">
        <v>156</v>
      </c>
      <c r="E5" s="43" t="s">
        <v>157</v>
      </c>
      <c r="F5" s="43" t="s">
        <v>158</v>
      </c>
      <c r="G5" s="43" t="s">
        <v>159</v>
      </c>
      <c r="H5" s="43"/>
      <c r="I5" s="43"/>
    </row>
    <row r="6" spans="1:9" x14ac:dyDescent="0.25">
      <c r="A6" t="s">
        <v>168</v>
      </c>
      <c r="B6" s="42">
        <v>0.32</v>
      </c>
      <c r="C6" s="42">
        <v>0.17</v>
      </c>
      <c r="D6" s="42">
        <v>0.01</v>
      </c>
      <c r="E6" s="42">
        <v>0.13</v>
      </c>
      <c r="F6" s="42">
        <v>0.37</v>
      </c>
      <c r="G6" s="42">
        <v>0</v>
      </c>
      <c r="H6" s="44"/>
      <c r="I6" s="44"/>
    </row>
    <row r="7" spans="1:9" x14ac:dyDescent="0.25">
      <c r="A7" t="s">
        <v>169</v>
      </c>
      <c r="B7" s="42">
        <v>0.28000000000000003</v>
      </c>
      <c r="C7" s="42">
        <v>0.32</v>
      </c>
      <c r="D7" s="42">
        <v>0.04</v>
      </c>
      <c r="E7" s="42">
        <v>0.08</v>
      </c>
      <c r="F7" s="42">
        <v>0.05</v>
      </c>
      <c r="G7" s="42">
        <v>0.23</v>
      </c>
      <c r="H7" s="44"/>
      <c r="I7" s="44"/>
    </row>
    <row r="8" spans="1:9" x14ac:dyDescent="0.25">
      <c r="A8" t="s">
        <v>170</v>
      </c>
      <c r="B8" s="42">
        <v>0.35</v>
      </c>
      <c r="C8" s="42">
        <v>0.1</v>
      </c>
      <c r="D8" s="42">
        <v>0.26</v>
      </c>
      <c r="E8" s="42">
        <v>0.28999999999999998</v>
      </c>
      <c r="F8" s="42">
        <v>0</v>
      </c>
      <c r="G8" s="42">
        <v>0</v>
      </c>
      <c r="H8" s="44"/>
      <c r="I8" s="44"/>
    </row>
    <row r="9" spans="1:9" x14ac:dyDescent="0.25">
      <c r="A9" t="s">
        <v>171</v>
      </c>
      <c r="B9" s="42">
        <v>0.18</v>
      </c>
      <c r="C9" s="42">
        <v>0.5</v>
      </c>
      <c r="D9" s="42">
        <v>0</v>
      </c>
      <c r="E9" s="42">
        <v>0.19</v>
      </c>
      <c r="F9" s="42">
        <v>0.04</v>
      </c>
      <c r="G9" s="42">
        <v>0.09</v>
      </c>
      <c r="H9" s="44"/>
      <c r="I9" s="44"/>
    </row>
    <row r="10" spans="1:9" x14ac:dyDescent="0.25">
      <c r="A10" t="s">
        <v>172</v>
      </c>
      <c r="B10" s="42">
        <v>0.28999999999999998</v>
      </c>
      <c r="C10" s="42">
        <v>0.03</v>
      </c>
      <c r="D10" s="42">
        <v>0.08</v>
      </c>
      <c r="E10" s="42">
        <v>0.6</v>
      </c>
      <c r="F10" s="42">
        <v>0</v>
      </c>
      <c r="G10" s="42">
        <v>0</v>
      </c>
      <c r="H10" s="44"/>
      <c r="I10" s="44"/>
    </row>
    <row r="11" spans="1:9" x14ac:dyDescent="0.25">
      <c r="A11" t="s">
        <v>4</v>
      </c>
      <c r="B11" s="42">
        <v>0.21</v>
      </c>
      <c r="C11" s="42">
        <v>0.14000000000000001</v>
      </c>
      <c r="D11" s="42">
        <v>0</v>
      </c>
      <c r="E11" s="42">
        <v>0</v>
      </c>
      <c r="F11" s="42">
        <v>0.05</v>
      </c>
      <c r="G11" s="42">
        <v>0.6</v>
      </c>
      <c r="H11" s="44"/>
      <c r="I11" s="44"/>
    </row>
    <row r="12" spans="1:9" x14ac:dyDescent="0.25">
      <c r="A12" t="s">
        <v>173</v>
      </c>
      <c r="B12" s="42">
        <v>0.21</v>
      </c>
      <c r="C12" s="42">
        <v>0.49</v>
      </c>
      <c r="D12" s="42">
        <v>0.02</v>
      </c>
      <c r="E12" s="42">
        <v>0.03</v>
      </c>
      <c r="F12" s="42">
        <v>0.14000000000000001</v>
      </c>
      <c r="G12" s="42">
        <v>0.11</v>
      </c>
      <c r="H12" s="44"/>
      <c r="I12" s="44"/>
    </row>
    <row r="13" spans="1:9" x14ac:dyDescent="0.25">
      <c r="A13" t="s">
        <v>174</v>
      </c>
      <c r="B13" s="42">
        <v>0.4</v>
      </c>
      <c r="C13" s="42">
        <v>0.17</v>
      </c>
      <c r="D13" s="42">
        <v>0.18</v>
      </c>
      <c r="E13" s="42">
        <v>0.17</v>
      </c>
      <c r="F13" s="42">
        <v>0</v>
      </c>
      <c r="G13" s="42">
        <v>0.08</v>
      </c>
      <c r="H13" s="44"/>
      <c r="I13" s="44"/>
    </row>
    <row r="14" spans="1:9" x14ac:dyDescent="0.25">
      <c r="A14" t="s">
        <v>5</v>
      </c>
      <c r="B14" s="42">
        <v>0.09</v>
      </c>
      <c r="C14" s="42">
        <v>0</v>
      </c>
      <c r="D14" s="42">
        <v>0.04</v>
      </c>
      <c r="E14" s="42">
        <v>0</v>
      </c>
      <c r="F14" s="42">
        <v>0.23</v>
      </c>
      <c r="G14" s="42">
        <v>0.64</v>
      </c>
      <c r="H14" s="44"/>
      <c r="I14" s="44"/>
    </row>
    <row r="15" spans="1:9" x14ac:dyDescent="0.25">
      <c r="A15" t="s">
        <v>175</v>
      </c>
      <c r="B15" s="42">
        <v>7.0000000000000007E-2</v>
      </c>
      <c r="C15" s="42">
        <v>0.1</v>
      </c>
      <c r="D15" s="42">
        <v>0.02</v>
      </c>
      <c r="E15" s="42">
        <v>0.11</v>
      </c>
      <c r="F15" s="42">
        <v>0</v>
      </c>
      <c r="G15" s="42">
        <v>0.7</v>
      </c>
      <c r="H15" s="44"/>
      <c r="I15" s="44"/>
    </row>
    <row r="16" spans="1:9" x14ac:dyDescent="0.25">
      <c r="A16" t="s">
        <v>176</v>
      </c>
      <c r="B16" s="42">
        <v>0.34</v>
      </c>
      <c r="C16" s="42">
        <v>0.23</v>
      </c>
      <c r="D16" s="42">
        <v>0.14000000000000001</v>
      </c>
      <c r="E16" s="42">
        <v>0.09</v>
      </c>
      <c r="F16" s="42">
        <v>0.09</v>
      </c>
      <c r="G16" s="42">
        <v>0.11</v>
      </c>
      <c r="H16" s="44"/>
      <c r="I16" s="44"/>
    </row>
    <row r="17" spans="1:9" x14ac:dyDescent="0.25">
      <c r="A17" t="s">
        <v>3</v>
      </c>
      <c r="B17" s="42">
        <v>0.23</v>
      </c>
      <c r="C17" s="42">
        <v>0.17</v>
      </c>
      <c r="D17" s="42">
        <v>0.14000000000000001</v>
      </c>
      <c r="E17" s="42">
        <v>0.46</v>
      </c>
      <c r="F17" s="42">
        <v>0</v>
      </c>
      <c r="G17" s="42">
        <v>0</v>
      </c>
      <c r="H17" s="44"/>
      <c r="I17" s="44"/>
    </row>
    <row r="18" spans="1:9" x14ac:dyDescent="0.25">
      <c r="A18" t="s">
        <v>177</v>
      </c>
      <c r="B18" s="42">
        <v>0.24</v>
      </c>
      <c r="C18" s="42">
        <v>0.01</v>
      </c>
      <c r="D18" s="42">
        <v>0.26</v>
      </c>
      <c r="E18" s="42">
        <v>0.46</v>
      </c>
      <c r="F18" s="42">
        <v>0.03</v>
      </c>
      <c r="G18" s="42">
        <v>0</v>
      </c>
      <c r="H18" s="44"/>
      <c r="I18" s="44"/>
    </row>
    <row r="19" spans="1:9" x14ac:dyDescent="0.25">
      <c r="A19" t="s">
        <v>178</v>
      </c>
      <c r="B19" s="42">
        <v>0.11</v>
      </c>
      <c r="C19" s="45">
        <v>5.0000000000000001E-3</v>
      </c>
      <c r="D19" s="45">
        <v>5.0000000000000001E-3</v>
      </c>
      <c r="E19" s="42">
        <v>0.01</v>
      </c>
      <c r="F19" s="42">
        <v>0.02</v>
      </c>
      <c r="G19" s="42">
        <v>0.85</v>
      </c>
      <c r="H19" s="44"/>
      <c r="I19" s="44"/>
    </row>
    <row r="20" spans="1:9" x14ac:dyDescent="0.25">
      <c r="A20" t="s">
        <v>179</v>
      </c>
      <c r="B20" s="42">
        <v>0.13</v>
      </c>
      <c r="C20" s="42">
        <v>0.09</v>
      </c>
      <c r="D20" s="42">
        <v>0.06</v>
      </c>
      <c r="E20" s="42">
        <v>0.59</v>
      </c>
      <c r="F20" s="42">
        <v>0.13</v>
      </c>
      <c r="G20" s="42">
        <v>0</v>
      </c>
      <c r="H20" s="44"/>
      <c r="I20" s="44"/>
    </row>
  </sheetData>
  <mergeCells count="1">
    <mergeCell ref="D4:G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4170-6110-457A-A4F3-D3A1F769FCB6}">
  <dimension ref="A1:I27"/>
  <sheetViews>
    <sheetView workbookViewId="0"/>
  </sheetViews>
  <sheetFormatPr defaultRowHeight="15" x14ac:dyDescent="0.25"/>
  <cols>
    <col min="1" max="1" width="45.7109375" customWidth="1"/>
    <col min="2" max="5" width="12.140625" customWidth="1"/>
    <col min="6" max="8" width="16.85546875" customWidth="1"/>
    <col min="9" max="9" width="82.42578125" customWidth="1"/>
  </cols>
  <sheetData>
    <row r="1" spans="1:9" x14ac:dyDescent="0.25">
      <c r="B1" s="84" t="s">
        <v>447</v>
      </c>
      <c r="C1" s="84"/>
      <c r="D1" s="84"/>
      <c r="E1" s="85"/>
      <c r="F1" s="86" t="s">
        <v>450</v>
      </c>
      <c r="G1" s="86"/>
      <c r="H1" s="87"/>
      <c r="I1" s="53" t="s">
        <v>160</v>
      </c>
    </row>
    <row r="2" spans="1:9" x14ac:dyDescent="0.25">
      <c r="B2" s="40" t="s">
        <v>156</v>
      </c>
      <c r="C2" s="40" t="s">
        <v>157</v>
      </c>
      <c r="D2" s="40" t="s">
        <v>158</v>
      </c>
      <c r="E2" s="51" t="s">
        <v>159</v>
      </c>
      <c r="F2" s="40" t="s">
        <v>451</v>
      </c>
      <c r="G2" s="40" t="s">
        <v>452</v>
      </c>
      <c r="H2" s="51" t="s">
        <v>453</v>
      </c>
    </row>
    <row r="3" spans="1:9" x14ac:dyDescent="0.25">
      <c r="A3" t="s">
        <v>6</v>
      </c>
      <c r="B3" s="42">
        <v>1</v>
      </c>
      <c r="C3" s="42">
        <v>0</v>
      </c>
      <c r="D3" s="42">
        <v>0</v>
      </c>
      <c r="E3" s="52">
        <v>0</v>
      </c>
      <c r="F3" s="46">
        <f>B3+(65/300)*C3</f>
        <v>1</v>
      </c>
      <c r="G3" s="46">
        <f>(235/300)*C3</f>
        <v>0</v>
      </c>
      <c r="H3" s="54">
        <f>SUM(D3:E3)</f>
        <v>0</v>
      </c>
      <c r="I3" t="s">
        <v>161</v>
      </c>
    </row>
    <row r="4" spans="1:9" x14ac:dyDescent="0.25">
      <c r="A4" t="s">
        <v>7</v>
      </c>
      <c r="B4" s="42">
        <v>1</v>
      </c>
      <c r="C4" s="42">
        <v>0</v>
      </c>
      <c r="D4" s="42">
        <v>0</v>
      </c>
      <c r="E4" s="52">
        <v>0</v>
      </c>
      <c r="F4" s="46">
        <f t="shared" ref="F4:F27" si="0">B4+(65/300)*C4</f>
        <v>1</v>
      </c>
      <c r="G4" s="46">
        <f t="shared" ref="G4:G27" si="1">(235/300)*C4</f>
        <v>0</v>
      </c>
      <c r="H4" s="54">
        <f t="shared" ref="H4:H27" si="2">SUM(D4:E4)</f>
        <v>0</v>
      </c>
      <c r="I4" t="s">
        <v>161</v>
      </c>
    </row>
    <row r="5" spans="1:9" x14ac:dyDescent="0.25">
      <c r="A5" t="s">
        <v>8</v>
      </c>
      <c r="B5" s="42">
        <f>'Raw Temperature Breakdown'!D20/SUM('Raw Temperature Breakdown'!$D20:$G20)</f>
        <v>7.6923076923076927E-2</v>
      </c>
      <c r="C5" s="42">
        <f>'Raw Temperature Breakdown'!E20/SUM('Raw Temperature Breakdown'!$D20:$G20)</f>
        <v>0.7564102564102565</v>
      </c>
      <c r="D5" s="42">
        <f>'Raw Temperature Breakdown'!F20/SUM('Raw Temperature Breakdown'!$D20:$G20)</f>
        <v>0.16666666666666669</v>
      </c>
      <c r="E5" s="52">
        <f>'Raw Temperature Breakdown'!G20/SUM('Raw Temperature Breakdown'!$D20:$G20)</f>
        <v>0</v>
      </c>
      <c r="F5" s="46">
        <f t="shared" si="0"/>
        <v>0.24081196581196584</v>
      </c>
      <c r="G5" s="46">
        <f t="shared" si="1"/>
        <v>0.59252136752136764</v>
      </c>
      <c r="H5" s="54">
        <f t="shared" si="2"/>
        <v>0.16666666666666669</v>
      </c>
      <c r="I5" t="s">
        <v>162</v>
      </c>
    </row>
    <row r="6" spans="1:9" x14ac:dyDescent="0.25">
      <c r="A6" t="s">
        <v>9</v>
      </c>
      <c r="B6" s="42">
        <v>1</v>
      </c>
      <c r="C6" s="42">
        <v>0</v>
      </c>
      <c r="D6" s="42">
        <v>0</v>
      </c>
      <c r="E6" s="52">
        <v>0</v>
      </c>
      <c r="F6" s="46">
        <f t="shared" si="0"/>
        <v>1</v>
      </c>
      <c r="G6" s="46">
        <f t="shared" si="1"/>
        <v>0</v>
      </c>
      <c r="H6" s="54">
        <f t="shared" si="2"/>
        <v>0</v>
      </c>
      <c r="I6" t="s">
        <v>161</v>
      </c>
    </row>
    <row r="7" spans="1:9" x14ac:dyDescent="0.25">
      <c r="A7" t="s">
        <v>10</v>
      </c>
      <c r="B7" s="42">
        <f>'Raw Temperature Breakdown'!D17/SUM('Raw Temperature Breakdown'!$D17:$G17)</f>
        <v>0.23333333333333331</v>
      </c>
      <c r="C7" s="42">
        <f>'Raw Temperature Breakdown'!E17/SUM('Raw Temperature Breakdown'!$D17:$G17)</f>
        <v>0.76666666666666661</v>
      </c>
      <c r="D7" s="42">
        <f>'Raw Temperature Breakdown'!F17/SUM('Raw Temperature Breakdown'!$D17:$G17)</f>
        <v>0</v>
      </c>
      <c r="E7" s="52">
        <f>'Raw Temperature Breakdown'!G17/SUM('Raw Temperature Breakdown'!$D17:$G17)</f>
        <v>0</v>
      </c>
      <c r="F7" s="46">
        <f t="shared" si="0"/>
        <v>0.39944444444444438</v>
      </c>
      <c r="G7" s="46">
        <f t="shared" si="1"/>
        <v>0.60055555555555551</v>
      </c>
      <c r="H7" s="54">
        <f t="shared" si="2"/>
        <v>0</v>
      </c>
    </row>
    <row r="8" spans="1:9" x14ac:dyDescent="0.25">
      <c r="A8" t="s">
        <v>11</v>
      </c>
      <c r="B8" s="42">
        <f>'Raw Temperature Breakdown'!D8/SUM('Raw Temperature Breakdown'!$D8:$G8)</f>
        <v>0.47272727272727272</v>
      </c>
      <c r="C8" s="42">
        <f>'Raw Temperature Breakdown'!E8/SUM('Raw Temperature Breakdown'!$D8:$G8)</f>
        <v>0.52727272727272723</v>
      </c>
      <c r="D8" s="42">
        <f>'Raw Temperature Breakdown'!F8/SUM('Raw Temperature Breakdown'!$D8:$G8)</f>
        <v>0</v>
      </c>
      <c r="E8" s="52">
        <f>'Raw Temperature Breakdown'!G8/SUM('Raw Temperature Breakdown'!$D8:$G8)</f>
        <v>0</v>
      </c>
      <c r="F8" s="46">
        <f t="shared" si="0"/>
        <v>0.58696969696969692</v>
      </c>
      <c r="G8" s="46">
        <f t="shared" si="1"/>
        <v>0.41303030303030297</v>
      </c>
      <c r="H8" s="54">
        <f t="shared" si="2"/>
        <v>0</v>
      </c>
    </row>
    <row r="9" spans="1:9" x14ac:dyDescent="0.25">
      <c r="A9" t="s">
        <v>12</v>
      </c>
      <c r="B9" s="42">
        <f>'Raw Temperature Breakdown'!D10/SUM('Raw Temperature Breakdown'!$D10:$G10)</f>
        <v>0.11764705882352942</v>
      </c>
      <c r="C9" s="42">
        <f>'Raw Temperature Breakdown'!E10/SUM('Raw Temperature Breakdown'!$D10:$G10)</f>
        <v>0.88235294117647067</v>
      </c>
      <c r="D9" s="42">
        <f>'Raw Temperature Breakdown'!F10/SUM('Raw Temperature Breakdown'!$D10:$G10)</f>
        <v>0</v>
      </c>
      <c r="E9" s="52">
        <f>'Raw Temperature Breakdown'!G10/SUM('Raw Temperature Breakdown'!$D10:$G10)</f>
        <v>0</v>
      </c>
      <c r="F9" s="46">
        <f t="shared" si="0"/>
        <v>0.30882352941176472</v>
      </c>
      <c r="G9" s="46">
        <f t="shared" si="1"/>
        <v>0.69117647058823539</v>
      </c>
      <c r="H9" s="54">
        <f t="shared" si="2"/>
        <v>0</v>
      </c>
    </row>
    <row r="10" spans="1:9" x14ac:dyDescent="0.25">
      <c r="A10" t="s">
        <v>13</v>
      </c>
      <c r="B10" s="42">
        <f>'Raw Temperature Breakdown'!D18/SUM('Raw Temperature Breakdown'!$D18:$G18)</f>
        <v>0.34666666666666668</v>
      </c>
      <c r="C10" s="42">
        <f>'Raw Temperature Breakdown'!E18/SUM('Raw Temperature Breakdown'!$D18:$G18)</f>
        <v>0.6133333333333334</v>
      </c>
      <c r="D10" s="42">
        <f>'Raw Temperature Breakdown'!F18/SUM('Raw Temperature Breakdown'!$D18:$G18)</f>
        <v>0.04</v>
      </c>
      <c r="E10" s="52">
        <f>'Raw Temperature Breakdown'!G18/SUM('Raw Temperature Breakdown'!$D18:$G18)</f>
        <v>0</v>
      </c>
      <c r="F10" s="46">
        <f t="shared" si="0"/>
        <v>0.47955555555555562</v>
      </c>
      <c r="G10" s="46">
        <f t="shared" si="1"/>
        <v>0.48044444444444451</v>
      </c>
      <c r="H10" s="54">
        <f t="shared" si="2"/>
        <v>0.04</v>
      </c>
    </row>
    <row r="11" spans="1:9" x14ac:dyDescent="0.25">
      <c r="A11" t="s">
        <v>14</v>
      </c>
      <c r="B11" s="42">
        <f>'Raw Temperature Breakdown'!D20/SUM('Raw Temperature Breakdown'!$D20:$G20)</f>
        <v>7.6923076923076927E-2</v>
      </c>
      <c r="C11" s="42">
        <f>'Raw Temperature Breakdown'!E20/SUM('Raw Temperature Breakdown'!$D20:$G20)</f>
        <v>0.7564102564102565</v>
      </c>
      <c r="D11" s="42">
        <f>'Raw Temperature Breakdown'!F20/SUM('Raw Temperature Breakdown'!$D20:$G20)</f>
        <v>0.16666666666666669</v>
      </c>
      <c r="E11" s="52">
        <f>'Raw Temperature Breakdown'!G20/SUM('Raw Temperature Breakdown'!$D20:$G20)</f>
        <v>0</v>
      </c>
      <c r="F11" s="46">
        <f t="shared" si="0"/>
        <v>0.24081196581196584</v>
      </c>
      <c r="G11" s="46">
        <f t="shared" si="1"/>
        <v>0.59252136752136764</v>
      </c>
      <c r="H11" s="54">
        <f t="shared" si="2"/>
        <v>0.16666666666666669</v>
      </c>
      <c r="I11" t="s">
        <v>162</v>
      </c>
    </row>
    <row r="12" spans="1:9" x14ac:dyDescent="0.25">
      <c r="A12" t="s">
        <v>15</v>
      </c>
      <c r="B12" s="42">
        <f>'Raw Temperature Breakdown'!D20/SUM('Raw Temperature Breakdown'!$D20:$G20)</f>
        <v>7.6923076923076927E-2</v>
      </c>
      <c r="C12" s="42">
        <f>'Raw Temperature Breakdown'!E20/SUM('Raw Temperature Breakdown'!$D20:$G20)</f>
        <v>0.7564102564102565</v>
      </c>
      <c r="D12" s="42">
        <f>'Raw Temperature Breakdown'!F20/SUM('Raw Temperature Breakdown'!$D20:$G20)</f>
        <v>0.16666666666666669</v>
      </c>
      <c r="E12" s="52">
        <f>'Raw Temperature Breakdown'!G20/SUM('Raw Temperature Breakdown'!$D20:$G20)</f>
        <v>0</v>
      </c>
      <c r="F12" s="46">
        <f t="shared" si="0"/>
        <v>0.24081196581196584</v>
      </c>
      <c r="G12" s="46">
        <f t="shared" si="1"/>
        <v>0.59252136752136764</v>
      </c>
      <c r="H12" s="54">
        <f t="shared" si="2"/>
        <v>0.16666666666666669</v>
      </c>
    </row>
    <row r="13" spans="1:9" x14ac:dyDescent="0.25">
      <c r="A13" t="s">
        <v>16</v>
      </c>
      <c r="B13" s="42">
        <f>'Raw Temperature Breakdown'!D20/SUM('Raw Temperature Breakdown'!$D20:$G20)</f>
        <v>7.6923076923076927E-2</v>
      </c>
      <c r="C13" s="42">
        <f>'Raw Temperature Breakdown'!E20/SUM('Raw Temperature Breakdown'!$D20:$G20)</f>
        <v>0.7564102564102565</v>
      </c>
      <c r="D13" s="42">
        <f>'Raw Temperature Breakdown'!F20/SUM('Raw Temperature Breakdown'!$D20:$G20)</f>
        <v>0.16666666666666669</v>
      </c>
      <c r="E13" s="52">
        <f>'Raw Temperature Breakdown'!G20/SUM('Raw Temperature Breakdown'!$D20:$G20)</f>
        <v>0</v>
      </c>
      <c r="F13" s="46">
        <f t="shared" si="0"/>
        <v>0.24081196581196584</v>
      </c>
      <c r="G13" s="46">
        <f t="shared" si="1"/>
        <v>0.59252136752136764</v>
      </c>
      <c r="H13" s="54">
        <f t="shared" si="2"/>
        <v>0.16666666666666669</v>
      </c>
      <c r="I13" t="s">
        <v>162</v>
      </c>
    </row>
    <row r="14" spans="1:9" x14ac:dyDescent="0.25">
      <c r="A14" t="s">
        <v>17</v>
      </c>
      <c r="B14" s="42">
        <f>'Raw Temperature Breakdown'!D11/SUM('Raw Temperature Breakdown'!$D11:$G11)</f>
        <v>0</v>
      </c>
      <c r="C14" s="42">
        <f>'Raw Temperature Breakdown'!E11/SUM('Raw Temperature Breakdown'!$D11:$G11)</f>
        <v>0</v>
      </c>
      <c r="D14" s="42">
        <f>'Raw Temperature Breakdown'!F11/SUM('Raw Temperature Breakdown'!$D11:$G11)</f>
        <v>7.6923076923076927E-2</v>
      </c>
      <c r="E14" s="52">
        <f>'Raw Temperature Breakdown'!G11/SUM('Raw Temperature Breakdown'!$D11:$G11)</f>
        <v>0.92307692307692302</v>
      </c>
      <c r="F14" s="46">
        <f t="shared" si="0"/>
        <v>0</v>
      </c>
      <c r="G14" s="46">
        <f t="shared" si="1"/>
        <v>0</v>
      </c>
      <c r="H14" s="54">
        <f t="shared" si="2"/>
        <v>1</v>
      </c>
    </row>
    <row r="15" spans="1:9" x14ac:dyDescent="0.25">
      <c r="A15" t="s">
        <v>18</v>
      </c>
      <c r="B15" s="42">
        <f>'Raw Temperature Breakdown'!D14/SUM('Raw Temperature Breakdown'!$D14:$G14)</f>
        <v>4.3956043956043953E-2</v>
      </c>
      <c r="C15" s="42">
        <f>'Raw Temperature Breakdown'!E14/SUM('Raw Temperature Breakdown'!$D14:$G14)</f>
        <v>0</v>
      </c>
      <c r="D15" s="42">
        <f>'Raw Temperature Breakdown'!F14/SUM('Raw Temperature Breakdown'!$D14:$G14)</f>
        <v>0.25274725274725274</v>
      </c>
      <c r="E15" s="52">
        <f>'Raw Temperature Breakdown'!G14/SUM('Raw Temperature Breakdown'!$D14:$G14)</f>
        <v>0.70329670329670324</v>
      </c>
      <c r="F15" s="46">
        <f t="shared" si="0"/>
        <v>4.3956043956043953E-2</v>
      </c>
      <c r="G15" s="46">
        <f t="shared" si="1"/>
        <v>0</v>
      </c>
      <c r="H15" s="54">
        <f t="shared" si="2"/>
        <v>0.95604395604395598</v>
      </c>
      <c r="I15" t="s">
        <v>448</v>
      </c>
    </row>
    <row r="16" spans="1:9" x14ac:dyDescent="0.25">
      <c r="A16" t="s">
        <v>19</v>
      </c>
      <c r="B16" s="42">
        <f>'Raw Temperature Breakdown'!D19/SUM('Raw Temperature Breakdown'!$D19:$G19)</f>
        <v>5.6497175141242938E-3</v>
      </c>
      <c r="C16" s="42">
        <f>'Raw Temperature Breakdown'!E19/SUM('Raw Temperature Breakdown'!$D19:$G19)</f>
        <v>1.1299435028248588E-2</v>
      </c>
      <c r="D16" s="42">
        <f>'Raw Temperature Breakdown'!F19/SUM('Raw Temperature Breakdown'!$D19:$G19)</f>
        <v>2.2598870056497175E-2</v>
      </c>
      <c r="E16" s="52">
        <f>'Raw Temperature Breakdown'!G19/SUM('Raw Temperature Breakdown'!$D19:$G19)</f>
        <v>0.96045197740112986</v>
      </c>
      <c r="F16" s="46">
        <f t="shared" si="0"/>
        <v>8.0979284369114869E-3</v>
      </c>
      <c r="G16" s="46">
        <f t="shared" si="1"/>
        <v>8.8512241054613926E-3</v>
      </c>
      <c r="H16" s="54">
        <f t="shared" si="2"/>
        <v>0.98305084745762705</v>
      </c>
      <c r="I16" t="s">
        <v>445</v>
      </c>
    </row>
    <row r="17" spans="1:9" x14ac:dyDescent="0.25">
      <c r="A17" t="s">
        <v>20</v>
      </c>
      <c r="B17" s="42">
        <f>'Raw Temperature Breakdown'!D7/SUM('Raw Temperature Breakdown'!$D7:$G7)</f>
        <v>9.9999999999999992E-2</v>
      </c>
      <c r="C17" s="42">
        <f>'Raw Temperature Breakdown'!E7/SUM('Raw Temperature Breakdown'!$D7:$G7)</f>
        <v>0.19999999999999998</v>
      </c>
      <c r="D17" s="42">
        <f>'Raw Temperature Breakdown'!F7/SUM('Raw Temperature Breakdown'!$D7:$G7)</f>
        <v>0.125</v>
      </c>
      <c r="E17" s="52">
        <f>'Raw Temperature Breakdown'!G7/SUM('Raw Temperature Breakdown'!$D7:$G7)</f>
        <v>0.57499999999999996</v>
      </c>
      <c r="F17" s="46">
        <f t="shared" si="0"/>
        <v>0.14333333333333331</v>
      </c>
      <c r="G17" s="46">
        <f t="shared" si="1"/>
        <v>0.15666666666666665</v>
      </c>
      <c r="H17" s="54">
        <f t="shared" si="2"/>
        <v>0.7</v>
      </c>
      <c r="I17" t="s">
        <v>446</v>
      </c>
    </row>
    <row r="18" spans="1:9" x14ac:dyDescent="0.25">
      <c r="A18" t="s">
        <v>21</v>
      </c>
      <c r="B18" s="42">
        <f>'Raw Temperature Breakdown'!D16/SUM('Raw Temperature Breakdown'!$D16:$G16)</f>
        <v>0.32558139534883723</v>
      </c>
      <c r="C18" s="42">
        <f>'Raw Temperature Breakdown'!E16/SUM('Raw Temperature Breakdown'!$D16:$G16)</f>
        <v>0.20930232558139533</v>
      </c>
      <c r="D18" s="42">
        <f>'Raw Temperature Breakdown'!F16/SUM('Raw Temperature Breakdown'!$D16:$G16)</f>
        <v>0.20930232558139533</v>
      </c>
      <c r="E18" s="52">
        <f>'Raw Temperature Breakdown'!G16/SUM('Raw Temperature Breakdown'!$D16:$G16)</f>
        <v>0.2558139534883721</v>
      </c>
      <c r="F18" s="46">
        <f t="shared" si="0"/>
        <v>0.37093023255813956</v>
      </c>
      <c r="G18" s="46">
        <f t="shared" si="1"/>
        <v>0.163953488372093</v>
      </c>
      <c r="H18" s="54">
        <f t="shared" si="2"/>
        <v>0.46511627906976744</v>
      </c>
      <c r="I18" t="s">
        <v>163</v>
      </c>
    </row>
    <row r="19" spans="1:9" x14ac:dyDescent="0.25">
      <c r="A19" t="s">
        <v>22</v>
      </c>
      <c r="B19" s="42">
        <f>'Raw Temperature Breakdown'!D16/SUM('Raw Temperature Breakdown'!$D16:$G16)</f>
        <v>0.32558139534883723</v>
      </c>
      <c r="C19" s="42">
        <f>'Raw Temperature Breakdown'!E16/SUM('Raw Temperature Breakdown'!$D16:$G16)</f>
        <v>0.20930232558139533</v>
      </c>
      <c r="D19" s="42">
        <f>'Raw Temperature Breakdown'!F16/SUM('Raw Temperature Breakdown'!$D16:$G16)</f>
        <v>0.20930232558139533</v>
      </c>
      <c r="E19" s="52">
        <f>'Raw Temperature Breakdown'!G16/SUM('Raw Temperature Breakdown'!$D16:$G16)</f>
        <v>0.2558139534883721</v>
      </c>
      <c r="F19" s="46">
        <f t="shared" si="0"/>
        <v>0.37093023255813956</v>
      </c>
      <c r="G19" s="46">
        <f t="shared" si="1"/>
        <v>0.163953488372093</v>
      </c>
      <c r="H19" s="54">
        <f t="shared" si="2"/>
        <v>0.46511627906976744</v>
      </c>
      <c r="I19" t="s">
        <v>163</v>
      </c>
    </row>
    <row r="20" spans="1:9" x14ac:dyDescent="0.25">
      <c r="A20" t="s">
        <v>23</v>
      </c>
      <c r="B20" s="42">
        <f>'Raw Temperature Breakdown'!D16/SUM('Raw Temperature Breakdown'!$D16:$G16)</f>
        <v>0.32558139534883723</v>
      </c>
      <c r="C20" s="42">
        <f>'Raw Temperature Breakdown'!E16/SUM('Raw Temperature Breakdown'!$D16:$G16)</f>
        <v>0.20930232558139533</v>
      </c>
      <c r="D20" s="42">
        <f>'Raw Temperature Breakdown'!F16/SUM('Raw Temperature Breakdown'!$D16:$G16)</f>
        <v>0.20930232558139533</v>
      </c>
      <c r="E20" s="52">
        <f>'Raw Temperature Breakdown'!G16/SUM('Raw Temperature Breakdown'!$D16:$G16)</f>
        <v>0.2558139534883721</v>
      </c>
      <c r="F20" s="46">
        <f t="shared" si="0"/>
        <v>0.37093023255813956</v>
      </c>
      <c r="G20" s="46">
        <f t="shared" si="1"/>
        <v>0.163953488372093</v>
      </c>
      <c r="H20" s="54">
        <f t="shared" si="2"/>
        <v>0.46511627906976744</v>
      </c>
      <c r="I20" t="s">
        <v>163</v>
      </c>
    </row>
    <row r="21" spans="1:9" x14ac:dyDescent="0.25">
      <c r="A21" t="s">
        <v>24</v>
      </c>
      <c r="B21" s="42">
        <f>'Raw Temperature Breakdown'!D16/SUM('Raw Temperature Breakdown'!$D16:$G16)</f>
        <v>0.32558139534883723</v>
      </c>
      <c r="C21" s="42">
        <f>'Raw Temperature Breakdown'!E16/SUM('Raw Temperature Breakdown'!$D16:$G16)</f>
        <v>0.20930232558139533</v>
      </c>
      <c r="D21" s="42">
        <f>'Raw Temperature Breakdown'!F16/SUM('Raw Temperature Breakdown'!$D16:$G16)</f>
        <v>0.20930232558139533</v>
      </c>
      <c r="E21" s="52">
        <f>'Raw Temperature Breakdown'!G16/SUM('Raw Temperature Breakdown'!$D16:$G16)</f>
        <v>0.2558139534883721</v>
      </c>
      <c r="F21" s="46">
        <f t="shared" si="0"/>
        <v>0.37093023255813956</v>
      </c>
      <c r="G21" s="46">
        <f t="shared" si="1"/>
        <v>0.163953488372093</v>
      </c>
      <c r="H21" s="54">
        <f t="shared" si="2"/>
        <v>0.46511627906976744</v>
      </c>
      <c r="I21" t="s">
        <v>163</v>
      </c>
    </row>
    <row r="22" spans="1:9" x14ac:dyDescent="0.25">
      <c r="A22" t="s">
        <v>25</v>
      </c>
      <c r="B22" s="42">
        <f>'Raw Temperature Breakdown'!D13/SUM('Raw Temperature Breakdown'!$D13:$G13)</f>
        <v>0.41860465116279066</v>
      </c>
      <c r="C22" s="42">
        <f>'Raw Temperature Breakdown'!E13/SUM('Raw Temperature Breakdown'!$D13:$G13)</f>
        <v>0.39534883720930236</v>
      </c>
      <c r="D22" s="42">
        <f>'Raw Temperature Breakdown'!F13/SUM('Raw Temperature Breakdown'!$D13:$G13)</f>
        <v>0</v>
      </c>
      <c r="E22" s="52">
        <f>'Raw Temperature Breakdown'!G13/SUM('Raw Temperature Breakdown'!$D13:$G13)</f>
        <v>0.18604651162790697</v>
      </c>
      <c r="F22" s="46">
        <f t="shared" si="0"/>
        <v>0.50426356589147281</v>
      </c>
      <c r="G22" s="46">
        <f t="shared" si="1"/>
        <v>0.30968992248062016</v>
      </c>
      <c r="H22" s="54">
        <f t="shared" si="2"/>
        <v>0.18604651162790697</v>
      </c>
    </row>
    <row r="23" spans="1:9" x14ac:dyDescent="0.25">
      <c r="A23" t="s">
        <v>26</v>
      </c>
      <c r="B23" s="42">
        <f>'Raw Temperature Breakdown'!D13/SUM('Raw Temperature Breakdown'!$D13:$G13)</f>
        <v>0.41860465116279066</v>
      </c>
      <c r="C23" s="42">
        <f>'Raw Temperature Breakdown'!E13/SUM('Raw Temperature Breakdown'!$D13:$G13)</f>
        <v>0.39534883720930236</v>
      </c>
      <c r="D23" s="42">
        <f>'Raw Temperature Breakdown'!F13/SUM('Raw Temperature Breakdown'!$D13:$G13)</f>
        <v>0</v>
      </c>
      <c r="E23" s="52">
        <f>'Raw Temperature Breakdown'!G13/SUM('Raw Temperature Breakdown'!$D13:$G13)</f>
        <v>0.18604651162790697</v>
      </c>
      <c r="F23" s="46">
        <f t="shared" si="0"/>
        <v>0.50426356589147281</v>
      </c>
      <c r="G23" s="46">
        <f t="shared" si="1"/>
        <v>0.30968992248062016</v>
      </c>
      <c r="H23" s="54">
        <f t="shared" si="2"/>
        <v>0.18604651162790697</v>
      </c>
    </row>
    <row r="24" spans="1:9" x14ac:dyDescent="0.25">
      <c r="A24" t="s">
        <v>27</v>
      </c>
      <c r="B24" s="42">
        <f>'Raw Temperature Breakdown'!D16/SUM('Raw Temperature Breakdown'!$D16:$G16)</f>
        <v>0.32558139534883723</v>
      </c>
      <c r="C24" s="42">
        <f>'Raw Temperature Breakdown'!E16/SUM('Raw Temperature Breakdown'!$D16:$G16)</f>
        <v>0.20930232558139533</v>
      </c>
      <c r="D24" s="42">
        <f>'Raw Temperature Breakdown'!F16/SUM('Raw Temperature Breakdown'!$D16:$G16)</f>
        <v>0.20930232558139533</v>
      </c>
      <c r="E24" s="52">
        <f>'Raw Temperature Breakdown'!G16/SUM('Raw Temperature Breakdown'!$D16:$G16)</f>
        <v>0.2558139534883721</v>
      </c>
      <c r="F24" s="46">
        <f t="shared" si="0"/>
        <v>0.37093023255813956</v>
      </c>
      <c r="G24" s="46">
        <f t="shared" si="1"/>
        <v>0.163953488372093</v>
      </c>
      <c r="H24" s="54">
        <f t="shared" si="2"/>
        <v>0.46511627906976744</v>
      </c>
      <c r="I24" t="s">
        <v>163</v>
      </c>
    </row>
    <row r="25" spans="1:9" x14ac:dyDescent="0.25">
      <c r="A25" t="s">
        <v>28</v>
      </c>
      <c r="B25" s="42">
        <v>1</v>
      </c>
      <c r="C25" s="42">
        <v>0</v>
      </c>
      <c r="D25" s="42">
        <v>0</v>
      </c>
      <c r="E25" s="52">
        <v>0</v>
      </c>
      <c r="F25" s="46">
        <f t="shared" si="0"/>
        <v>1</v>
      </c>
      <c r="G25" s="46">
        <f t="shared" si="1"/>
        <v>0</v>
      </c>
      <c r="H25" s="54">
        <f t="shared" si="2"/>
        <v>0</v>
      </c>
      <c r="I25" t="s">
        <v>161</v>
      </c>
    </row>
    <row r="26" spans="1:9" x14ac:dyDescent="0.25">
      <c r="A26" t="s">
        <v>29</v>
      </c>
      <c r="B26" s="42">
        <v>1</v>
      </c>
      <c r="C26" s="42">
        <v>0</v>
      </c>
      <c r="D26" s="42">
        <v>0</v>
      </c>
      <c r="E26" s="52">
        <v>0</v>
      </c>
      <c r="F26" s="46">
        <f t="shared" si="0"/>
        <v>1</v>
      </c>
      <c r="G26" s="46">
        <f t="shared" si="1"/>
        <v>0</v>
      </c>
      <c r="H26" s="54">
        <f t="shared" si="2"/>
        <v>0</v>
      </c>
      <c r="I26" t="s">
        <v>161</v>
      </c>
    </row>
    <row r="27" spans="1:9" x14ac:dyDescent="0.25">
      <c r="A27" t="s">
        <v>30</v>
      </c>
      <c r="B27" s="42">
        <v>1</v>
      </c>
      <c r="C27" s="42">
        <v>0</v>
      </c>
      <c r="D27" s="42">
        <v>0</v>
      </c>
      <c r="E27" s="52">
        <v>0</v>
      </c>
      <c r="F27" s="46">
        <f t="shared" si="0"/>
        <v>1</v>
      </c>
      <c r="G27" s="46">
        <f t="shared" si="1"/>
        <v>0</v>
      </c>
      <c r="H27" s="54">
        <f t="shared" si="2"/>
        <v>0</v>
      </c>
      <c r="I27" t="s">
        <v>161</v>
      </c>
    </row>
  </sheetData>
  <mergeCells count="2">
    <mergeCell ref="B1:E1"/>
    <mergeCell ref="F1:H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868B-3DD4-41EA-A995-EF8F83B3CA58}">
  <sheetPr>
    <tabColor theme="4" tint="-0.249977111117893"/>
  </sheetPr>
  <dimension ref="A1:I29"/>
  <sheetViews>
    <sheetView workbookViewId="0">
      <selection activeCell="C31" sqref="C31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SUMPRODUCT('Summed Data by Industry NEW'!$C$5:$AX$29*('Summed Data by Industry NEW'!$B$5:$B$29=$A2)*('Summed Data by Industry NEW'!$C$4:$AX$4=B$1)*('Summed Data by Industry NEW'!$C$2:$AX$2=$A$29))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0.77605095946370173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0.22394904053629833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1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1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4.2801556420233464E-2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2.1759619541720707E-2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3.2715088629485516E-2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0.33073929961089493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0.54474708171206221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3.8910505836575876E-3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2.3346303501945526E-2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3.5714285714285712E-2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4.1926406926406923E-2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2.9502164502164495E-2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7.1428571428571425E-2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0.8214285714285714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3.4482758620689655E-2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3.1947261663286007E-2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7.1501014198782964E-2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1.7241379310344827E-2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0.81034482758620685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1.7241379310344827E-2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1.7241379310344827E-2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2.4390243902439025E-2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2.3392953929539301E-2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2.3436314363143636E-2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1.9512195121951222E-3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4.2682926829268296E-2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0.86585365853658536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6.0975609756097563E-3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1.2195121951219513E-2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4.5751633986928102E-2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0.92156862745098034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2.6143790849673203E-2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6.5359477124183009E-3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3.3980582524271843E-2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1.2274396315658452E-2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3.0201331839681361E-2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8.4951456310679626E-3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0.10436893203883495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0.67475728155339809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0.12135922330097088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1.4563106796116505E-2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4.6511627906976744E-2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2.9401460942158619E-2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7.2342725104353023E-2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2.0348837209302327E-2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0.13953488372093023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0.66279069767441856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2.9069767441860465E-2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0.53333333333333333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0.13333333333333333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0.33333333333333331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5.7142857142857143E-3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9.7959183673469383E-3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0.21306122448979592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5.7142857142857141E-2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0.67428571428571427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2.2857142857142857E-2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1.7142857142857144E-2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2.5875037609066295E-3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2.8282017851770139E-3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0.31411092167285132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1.7751479289940832E-2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0.48295691307608973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7.9173264438703247E-2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0.10059171597633138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2.2296296296296293E-2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2.4370370370370369E-2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0.10888888888888888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2.2222222222222223E-2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0.28304093567251459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0.49473684210526314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4.4444444444444446E-2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9.9009900990099011E-3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8.0796684319594761E-2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3.5712641031545013E-2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0.10131245682707805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2.9702970297029702E-2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0.65346534653465349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2.9702970297029702E-2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5.9405940594059403E-2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1.6949152542372881E-2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3.1434765471028775E-2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1.3894363421363813E-2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3.9416633819471816E-2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0.20338983050847459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0.33898305084745761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1.6949152542372881E-2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0.33898305084745761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7.4186046511627912E-2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3.2790697674418605E-2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9.3023255813953487E-2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0.04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0.6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0.12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0.04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3.6188315371525809E-2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1.5995462280204195E-2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4.537719795802609E-2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7.3170731707317069E-2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0.75609756097560976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7.3170731707317069E-2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5.5555555555555552E-2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2.8014642549526264E-2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1.7204995693367788E-2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1.0335917312661497E-2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0.1111111111111111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0.72222222222222221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5.5555555555555552E-2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0.1186502507979936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7.2868217054263565E-2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4.3775649794801641E-2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0.17647058823529413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0.52941176470588236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5.8823529411764705E-2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1.2790697674418606E-2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5.6535685645549309E-3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1.6038492381716118E-2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6.8965517241379309E-2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0.82758620689655171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6.8965517241379309E-2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1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1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5114-BF98-4D2A-A7EA-F60E1C0871EF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0.24081196581196584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0.59252136752136764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0.16666666666666669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0.68167733939268749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0.31832266060731257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0.87037037037037035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4.4382716049382709E-2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6.6728395061728382E-2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1.8518518518518517E-2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1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0.65384615384615385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1.8523997370151219E-2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4.5578566732412895E-2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1.2820512820512822E-2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0.26923076923076922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4.3500540909867332E-2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0.94613676478961439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1.0362694300518135E-2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0.22222222222222221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4.498849131617493E-3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4.9173467252563293E-3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0.54613935969868177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0.22222222222222221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0BE5-F7BB-48C4-95A1-FA2CA594BB2C}">
  <sheetPr>
    <tabColor theme="4" tint="-0.249977111117893"/>
  </sheetPr>
  <dimension ref="A1:I29"/>
  <sheetViews>
    <sheetView workbookViewId="0">
      <selection activeCell="C2" sqref="C2:C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1.7840735751942411E-3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0.77686591795045634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0.18681034405858898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3.4539664415760507E-2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1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0.27230210524905191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0.17523836055220482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0.43117655174025199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0.12128298245849135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5.1857667665047937E-2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0.94814233233495215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0.66129032258064513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0.10853391232423489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0.16317824648469809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1.8610421836228287E-2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2.9776674937965261E-2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1.8610421836228287E-2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0.4642857142857143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0.29348484848484846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0.20651515151515148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3.5714285714285712E-2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0.23943661971830985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0.21748135874067936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0.4867439933719967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2.8169014084507043E-2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2.8169014084507043E-2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0.69308600337268134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0.12373018549747052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0.12395952782462061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1.0320404721753796E-2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3.3726812816188868E-3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4.0472175379426642E-2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5.0590219224283303E-3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0.33270321361058602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0.14293942772203644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0.35170455463461142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9.8928796471329558E-2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5.6710775047258983E-3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1.4177693761814745E-2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5.3875236294896031E-2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0.57599999999999996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7.4266410256410273E-2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0.18273358974358977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5.1400000000000008E-2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4.4000000000000003E-3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5.04E-2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6.08E-2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0.53749999999999998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8.1274038461538481E-2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0.19997596153846159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5.6250000000000008E-2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8.7499999999999994E-2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3.7499999999999999E-2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2.6666666666666668E-2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0.88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2.6666666666666668E-2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6.6666666666666666E-2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4.0712468193384227E-2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3.9146604032100213E-2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0.85143863769817962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1.0178117048346057E-2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5.0890585241730277E-2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7.6335877862595417E-3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0.12129380053908356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6.3953990081268616E-3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6.9903198460921512E-3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0.77637169354470281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5.3908355795148251E-3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1.078167115902965E-2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7.277628032345014E-2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0.15646258503401361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0.11018140589569159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0.12043083900226756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0.53809523809523807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5.4421768707482991E-2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2.0408163265306121E-2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0.22077922077922077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0.2810077519379845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0.12420718816067651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0.35236081747709652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1.2987012987012988E-2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8.658008658008658E-3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0.5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0.11591569767441862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5.1235465116279064E-2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0.14534883720930233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0.125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6.25E-2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0.20833333333333334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0.24728682170542637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0.10930232558139533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0.31007751937984496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8.3333333333333329E-2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4.1666666666666664E-2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0.16666666666666666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0.24728682170542637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0.10930232558139533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0.31007751937984496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3.3333333333333333E-2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0.1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3.3333333333333333E-2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0.13793103448275862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0.41732157177225337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0.2562951082598236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0.15396952686447474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3.4482758620689655E-2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0.5625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0.18909883720930232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0.11613372093023255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6.9767441860465115E-2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6.25E-2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0.22222222222222221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0.28850129198966412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0.12751937984496123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0.36175710594315247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1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15B46-B35B-4950-B177-458870A2036A}">
  <sheetPr>
    <tabColor theme="4" tint="-0.249977111117893"/>
  </sheetPr>
  <dimension ref="A1:I29"/>
  <sheetViews>
    <sheetView zoomScaleNormal="100"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0.23817406472207264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0.76182593527792741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0.24081196581196584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0.59252136752136764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0.16666666666666669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1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1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0.5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0.23977777777777781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0.24022222222222225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0.02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4.3956043956043953E-2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0.95604395604395598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1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20B72-FC55-45B6-9B1E-52E62D063E24}">
  <sheetPr>
    <tabColor theme="4" tint="-0.249977111117893"/>
  </sheetPr>
  <dimension ref="A1:I29"/>
  <sheetViews>
    <sheetView workbookViewId="0">
      <selection activeCell="I14" sqref="A14:I14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0.22205433247877454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3.5686643867239513E-2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0.74225902365398611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0.19422598327167384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0.80577401672832616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0.19422598327167384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0.80577401672832616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1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0.33333333333333331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0.10294117647058823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0.23039215686274511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0.33333333333333331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8.0270655270655272E-2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0.19750712250712255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5.5555555555555559E-2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0.66666666666666663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0.6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0.2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4.8840048840048831E-3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0.10622710622710621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0.33333333333333331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0.55555555555555558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1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0.19337853795706716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0.80662146204293284</v>
      </c>
    </row>
    <row r="28" spans="1:9" x14ac:dyDescent="0.25">
      <c r="A28" s="48" t="s">
        <v>512</v>
      </c>
    </row>
    <row r="29" spans="1:9" x14ac:dyDescent="0.25">
      <c r="A29" t="s">
        <v>507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698D-EA4F-4536-88F7-5D289E6B0A48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EFEE-A469-46CE-A486-2180955AA6F2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AA73-B724-4350-9DE2-77EECC26AF4D}">
  <sheetPr>
    <tabColor theme="4" tint="-0.249977111117893"/>
  </sheetPr>
  <dimension ref="A1:I29"/>
  <sheetViews>
    <sheetView workbookViewId="0">
      <selection activeCell="B9" sqref="B9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1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0.24081196581196584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0.59252136752136764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0.16666666666666669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F85-94A1-4B3C-B2B6-80DF9FA297E0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0.91029857709353856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1.7424772568229527E-2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7.2276650338231857E-2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0.5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0.19972222222222219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0.30027777777777775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0.17241379310344829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0.19098880047155914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0.46993073975832605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0.13218390804597704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3.4482758620689655E-2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0.23076923076923078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0.12966798159105852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0.31904996712689027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8.9743589743589744E-2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0.23076923076923078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1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4.3956043956043953E-2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0.95604395604395598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0.5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7.1666666666666656E-2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7.8333333333333324E-2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0.35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1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0.37093023255813956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0.163953488372093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0.46511627906976744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0.19337853795706714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0.80662146204293284</v>
      </c>
    </row>
    <row r="28" spans="1:9" x14ac:dyDescent="0.25">
      <c r="A28" s="48" t="s">
        <v>512</v>
      </c>
    </row>
    <row r="29" spans="1:9" x14ac:dyDescent="0.25">
      <c r="A29" t="s">
        <v>509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3EBF7-C063-4CF8-AC0E-349A70E38CAF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5A1-D8AD-4A51-BF4E-24ECC9996E24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AAA2D-5EEE-41D8-8922-790C0092AEF9}">
  <sheetPr>
    <tabColor theme="4" tint="-0.249977111117893"/>
  </sheetPr>
  <dimension ref="A1:I29"/>
  <sheetViews>
    <sheetView workbookViewId="0">
      <selection activeCell="C2" sqref="C2:E26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2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2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2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2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2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2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2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2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2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2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2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2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2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2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2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2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2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2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2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2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2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2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2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2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25">
      <c r="A28" s="48" t="s">
        <v>512</v>
      </c>
    </row>
    <row r="29" spans="1:9" x14ac:dyDescent="0.25">
      <c r="A29" t="s">
        <v>524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EC72-A646-472F-997F-4BF3BE195462}">
  <sheetPr>
    <tabColor theme="4" tint="-0.249977111117893"/>
  </sheetPr>
  <dimension ref="A1:I13"/>
  <sheetViews>
    <sheetView workbookViewId="0">
      <selection activeCell="B11" sqref="B11"/>
    </sheetView>
  </sheetViews>
  <sheetFormatPr defaultRowHeight="15" x14ac:dyDescent="0.25"/>
  <cols>
    <col min="1" max="1" width="48.42578125" customWidth="1"/>
    <col min="2" max="9" width="15.140625" customWidth="1"/>
  </cols>
  <sheetData>
    <row r="1" spans="1:9" s="39" customFormat="1" ht="30" x14ac:dyDescent="0.2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25">
      <c r="A2" t="s">
        <v>505</v>
      </c>
      <c r="B2">
        <f ca="1">SUM('BPFUbIP-electricity'!B$2:B$26)/SUM('BPFUbIP-electricity'!$B$2:$I$26)</f>
        <v>1.2240041560004817E-2</v>
      </c>
      <c r="C2">
        <f ca="1">SUM('BPFUbIP-electricity'!C$2:C$26)/SUM('BPFUbIP-electricity'!$B$2:$I$26)</f>
        <v>5.4139767196109474E-2</v>
      </c>
      <c r="D2">
        <f ca="1">SUM('BPFUbIP-electricity'!D$2:D$26)/SUM('BPFUbIP-electricity'!$B$2:$I$26)</f>
        <v>1.9240686260515047E-2</v>
      </c>
      <c r="E2">
        <f ca="1">SUM('BPFUbIP-electricity'!E$2:E$26)/SUM('BPFUbIP-electricity'!$B$2:$I$26)</f>
        <v>6.1978766985805719E-2</v>
      </c>
      <c r="F2">
        <f ca="1">SUM('BPFUbIP-electricity'!F$2:F$26)/SUM('BPFUbIP-electricity'!$B$2:$I$26)</f>
        <v>6.7400330720589249E-2</v>
      </c>
      <c r="G2">
        <f ca="1">SUM('BPFUbIP-electricity'!G$2:G$26)/SUM('BPFUbIP-electricity'!$B$2:$I$26)</f>
        <v>0.70907291340114165</v>
      </c>
      <c r="H2">
        <f ca="1">SUM('BPFUbIP-electricity'!H$2:H$26)/SUM('BPFUbIP-electricity'!$B$2:$I$26)</f>
        <v>3.7526095090430707E-2</v>
      </c>
      <c r="I2">
        <f ca="1">SUM('BPFUbIP-electricity'!I$2:I$26)/SUM('BPFUbIP-electricity'!$B$2:$I$26)</f>
        <v>3.8401398785402857E-2</v>
      </c>
    </row>
    <row r="3" spans="1:9" x14ac:dyDescent="0.25">
      <c r="A3" t="s">
        <v>510</v>
      </c>
      <c r="B3">
        <f ca="1">SUM('BPFUbIP-hard-coal'!B$2:B$26)/SUM('BPFUbIP-hard-coal'!$B$2:$I$26)</f>
        <v>0.44281160858314339</v>
      </c>
      <c r="C3">
        <f ca="1">SUM('BPFUbIP-hard-coal'!C$2:C$26)/SUM('BPFUbIP-hard-coal'!$B$2:$I$26)</f>
        <v>6.7004072988029711E-2</v>
      </c>
      <c r="D3">
        <f ca="1">SUM('BPFUbIP-hard-coal'!D$2:D$26)/SUM('BPFUbIP-hard-coal'!$B$2:$I$26)</f>
        <v>7.0974567604076527E-2</v>
      </c>
      <c r="E3">
        <f ca="1">SUM('BPFUbIP-hard-coal'!E$2:E$26)/SUM('BPFUbIP-hard-coal'!$B$2:$I$26)</f>
        <v>0.16717633039754759</v>
      </c>
      <c r="F3">
        <f ca="1">SUM('BPFUbIP-hard-coal'!F$2:F$26)/SUM('BPFUbIP-hard-coal'!$B$2:$I$26)</f>
        <v>0</v>
      </c>
      <c r="G3">
        <f ca="1">SUM('BPFUbIP-hard-coal'!G$2:G$26)/SUM('BPFUbIP-hard-coal'!$B$2:$I$26)</f>
        <v>0.10288812128190365</v>
      </c>
      <c r="H3">
        <f ca="1">SUM('BPFUbIP-hard-coal'!H$2:H$26)/SUM('BPFUbIP-hard-coal'!$B$2:$I$26)</f>
        <v>0</v>
      </c>
      <c r="I3">
        <f ca="1">SUM('BPFUbIP-hard-coal'!I$2:I$26)/SUM('BPFUbIP-hard-coal'!$B$2:$I$26)</f>
        <v>0.14914529914529914</v>
      </c>
    </row>
    <row r="4" spans="1:9" x14ac:dyDescent="0.25">
      <c r="A4" t="s">
        <v>508</v>
      </c>
      <c r="B4">
        <f ca="1">SUM('BPFUbIP-natural-gas'!B$2:B$26)/SUM('BPFUbIP-natural-gas'!$B$2:$I$26)</f>
        <v>0.2877525487189832</v>
      </c>
      <c r="C4">
        <f ca="1">SUM('BPFUbIP-natural-gas'!C$2:C$26)/SUM('BPFUbIP-natural-gas'!$B$2:$I$26)</f>
        <v>0.27536395981020906</v>
      </c>
      <c r="D4">
        <f ca="1">SUM('BPFUbIP-natural-gas'!D$2:D$26)/SUM('BPFUbIP-natural-gas'!$B$2:$I$26)</f>
        <v>0.12669616996706015</v>
      </c>
      <c r="E4">
        <f ca="1">SUM('BPFUbIP-natural-gas'!E$2:E$26)/SUM('BPFUbIP-natural-gas'!$B$2:$I$26)</f>
        <v>0.20349786084415503</v>
      </c>
      <c r="F4">
        <f ca="1">SUM('BPFUbIP-natural-gas'!F$2:F$26)/SUM('BPFUbIP-natural-gas'!$B$2:$I$26)</f>
        <v>4.3049253300173574E-3</v>
      </c>
      <c r="G4">
        <f ca="1">SUM('BPFUbIP-natural-gas'!G$2:G$26)/SUM('BPFUbIP-natural-gas'!$B$2:$I$26)</f>
        <v>7.9084049041273752E-2</v>
      </c>
      <c r="H4">
        <f ca="1">SUM('BPFUbIP-natural-gas'!H$2:H$26)/SUM('BPFUbIP-natural-gas'!$B$2:$I$26)</f>
        <v>0</v>
      </c>
      <c r="I4">
        <f ca="1">SUM('BPFUbIP-natural-gas'!I$2:I$26)/SUM('BPFUbIP-natural-gas'!$B$2:$I$26)</f>
        <v>2.3300486288301371E-2</v>
      </c>
    </row>
    <row r="5" spans="1:9" x14ac:dyDescent="0.25">
      <c r="A5" t="s">
        <v>511</v>
      </c>
      <c r="B5">
        <f ca="1">SUM('BPFUbIP-biomass'!B$2:B$26)/SUM('BPFUbIP-biomass'!$B$2:$I$26)</f>
        <v>0.52646378496911916</v>
      </c>
      <c r="C5">
        <f ca="1">SUM('BPFUbIP-biomass'!C$2:C$26)/SUM('BPFUbIP-biomass'!$B$2:$I$26)</f>
        <v>0.14293019142485724</v>
      </c>
      <c r="D5">
        <f ca="1">SUM('BPFUbIP-biomass'!D$2:D$26)/SUM('BPFUbIP-biomass'!$B$2:$I$26)</f>
        <v>9.2527065527065536E-2</v>
      </c>
      <c r="E5">
        <f ca="1">SUM('BPFUbIP-biomass'!E$2:E$26)/SUM('BPFUbIP-biomass'!$B$2:$I$26)</f>
        <v>0.12696784696784696</v>
      </c>
      <c r="F5">
        <f ca="1">SUM('BPFUbIP-biomass'!F$2:F$26)/SUM('BPFUbIP-biomass'!$B$2:$I$26)</f>
        <v>0</v>
      </c>
      <c r="G5">
        <f ca="1">SUM('BPFUbIP-biomass'!G$2:G$26)/SUM('BPFUbIP-biomass'!$B$2:$I$26)</f>
        <v>0.1111111111111111</v>
      </c>
      <c r="H5">
        <f ca="1">SUM('BPFUbIP-biomass'!H$2:H$26)/SUM('BPFUbIP-biomass'!$B$2:$I$26)</f>
        <v>0</v>
      </c>
      <c r="I5">
        <f ca="1">SUM('BPFUbIP-biomass'!I$2:I$26)/SUM('BPFUbIP-biomass'!$B$2:$I$26)</f>
        <v>0</v>
      </c>
    </row>
    <row r="6" spans="1:9" x14ac:dyDescent="0.25">
      <c r="A6" t="s">
        <v>507</v>
      </c>
      <c r="B6">
        <f ca="1">SUM('BPFUbIP-petroleum-diesel'!B$2:B$26)/SUM('BPFUbIP-petroleum-diesel'!$B$2:$I$26)</f>
        <v>0.28095238095238095</v>
      </c>
      <c r="C6">
        <f ca="1">SUM('BPFUbIP-petroleum-diesel'!C$2:C$26)/SUM('BPFUbIP-petroleum-diesel'!$B$2:$I$26)</f>
        <v>2.9296440650287355E-2</v>
      </c>
      <c r="D6">
        <f ca="1">SUM('BPFUbIP-petroleum-diesel'!D$2:D$26)/SUM('BPFUbIP-petroleum-diesel'!$B$2:$I$26)</f>
        <v>3.0564234240704837E-2</v>
      </c>
      <c r="E6">
        <f ca="1">SUM('BPFUbIP-petroleum-diesel'!E$2:E$26)/SUM('BPFUbIP-petroleum-diesel'!$B$2:$I$26)</f>
        <v>1.1555904413047271E-2</v>
      </c>
      <c r="F6">
        <f ca="1">SUM('BPFUbIP-petroleum-diesel'!F$2:F$26)/SUM('BPFUbIP-petroleum-diesel'!$B$2:$I$26)</f>
        <v>0</v>
      </c>
      <c r="G6">
        <f ca="1">SUM('BPFUbIP-petroleum-diesel'!G$2:G$26)/SUM('BPFUbIP-petroleum-diesel'!$B$2:$I$26)</f>
        <v>0.29648932012149914</v>
      </c>
      <c r="H6">
        <f ca="1">SUM('BPFUbIP-petroleum-diesel'!H$2:H$26)/SUM('BPFUbIP-petroleum-diesel'!$B$2:$I$26)</f>
        <v>0</v>
      </c>
      <c r="I6">
        <f ca="1">SUM('BPFUbIP-petroleum-diesel'!I$2:I$26)/SUM('BPFUbIP-petroleum-diesel'!$B$2:$I$26)</f>
        <v>0.35114171962208052</v>
      </c>
    </row>
    <row r="7" spans="1:9" x14ac:dyDescent="0.25">
      <c r="A7" t="s">
        <v>513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514</v>
      </c>
      <c r="B8">
        <f ca="1">B9</f>
        <v>0.5</v>
      </c>
      <c r="C8">
        <f t="shared" ref="C8:I8" ca="1" si="0">C9</f>
        <v>4.0135327635327643E-2</v>
      </c>
      <c r="D8">
        <f t="shared" ca="1" si="0"/>
        <v>9.8753561253561273E-2</v>
      </c>
      <c r="E8">
        <f t="shared" ca="1" si="0"/>
        <v>2.777777777777778E-2</v>
      </c>
      <c r="F8">
        <f t="shared" ca="1" si="0"/>
        <v>0</v>
      </c>
      <c r="G8">
        <f t="shared" ca="1" si="0"/>
        <v>0.33333333333333331</v>
      </c>
      <c r="H8">
        <f t="shared" ca="1" si="0"/>
        <v>0</v>
      </c>
      <c r="I8">
        <f t="shared" ca="1" si="0"/>
        <v>0</v>
      </c>
    </row>
    <row r="9" spans="1:9" x14ac:dyDescent="0.25">
      <c r="A9" t="s">
        <v>506</v>
      </c>
      <c r="B9">
        <f ca="1">SUM('BPFUbIP-hvy-resid-fuel-oil'!B$2:B$26)/SUM('BPFUbIP-hvy-resid-fuel-oil'!$B$2:$I$26)</f>
        <v>0.5</v>
      </c>
      <c r="C9">
        <f ca="1">SUM('BPFUbIP-hvy-resid-fuel-oil'!C$2:C$26)/SUM('BPFUbIP-hvy-resid-fuel-oil'!$B$2:$I$26)</f>
        <v>4.0135327635327643E-2</v>
      </c>
      <c r="D9">
        <f ca="1">SUM('BPFUbIP-hvy-resid-fuel-oil'!D$2:D$26)/SUM('BPFUbIP-hvy-resid-fuel-oil'!$B$2:$I$26)</f>
        <v>9.8753561253561273E-2</v>
      </c>
      <c r="E9">
        <f ca="1">SUM('BPFUbIP-hvy-resid-fuel-oil'!E$2:E$26)/SUM('BPFUbIP-hvy-resid-fuel-oil'!$B$2:$I$26)</f>
        <v>2.777777777777778E-2</v>
      </c>
      <c r="F9">
        <f ca="1">SUM('BPFUbIP-hvy-resid-fuel-oil'!F$2:F$26)/SUM('BPFUbIP-hvy-resid-fuel-oil'!$B$2:$I$26)</f>
        <v>0</v>
      </c>
      <c r="G9">
        <f ca="1">SUM('BPFUbIP-hvy-resid-fuel-oil'!G$2:G$26)/SUM('BPFUbIP-hvy-resid-fuel-oil'!$B$2:$I$26)</f>
        <v>0.33333333333333331</v>
      </c>
      <c r="H9">
        <f ca="1">SUM('BPFUbIP-hvy-resid-fuel-oil'!H$2:H$26)/SUM('BPFUbIP-hvy-resid-fuel-oil'!$B$2:$I$26)</f>
        <v>0</v>
      </c>
      <c r="I9">
        <f ca="1">SUM('BPFUbIP-hvy-resid-fuel-oil'!I$2:I$26)/SUM('BPFUbIP-hvy-resid-fuel-oil'!$B$2:$I$26)</f>
        <v>0</v>
      </c>
    </row>
    <row r="10" spans="1:9" x14ac:dyDescent="0.25">
      <c r="A10" t="s">
        <v>509</v>
      </c>
      <c r="B10">
        <f ca="1">SUM('BPFUbIP-LPG'!B$2:B$26)/SUM('BPFUbIP-LPG'!$B$2:$I$26)</f>
        <v>0.20026525198938994</v>
      </c>
      <c r="C10">
        <f ca="1">SUM('BPFUbIP-LPG'!C$2:C$26)/SUM('BPFUbIP-LPG'!$B$2:$I$26)</f>
        <v>0.15976921037993572</v>
      </c>
      <c r="D10">
        <f ca="1">SUM('BPFUbIP-LPG'!D$2:D$26)/SUM('BPFUbIP-LPG'!$B$2:$I$26)</f>
        <v>0.11096210886403503</v>
      </c>
      <c r="E10">
        <f ca="1">SUM('BPFUbIP-LPG'!E$2:E$26)/SUM('BPFUbIP-LPG'!$B$2:$I$26)</f>
        <v>0.16609064440860752</v>
      </c>
      <c r="F10">
        <f ca="1">SUM('BPFUbIP-LPG'!F$2:F$26)/SUM('BPFUbIP-LPG'!$B$2:$I$26)</f>
        <v>0</v>
      </c>
      <c r="G10">
        <f ca="1">SUM('BPFUbIP-LPG'!G$2:G$26)/SUM('BPFUbIP-LPG'!$B$2:$I$26)</f>
        <v>0.27044050576216555</v>
      </c>
      <c r="H10">
        <f ca="1">SUM('BPFUbIP-LPG'!H$2:H$26)/SUM('BPFUbIP-LPG'!$B$2:$I$26)</f>
        <v>0</v>
      </c>
      <c r="I10">
        <f ca="1">SUM('BPFUbIP-LPG'!I$2:I$26)/SUM('BPFUbIP-LPG'!$B$2:$I$26)</f>
        <v>9.2472278595866306E-2</v>
      </c>
    </row>
    <row r="11" spans="1:9" x14ac:dyDescent="0.25">
      <c r="A11" t="s">
        <v>515</v>
      </c>
      <c r="B11">
        <v>0.1</v>
      </c>
      <c r="C11">
        <v>0</v>
      </c>
      <c r="D11">
        <v>0.4</v>
      </c>
      <c r="E11">
        <v>0.4</v>
      </c>
      <c r="F11">
        <v>0</v>
      </c>
      <c r="G11">
        <v>0</v>
      </c>
      <c r="H11">
        <v>0</v>
      </c>
      <c r="I11">
        <v>0.1</v>
      </c>
    </row>
    <row r="12" spans="1:9" x14ac:dyDescent="0.25">
      <c r="A12" t="s">
        <v>523</v>
      </c>
      <c r="B12">
        <v>0.1</v>
      </c>
      <c r="C12">
        <v>0</v>
      </c>
      <c r="D12">
        <v>0.4</v>
      </c>
      <c r="E12">
        <v>0.4</v>
      </c>
      <c r="F12">
        <v>0</v>
      </c>
      <c r="G12">
        <v>0</v>
      </c>
      <c r="H12">
        <v>0</v>
      </c>
      <c r="I12">
        <v>0.1</v>
      </c>
    </row>
    <row r="13" spans="1:9" x14ac:dyDescent="0.25">
      <c r="A13" t="s">
        <v>524</v>
      </c>
      <c r="B13">
        <v>0.1</v>
      </c>
      <c r="C13">
        <v>0</v>
      </c>
      <c r="D13">
        <v>0.4</v>
      </c>
      <c r="E13">
        <v>0.4</v>
      </c>
      <c r="F13">
        <v>0</v>
      </c>
      <c r="G13">
        <v>0</v>
      </c>
      <c r="H13">
        <v>0</v>
      </c>
      <c r="I1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EIA Requested Industry table</vt:lpstr>
      <vt:lpstr>Mobile vs Stationary</vt:lpstr>
      <vt:lpstr>Table 5.2</vt:lpstr>
      <vt:lpstr>Summed Data by Industry NEW</vt:lpstr>
      <vt:lpstr>Raw Temperature Breakdown</vt:lpstr>
      <vt:lpstr>Temps Mapped to EPS Industries</vt:lpstr>
      <vt:lpstr>BPFUbIP-electricity</vt:lpstr>
      <vt:lpstr>BPFUbIP-hard-coal</vt:lpstr>
      <vt:lpstr>BPFUbIP-natural-gas</vt:lpstr>
      <vt:lpstr>BPFUbIP-biomass</vt:lpstr>
      <vt:lpstr>BPFUbIP-petroleum-diesel</vt:lpstr>
      <vt:lpstr>BPFUbIP-heat</vt:lpstr>
      <vt:lpstr>BPFUbIP-crude-oil</vt:lpstr>
      <vt:lpstr>BPFUbIP-hvy-resid-fuel-oil</vt:lpstr>
      <vt:lpstr>BPFUbIP-LPG</vt:lpstr>
      <vt:lpstr>BPFUbIP-hydrogen</vt:lpstr>
      <vt:lpstr>BPFUbIP-green-hydrogen</vt:lpstr>
      <vt:lpstr>BPFUbIP-lowcarbon-hydrogen</vt:lpstr>
      <vt:lpstr>BPFUbIP-fallback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2023-07-22T00:57:51Z</dcterms:created>
  <dcterms:modified xsi:type="dcterms:W3CDTF">2025-11-13T00:14:14Z</dcterms:modified>
</cp:coreProperties>
</file>