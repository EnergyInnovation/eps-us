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Code Repositories\eps-us\InputData\indst\IECCpUAEU\"/>
    </mc:Choice>
  </mc:AlternateContent>
  <xr:revisionPtr revIDLastSave="0" documentId="13_ncr:1_{01430DE3-BD9E-441C-B0DE-36E1FFE3581D}" xr6:coauthVersionLast="47" xr6:coauthVersionMax="47" xr10:uidLastSave="{00000000-0000-0000-0000-000000000000}"/>
  <bookViews>
    <workbookView xWindow="9465" yWindow="555" windowWidth="29820" windowHeight="22665" tabRatio="762" xr2:uid="{6A73F6BA-E2AF-4EFC-B7D0-AD586970A910}"/>
  </bookViews>
  <sheets>
    <sheet name="About" sheetId="1" r:id="rId1"/>
    <sheet name="Boilers &amp; Heat Pumps" sheetId="3" r:id="rId2"/>
    <sheet name="Cooling" sheetId="4" r:id="rId3"/>
    <sheet name="NB Medium Temp" sheetId="9" r:id="rId4"/>
    <sheet name="NB High Temp" sheetId="7" r:id="rId5"/>
    <sheet name="Machine Drive" sheetId="5" r:id="rId6"/>
    <sheet name="Electrochemical" sheetId="6" r:id="rId7"/>
    <sheet name="Lighting" sheetId="13" r:id="rId8"/>
    <sheet name="Other" sheetId="10" r:id="rId9"/>
    <sheet name="Other (mobile)" sheetId="11" r:id="rId10"/>
    <sheet name="Summary" sheetId="14" r:id="rId11"/>
    <sheet name="IECCpUAEU" sheetId="2" r:id="rId12"/>
    <sheet name="IECCpUAEU-mobile"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10" i="3"/>
  <c r="D8" i="14"/>
  <c r="B27" i="3"/>
  <c r="B29" i="3" s="1"/>
  <c r="B74" i="3" l="1"/>
  <c r="B78" i="3" s="1"/>
  <c r="B80" i="3" s="1"/>
  <c r="B70" i="3"/>
  <c r="G11" i="2"/>
  <c r="M10" i="2"/>
  <c r="L10" i="2"/>
  <c r="K10" i="2"/>
  <c r="J10" i="2"/>
  <c r="I10" i="2"/>
  <c r="H10" i="2"/>
  <c r="G10" i="2"/>
  <c r="F10" i="2"/>
  <c r="E10" i="2"/>
  <c r="D10" i="2"/>
  <c r="C10" i="2"/>
  <c r="B10" i="2"/>
  <c r="G9" i="2"/>
  <c r="G8" i="2"/>
  <c r="D8" i="2"/>
  <c r="B8" i="2"/>
  <c r="M7" i="2"/>
  <c r="L7" i="2"/>
  <c r="K7" i="2"/>
  <c r="J7" i="2"/>
  <c r="I7" i="2"/>
  <c r="H7" i="2"/>
  <c r="G7" i="2"/>
  <c r="F7" i="2"/>
  <c r="E7" i="2"/>
  <c r="D7" i="2"/>
  <c r="C7" i="2"/>
  <c r="B7" i="2"/>
  <c r="J6" i="2"/>
  <c r="I6" i="2"/>
  <c r="H6" i="2"/>
  <c r="G6" i="2"/>
  <c r="F6" i="2"/>
  <c r="E6" i="2"/>
  <c r="D6" i="2"/>
  <c r="C6" i="2"/>
  <c r="B6" i="2"/>
  <c r="M5" i="2"/>
  <c r="L5" i="2"/>
  <c r="K5" i="2"/>
  <c r="G5" i="2"/>
  <c r="E5" i="2"/>
  <c r="D5" i="2"/>
  <c r="C5" i="2"/>
  <c r="B5" i="2"/>
  <c r="G4" i="2"/>
  <c r="G3" i="2"/>
  <c r="G2" i="2"/>
  <c r="M10" i="14"/>
  <c r="F10" i="14"/>
  <c r="K10" i="14" s="1"/>
  <c r="E10" i="14"/>
  <c r="D10" i="14"/>
  <c r="C10" i="14"/>
  <c r="B10" i="14"/>
  <c r="B8" i="14"/>
  <c r="K7" i="14"/>
  <c r="L7" i="14" s="1"/>
  <c r="M7" i="14" s="1"/>
  <c r="J7" i="14"/>
  <c r="F7" i="14"/>
  <c r="I7" i="14" s="1"/>
  <c r="C7" i="14"/>
  <c r="B7" i="14"/>
  <c r="D6" i="14"/>
  <c r="H6" i="14" s="1"/>
  <c r="C6" i="14"/>
  <c r="B6" i="14"/>
  <c r="K5" i="14"/>
  <c r="L5" i="14" s="1"/>
  <c r="M5" i="14" s="1"/>
  <c r="D5" i="14"/>
  <c r="C5" i="14"/>
  <c r="E5" i="14" s="1"/>
  <c r="B5" i="14"/>
  <c r="G3" i="14"/>
  <c r="G11" i="14" s="1"/>
  <c r="A83" i="3" l="1"/>
  <c r="F6" i="14"/>
  <c r="H10" i="14"/>
  <c r="J6" i="14"/>
  <c r="D7" i="14"/>
  <c r="E7" i="14"/>
  <c r="E6" i="14"/>
  <c r="I6" i="14"/>
  <c r="I10" i="14"/>
  <c r="J10" i="14"/>
  <c r="L10" i="14"/>
  <c r="H7" i="14"/>
  <c r="I39" i="13" l="1"/>
  <c r="I38" i="13"/>
  <c r="B28" i="13"/>
  <c r="I37" i="13"/>
  <c r="M19" i="13"/>
  <c r="M18" i="13"/>
  <c r="M17" i="13"/>
  <c r="M16" i="13"/>
  <c r="M15" i="13"/>
  <c r="F19" i="13"/>
  <c r="F18" i="13"/>
  <c r="F17" i="13"/>
  <c r="F16" i="13"/>
  <c r="F15" i="13"/>
  <c r="I33" i="13"/>
  <c r="G35" i="13"/>
  <c r="F35" i="13"/>
  <c r="E35" i="13"/>
  <c r="D35" i="13"/>
  <c r="C35" i="13"/>
  <c r="B35" i="13"/>
  <c r="H34" i="13"/>
  <c r="H35" i="13" s="1"/>
  <c r="I34" i="13" l="1"/>
  <c r="B27" i="13"/>
  <c r="C19" i="13"/>
  <c r="L17" i="13" s="1"/>
  <c r="D15" i="13"/>
  <c r="D16" i="13"/>
  <c r="J15" i="13" s="1"/>
  <c r="D17" i="13"/>
  <c r="J16" i="13" s="1"/>
  <c r="D18" i="13"/>
  <c r="D19" i="13"/>
  <c r="J17" i="13" s="1"/>
  <c r="C15" i="13"/>
  <c r="T11" i="13"/>
  <c r="S11" i="13"/>
  <c r="R11" i="13"/>
  <c r="Q11" i="13"/>
  <c r="P11" i="13"/>
  <c r="J18" i="13" l="1"/>
  <c r="J19" i="13" s="1"/>
  <c r="G11" i="13" l="1"/>
  <c r="F11" i="13"/>
  <c r="E11" i="13"/>
  <c r="D11" i="13"/>
  <c r="C11" i="13"/>
  <c r="O6" i="13"/>
  <c r="O11" i="13" s="1"/>
  <c r="N6" i="13"/>
  <c r="C18" i="13" s="1"/>
  <c r="M6" i="13"/>
  <c r="M11" i="13" s="1"/>
  <c r="L6" i="13"/>
  <c r="L11" i="13" s="1"/>
  <c r="K6" i="13"/>
  <c r="K11" i="13" s="1"/>
  <c r="J6" i="13"/>
  <c r="J11" i="13" s="1"/>
  <c r="I6" i="13"/>
  <c r="I11" i="13" s="1"/>
  <c r="H6" i="13"/>
  <c r="H11" i="13" s="1"/>
  <c r="B11" i="3"/>
  <c r="F39" i="11"/>
  <c r="F40" i="11" s="1"/>
  <c r="G40" i="11" s="1"/>
  <c r="A3" i="11"/>
  <c r="M30" i="11"/>
  <c r="M29" i="11"/>
  <c r="B15" i="3" l="1"/>
  <c r="B2" i="14" s="1"/>
  <c r="C16" i="13"/>
  <c r="L18" i="13" s="1"/>
  <c r="N11" i="13"/>
  <c r="C17" i="13"/>
  <c r="L16" i="13" s="1"/>
  <c r="G39" i="11"/>
  <c r="B9" i="14" l="1"/>
  <c r="B9" i="2" s="1"/>
  <c r="B2" i="2"/>
  <c r="B3" i="14"/>
  <c r="B3" i="2"/>
  <c r="L15" i="13"/>
  <c r="L19" i="13" s="1"/>
  <c r="B14" i="4"/>
  <c r="C33" i="11" l="1"/>
  <c r="E39" i="11"/>
  <c r="H39" i="11" s="1"/>
  <c r="E40" i="11"/>
  <c r="H40" i="11" s="1"/>
  <c r="E83" i="11" l="1"/>
  <c r="G83" i="11" s="1"/>
  <c r="E34" i="11"/>
  <c r="G32" i="11"/>
  <c r="G31" i="11"/>
  <c r="H31" i="11" s="1"/>
  <c r="G30" i="11"/>
  <c r="H30" i="11" s="1"/>
  <c r="G29" i="11"/>
  <c r="H29" i="11" s="1"/>
  <c r="N29" i="11" s="1"/>
  <c r="G82" i="11" l="1"/>
  <c r="H82" i="11" s="1"/>
  <c r="H83" i="11"/>
  <c r="N30" i="11"/>
  <c r="O30" i="11" s="1"/>
  <c r="A6" i="11" s="1"/>
  <c r="B2" i="12" s="1"/>
  <c r="O29" i="11"/>
  <c r="A5" i="11" s="1"/>
  <c r="B6" i="12" s="1"/>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B3" i="12" l="1"/>
  <c r="B4" i="12"/>
  <c r="B5" i="12"/>
  <c r="B11" i="12"/>
  <c r="B12" i="12" s="1"/>
  <c r="B13" i="12" s="1"/>
  <c r="B10" i="12"/>
  <c r="B9" i="12"/>
  <c r="B8" i="12"/>
  <c r="F17" i="7"/>
  <c r="F18" i="7" s="1"/>
  <c r="F19" i="7" s="1"/>
  <c r="B33" i="9"/>
  <c r="B41" i="9" s="1"/>
  <c r="C53" i="9"/>
  <c r="C54" i="9"/>
  <c r="C41" i="9"/>
  <c r="C40" i="9"/>
  <c r="F36" i="7"/>
  <c r="F38" i="7" s="1"/>
  <c r="F40" i="7" s="1"/>
  <c r="F22" i="7"/>
  <c r="B54" i="3"/>
  <c r="B58" i="3" s="1"/>
  <c r="B60" i="3" s="1"/>
  <c r="B46" i="3"/>
  <c r="B50" i="3" s="1"/>
  <c r="B23" i="10"/>
  <c r="B18" i="10"/>
  <c r="B24" i="10" s="1"/>
  <c r="D35" i="5"/>
  <c r="A63" i="3" l="1"/>
  <c r="B40" i="9"/>
  <c r="D40" i="9" s="1"/>
  <c r="B4" i="14" s="1"/>
  <c r="D41" i="9"/>
  <c r="D4" i="14" s="1"/>
  <c r="D37" i="5"/>
  <c r="D38" i="5" s="1"/>
  <c r="B4" i="2" l="1"/>
  <c r="B11" i="14"/>
  <c r="B11" i="2" s="1"/>
  <c r="K4" i="14"/>
  <c r="D4" i="2"/>
  <c r="C4" i="14"/>
  <c r="C8" i="14" s="1"/>
  <c r="F4" i="14"/>
  <c r="F8" i="14" s="1"/>
  <c r="F7" i="7"/>
  <c r="F8" i="7" s="1"/>
  <c r="B38" i="4"/>
  <c r="E7" i="10"/>
  <c r="E8" i="10" s="1"/>
  <c r="E9" i="10" s="1"/>
  <c r="E5" i="10"/>
  <c r="E3" i="10"/>
  <c r="L4" i="14" l="1"/>
  <c r="K4" i="2"/>
  <c r="E4" i="14"/>
  <c r="E4" i="2" s="1"/>
  <c r="C4" i="2"/>
  <c r="F4" i="2"/>
  <c r="J4" i="14"/>
  <c r="J4" i="2" s="1"/>
  <c r="I4" i="14"/>
  <c r="I4" i="2" s="1"/>
  <c r="H4" i="14"/>
  <c r="H4" i="2" s="1"/>
  <c r="F23" i="7"/>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N9" i="5"/>
  <c r="B44" i="4"/>
  <c r="B42" i="4"/>
  <c r="B34" i="4"/>
  <c r="B15" i="4"/>
  <c r="B21" i="4" s="1"/>
  <c r="B20" i="4"/>
  <c r="D22" i="3"/>
  <c r="D23" i="3"/>
  <c r="D21" i="3"/>
  <c r="F22" i="3"/>
  <c r="M4" i="14" l="1"/>
  <c r="M4" i="2" s="1"/>
  <c r="L4" i="2"/>
  <c r="G22" i="3"/>
  <c r="F26" i="7"/>
  <c r="F27" i="7" s="1"/>
  <c r="F28" i="7" s="1"/>
  <c r="F29" i="7" s="1"/>
  <c r="F30" i="7" s="1"/>
  <c r="L11" i="5"/>
  <c r="L17" i="5"/>
  <c r="F67" i="7"/>
  <c r="F54" i="7"/>
  <c r="F55" i="7" s="1"/>
  <c r="F56" i="7" s="1"/>
  <c r="F10" i="7"/>
  <c r="G22" i="6"/>
  <c r="G35" i="6" s="1"/>
  <c r="G21" i="6"/>
  <c r="G27" i="6"/>
  <c r="L14" i="5"/>
  <c r="L12" i="5"/>
  <c r="T13" i="5"/>
  <c r="W13" i="5" s="1"/>
  <c r="T16" i="5"/>
  <c r="W16" i="5" s="1"/>
  <c r="T18" i="5"/>
  <c r="W18" i="5" s="1"/>
  <c r="T15" i="5"/>
  <c r="W15" i="5" s="1"/>
  <c r="L9" i="5"/>
  <c r="L10" i="5"/>
  <c r="T19" i="5"/>
  <c r="W10" i="5"/>
  <c r="W17" i="5"/>
  <c r="W12" i="5"/>
  <c r="W11" i="5"/>
  <c r="W9" i="5"/>
  <c r="B46" i="4"/>
  <c r="B47" i="4" s="1"/>
  <c r="B49" i="4" s="1"/>
  <c r="B26" i="4"/>
  <c r="B27" i="4" s="1"/>
  <c r="F21" i="3"/>
  <c r="G21" i="3" s="1"/>
  <c r="F23" i="3"/>
  <c r="G23" i="3" s="1"/>
  <c r="H23" i="3" l="1"/>
  <c r="H22" i="3"/>
  <c r="F2" i="14" s="1"/>
  <c r="F2" i="2" s="1"/>
  <c r="H21" i="3"/>
  <c r="C2" i="14" s="1"/>
  <c r="T21" i="5"/>
  <c r="G32" i="6"/>
  <c r="G33" i="6" s="1"/>
  <c r="W19" i="5"/>
  <c r="W21" i="5" s="1"/>
  <c r="J2" i="14" l="1"/>
  <c r="F3" i="14"/>
  <c r="F3" i="2" s="1"/>
  <c r="D2" i="14"/>
  <c r="E8" i="14" s="1"/>
  <c r="E8" i="2" s="1"/>
  <c r="A37" i="3"/>
  <c r="K2" i="14" s="1"/>
  <c r="L2" i="14" s="1"/>
  <c r="F5" i="14"/>
  <c r="F5" i="2" s="1"/>
  <c r="D9" i="14"/>
  <c r="D9" i="2" s="1"/>
  <c r="D3" i="14"/>
  <c r="D3" i="2" s="1"/>
  <c r="D2" i="2"/>
  <c r="C9" i="14"/>
  <c r="C9" i="2" s="1"/>
  <c r="I2" i="14"/>
  <c r="I2" i="2" s="1"/>
  <c r="C3" i="14"/>
  <c r="C3" i="2" s="1"/>
  <c r="F9" i="14"/>
  <c r="F9" i="2" s="1"/>
  <c r="C2" i="2"/>
  <c r="E2" i="14"/>
  <c r="E3" i="14" s="1"/>
  <c r="E3" i="2" s="1"/>
  <c r="H2" i="14"/>
  <c r="H3" i="14" s="1"/>
  <c r="H3" i="2" s="1"/>
  <c r="J2" i="2"/>
  <c r="J3" i="14"/>
  <c r="J3" i="2" s="1"/>
  <c r="J9" i="14"/>
  <c r="J9" i="2" s="1"/>
  <c r="O19" i="13"/>
  <c r="K6" i="14" l="1"/>
  <c r="H5" i="14"/>
  <c r="H5" i="2" s="1"/>
  <c r="J5" i="14"/>
  <c r="J5" i="2" s="1"/>
  <c r="K9" i="14"/>
  <c r="K9" i="2" s="1"/>
  <c r="I5" i="14"/>
  <c r="I5" i="2" s="1"/>
  <c r="K8" i="14"/>
  <c r="L8" i="14" s="1"/>
  <c r="K2" i="2"/>
  <c r="K3" i="14"/>
  <c r="K3" i="2" s="1"/>
  <c r="I8" i="14"/>
  <c r="I8" i="2" s="1"/>
  <c r="C8" i="2"/>
  <c r="F8" i="2"/>
  <c r="D11" i="14"/>
  <c r="D11" i="2" s="1"/>
  <c r="E9" i="14"/>
  <c r="E9" i="2" s="1"/>
  <c r="I9" i="14"/>
  <c r="I9" i="2" s="1"/>
  <c r="I3" i="14"/>
  <c r="I3" i="2" s="1"/>
  <c r="E2" i="2"/>
  <c r="H2" i="2"/>
  <c r="H9" i="14"/>
  <c r="H9" i="2" s="1"/>
  <c r="C11" i="14"/>
  <c r="C11" i="2" s="1"/>
  <c r="L6" i="14"/>
  <c r="K6" i="2"/>
  <c r="L2" i="2"/>
  <c r="L9" i="14"/>
  <c r="L9" i="2" s="1"/>
  <c r="M2" i="14"/>
  <c r="E18" i="13"/>
  <c r="E17" i="13"/>
  <c r="K16" i="13" s="1"/>
  <c r="E15" i="13"/>
  <c r="E19" i="13"/>
  <c r="K17" i="13" s="1"/>
  <c r="E16" i="13"/>
  <c r="K15" i="13" s="1"/>
  <c r="E11" i="14" l="1"/>
  <c r="E11" i="2" s="1"/>
  <c r="K8" i="2"/>
  <c r="K11" i="14"/>
  <c r="K11" i="2" s="1"/>
  <c r="L3" i="14"/>
  <c r="M3" i="14" s="1"/>
  <c r="M3" i="2" s="1"/>
  <c r="H8" i="14"/>
  <c r="H8" i="2" s="1"/>
  <c r="J8" i="14"/>
  <c r="F11" i="14"/>
  <c r="F11" i="2" s="1"/>
  <c r="I11" i="14"/>
  <c r="I11" i="2" s="1"/>
  <c r="M6" i="14"/>
  <c r="M6" i="2" s="1"/>
  <c r="L6" i="2"/>
  <c r="M2" i="2"/>
  <c r="M9" i="14"/>
  <c r="M8" i="14"/>
  <c r="M8" i="2" s="1"/>
  <c r="L8" i="2"/>
  <c r="K18" i="13"/>
  <c r="K19" i="13" s="1"/>
  <c r="O23" i="13" s="1"/>
  <c r="L11" i="14" l="1"/>
  <c r="L11" i="2" s="1"/>
  <c r="H11" i="14"/>
  <c r="H11" i="2" s="1"/>
  <c r="L3" i="2"/>
  <c r="J8" i="2"/>
  <c r="J11" i="14"/>
  <c r="J11" i="2" s="1"/>
  <c r="M11" i="14"/>
  <c r="M11" i="2" s="1"/>
  <c r="M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sharedStrings.xml><?xml version="1.0" encoding="utf-8"?>
<sst xmlns="http://schemas.openxmlformats.org/spreadsheetml/2006/main" count="770" uniqueCount="540">
  <si>
    <t>Sources:</t>
  </si>
  <si>
    <t>electricity if</t>
  </si>
  <si>
    <t>hard coal if</t>
  </si>
  <si>
    <t>natural gas if</t>
  </si>
  <si>
    <t>biomass if</t>
  </si>
  <si>
    <t>petroleum diesel if</t>
  </si>
  <si>
    <t>heat if</t>
  </si>
  <si>
    <t>crude oil if</t>
  </si>
  <si>
    <t>heavy or residual fuel oil if</t>
  </si>
  <si>
    <t>LPG propane or butane if</t>
  </si>
  <si>
    <t>hydrogen if</t>
  </si>
  <si>
    <t>boilers</t>
  </si>
  <si>
    <t>nonboiler low temp</t>
  </si>
  <si>
    <t>nonboiler med temp</t>
  </si>
  <si>
    <t>nonboiler high temp</t>
  </si>
  <si>
    <t>cooling</t>
  </si>
  <si>
    <t>machine drive</t>
  </si>
  <si>
    <t>other processes</t>
  </si>
  <si>
    <t>Capital Cost (USD)</t>
  </si>
  <si>
    <t>Industrial heat pumps</t>
  </si>
  <si>
    <t>Industrial Heat Pumps</t>
  </si>
  <si>
    <t>Industrial heat pumps cost per unit heat delivered</t>
  </si>
  <si>
    <t>BTU</t>
  </si>
  <si>
    <t>$/(BTU/yr)</t>
  </si>
  <si>
    <t>Unit:  $/(BTU/yr) - dollars of capital cost for equipment per BTU consumed annually by that equipment</t>
  </si>
  <si>
    <t>Industrial fossil fuel boilers</t>
  </si>
  <si>
    <t>coal (steam boiler)</t>
  </si>
  <si>
    <t>petroleum products (steam boiler)</t>
  </si>
  <si>
    <t>natural gas (steam boiler)</t>
  </si>
  <si>
    <t>Overnight capital cost (USD/kW)</t>
  </si>
  <si>
    <t>Reference capacity (kW)</t>
  </si>
  <si>
    <t>Conversion factor</t>
  </si>
  <si>
    <t>Annual operating hours:</t>
  </si>
  <si>
    <t>kWh</t>
  </si>
  <si>
    <t>Unit</t>
  </si>
  <si>
    <t>BTU/kWh</t>
  </si>
  <si>
    <t>Value</t>
  </si>
  <si>
    <t>Boiler cost ($)</t>
  </si>
  <si>
    <t>IRENA</t>
  </si>
  <si>
    <t>https://www.irena.org/-/media/Irena/Files/REmap/IRENA_REmap_2030_technology_cost.xlsx</t>
  </si>
  <si>
    <t>Remap Technology and Performance Assumptions (for year 2030)</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</si>
  <si>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</si>
  <si>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</si>
  <si>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</si>
  <si>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</si>
  <si>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</si>
  <si>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</si>
  <si>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</si>
  <si>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</si>
  <si>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</si>
  <si>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</si>
  <si>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</si>
  <si>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</si>
  <si>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</si>
  <si>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</si>
  <si>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</si>
  <si>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</si>
  <si>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</si>
  <si>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</si>
  <si>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</si>
  <si>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</si>
  <si>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</si>
  <si>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</si>
  <si>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</si>
  <si>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</si>
  <si>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</si>
  <si>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</si>
  <si>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</si>
  <si>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</si>
  <si>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</si>
  <si>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</si>
  <si>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</si>
  <si>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</si>
  <si>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</si>
  <si>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</si>
  <si>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</si>
  <si>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</si>
  <si>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</si>
  <si>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</si>
  <si>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</si>
  <si>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</si>
  <si>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</si>
  <si>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</si>
  <si>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</si>
  <si>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</si>
  <si>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</si>
  <si>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</si>
  <si>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</si>
  <si>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</si>
  <si>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</si>
  <si>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</si>
  <si>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</si>
  <si>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</si>
  <si>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</si>
  <si>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</si>
  <si>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</si>
  <si>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</si>
  <si>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</si>
  <si>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</si>
  <si>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</si>
  <si>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</si>
  <si>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</si>
  <si>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</si>
  <si>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</si>
  <si>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</si>
  <si>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</si>
  <si>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</si>
  <si>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</si>
  <si>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</si>
  <si>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</si>
  <si>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</si>
  <si>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</si>
  <si>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</si>
  <si>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</si>
  <si>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</si>
  <si>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</si>
  <si>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cost = minimum equipment cost * (desired equipment scale value / minimum equipment scale value)scaling factor * (current CEPCI / listed CEPCI); 2024 CPI is ~800</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</si>
  <si>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</si>
  <si>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</si>
  <si>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</si>
  <si>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</si>
  <si>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</si>
  <si>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</si>
  <si>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</si>
  <si>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</si>
  <si>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</si>
  <si>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</si>
  <si>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</si>
  <si>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</si>
  <si>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</si>
  <si>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</si>
  <si>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</si>
  <si>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</si>
  <si>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</si>
  <si>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</si>
  <si>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</si>
  <si>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</si>
  <si>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</si>
  <si>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</si>
  <si>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</si>
  <si>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</si>
  <si>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</si>
  <si>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</si>
  <si>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</si>
  <si>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</si>
  <si>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</si>
  <si>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</si>
  <si>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</si>
  <si>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</si>
  <si>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</si>
  <si>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</si>
  <si>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</si>
  <si>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</si>
  <si>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</si>
  <si>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</si>
  <si>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</si>
  <si>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</si>
  <si>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</si>
  <si>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</si>
  <si>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</si>
  <si>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</si>
  <si>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</si>
  <si>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</si>
  <si>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</si>
  <si>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</si>
  <si>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</si>
  <si>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</si>
  <si>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</si>
  <si>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</si>
  <si>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</si>
  <si>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</si>
  <si>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</si>
  <si>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</si>
  <si>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</si>
  <si>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</si>
  <si>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</si>
  <si>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</si>
  <si>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</si>
  <si>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</si>
  <si>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</si>
  <si>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</si>
  <si>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</si>
  <si>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</si>
  <si>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</si>
  <si>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</si>
  <si>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</si>
  <si>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</si>
  <si>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</si>
  <si>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</si>
  <si>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</si>
  <si>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</si>
  <si>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</si>
  <si>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</si>
  <si>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</si>
  <si>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</si>
  <si>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</si>
  <si>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</si>
  <si>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</si>
  <si>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</si>
  <si>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</si>
  <si>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</si>
  <si>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</si>
  <si>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</si>
  <si>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</si>
  <si>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</si>
  <si>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</si>
  <si>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</si>
  <si>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</si>
  <si>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</si>
  <si>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</si>
  <si>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</si>
  <si>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</si>
  <si>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</si>
  <si>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</si>
  <si>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</si>
  <si>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</si>
  <si>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</si>
  <si>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</si>
  <si>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</si>
  <si>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</si>
  <si>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</si>
  <si>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</si>
  <si>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</si>
  <si>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</si>
  <si>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</si>
  <si>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</si>
  <si>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</si>
  <si>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</si>
  <si>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</si>
  <si>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</si>
  <si>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</si>
  <si>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</si>
  <si>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</si>
  <si>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</si>
  <si>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</si>
  <si>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</si>
  <si>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</si>
  <si>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</si>
  <si>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</si>
  <si>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</si>
  <si>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</si>
  <si>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</si>
  <si>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</si>
  <si>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</si>
  <si>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</si>
  <si>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</si>
  <si>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</si>
  <si>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</si>
  <si>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</si>
  <si>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</si>
  <si>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</si>
  <si>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</si>
  <si>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</si>
  <si>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</si>
  <si>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</si>
  <si>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</si>
  <si>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</si>
  <si>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</si>
  <si>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</si>
  <si>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</si>
  <si>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</si>
  <si>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</si>
  <si>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</si>
  <si>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</si>
  <si>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</si>
  <si>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</si>
  <si>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</si>
  <si>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</si>
  <si>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</si>
  <si>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</si>
  <si>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</si>
  <si>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</si>
  <si>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</si>
  <si>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</si>
  <si>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</si>
  <si>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</si>
  <si>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</si>
  <si>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</si>
  <si>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</si>
  <si>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</si>
  <si>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</si>
  <si>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</si>
  <si>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</si>
  <si>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</si>
  <si>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</si>
  <si>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</si>
  <si>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</si>
  <si>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</si>
  <si>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</si>
  <si>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</si>
  <si>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</si>
  <si>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</si>
  <si>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</si>
  <si>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</si>
  <si>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</si>
  <si>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</si>
  <si>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</si>
  <si>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</si>
  <si>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</si>
  <si>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</si>
  <si>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</si>
  <si>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</si>
  <si>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</si>
  <si>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</si>
  <si>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</si>
  <si>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</si>
  <si>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</si>
  <si>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</si>
  <si>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</si>
  <si>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</si>
  <si>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</si>
  <si>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</si>
  <si>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</si>
  <si>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</si>
  <si>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</si>
  <si>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</si>
  <si>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</si>
  <si>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</si>
  <si>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</si>
  <si>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</si>
  <si>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</si>
  <si>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</si>
  <si>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</si>
  <si>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</si>
  <si>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</si>
  <si>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</si>
  <si>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</si>
  <si>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</si>
  <si>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</si>
  <si>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</si>
  <si>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</si>
  <si>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</si>
  <si>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</si>
  <si>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</si>
  <si>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</si>
  <si>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</si>
  <si>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</si>
  <si>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</si>
  <si>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</si>
  <si>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</si>
  <si>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</si>
  <si>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</si>
  <si>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</si>
  <si>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</si>
  <si>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</si>
  <si>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</si>
  <si>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</si>
  <si>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</si>
  <si>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</si>
  <si>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</si>
  <si>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</si>
  <si>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</si>
  <si>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</si>
  <si>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</si>
  <si>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</si>
  <si>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</si>
  <si>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</si>
  <si>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</si>
  <si>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</si>
  <si>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</si>
  <si>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</si>
  <si>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</si>
  <si>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</si>
  <si>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</si>
  <si>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</si>
  <si>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</si>
  <si>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</si>
  <si>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</si>
  <si>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</si>
  <si>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</si>
  <si>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</si>
  <si>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</si>
  <si>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</si>
  <si>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</si>
  <si>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</si>
  <si>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</si>
  <si>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</si>
  <si>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</si>
  <si>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</si>
  <si>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</si>
  <si>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</si>
  <si>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</si>
  <si>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</si>
  <si>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</si>
  <si>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</si>
  <si>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</si>
  <si>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</si>
  <si>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</si>
  <si>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</si>
  <si>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</si>
  <si>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</si>
  <si>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</si>
  <si>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</si>
  <si>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</si>
  <si>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</si>
  <si>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</si>
  <si>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</si>
  <si>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</si>
  <si>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</si>
  <si>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</si>
  <si>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</si>
  <si>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</si>
  <si>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</si>
  <si>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</si>
  <si>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</si>
  <si>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</si>
  <si>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</si>
  <si>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</si>
  <si>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</si>
  <si>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</si>
  <si>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</si>
  <si>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</si>
  <si>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</si>
  <si>
    <t>Industrial heat pumps capacity factor</t>
  </si>
  <si>
    <t>Zühlsdorf, B., Andersen, M. P., Tammone, C. et.al.</t>
  </si>
  <si>
    <t>Industrial High-Temperature Heat Pumps. Task 1 – Technologies: Yearly Report 2025</t>
  </si>
  <si>
    <t>https://heatpumpingtechnologies.org/project68/task1/</t>
  </si>
  <si>
    <t>Page 16, Figure 1-4</t>
  </si>
  <si>
    <t>Metric</t>
  </si>
  <si>
    <t>Per-kW CAPEX</t>
  </si>
  <si>
    <t>Annual hours</t>
  </si>
  <si>
    <t>hrs/yr</t>
  </si>
  <si>
    <t>Capacity factor</t>
  </si>
  <si>
    <t>Per-kWh/yr CAPEX</t>
  </si>
  <si>
    <t>Per-BTU/yr CAPEX</t>
  </si>
  <si>
    <t>$ / electricity consumption each year</t>
  </si>
  <si>
    <t>$ / electricity consumption (in BTU of electricity) each year</t>
  </si>
  <si>
    <t>Does not need to be converted using heat pump COP because it is already based on electricity consumption</t>
  </si>
  <si>
    <t>Capital cost per BTU energy consumption</t>
  </si>
  <si>
    <t>Annual energy consumption/year (kWh):</t>
  </si>
  <si>
    <t>Annual energy consumption/year (mmBTU):</t>
  </si>
  <si>
    <t>Annual energy consumed (MMbtu)</t>
  </si>
  <si>
    <t>Annual energy use (MMbtu)</t>
  </si>
  <si>
    <t>Average Annual Energy Use by HP Bin (MMbtu)</t>
  </si>
  <si>
    <t xml:space="preserve">Energy use in kWh/year: </t>
  </si>
  <si>
    <t>Energy use in BTU/year</t>
  </si>
  <si>
    <t>Capacity:</t>
  </si>
  <si>
    <t>facility HVAC</t>
  </si>
  <si>
    <t>facility lighting</t>
  </si>
  <si>
    <t>other nonprocess</t>
  </si>
  <si>
    <t>https://www.bulkofficesupply.com/Categories/Janitorial-and-Facility-Supplies/Lighting/Light-Bulbs.aspx?srsltid=AfmBOorWkgJMp4H4zdZKPjbhWJ39KPaQWfcg1JIX1YpF1EunQjEtuY1Z</t>
  </si>
  <si>
    <t>Satco A15 Appliance Light Bulb</t>
  </si>
  <si>
    <t>W</t>
  </si>
  <si>
    <t>lm</t>
  </si>
  <si>
    <t>hr life</t>
  </si>
  <si>
    <t>Satco 6.5W PAR 20/FL 3000K LED Bulb</t>
  </si>
  <si>
    <t>Satco 7.5W BR30 3000K LED Bulb</t>
  </si>
  <si>
    <t>Satco 12W PAR 30/LN/FL 3000K LED Bulb</t>
  </si>
  <si>
    <t>Satco 15W PAR38 3000K LED Bulb</t>
  </si>
  <si>
    <t>Satco 10W A19 LED 5000K Light Bulbs</t>
  </si>
  <si>
    <t>W equiv. incandesc.</t>
  </si>
  <si>
    <t>Satco 40W T8 4000K LED Tube Light</t>
  </si>
  <si>
    <t>bulb</t>
  </si>
  <si>
    <t>parabolic</t>
  </si>
  <si>
    <t>reflector</t>
  </si>
  <si>
    <t>tube</t>
  </si>
  <si>
    <t>Satco 11 Watt LED T8 Bulb</t>
  </si>
  <si>
    <t>?</t>
  </si>
  <si>
    <t>Satco 13W GX23 Pin-Based 2700K Compact Fluorescent Bulb</t>
  </si>
  <si>
    <t>incand</t>
  </si>
  <si>
    <t>LED</t>
  </si>
  <si>
    <t>fluorescent</t>
  </si>
  <si>
    <t>twin tube</t>
  </si>
  <si>
    <t>Satco 54W T5 3500K Fluorescent Tube</t>
  </si>
  <si>
    <t>Satco Flourescent Light Bulbs 32W 6/box</t>
  </si>
  <si>
    <t>CFL</t>
  </si>
  <si>
    <t>Satco 23W T2 2700K Spiral CFL Bulb</t>
  </si>
  <si>
    <t>https://www.mordorintelligence.com/industry-reports/industrial-lighting-market</t>
  </si>
  <si>
    <t>Industrial lighting market</t>
  </si>
  <si>
    <t>Fluorescent</t>
  </si>
  <si>
    <t>HID fixtures</t>
  </si>
  <si>
    <t>OLED</t>
  </si>
  <si>
    <t>lightstoreusa.com</t>
  </si>
  <si>
    <t>HID</t>
  </si>
  <si>
    <t>Plusrite 1035</t>
  </si>
  <si>
    <t>M47 BT37 Mogul</t>
  </si>
  <si>
    <t>Plusrite 1056</t>
  </si>
  <si>
    <t>floodlight</t>
  </si>
  <si>
    <t>Plusrite 1061</t>
  </si>
  <si>
    <t>PLUSRITE Par 38</t>
  </si>
  <si>
    <t>hour life</t>
  </si>
  <si>
    <t>years</t>
  </si>
  <si>
    <t>assumed lighting lifetime (IESD)</t>
  </si>
  <si>
    <t>hours/yr use</t>
  </si>
  <si>
    <t>lifetime</t>
  </si>
  <si>
    <t>BTU/yr</t>
  </si>
  <si>
    <t>Lighting is generally electric. Other fuels can be used to power a generator to power lighting.</t>
  </si>
  <si>
    <t>So we apply an efficiency loss for using a generator to power lighting.</t>
  </si>
  <si>
    <t>generator efficiency</t>
  </si>
  <si>
    <t>And must account for the cost of a generator:</t>
  </si>
  <si>
    <t>Generac</t>
  </si>
  <si>
    <t>Westinghouse Wgen 5300c</t>
  </si>
  <si>
    <t>Westinghouse Wgen7500c</t>
  </si>
  <si>
    <t>Westinghouse WGen9500c</t>
  </si>
  <si>
    <t>WEN DF5600X</t>
  </si>
  <si>
    <t>DuroMax XP13000HX</t>
  </si>
  <si>
    <t>Firman Tri Fuel</t>
  </si>
  <si>
    <t>avg watts</t>
  </si>
  <si>
    <t>avg $</t>
  </si>
  <si>
    <t>generator upfront cost per lightbulb powered</t>
  </si>
  <si>
    <t>lightbulb contribution to cost</t>
  </si>
  <si>
    <t>generator contribution to cost</t>
  </si>
  <si>
    <t>total cost per BTU</t>
  </si>
  <si>
    <t>boiler horsepower</t>
  </si>
  <si>
    <t>kW / boiler horsepower</t>
  </si>
  <si>
    <t>Unit conversion ref:</t>
  </si>
  <si>
    <t>https://www.unitconverters.net/power/horsepower-boiler-to-kilowatt.htm</t>
  </si>
  <si>
    <t>2003 USD</t>
  </si>
  <si>
    <t>2003 to 2024 inflation adj.</t>
  </si>
  <si>
    <t>dmnl</t>
  </si>
  <si>
    <t>average cost</t>
  </si>
  <si>
    <t>average cost (inflation adjusted)</t>
  </si>
  <si>
    <t>2024 USD</t>
  </si>
  <si>
    <t>boiler cost</t>
  </si>
  <si>
    <t>2016 USD</t>
  </si>
  <si>
    <t>2016 to 2024 inflation adj.</t>
  </si>
  <si>
    <t>NREL's report was published in 2017. We assume the currency figures are given in 2016 USD, which would have been the latest year for which inflation data were available when the NREL report was published.</t>
  </si>
  <si>
    <t>2015 to 2024 inflation adj.</t>
  </si>
  <si>
    <t>Cost per annual energy input (2024$/(BTU/yr))</t>
  </si>
  <si>
    <t>Cost per annual energy input (2015$/(BTU/yr))</t>
  </si>
  <si>
    <t>NOT USED - State of Michigan 2003 reference for natural gas boiler costs</t>
  </si>
  <si>
    <t>NOT USED - NREL 2017 reference for natural gas boiler costs</t>
  </si>
  <si>
    <t>2024$/(BTU/yr)</t>
  </si>
  <si>
    <t>Three fossil fuel type industrial boiler costs</t>
  </si>
  <si>
    <t>National Renewable Energy Laboratory</t>
  </si>
  <si>
    <t>Electrification Futures Study</t>
  </si>
  <si>
    <t>https://docs.nrel.gov/docs/fy18osti/70485.pdf</t>
  </si>
  <si>
    <t>Page 64, Table 17</t>
  </si>
  <si>
    <t>NOT USED - Included for reference/comparison - natural gas boiler costs</t>
  </si>
  <si>
    <t>Annual operating hours</t>
  </si>
  <si>
    <t>hours / year</t>
  </si>
  <si>
    <t>Copeland (formerly Emerson Climate Technologies)</t>
  </si>
  <si>
    <t>https://media.copeland.com/1da81099-2c21-4ce5-8096-b16d0037b111/VILTER%20Heat%20Pump%20White%20Paper.pdf</t>
  </si>
  <si>
    <t>Page 6-8. Capacity factor is based on the average annual operating hours across the four examples, assuming each operates at full capacity.</t>
  </si>
  <si>
    <t>2024$/kW</t>
  </si>
  <si>
    <t>2024$/(kWh/yr)</t>
  </si>
  <si>
    <t>2024€/kW</t>
  </si>
  <si>
    <t>Currency adj. EUR to USD 2024</t>
  </si>
  <si>
    <t>2024$/2024€</t>
  </si>
  <si>
    <t>€ / power draw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</si>
</sst>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quot;$&quot;#,##0"/>
    <numFmt numFmtId="165" formatCode="&quot;$&quot;#,##0.00"/>
    <numFmt numFmtId="166" formatCode="0.00000"/>
    <numFmt numFmtId="167" formatCode="0.0000"/>
    <numFmt numFmtId="168" formatCode="0.0"/>
    <numFmt numFmtId="169" formatCode="0.000E+00"/>
  </numFmts>
  <fonts count="11" x14ac:knownFonts="1">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
      <sz val="8"/>
      <name val="Aptos Narrow"/>
      <family val="2"/>
      <scheme val="minor"/>
    </font>
  </fonts>
  <fills count="15">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
      <patternFill patternType="solid">
        <fgColor rgb="FF00B050"/>
        <bgColor indexed="64"/>
      </patternFill>
    </fill>
    <fill>
      <patternFill patternType="solid">
        <fgColor theme="8"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4">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cellStyleXfs>
  <cellXfs count="88">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0" fontId="4" fillId="0" borderId="0" xfId="1" applyFill="1"/>
    <xf numFmtId="0" fontId="1" fillId="7" borderId="2" xfId="0" applyFont="1" applyFill="1" applyBorder="1"/>
    <xf numFmtId="0" fontId="1" fillId="7" borderId="0" xfId="0" applyFont="1" applyFill="1" applyAlignment="1">
      <alignment horizontal="right"/>
    </xf>
    <xf numFmtId="0" fontId="1" fillId="7" borderId="0" xfId="0" applyFont="1" applyFill="1" applyAlignment="1">
      <alignment horizontal="center"/>
    </xf>
    <xf numFmtId="0" fontId="0" fillId="0" borderId="0" xfId="0" applyAlignment="1">
      <alignment horizontal="center"/>
    </xf>
    <xf numFmtId="167" fontId="0" fillId="0" borderId="0" xfId="0" applyNumberFormat="1"/>
    <xf numFmtId="0" fontId="1" fillId="0" borderId="0" xfId="0" applyFont="1" applyAlignment="1">
      <alignment horizontal="center"/>
    </xf>
    <xf numFmtId="0" fontId="0" fillId="0" borderId="0" xfId="0" applyAlignment="1">
      <alignment horizontal="right"/>
    </xf>
    <xf numFmtId="168" fontId="1" fillId="0" borderId="0" xfId="0" applyNumberFormat="1" applyFont="1"/>
    <xf numFmtId="0" fontId="0" fillId="13" borderId="0" xfId="0" applyFill="1"/>
    <xf numFmtId="169" fontId="0" fillId="0" borderId="0" xfId="0" applyNumberFormat="1"/>
    <xf numFmtId="169" fontId="0" fillId="3" borderId="0" xfId="0" applyNumberFormat="1" applyFill="1"/>
    <xf numFmtId="169" fontId="0" fillId="2" borderId="0" xfId="0" applyNumberFormat="1" applyFill="1"/>
    <xf numFmtId="169" fontId="0" fillId="4" borderId="0" xfId="0" applyNumberFormat="1" applyFill="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0" fontId="1" fillId="14" borderId="0" xfId="0" applyFont="1" applyFill="1"/>
    <xf numFmtId="11" fontId="0" fillId="0" borderId="0" xfId="0" applyNumberFormat="1" applyFill="1"/>
    <xf numFmtId="0" fontId="0" fillId="14" borderId="0" xfId="0" applyFill="1"/>
    <xf numFmtId="0" fontId="0" fillId="0" borderId="0" xfId="0" applyFont="1" applyAlignment="1">
      <alignment horizontal="right"/>
    </xf>
    <xf numFmtId="0" fontId="0" fillId="0" borderId="0" xfId="0" applyFont="1" applyAlignment="1">
      <alignment horizontal="center"/>
    </xf>
    <xf numFmtId="0" fontId="0" fillId="0" borderId="0" xfId="0" applyFill="1"/>
    <xf numFmtId="0" fontId="0" fillId="0" borderId="0" xfId="0" applyFont="1" applyFill="1" applyAlignment="1">
      <alignment horizontal="right"/>
    </xf>
  </cellXfs>
  <cellStyles count="4">
    <cellStyle name="Hyperlink" xfId="1" builtinId="8"/>
    <cellStyle name="Input" xfId="3" builtinId="20"/>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Summary!$A$2</c:f>
              <c:strCache>
                <c:ptCount val="1"/>
                <c:pt idx="0">
                  <c:v>boilers</c:v>
                </c:pt>
              </c:strCache>
            </c:strRef>
          </c:tx>
          <c:spPr>
            <a:solidFill>
              <a:schemeClr val="accent1"/>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Summary!$B$2:$M$2</c:f>
              <c:numCache>
                <c:formatCode>0.000E+00</c:formatCode>
                <c:ptCount val="12"/>
                <c:pt idx="0">
                  <c:v>3.6314488500484264E-5</c:v>
                </c:pt>
                <c:pt idx="1">
                  <c:v>1.9822770514052231E-5</c:v>
                </c:pt>
                <c:pt idx="2">
                  <c:v>6.9746785142035624E-6</c:v>
                </c:pt>
                <c:pt idx="3">
                  <c:v>1.9822770514052231E-5</c:v>
                </c:pt>
                <c:pt idx="4">
                  <c:v>1.248100365699585E-5</c:v>
                </c:pt>
                <c:pt idx="5">
                  <c:v>0</c:v>
                </c:pt>
                <c:pt idx="6">
                  <c:v>1.248100365699585E-5</c:v>
                </c:pt>
                <c:pt idx="7">
                  <c:v>1.248100365699585E-5</c:v>
                </c:pt>
                <c:pt idx="8">
                  <c:v>1.248100365699585E-5</c:v>
                </c:pt>
                <c:pt idx="9">
                  <c:v>1.0462017771305345E-5</c:v>
                </c:pt>
                <c:pt idx="10">
                  <c:v>1.0462017771305345E-5</c:v>
                </c:pt>
                <c:pt idx="11">
                  <c:v>1.0462017771305345E-5</c:v>
                </c:pt>
              </c:numCache>
            </c:numRef>
          </c:val>
          <c:extLst>
            <c:ext xmlns:c16="http://schemas.microsoft.com/office/drawing/2014/chart" uri="{C3380CC4-5D6E-409C-BE32-E72D297353CC}">
              <c16:uniqueId val="{00000000-89B1-4510-AEB3-F1F6A92C50C5}"/>
            </c:ext>
          </c:extLst>
        </c:ser>
        <c:ser>
          <c:idx val="1"/>
          <c:order val="1"/>
          <c:tx>
            <c:strRef>
              <c:f>Summary!$A$3</c:f>
              <c:strCache>
                <c:ptCount val="1"/>
                <c:pt idx="0">
                  <c:v>nonboiler low temp</c:v>
                </c:pt>
              </c:strCache>
            </c:strRef>
          </c:tx>
          <c:spPr>
            <a:solidFill>
              <a:schemeClr val="accent2"/>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Summary!$B$3:$M$3</c:f>
              <c:numCache>
                <c:formatCode>0.000E+00</c:formatCode>
                <c:ptCount val="12"/>
                <c:pt idx="0">
                  <c:v>3.6314488500484264E-5</c:v>
                </c:pt>
                <c:pt idx="1">
                  <c:v>1.9822770514052231E-5</c:v>
                </c:pt>
                <c:pt idx="2">
                  <c:v>6.9746785142035624E-6</c:v>
                </c:pt>
                <c:pt idx="3">
                  <c:v>1.9822770514052231E-5</c:v>
                </c:pt>
                <c:pt idx="4">
                  <c:v>1.248100365699585E-5</c:v>
                </c:pt>
                <c:pt idx="5">
                  <c:v>0</c:v>
                </c:pt>
                <c:pt idx="6">
                  <c:v>1.248100365699585E-5</c:v>
                </c:pt>
                <c:pt idx="7">
                  <c:v>1.248100365699585E-5</c:v>
                </c:pt>
                <c:pt idx="8">
                  <c:v>1.248100365699585E-5</c:v>
                </c:pt>
                <c:pt idx="9">
                  <c:v>1.0462017771305345E-5</c:v>
                </c:pt>
                <c:pt idx="10">
                  <c:v>1.0462017771305345E-5</c:v>
                </c:pt>
                <c:pt idx="11">
                  <c:v>1.0462017771305345E-5</c:v>
                </c:pt>
              </c:numCache>
            </c:numRef>
          </c:val>
          <c:extLst>
            <c:ext xmlns:c16="http://schemas.microsoft.com/office/drawing/2014/chart" uri="{C3380CC4-5D6E-409C-BE32-E72D297353CC}">
              <c16:uniqueId val="{00000001-89B1-4510-AEB3-F1F6A92C50C5}"/>
            </c:ext>
          </c:extLst>
        </c:ser>
        <c:ser>
          <c:idx val="2"/>
          <c:order val="2"/>
          <c:tx>
            <c:strRef>
              <c:f>Summary!$A$4</c:f>
              <c:strCache>
                <c:ptCount val="1"/>
                <c:pt idx="0">
                  <c:v>nonboiler med temp</c:v>
                </c:pt>
              </c:strCache>
            </c:strRef>
          </c:tx>
          <c:spPr>
            <a:solidFill>
              <a:schemeClr val="accent3"/>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Summary!$B$4:$M$4</c:f>
              <c:numCache>
                <c:formatCode>0.000E+00</c:formatCode>
                <c:ptCount val="12"/>
                <c:pt idx="0">
                  <c:v>3.4771933032458345E-5</c:v>
                </c:pt>
                <c:pt idx="1">
                  <c:v>3.1780367029653324E-5</c:v>
                </c:pt>
                <c:pt idx="2">
                  <c:v>3.1780367029653324E-5</c:v>
                </c:pt>
                <c:pt idx="3">
                  <c:v>3.1780367029653324E-5</c:v>
                </c:pt>
                <c:pt idx="4">
                  <c:v>3.1780367029653324E-5</c:v>
                </c:pt>
                <c:pt idx="5">
                  <c:v>0</c:v>
                </c:pt>
                <c:pt idx="6">
                  <c:v>3.1780367029653324E-5</c:v>
                </c:pt>
                <c:pt idx="7">
                  <c:v>3.1780367029653324E-5</c:v>
                </c:pt>
                <c:pt idx="8">
                  <c:v>3.1780367029653324E-5</c:v>
                </c:pt>
                <c:pt idx="9">
                  <c:v>3.1780367029653324E-5</c:v>
                </c:pt>
                <c:pt idx="10">
                  <c:v>3.1780367029653324E-5</c:v>
                </c:pt>
                <c:pt idx="11">
                  <c:v>3.1780367029653324E-5</c:v>
                </c:pt>
              </c:numCache>
            </c:numRef>
          </c:val>
          <c:extLst>
            <c:ext xmlns:c16="http://schemas.microsoft.com/office/drawing/2014/chart" uri="{C3380CC4-5D6E-409C-BE32-E72D297353CC}">
              <c16:uniqueId val="{00000002-89B1-4510-AEB3-F1F6A92C50C5}"/>
            </c:ext>
          </c:extLst>
        </c:ser>
        <c:ser>
          <c:idx val="3"/>
          <c:order val="3"/>
          <c:tx>
            <c:strRef>
              <c:f>Summary!$A$5</c:f>
              <c:strCache>
                <c:ptCount val="1"/>
                <c:pt idx="0">
                  <c:v>nonboiler high temp</c:v>
                </c:pt>
              </c:strCache>
            </c:strRef>
          </c:tx>
          <c:spPr>
            <a:solidFill>
              <a:schemeClr val="accent4"/>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Summary!$B$5:$M$5</c:f>
              <c:numCache>
                <c:formatCode>0.000E+00</c:formatCode>
                <c:ptCount val="12"/>
                <c:pt idx="0">
                  <c:v>1.7204637228083889E-4</c:v>
                </c:pt>
                <c:pt idx="1">
                  <c:v>4.5951806950193628E-6</c:v>
                </c:pt>
                <c:pt idx="2">
                  <c:v>2.0725243194734525E-5</c:v>
                </c:pt>
                <c:pt idx="3">
                  <c:v>4.5951806950193628E-6</c:v>
                </c:pt>
                <c:pt idx="4">
                  <c:v>3.7087277295840735E-5</c:v>
                </c:pt>
                <c:pt idx="5">
                  <c:v>0</c:v>
                </c:pt>
                <c:pt idx="6">
                  <c:v>3.7087277295840735E-5</c:v>
                </c:pt>
                <c:pt idx="7">
                  <c:v>3.7087277295840735E-5</c:v>
                </c:pt>
                <c:pt idx="8">
                  <c:v>3.7087277295840735E-5</c:v>
                </c:pt>
                <c:pt idx="9">
                  <c:v>3.265784625690839E-5</c:v>
                </c:pt>
                <c:pt idx="10">
                  <c:v>3.265784625690839E-5</c:v>
                </c:pt>
                <c:pt idx="11">
                  <c:v>3.265784625690839E-5</c:v>
                </c:pt>
              </c:numCache>
            </c:numRef>
          </c:val>
          <c:extLst>
            <c:ext xmlns:c16="http://schemas.microsoft.com/office/drawing/2014/chart" uri="{C3380CC4-5D6E-409C-BE32-E72D297353CC}">
              <c16:uniqueId val="{00000003-89B1-4510-AEB3-F1F6A92C50C5}"/>
            </c:ext>
          </c:extLst>
        </c:ser>
        <c:ser>
          <c:idx val="4"/>
          <c:order val="4"/>
          <c:tx>
            <c:strRef>
              <c:f>Summary!$A$6</c:f>
              <c:strCache>
                <c:ptCount val="1"/>
                <c:pt idx="0">
                  <c:v>cooling</c:v>
                </c:pt>
              </c:strCache>
            </c:strRef>
          </c:tx>
          <c:spPr>
            <a:solidFill>
              <a:schemeClr val="accent5"/>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Summary!$B$6:$M$6</c:f>
              <c:numCache>
                <c:formatCode>0.000E+00</c:formatCode>
                <c:ptCount val="12"/>
                <c:pt idx="0">
                  <c:v>4.4520366169683022E-5</c:v>
                </c:pt>
                <c:pt idx="1">
                  <c:v>1.8088159747275158E-5</c:v>
                </c:pt>
                <c:pt idx="2">
                  <c:v>1.8088159747275158E-5</c:v>
                </c:pt>
                <c:pt idx="3">
                  <c:v>1.8088159747275158E-5</c:v>
                </c:pt>
                <c:pt idx="4">
                  <c:v>1.8088159747275158E-5</c:v>
                </c:pt>
                <c:pt idx="5">
                  <c:v>0</c:v>
                </c:pt>
                <c:pt idx="6">
                  <c:v>1.8088159747275158E-5</c:v>
                </c:pt>
                <c:pt idx="7">
                  <c:v>1.8088159747275158E-5</c:v>
                </c:pt>
                <c:pt idx="8">
                  <c:v>1.8088159747275158E-5</c:v>
                </c:pt>
                <c:pt idx="9">
                  <c:v>2.7132239620912743E-5</c:v>
                </c:pt>
                <c:pt idx="10">
                  <c:v>2.7132239620912743E-5</c:v>
                </c:pt>
                <c:pt idx="11">
                  <c:v>2.7132239620912743E-5</c:v>
                </c:pt>
              </c:numCache>
            </c:numRef>
          </c:val>
          <c:extLst>
            <c:ext xmlns:c16="http://schemas.microsoft.com/office/drawing/2014/chart" uri="{C3380CC4-5D6E-409C-BE32-E72D297353CC}">
              <c16:uniqueId val="{00000004-89B1-4510-AEB3-F1F6A92C50C5}"/>
            </c:ext>
          </c:extLst>
        </c:ser>
        <c:ser>
          <c:idx val="5"/>
          <c:order val="5"/>
          <c:tx>
            <c:strRef>
              <c:f>Summary!$A$7</c:f>
              <c:strCache>
                <c:ptCount val="1"/>
                <c:pt idx="0">
                  <c:v>machine drive</c:v>
                </c:pt>
              </c:strCache>
            </c:strRef>
          </c:tx>
          <c:spPr>
            <a:solidFill>
              <a:schemeClr val="accent6"/>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Summary!$B$7:$M$7</c:f>
              <c:numCache>
                <c:formatCode>0.000E+00</c:formatCode>
                <c:ptCount val="12"/>
                <c:pt idx="0">
                  <c:v>2.9652197760109964E-5</c:v>
                </c:pt>
                <c:pt idx="1">
                  <c:v>7.0734511678239686E-5</c:v>
                </c:pt>
                <c:pt idx="2">
                  <c:v>7.0734511678239686E-5</c:v>
                </c:pt>
                <c:pt idx="3">
                  <c:v>7.0734511678239686E-5</c:v>
                </c:pt>
                <c:pt idx="4">
                  <c:v>7.0734511678239686E-5</c:v>
                </c:pt>
                <c:pt idx="5">
                  <c:v>0</c:v>
                </c:pt>
                <c:pt idx="6">
                  <c:v>7.0734511678239686E-5</c:v>
                </c:pt>
                <c:pt idx="7">
                  <c:v>7.0734511678239686E-5</c:v>
                </c:pt>
                <c:pt idx="8">
                  <c:v>7.0734511678239686E-5</c:v>
                </c:pt>
                <c:pt idx="9">
                  <c:v>7.0734511678239686E-5</c:v>
                </c:pt>
                <c:pt idx="10">
                  <c:v>7.0734511678239686E-5</c:v>
                </c:pt>
                <c:pt idx="11">
                  <c:v>7.0734511678239686E-5</c:v>
                </c:pt>
              </c:numCache>
            </c:numRef>
          </c:val>
          <c:extLst>
            <c:ext xmlns:c16="http://schemas.microsoft.com/office/drawing/2014/chart" uri="{C3380CC4-5D6E-409C-BE32-E72D297353CC}">
              <c16:uniqueId val="{00000005-89B1-4510-AEB3-F1F6A92C50C5}"/>
            </c:ext>
          </c:extLst>
        </c:ser>
        <c:ser>
          <c:idx val="6"/>
          <c:order val="6"/>
          <c:tx>
            <c:strRef>
              <c:f>Summary!$A$8</c:f>
              <c:strCache>
                <c:ptCount val="1"/>
                <c:pt idx="0">
                  <c:v>other processes</c:v>
                </c:pt>
              </c:strCache>
            </c:strRef>
          </c:tx>
          <c:spPr>
            <a:solidFill>
              <a:schemeClr val="accent1">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Summary!$B$8:$M$8</c:f>
              <c:numCache>
                <c:formatCode>0.000E+00</c:formatCode>
                <c:ptCount val="12"/>
                <c:pt idx="0">
                  <c:v>7.0401933942914745E-6</c:v>
                </c:pt>
                <c:pt idx="1">
                  <c:v>3.1780367029653324E-5</c:v>
                </c:pt>
                <c:pt idx="2">
                  <c:v>2.2284525195577483E-5</c:v>
                </c:pt>
                <c:pt idx="3">
                  <c:v>3.1780367029653324E-5</c:v>
                </c:pt>
                <c:pt idx="4">
                  <c:v>3.1780367029653324E-5</c:v>
                </c:pt>
                <c:pt idx="5">
                  <c:v>0</c:v>
                </c:pt>
                <c:pt idx="6">
                  <c:v>3.1780367029653324E-5</c:v>
                </c:pt>
                <c:pt idx="7">
                  <c:v>3.1780367029653324E-5</c:v>
                </c:pt>
                <c:pt idx="8">
                  <c:v>3.1780367029653324E-5</c:v>
                </c:pt>
                <c:pt idx="9">
                  <c:v>3.3426787793366228E-5</c:v>
                </c:pt>
                <c:pt idx="10">
                  <c:v>3.3426787793366228E-5</c:v>
                </c:pt>
                <c:pt idx="11">
                  <c:v>3.3426787793366228E-5</c:v>
                </c:pt>
              </c:numCache>
            </c:numRef>
          </c:val>
          <c:extLst>
            <c:ext xmlns:c16="http://schemas.microsoft.com/office/drawing/2014/chart" uri="{C3380CC4-5D6E-409C-BE32-E72D297353CC}">
              <c16:uniqueId val="{00000006-89B1-4510-AEB3-F1F6A92C50C5}"/>
            </c:ext>
          </c:extLst>
        </c:ser>
        <c:ser>
          <c:idx val="7"/>
          <c:order val="7"/>
          <c:tx>
            <c:strRef>
              <c:f>Summary!$A$9</c:f>
              <c:strCache>
                <c:ptCount val="1"/>
                <c:pt idx="0">
                  <c:v>facility HVAC</c:v>
                </c:pt>
              </c:strCache>
            </c:strRef>
          </c:tx>
          <c:spPr>
            <a:solidFill>
              <a:schemeClr val="accent2">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Summary!$B$9:$M$9</c:f>
              <c:numCache>
                <c:formatCode>0.000E+00</c:formatCode>
                <c:ptCount val="12"/>
                <c:pt idx="0">
                  <c:v>3.6314488500484264E-5</c:v>
                </c:pt>
                <c:pt idx="1">
                  <c:v>1.9822770514052231E-5</c:v>
                </c:pt>
                <c:pt idx="2">
                  <c:v>6.9746785142035624E-6</c:v>
                </c:pt>
                <c:pt idx="3">
                  <c:v>1.9822770514052231E-5</c:v>
                </c:pt>
                <c:pt idx="4">
                  <c:v>1.248100365699585E-5</c:v>
                </c:pt>
                <c:pt idx="5">
                  <c:v>0</c:v>
                </c:pt>
                <c:pt idx="6">
                  <c:v>1.248100365699585E-5</c:v>
                </c:pt>
                <c:pt idx="7">
                  <c:v>1.248100365699585E-5</c:v>
                </c:pt>
                <c:pt idx="8">
                  <c:v>1.248100365699585E-5</c:v>
                </c:pt>
                <c:pt idx="9">
                  <c:v>1.0462017771305345E-5</c:v>
                </c:pt>
                <c:pt idx="10">
                  <c:v>1.0462017771305345E-5</c:v>
                </c:pt>
                <c:pt idx="11">
                  <c:v>1.0462017771305345E-5</c:v>
                </c:pt>
              </c:numCache>
            </c:numRef>
          </c:val>
          <c:extLst>
            <c:ext xmlns:c16="http://schemas.microsoft.com/office/drawing/2014/chart" uri="{C3380CC4-5D6E-409C-BE32-E72D297353CC}">
              <c16:uniqueId val="{00000007-89B1-4510-AEB3-F1F6A92C50C5}"/>
            </c:ext>
          </c:extLst>
        </c:ser>
        <c:ser>
          <c:idx val="8"/>
          <c:order val="8"/>
          <c:tx>
            <c:strRef>
              <c:f>Summary!$A$10</c:f>
              <c:strCache>
                <c:ptCount val="1"/>
                <c:pt idx="0">
                  <c:v>facility lighting</c:v>
                </c:pt>
              </c:strCache>
            </c:strRef>
          </c:tx>
          <c:spPr>
            <a:solidFill>
              <a:schemeClr val="accent3">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Summary!$B$10:$M$10</c:f>
              <c:numCache>
                <c:formatCode>0.000E+00</c:formatCode>
                <c:ptCount val="12"/>
                <c:pt idx="0">
                  <c:v>1.0540697873601793E-5</c:v>
                </c:pt>
                <c:pt idx="1">
                  <c:v>9.0753846553479132E-6</c:v>
                </c:pt>
                <c:pt idx="2">
                  <c:v>9.0753846553479132E-6</c:v>
                </c:pt>
                <c:pt idx="3">
                  <c:v>9.0753846553479132E-6</c:v>
                </c:pt>
                <c:pt idx="4">
                  <c:v>9.0753846553479132E-6</c:v>
                </c:pt>
                <c:pt idx="5">
                  <c:v>0</c:v>
                </c:pt>
                <c:pt idx="6">
                  <c:v>9.0753846553479132E-6</c:v>
                </c:pt>
                <c:pt idx="7">
                  <c:v>9.0753846553479132E-6</c:v>
                </c:pt>
                <c:pt idx="8">
                  <c:v>9.0753846553479132E-6</c:v>
                </c:pt>
                <c:pt idx="9">
                  <c:v>9.0753846553479132E-6</c:v>
                </c:pt>
                <c:pt idx="10">
                  <c:v>9.0753846553479132E-6</c:v>
                </c:pt>
                <c:pt idx="11">
                  <c:v>9.0753846553479132E-6</c:v>
                </c:pt>
              </c:numCache>
            </c:numRef>
          </c:val>
          <c:extLst>
            <c:ext xmlns:c16="http://schemas.microsoft.com/office/drawing/2014/chart" uri="{C3380CC4-5D6E-409C-BE32-E72D297353CC}">
              <c16:uniqueId val="{00000008-89B1-4510-AEB3-F1F6A92C50C5}"/>
            </c:ext>
          </c:extLst>
        </c:ser>
        <c:ser>
          <c:idx val="9"/>
          <c:order val="9"/>
          <c:tx>
            <c:strRef>
              <c:f>Summary!$A$11</c:f>
              <c:strCache>
                <c:ptCount val="1"/>
                <c:pt idx="0">
                  <c:v>other nonprocess</c:v>
                </c:pt>
              </c:strCache>
            </c:strRef>
          </c:tx>
          <c:spPr>
            <a:solidFill>
              <a:schemeClr val="accent4">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Summary!$B$11:$M$11</c:f>
              <c:numCache>
                <c:formatCode>0.000E+00</c:formatCode>
                <c:ptCount val="12"/>
                <c:pt idx="0">
                  <c:v>4.5279469556937371E-5</c:v>
                </c:pt>
                <c:pt idx="1">
                  <c:v>2.5058031375260608E-5</c:v>
                </c:pt>
                <c:pt idx="2">
                  <c:v>2.1512469671493199E-5</c:v>
                </c:pt>
                <c:pt idx="3">
                  <c:v>2.5058031375260608E-5</c:v>
                </c:pt>
                <c:pt idx="4">
                  <c:v>2.6221008711888631E-5</c:v>
                </c:pt>
                <c:pt idx="5">
                  <c:v>0</c:v>
                </c:pt>
                <c:pt idx="6">
                  <c:v>2.6221008711888631E-5</c:v>
                </c:pt>
                <c:pt idx="7">
                  <c:v>2.6221008711888631E-5</c:v>
                </c:pt>
                <c:pt idx="8">
                  <c:v>2.6221008711888631E-5</c:v>
                </c:pt>
                <c:pt idx="9">
                  <c:v>2.62436878164827E-5</c:v>
                </c:pt>
                <c:pt idx="10">
                  <c:v>2.62436878164827E-5</c:v>
                </c:pt>
                <c:pt idx="11">
                  <c:v>2.62436878164827E-5</c:v>
                </c:pt>
              </c:numCache>
            </c:numRef>
          </c:val>
          <c:extLst>
            <c:ext xmlns:c16="http://schemas.microsoft.com/office/drawing/2014/chart" uri="{C3380CC4-5D6E-409C-BE32-E72D297353CC}">
              <c16:uniqueId val="{00000009-89B1-4510-AEB3-F1F6A92C50C5}"/>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582930</xdr:colOff>
      <xdr:row>125</xdr:row>
      <xdr:rowOff>99060</xdr:rowOff>
    </xdr:from>
    <xdr:to>
      <xdr:col>20</xdr:col>
      <xdr:colOff>192405</xdr:colOff>
      <xdr:row>138</xdr:row>
      <xdr:rowOff>167640</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548640</xdr:colOff>
      <xdr:row>125</xdr:row>
      <xdr:rowOff>45720</xdr:rowOff>
    </xdr:from>
    <xdr:to>
      <xdr:col>6</xdr:col>
      <xdr:colOff>185146</xdr:colOff>
      <xdr:row>138</xdr:row>
      <xdr:rowOff>91440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8640" y="22539960"/>
          <a:ext cx="7927066" cy="2423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190499</xdr:rowOff>
    </xdr:from>
    <xdr:to>
      <xdr:col>5</xdr:col>
      <xdr:colOff>523543</xdr:colOff>
      <xdr:row>23</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9</xdr:row>
      <xdr:rowOff>0</xdr:rowOff>
    </xdr:from>
    <xdr:to>
      <xdr:col>11</xdr:col>
      <xdr:colOff>139700</xdr:colOff>
      <xdr:row>26</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59</xdr:row>
      <xdr:rowOff>0</xdr:rowOff>
    </xdr:from>
    <xdr:to>
      <xdr:col>6</xdr:col>
      <xdr:colOff>458054</xdr:colOff>
      <xdr:row>79</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41</xdr:row>
      <xdr:rowOff>161925</xdr:rowOff>
    </xdr:from>
    <xdr:to>
      <xdr:col>4</xdr:col>
      <xdr:colOff>168466</xdr:colOff>
      <xdr:row>48</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214312</xdr:colOff>
      <xdr:row>14</xdr:row>
      <xdr:rowOff>176211</xdr:rowOff>
    </xdr:from>
    <xdr:to>
      <xdr:col>12</xdr:col>
      <xdr:colOff>523875</xdr:colOff>
      <xdr:row>39</xdr:row>
      <xdr:rowOff>161924</xdr:rowOff>
    </xdr:to>
    <xdr:graphicFrame macro="">
      <xdr:nvGraphicFramePr>
        <xdr:cNvPr id="2" name="Chart 1">
          <a:extLst>
            <a:ext uri="{FF2B5EF4-FFF2-40B4-BE49-F238E27FC236}">
              <a16:creationId xmlns:a16="http://schemas.microsoft.com/office/drawing/2014/main" id="{311C43C5-EAFA-4B41-8B79-743C2EAA3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pubs.acs.org/doi/10.1021/acs.iecr.4c02665" TargetMode="External"/><Relationship Id="rId13" Type="http://schemas.openxmlformats.org/officeDocument/2006/relationships/hyperlink" Target="https://www.osti.gov/servlets/purl/1077001" TargetMode="External"/><Relationship Id="rId18" Type="http://schemas.openxmlformats.org/officeDocument/2006/relationships/hyperlink" Target="https://docs.nrel.gov/docs/fy18osti/70485.pdf" TargetMode="External"/><Relationship Id="rId3" Type="http://schemas.openxmlformats.org/officeDocument/2006/relationships/hyperlink" Target="https://onlinelibrary.wiley.com/doi/pdf/10.1002/9783527611119.app4" TargetMode="External"/><Relationship Id="rId7" Type="http://schemas.openxmlformats.org/officeDocument/2006/relationships/hyperlink" Target="https://www.diw.de/documents/publikationen/73/diw_01.c.901039.de/dp2082.pdf" TargetMode="External"/><Relationship Id="rId12" Type="http://schemas.openxmlformats.org/officeDocument/2006/relationships/hyperlink" Target="https://www.energy.gov/sites/prod/files/2016/06/f32/DOE-BTO%20Comml%20Appl%20Report%20-%20Full%20Report_0.pdf" TargetMode="External"/><Relationship Id="rId17" Type="http://schemas.openxmlformats.org/officeDocument/2006/relationships/hyperlink" Target="https://www.irena.org/-/media/Irena/Files/REmap/IRENA_REmap_2030_technology_cost.xlsx" TargetMode="External"/><Relationship Id="rId2" Type="http://schemas.openxmlformats.org/officeDocument/2006/relationships/hyperlink" Target="https://assessccus.globalco2initiative.org/wp-content/uploads/Capital-Equipment-Cost-Database.xlsx" TargetMode="External"/><Relationship Id="rId16" Type="http://schemas.openxmlformats.org/officeDocument/2006/relationships/hyperlink" Target="https://heatpumpingtechnologies.org/project68/task1/" TargetMode="External"/><Relationship Id="rId20" Type="http://schemas.openxmlformats.org/officeDocument/2006/relationships/drawing" Target="../drawings/drawing1.xml"/><Relationship Id="rId1" Type="http://schemas.openxmlformats.org/officeDocument/2006/relationships/hyperlink" Target="https://www.globalco2initiative.org/" TargetMode="External"/><Relationship Id="rId6" Type="http://schemas.openxmlformats.org/officeDocument/2006/relationships/hyperlink" Target="https://www.sciencedirect.com/science/article/abs/pii/S0016236123020239" TargetMode="External"/><Relationship Id="rId11" Type="http://schemas.openxmlformats.org/officeDocument/2006/relationships/hyperlink" Target="https://www.cement.heidelbergmaterials.se/sites/default/files/assets/document/65/de/final_cemzero_2018_public_version_2.0.pdf.pdf" TargetMode="External"/><Relationship Id="rId5" Type="http://schemas.openxmlformats.org/officeDocument/2006/relationships/hyperlink" Target="https://liftoff.energy.gov/wp-content/uploads/2023/05/20230320-Liftoff-Clean-H2-vPUB-0329-update.pdf" TargetMode="External"/><Relationship Id="rId15" Type="http://schemas.openxmlformats.org/officeDocument/2006/relationships/hyperlink" Target="https://www.researchgate.net/publication/330875028_Techno-economic_analysis_of_calcium_looping_processes_for_low_CO_2_emission_cement_plants" TargetMode="External"/><Relationship Id="rId10" Type="http://schemas.openxmlformats.org/officeDocument/2006/relationships/hyperlink" Target="https://www.glass-ts.com/site/assets/files/1015/2004_-_a_study_of_the_balance_between_furnace_operating_parameters_and_recycled_glass_in_glass_melting_furnaces.pdf" TargetMode="External"/><Relationship Id="rId19" Type="http://schemas.openxmlformats.org/officeDocument/2006/relationships/hyperlink" Target="https://media.copeland.com/1da81099-2c21-4ce5-8096-b16d0037b111/VILTER%20Heat%20Pump%20White%20Paper.pdf" TargetMode="External"/><Relationship Id="rId4" Type="http://schemas.openxmlformats.org/officeDocument/2006/relationships/hyperlink" Target="https://www.energy.gov/sites/prod/files/2014/04/f15/mtrmkt.pdf" TargetMode="External"/><Relationship Id="rId9" Type="http://schemas.openxmlformats.org/officeDocument/2006/relationships/hyperlink" Target="https://www.energy-transitions.org/wp-content/uploads/2023/03/Unlocking-the-First-Wave-of-Breakthrough-Steel-Investments-in-France-March-2022.pdf" TargetMode="External"/><Relationship Id="rId14" Type="http://schemas.openxmlformats.org/officeDocument/2006/relationships/hyperlink" Target="https://www.michigan.gov/-/media/Project/Websites/treasury/VOL/Vol236UIP12MiscellaneousIndustrialCosts.pdf?rev=b2a14a143c11493e8d0a30587afaa282"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nitconverters.net/power/horsepower-boiler-to-kilowatt.htm" TargetMode="External"/><Relationship Id="rId1" Type="http://schemas.openxmlformats.org/officeDocument/2006/relationships/hyperlink" Target="https://www.unitconverters.net/power/horsepower-boiler-to-kilowatt.ht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B157"/>
  <sheetViews>
    <sheetView tabSelected="1" workbookViewId="0"/>
  </sheetViews>
  <sheetFormatPr defaultColWidth="8.85546875" defaultRowHeight="15" x14ac:dyDescent="0.25"/>
  <cols>
    <col min="2" max="2" width="76.42578125" customWidth="1"/>
  </cols>
  <sheetData>
    <row r="1" spans="1:2" x14ac:dyDescent="0.25">
      <c r="A1" s="1" t="s">
        <v>363</v>
      </c>
    </row>
    <row r="3" spans="1:2" x14ac:dyDescent="0.25">
      <c r="A3" s="1" t="s">
        <v>0</v>
      </c>
      <c r="B3" s="16" t="s">
        <v>21</v>
      </c>
    </row>
    <row r="4" spans="1:2" x14ac:dyDescent="0.25">
      <c r="A4" s="1"/>
      <c r="B4" t="s">
        <v>414</v>
      </c>
    </row>
    <row r="5" spans="1:2" x14ac:dyDescent="0.25">
      <c r="A5" s="1"/>
      <c r="B5" s="13">
        <v>2025</v>
      </c>
    </row>
    <row r="6" spans="1:2" x14ac:dyDescent="0.25">
      <c r="A6" s="1"/>
      <c r="B6" t="s">
        <v>415</v>
      </c>
    </row>
    <row r="7" spans="1:2" x14ac:dyDescent="0.25">
      <c r="A7" s="1"/>
      <c r="B7" s="58" t="s">
        <v>416</v>
      </c>
    </row>
    <row r="8" spans="1:2" x14ac:dyDescent="0.25">
      <c r="A8" s="1"/>
      <c r="B8" t="s">
        <v>417</v>
      </c>
    </row>
    <row r="9" spans="1:2" x14ac:dyDescent="0.25">
      <c r="A9" s="1"/>
    </row>
    <row r="10" spans="1:2" x14ac:dyDescent="0.25">
      <c r="A10" s="1"/>
      <c r="B10" s="16" t="s">
        <v>413</v>
      </c>
    </row>
    <row r="11" spans="1:2" x14ac:dyDescent="0.25">
      <c r="B11" t="s">
        <v>531</v>
      </c>
    </row>
    <row r="12" spans="1:2" x14ac:dyDescent="0.25">
      <c r="B12" s="13">
        <v>2011</v>
      </c>
    </row>
    <row r="13" spans="1:2" x14ac:dyDescent="0.25">
      <c r="B13" s="14" t="s">
        <v>20</v>
      </c>
    </row>
    <row r="14" spans="1:2" x14ac:dyDescent="0.25">
      <c r="B14" s="15" t="s">
        <v>532</v>
      </c>
    </row>
    <row r="15" spans="1:2" x14ac:dyDescent="0.25">
      <c r="B15" t="s">
        <v>533</v>
      </c>
    </row>
    <row r="17" spans="2:2" x14ac:dyDescent="0.25">
      <c r="B17" s="16" t="s">
        <v>523</v>
      </c>
    </row>
    <row r="18" spans="2:2" x14ac:dyDescent="0.25">
      <c r="B18" t="s">
        <v>38</v>
      </c>
    </row>
    <row r="19" spans="2:2" x14ac:dyDescent="0.25">
      <c r="B19" s="13">
        <v>2016</v>
      </c>
    </row>
    <row r="20" spans="2:2" x14ac:dyDescent="0.25">
      <c r="B20" t="s">
        <v>40</v>
      </c>
    </row>
    <row r="21" spans="2:2" x14ac:dyDescent="0.25">
      <c r="B21" s="15" t="s">
        <v>39</v>
      </c>
    </row>
    <row r="23" spans="2:2" x14ac:dyDescent="0.25">
      <c r="B23" s="81" t="s">
        <v>528</v>
      </c>
    </row>
    <row r="24" spans="2:2" x14ac:dyDescent="0.25">
      <c r="B24" t="s">
        <v>269</v>
      </c>
    </row>
    <row r="25" spans="2:2" x14ac:dyDescent="0.25">
      <c r="B25" s="13">
        <v>2003</v>
      </c>
    </row>
    <row r="26" spans="2:2" x14ac:dyDescent="0.25">
      <c r="B26" t="s">
        <v>270</v>
      </c>
    </row>
    <row r="27" spans="2:2" x14ac:dyDescent="0.25">
      <c r="B27" s="15" t="s">
        <v>271</v>
      </c>
    </row>
    <row r="28" spans="2:2" x14ac:dyDescent="0.25">
      <c r="B28" t="s">
        <v>272</v>
      </c>
    </row>
    <row r="30" spans="2:2" x14ac:dyDescent="0.25">
      <c r="B30" s="81" t="s">
        <v>528</v>
      </c>
    </row>
    <row r="31" spans="2:2" x14ac:dyDescent="0.25">
      <c r="B31" t="s">
        <v>524</v>
      </c>
    </row>
    <row r="32" spans="2:2" x14ac:dyDescent="0.25">
      <c r="B32" s="13">
        <v>2017</v>
      </c>
    </row>
    <row r="33" spans="2:2" x14ac:dyDescent="0.25">
      <c r="B33" t="s">
        <v>525</v>
      </c>
    </row>
    <row r="34" spans="2:2" x14ac:dyDescent="0.25">
      <c r="B34" s="15" t="s">
        <v>526</v>
      </c>
    </row>
    <row r="35" spans="2:2" x14ac:dyDescent="0.25">
      <c r="B35" t="s">
        <v>527</v>
      </c>
    </row>
    <row r="37" spans="2:2" x14ac:dyDescent="0.25">
      <c r="B37" s="16" t="s">
        <v>44</v>
      </c>
    </row>
    <row r="38" spans="2:2" x14ac:dyDescent="0.25">
      <c r="B38" t="s">
        <v>45</v>
      </c>
    </row>
    <row r="39" spans="2:2" x14ac:dyDescent="0.25">
      <c r="B39" t="s">
        <v>46</v>
      </c>
    </row>
    <row r="40" spans="2:2" x14ac:dyDescent="0.25">
      <c r="B40" s="14">
        <v>2020</v>
      </c>
    </row>
    <row r="41" spans="2:2" x14ac:dyDescent="0.25">
      <c r="B41" s="15" t="s">
        <v>47</v>
      </c>
    </row>
    <row r="43" spans="2:2" x14ac:dyDescent="0.25">
      <c r="B43" s="16" t="s">
        <v>73</v>
      </c>
    </row>
    <row r="44" spans="2:2" x14ac:dyDescent="0.25">
      <c r="B44" t="s">
        <v>74</v>
      </c>
    </row>
    <row r="45" spans="2:2" x14ac:dyDescent="0.25">
      <c r="B45" t="s">
        <v>75</v>
      </c>
    </row>
    <row r="46" spans="2:2" x14ac:dyDescent="0.25">
      <c r="B46" t="s">
        <v>77</v>
      </c>
    </row>
    <row r="47" spans="2:2" x14ac:dyDescent="0.25">
      <c r="B47" t="s">
        <v>76</v>
      </c>
    </row>
    <row r="49" spans="2:2" x14ac:dyDescent="0.25">
      <c r="B49" s="16" t="s">
        <v>93</v>
      </c>
    </row>
    <row r="50" spans="2:2" x14ac:dyDescent="0.25">
      <c r="B50" t="s">
        <v>96</v>
      </c>
    </row>
    <row r="51" spans="2:2" x14ac:dyDescent="0.25">
      <c r="B51" t="s">
        <v>75</v>
      </c>
    </row>
    <row r="52" spans="2:2" x14ac:dyDescent="0.25">
      <c r="B52" t="s">
        <v>94</v>
      </c>
    </row>
    <row r="53" spans="2:2" x14ac:dyDescent="0.25">
      <c r="B53" t="s">
        <v>95</v>
      </c>
    </row>
    <row r="55" spans="2:2" x14ac:dyDescent="0.25">
      <c r="B55" s="16" t="s">
        <v>251</v>
      </c>
    </row>
    <row r="56" spans="2:2" x14ac:dyDescent="0.25">
      <c r="B56" t="s">
        <v>238</v>
      </c>
    </row>
    <row r="57" spans="2:2" x14ac:dyDescent="0.25">
      <c r="B57" s="38">
        <v>2016</v>
      </c>
    </row>
    <row r="58" spans="2:2" x14ac:dyDescent="0.25">
      <c r="B58" t="s">
        <v>239</v>
      </c>
    </row>
    <row r="59" spans="2:2" x14ac:dyDescent="0.25">
      <c r="B59" s="15" t="s">
        <v>240</v>
      </c>
    </row>
    <row r="61" spans="2:2" x14ac:dyDescent="0.25">
      <c r="B61" s="16" t="s">
        <v>241</v>
      </c>
    </row>
    <row r="62" spans="2:2" x14ac:dyDescent="0.25">
      <c r="B62" t="s">
        <v>242</v>
      </c>
    </row>
    <row r="63" spans="2:2" x14ac:dyDescent="0.25">
      <c r="B63" s="38">
        <v>2013</v>
      </c>
    </row>
    <row r="64" spans="2:2" x14ac:dyDescent="0.25">
      <c r="B64" t="s">
        <v>243</v>
      </c>
    </row>
    <row r="65" spans="2:2" x14ac:dyDescent="0.25">
      <c r="B65" s="15" t="s">
        <v>244</v>
      </c>
    </row>
    <row r="67" spans="2:2" x14ac:dyDescent="0.25">
      <c r="B67" s="16" t="s">
        <v>187</v>
      </c>
    </row>
    <row r="68" spans="2:2" x14ac:dyDescent="0.25">
      <c r="B68" s="1" t="s">
        <v>198</v>
      </c>
    </row>
    <row r="69" spans="2:2" x14ac:dyDescent="0.25">
      <c r="B69" t="s">
        <v>188</v>
      </c>
    </row>
    <row r="70" spans="2:2" x14ac:dyDescent="0.25">
      <c r="B70" t="s">
        <v>189</v>
      </c>
    </row>
    <row r="71" spans="2:2" x14ac:dyDescent="0.25">
      <c r="B71" s="13">
        <v>2024</v>
      </c>
    </row>
    <row r="72" spans="2:2" ht="30" x14ac:dyDescent="0.25">
      <c r="B72" s="3" t="s">
        <v>190</v>
      </c>
    </row>
    <row r="73" spans="2:2" x14ac:dyDescent="0.25">
      <c r="B73" s="35" t="s">
        <v>191</v>
      </c>
    </row>
    <row r="74" spans="2:2" x14ac:dyDescent="0.25">
      <c r="B74" s="35"/>
    </row>
    <row r="75" spans="2:2" x14ac:dyDescent="0.25">
      <c r="B75" t="s">
        <v>163</v>
      </c>
    </row>
    <row r="76" spans="2:2" x14ac:dyDescent="0.25">
      <c r="B76" t="s">
        <v>173</v>
      </c>
    </row>
    <row r="77" spans="2:2" x14ac:dyDescent="0.25">
      <c r="B77" s="13">
        <v>2024</v>
      </c>
    </row>
    <row r="78" spans="2:2" ht="30" x14ac:dyDescent="0.25">
      <c r="B78" s="3" t="s">
        <v>192</v>
      </c>
    </row>
    <row r="79" spans="2:2" x14ac:dyDescent="0.25">
      <c r="B79" s="3" t="s">
        <v>193</v>
      </c>
    </row>
    <row r="80" spans="2:2" x14ac:dyDescent="0.25">
      <c r="B80" s="35" t="s">
        <v>194</v>
      </c>
    </row>
    <row r="81" spans="2:2" x14ac:dyDescent="0.25">
      <c r="B81" s="3"/>
    </row>
    <row r="82" spans="2:2" x14ac:dyDescent="0.25">
      <c r="B82" s="3" t="s">
        <v>195</v>
      </c>
    </row>
    <row r="83" spans="2:2" x14ac:dyDescent="0.25">
      <c r="B83" s="3" t="s">
        <v>176</v>
      </c>
    </row>
    <row r="84" spans="2:2" x14ac:dyDescent="0.25">
      <c r="B84" s="36">
        <v>44621</v>
      </c>
    </row>
    <row r="85" spans="2:2" x14ac:dyDescent="0.25">
      <c r="B85" s="36" t="s">
        <v>196</v>
      </c>
    </row>
    <row r="86" spans="2:2" ht="30" x14ac:dyDescent="0.25">
      <c r="B86" s="37" t="s">
        <v>197</v>
      </c>
    </row>
    <row r="87" spans="2:2" x14ac:dyDescent="0.25">
      <c r="B87" s="37"/>
    </row>
    <row r="88" spans="2:2" x14ac:dyDescent="0.25">
      <c r="B88" s="1" t="s">
        <v>212</v>
      </c>
    </row>
    <row r="89" spans="2:2" x14ac:dyDescent="0.25">
      <c r="B89" t="s">
        <v>213</v>
      </c>
    </row>
    <row r="90" spans="2:2" x14ac:dyDescent="0.25">
      <c r="B90" s="13">
        <v>2018</v>
      </c>
    </row>
    <row r="91" spans="2:2" x14ac:dyDescent="0.25">
      <c r="B91" s="15" t="s">
        <v>214</v>
      </c>
    </row>
    <row r="92" spans="2:2" x14ac:dyDescent="0.25">
      <c r="B92" s="15"/>
    </row>
    <row r="93" spans="2:2" x14ac:dyDescent="0.25">
      <c r="B93" t="s">
        <v>235</v>
      </c>
    </row>
    <row r="94" spans="2:2" x14ac:dyDescent="0.25">
      <c r="B94" s="13">
        <v>2024</v>
      </c>
    </row>
    <row r="95" spans="2:2" x14ac:dyDescent="0.25">
      <c r="B95" t="s">
        <v>236</v>
      </c>
    </row>
    <row r="96" spans="2:2" x14ac:dyDescent="0.25">
      <c r="B96" t="s">
        <v>237</v>
      </c>
    </row>
    <row r="98" spans="2:2" x14ac:dyDescent="0.25">
      <c r="B98" s="1" t="s">
        <v>295</v>
      </c>
    </row>
    <row r="99" spans="2:2" x14ac:dyDescent="0.25">
      <c r="B99" t="s">
        <v>296</v>
      </c>
    </row>
    <row r="100" spans="2:2" x14ac:dyDescent="0.25">
      <c r="B100" s="13">
        <v>2019</v>
      </c>
    </row>
    <row r="101" spans="2:2" x14ac:dyDescent="0.25">
      <c r="B101" t="s">
        <v>297</v>
      </c>
    </row>
    <row r="102" spans="2:2" x14ac:dyDescent="0.25">
      <c r="B102" s="15" t="s">
        <v>292</v>
      </c>
    </row>
    <row r="103" spans="2:2" x14ac:dyDescent="0.25">
      <c r="B103" t="s">
        <v>298</v>
      </c>
    </row>
    <row r="106" spans="2:2" x14ac:dyDescent="0.25">
      <c r="B106" s="31" t="s">
        <v>199</v>
      </c>
    </row>
    <row r="107" spans="2:2" x14ac:dyDescent="0.25">
      <c r="B107" s="36" t="s">
        <v>200</v>
      </c>
    </row>
    <row r="108" spans="2:2" x14ac:dyDescent="0.25">
      <c r="B108" s="36">
        <v>38231</v>
      </c>
    </row>
    <row r="109" spans="2:2" ht="30" x14ac:dyDescent="0.25">
      <c r="B109" s="36" t="s">
        <v>201</v>
      </c>
    </row>
    <row r="110" spans="2:2" ht="45" x14ac:dyDescent="0.25">
      <c r="B110" s="37" t="s">
        <v>202</v>
      </c>
    </row>
    <row r="111" spans="2:2" x14ac:dyDescent="0.25">
      <c r="B111" s="36"/>
    </row>
    <row r="112" spans="2:2" x14ac:dyDescent="0.25">
      <c r="B112" s="16" t="s">
        <v>300</v>
      </c>
    </row>
    <row r="113" spans="2:2" x14ac:dyDescent="0.25">
      <c r="B113" s="15" t="s">
        <v>120</v>
      </c>
    </row>
    <row r="114" spans="2:2" x14ac:dyDescent="0.25">
      <c r="B114" s="15" t="s">
        <v>121</v>
      </c>
    </row>
    <row r="115" spans="2:2" x14ac:dyDescent="0.25">
      <c r="B115" t="s">
        <v>125</v>
      </c>
    </row>
    <row r="117" spans="2:2" x14ac:dyDescent="0.25">
      <c r="B117" t="s">
        <v>122</v>
      </c>
    </row>
    <row r="118" spans="2:2" x14ac:dyDescent="0.25">
      <c r="B118" t="s">
        <v>123</v>
      </c>
    </row>
    <row r="119" spans="2:2" x14ac:dyDescent="0.25">
      <c r="B119" s="13">
        <v>2007</v>
      </c>
    </row>
    <row r="120" spans="2:2" x14ac:dyDescent="0.25">
      <c r="B120" s="15" t="s">
        <v>124</v>
      </c>
    </row>
    <row r="122" spans="2:2" x14ac:dyDescent="0.25">
      <c r="B122" t="s">
        <v>351</v>
      </c>
    </row>
    <row r="123" spans="2:2" x14ac:dyDescent="0.25">
      <c r="B123" t="s">
        <v>129</v>
      </c>
    </row>
    <row r="124" spans="2:2" x14ac:dyDescent="0.25">
      <c r="B124" t="s">
        <v>128</v>
      </c>
    </row>
    <row r="125" spans="2:2" x14ac:dyDescent="0.25">
      <c r="B125" s="15" t="s">
        <v>130</v>
      </c>
    </row>
    <row r="142" spans="2:2" x14ac:dyDescent="0.25">
      <c r="B142" s="16" t="s">
        <v>155</v>
      </c>
    </row>
    <row r="143" spans="2:2" x14ac:dyDescent="0.25">
      <c r="B143" s="15" t="s">
        <v>156</v>
      </c>
    </row>
    <row r="145" spans="1:2" x14ac:dyDescent="0.25">
      <c r="B145" t="s">
        <v>158</v>
      </c>
    </row>
    <row r="146" spans="1:2" x14ac:dyDescent="0.25">
      <c r="B146" s="15" t="s">
        <v>157</v>
      </c>
    </row>
    <row r="150" spans="1:2" x14ac:dyDescent="0.25">
      <c r="A150" t="s">
        <v>378</v>
      </c>
    </row>
    <row r="151" spans="1:2" x14ac:dyDescent="0.25">
      <c r="A151">
        <v>138490</v>
      </c>
      <c r="B151" t="s">
        <v>379</v>
      </c>
    </row>
    <row r="152" spans="1:2" x14ac:dyDescent="0.25">
      <c r="A152" t="s">
        <v>380</v>
      </c>
    </row>
    <row r="153" spans="1:2" x14ac:dyDescent="0.25">
      <c r="A153">
        <v>3412.14</v>
      </c>
      <c r="B153" t="s">
        <v>35</v>
      </c>
    </row>
    <row r="156" spans="1:2" x14ac:dyDescent="0.25">
      <c r="A156">
        <v>0.78452102304761584</v>
      </c>
      <c r="B156" t="s">
        <v>400</v>
      </c>
    </row>
    <row r="157" spans="1:2" x14ac:dyDescent="0.25">
      <c r="A157">
        <v>0.84730412960844359</v>
      </c>
      <c r="B157" t="s">
        <v>409</v>
      </c>
    </row>
  </sheetData>
  <hyperlinks>
    <hyperlink ref="B113" r:id="rId1" xr:uid="{810625CC-59B0-4E09-BD8A-7942EF52112A}"/>
    <hyperlink ref="B114" r:id="rId2" xr:uid="{DE5DC99A-D169-4E5D-98F4-A0C74D220DA2}"/>
    <hyperlink ref="B120" r:id="rId3" xr:uid="{EC39133E-2B1E-4926-9BAB-A0BC92F6703D}"/>
    <hyperlink ref="B125" r:id="rId4" xr:uid="{5CBB2DBF-381E-4F40-8899-29D4B5FC9B35}"/>
    <hyperlink ref="B143" r:id="rId5" display="Data from the DOE's Pathways to Commercial Liftoff: Clean Hydrogen (p.13, p.88)" xr:uid="{451B96CC-C781-4216-8C03-8132EE3013B2}"/>
    <hyperlink ref="B146" r:id="rId6" xr:uid="{8276223D-26B3-43EA-A781-2BDC0C41D374}"/>
    <hyperlink ref="B73" r:id="rId7" xr:uid="{C723E247-B6C1-46C7-B576-CF146861E8AC}"/>
    <hyperlink ref="B80" r:id="rId8" xr:uid="{BA83290A-C082-4AAB-AFC4-39DE2DEA36E6}"/>
    <hyperlink ref="B86" r:id="rId9" xr:uid="{437DE8DA-77A2-48D0-8792-6CEB29629218}"/>
    <hyperlink ref="B110" r:id="rId10" xr:uid="{8C5AD67E-D9AA-4BD2-BE55-FC759DD68FCE}"/>
    <hyperlink ref="B91" r:id="rId11" xr:uid="{D30485F8-6CEE-4196-A36A-BE4A2803E3DD}"/>
    <hyperlink ref="B59" r:id="rId12" xr:uid="{07F897CB-7353-674E-92F0-010511F2EA56}"/>
    <hyperlink ref="B65" r:id="rId13" xr:uid="{D0781D44-31AC-BC44-B7B2-E83275B62102}"/>
    <hyperlink ref="B27" r:id="rId14" xr:uid="{27F2C98F-DA26-4901-A0EB-6AC6A38F1C0C}"/>
    <hyperlink ref="B102" r:id="rId15" xr:uid="{561EFB21-D77A-400A-A718-A022D22539BB}"/>
    <hyperlink ref="B7" r:id="rId16" xr:uid="{5D5D64FB-C534-49E1-91CF-E9DAD8703987}"/>
    <hyperlink ref="B21" r:id="rId17" xr:uid="{889A0153-4527-40B1-9E1F-CD0F47C08845}"/>
    <hyperlink ref="B34" r:id="rId18" xr:uid="{914B6605-732A-4137-9624-39ADEA1A5BC5}"/>
    <hyperlink ref="B14" r:id="rId19" xr:uid="{A729C781-885E-416E-A374-5F19DB0179E8}"/>
  </hyperlinks>
  <pageMargins left="0.7" right="0.7" top="0.75" bottom="0.75" header="0.3" footer="0.3"/>
  <drawing r:id="rId2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H83"/>
  <sheetViews>
    <sheetView zoomScale="130" zoomScaleNormal="130" workbookViewId="0"/>
  </sheetViews>
  <sheetFormatPr defaultColWidth="8.85546875" defaultRowHeight="15" x14ac:dyDescent="0.2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2.28515625" customWidth="1"/>
    <col min="8" max="8" width="23.85546875" customWidth="1"/>
  </cols>
  <sheetData>
    <row r="1" spans="1:4" x14ac:dyDescent="0.25">
      <c r="A1" s="17" t="s">
        <v>19</v>
      </c>
      <c r="B1" s="18"/>
      <c r="C1" s="18"/>
      <c r="D1" s="18"/>
    </row>
    <row r="2" spans="1:4" x14ac:dyDescent="0.25">
      <c r="A2" s="24" t="s">
        <v>51</v>
      </c>
    </row>
    <row r="3" spans="1:4" x14ac:dyDescent="0.25">
      <c r="A3" s="24" t="s">
        <v>52</v>
      </c>
    </row>
    <row r="4" spans="1:4" x14ac:dyDescent="0.25">
      <c r="A4" s="1"/>
    </row>
    <row r="5" spans="1:4" x14ac:dyDescent="0.25">
      <c r="A5" s="59" t="s">
        <v>418</v>
      </c>
      <c r="B5" s="60" t="s">
        <v>36</v>
      </c>
      <c r="C5" s="61" t="s">
        <v>34</v>
      </c>
      <c r="D5" s="64"/>
    </row>
    <row r="6" spans="1:4" s="86" customFormat="1" x14ac:dyDescent="0.25">
      <c r="A6" t="s">
        <v>419</v>
      </c>
      <c r="B6" s="87">
        <v>600</v>
      </c>
      <c r="C6" s="62" t="s">
        <v>536</v>
      </c>
      <c r="D6" s="13" t="s">
        <v>539</v>
      </c>
    </row>
    <row r="7" spans="1:4" s="86" customFormat="1" x14ac:dyDescent="0.25">
      <c r="A7" t="s">
        <v>537</v>
      </c>
      <c r="B7" s="87">
        <v>1.0822000000000001</v>
      </c>
      <c r="C7" s="62" t="s">
        <v>538</v>
      </c>
      <c r="D7" s="13"/>
    </row>
    <row r="8" spans="1:4" x14ac:dyDescent="0.25">
      <c r="A8" t="s">
        <v>419</v>
      </c>
      <c r="B8">
        <f>B6*B7</f>
        <v>649.32000000000005</v>
      </c>
      <c r="C8" s="62" t="s">
        <v>534</v>
      </c>
    </row>
    <row r="9" spans="1:4" x14ac:dyDescent="0.25">
      <c r="A9" t="s">
        <v>420</v>
      </c>
      <c r="B9">
        <v>8760</v>
      </c>
      <c r="C9" s="62" t="s">
        <v>421</v>
      </c>
      <c r="D9" s="62"/>
    </row>
    <row r="10" spans="1:4" x14ac:dyDescent="0.25">
      <c r="A10" t="s">
        <v>422</v>
      </c>
      <c r="B10" s="19">
        <f>AVERAGE(5944,2503,6257,6257)/B9</f>
        <v>0.5982020547945206</v>
      </c>
      <c r="C10" s="62" t="s">
        <v>144</v>
      </c>
      <c r="D10" s="62"/>
    </row>
    <row r="11" spans="1:4" x14ac:dyDescent="0.25">
      <c r="A11" t="s">
        <v>423</v>
      </c>
      <c r="B11" s="63">
        <f>B8/(B9*B10)</f>
        <v>0.12391011879204238</v>
      </c>
      <c r="C11" s="62" t="s">
        <v>535</v>
      </c>
      <c r="D11" s="13" t="s">
        <v>425</v>
      </c>
    </row>
    <row r="12" spans="1:4" x14ac:dyDescent="0.25">
      <c r="A12" s="1"/>
    </row>
    <row r="13" spans="1:4" x14ac:dyDescent="0.25">
      <c r="A13" t="s">
        <v>31</v>
      </c>
      <c r="B13">
        <v>3412.14</v>
      </c>
      <c r="C13" s="62" t="s">
        <v>35</v>
      </c>
    </row>
    <row r="14" spans="1:4" x14ac:dyDescent="0.25">
      <c r="A14" s="1"/>
    </row>
    <row r="15" spans="1:4" x14ac:dyDescent="0.25">
      <c r="A15" t="s">
        <v>424</v>
      </c>
      <c r="B15" s="12">
        <f>B11/B13</f>
        <v>3.6314488500484264E-5</v>
      </c>
      <c r="C15" s="62" t="s">
        <v>522</v>
      </c>
      <c r="D15" s="13" t="s">
        <v>426</v>
      </c>
    </row>
    <row r="16" spans="1:4" x14ac:dyDescent="0.25">
      <c r="A16" s="1"/>
      <c r="D16" s="24" t="s">
        <v>427</v>
      </c>
    </row>
    <row r="19" spans="1:8" x14ac:dyDescent="0.25">
      <c r="A19" s="17" t="s">
        <v>25</v>
      </c>
      <c r="B19" s="18"/>
      <c r="C19" s="18"/>
      <c r="D19" s="18"/>
      <c r="E19" s="18"/>
    </row>
    <row r="20" spans="1:8" s="3" customFormat="1" ht="30" x14ac:dyDescent="0.25">
      <c r="B20" s="6" t="s">
        <v>30</v>
      </c>
      <c r="C20" s="6" t="s">
        <v>29</v>
      </c>
      <c r="D20" s="6" t="s">
        <v>37</v>
      </c>
      <c r="E20" s="6" t="s">
        <v>42</v>
      </c>
      <c r="F20" s="23" t="s">
        <v>43</v>
      </c>
      <c r="G20" s="23" t="s">
        <v>519</v>
      </c>
      <c r="H20" s="23" t="s">
        <v>518</v>
      </c>
    </row>
    <row r="21" spans="1:8" x14ac:dyDescent="0.25">
      <c r="A21" t="s">
        <v>26</v>
      </c>
      <c r="B21">
        <v>2000</v>
      </c>
      <c r="C21">
        <v>300</v>
      </c>
      <c r="D21">
        <f>B21*C21</f>
        <v>600000</v>
      </c>
      <c r="E21" s="19">
        <v>0.9</v>
      </c>
      <c r="F21">
        <f>$B$29/E21</f>
        <v>40035776000</v>
      </c>
      <c r="G21" s="82">
        <f>D21/F21</f>
        <v>1.4986595988547842E-5</v>
      </c>
      <c r="H21" s="12">
        <f>G21*$B$30</f>
        <v>1.9822770514052231E-5</v>
      </c>
    </row>
    <row r="22" spans="1:8" x14ac:dyDescent="0.25">
      <c r="A22" t="s">
        <v>27</v>
      </c>
      <c r="B22">
        <v>2000</v>
      </c>
      <c r="C22">
        <v>200</v>
      </c>
      <c r="D22">
        <f>B22*C22</f>
        <v>400000</v>
      </c>
      <c r="E22" s="19">
        <v>0.85</v>
      </c>
      <c r="F22">
        <f>$B$29/E22</f>
        <v>42390821647.058823</v>
      </c>
      <c r="G22" s="82">
        <f>D22/F22</f>
        <v>9.436004881678272E-6</v>
      </c>
      <c r="H22" s="12">
        <f>G22*$B$30</f>
        <v>1.248100365699585E-5</v>
      </c>
    </row>
    <row r="23" spans="1:8" x14ac:dyDescent="0.25">
      <c r="A23" t="s">
        <v>28</v>
      </c>
      <c r="B23">
        <v>2000</v>
      </c>
      <c r="C23">
        <v>100</v>
      </c>
      <c r="D23">
        <f>B23*C23</f>
        <v>200000</v>
      </c>
      <c r="E23" s="19">
        <v>0.95</v>
      </c>
      <c r="F23">
        <f>$B$29/E23</f>
        <v>37928629894.736847</v>
      </c>
      <c r="G23" s="9">
        <f>D23/F23</f>
        <v>5.2730615515260925E-6</v>
      </c>
      <c r="H23" s="12">
        <f>G23*$B$30</f>
        <v>6.9746785142035624E-6</v>
      </c>
    </row>
    <row r="25" spans="1:8" x14ac:dyDescent="0.25">
      <c r="B25" s="7" t="s">
        <v>36</v>
      </c>
      <c r="C25" s="64" t="s">
        <v>34</v>
      </c>
    </row>
    <row r="26" spans="1:8" x14ac:dyDescent="0.25">
      <c r="A26" t="s">
        <v>529</v>
      </c>
      <c r="B26" s="84">
        <v>5280</v>
      </c>
      <c r="C26" s="85" t="s">
        <v>530</v>
      </c>
    </row>
    <row r="27" spans="1:8" x14ac:dyDescent="0.25">
      <c r="A27" t="s">
        <v>41</v>
      </c>
      <c r="B27">
        <f>B21*B26</f>
        <v>10560000</v>
      </c>
      <c r="C27" s="62" t="s">
        <v>33</v>
      </c>
    </row>
    <row r="28" spans="1:8" x14ac:dyDescent="0.25">
      <c r="A28" t="s">
        <v>31</v>
      </c>
      <c r="B28">
        <v>3412.14</v>
      </c>
      <c r="C28" s="62" t="s">
        <v>35</v>
      </c>
    </row>
    <row r="29" spans="1:8" x14ac:dyDescent="0.25">
      <c r="A29" t="s">
        <v>41</v>
      </c>
      <c r="B29">
        <f>B27*B28</f>
        <v>36032198400</v>
      </c>
      <c r="C29" s="62" t="s">
        <v>22</v>
      </c>
    </row>
    <row r="30" spans="1:8" x14ac:dyDescent="0.25">
      <c r="A30" t="s">
        <v>517</v>
      </c>
      <c r="B30">
        <v>1.3227</v>
      </c>
      <c r="C30" s="62" t="s">
        <v>509</v>
      </c>
    </row>
    <row r="32" spans="1:8" x14ac:dyDescent="0.25">
      <c r="A32" s="17" t="s">
        <v>48</v>
      </c>
      <c r="B32" s="18"/>
      <c r="C32" s="18"/>
      <c r="D32" s="18"/>
    </row>
    <row r="34" spans="1:5" x14ac:dyDescent="0.25">
      <c r="A34" t="s">
        <v>49</v>
      </c>
      <c r="B34" s="8"/>
    </row>
    <row r="35" spans="1:5" x14ac:dyDescent="0.25">
      <c r="A35" t="s">
        <v>50</v>
      </c>
      <c r="B35" s="20"/>
    </row>
    <row r="37" spans="1:5" x14ac:dyDescent="0.25">
      <c r="A37" s="12">
        <f>H23*1.5</f>
        <v>1.0462017771305345E-5</v>
      </c>
      <c r="B37" t="s">
        <v>522</v>
      </c>
    </row>
    <row r="40" spans="1:5" x14ac:dyDescent="0.25">
      <c r="A40" s="81" t="s">
        <v>520</v>
      </c>
      <c r="B40" s="83"/>
      <c r="C40" s="83"/>
      <c r="D40" s="83"/>
      <c r="E40" s="83"/>
    </row>
    <row r="42" spans="1:5" x14ac:dyDescent="0.25">
      <c r="A42" t="s">
        <v>265</v>
      </c>
    </row>
    <row r="44" spans="1:5" x14ac:dyDescent="0.25">
      <c r="A44" t="s">
        <v>266</v>
      </c>
      <c r="B44" s="8">
        <v>80375</v>
      </c>
      <c r="C44" s="62" t="s">
        <v>507</v>
      </c>
    </row>
    <row r="45" spans="1:5" x14ac:dyDescent="0.25">
      <c r="A45" t="s">
        <v>267</v>
      </c>
      <c r="B45" s="8">
        <v>91475</v>
      </c>
      <c r="C45" s="62" t="s">
        <v>507</v>
      </c>
    </row>
    <row r="46" spans="1:5" x14ac:dyDescent="0.25">
      <c r="A46" t="s">
        <v>510</v>
      </c>
      <c r="B46" s="8">
        <f>AVERAGE(B44:B45)</f>
        <v>85925</v>
      </c>
      <c r="C46" s="62" t="s">
        <v>507</v>
      </c>
    </row>
    <row r="48" spans="1:5" x14ac:dyDescent="0.25">
      <c r="A48" t="s">
        <v>508</v>
      </c>
      <c r="B48">
        <v>1.7041999999999999</v>
      </c>
      <c r="C48" s="62" t="s">
        <v>509</v>
      </c>
    </row>
    <row r="50" spans="1:4" x14ac:dyDescent="0.25">
      <c r="A50" t="s">
        <v>511</v>
      </c>
      <c r="B50" s="25">
        <f>B46*B48</f>
        <v>146433.38499999998</v>
      </c>
      <c r="C50" s="62" t="s">
        <v>512</v>
      </c>
    </row>
    <row r="52" spans="1:4" x14ac:dyDescent="0.25">
      <c r="A52" t="s">
        <v>503</v>
      </c>
      <c r="B52">
        <v>400</v>
      </c>
    </row>
    <row r="53" spans="1:4" x14ac:dyDescent="0.25">
      <c r="A53" t="s">
        <v>504</v>
      </c>
      <c r="B53">
        <v>9.8094999999999999</v>
      </c>
      <c r="C53" s="65" t="s">
        <v>505</v>
      </c>
      <c r="D53" s="15" t="s">
        <v>506</v>
      </c>
    </row>
    <row r="54" spans="1:4" x14ac:dyDescent="0.25">
      <c r="A54" t="s">
        <v>90</v>
      </c>
      <c r="B54">
        <f>B52*B53</f>
        <v>3923.8</v>
      </c>
    </row>
    <row r="56" spans="1:4" x14ac:dyDescent="0.25">
      <c r="A56" s="11" t="s">
        <v>32</v>
      </c>
      <c r="B56" s="22">
        <v>5280</v>
      </c>
    </row>
    <row r="58" spans="1:4" x14ac:dyDescent="0.25">
      <c r="A58" t="s">
        <v>268</v>
      </c>
      <c r="B58">
        <f>B54*B56</f>
        <v>20717664</v>
      </c>
      <c r="C58" s="62" t="s">
        <v>167</v>
      </c>
    </row>
    <row r="59" spans="1:4" x14ac:dyDescent="0.25">
      <c r="A59" t="s">
        <v>31</v>
      </c>
      <c r="B59">
        <v>3412.14</v>
      </c>
      <c r="C59" s="62" t="s">
        <v>35</v>
      </c>
    </row>
    <row r="60" spans="1:4" x14ac:dyDescent="0.25">
      <c r="A60" t="s">
        <v>268</v>
      </c>
      <c r="B60">
        <f>B58*B59</f>
        <v>70691570040.959991</v>
      </c>
      <c r="C60" s="62" t="s">
        <v>234</v>
      </c>
    </row>
    <row r="62" spans="1:4" x14ac:dyDescent="0.25">
      <c r="A62" s="1" t="s">
        <v>428</v>
      </c>
    </row>
    <row r="63" spans="1:4" x14ac:dyDescent="0.25">
      <c r="A63" s="12">
        <f>B50/B60</f>
        <v>2.0714405538758552E-6</v>
      </c>
      <c r="B63" t="s">
        <v>522</v>
      </c>
    </row>
    <row r="66" spans="1:5" x14ac:dyDescent="0.25">
      <c r="A66" s="81" t="s">
        <v>521</v>
      </c>
      <c r="B66" s="83"/>
      <c r="C66" s="83"/>
      <c r="D66" s="83"/>
      <c r="E66" s="83"/>
    </row>
    <row r="68" spans="1:5" x14ac:dyDescent="0.25">
      <c r="A68" t="s">
        <v>513</v>
      </c>
      <c r="B68" s="8">
        <v>87540</v>
      </c>
      <c r="C68" s="62" t="s">
        <v>514</v>
      </c>
      <c r="D68" t="s">
        <v>516</v>
      </c>
    </row>
    <row r="69" spans="1:5" x14ac:dyDescent="0.25">
      <c r="A69" t="s">
        <v>515</v>
      </c>
      <c r="B69">
        <v>1.3062</v>
      </c>
      <c r="C69" s="62" t="s">
        <v>509</v>
      </c>
    </row>
    <row r="70" spans="1:5" x14ac:dyDescent="0.25">
      <c r="A70" t="s">
        <v>513</v>
      </c>
      <c r="B70" s="25">
        <f>B68*B69</f>
        <v>114344.74800000001</v>
      </c>
      <c r="C70" s="62" t="s">
        <v>512</v>
      </c>
    </row>
    <row r="72" spans="1:5" x14ac:dyDescent="0.25">
      <c r="A72" t="s">
        <v>503</v>
      </c>
      <c r="B72">
        <v>100</v>
      </c>
    </row>
    <row r="73" spans="1:5" x14ac:dyDescent="0.25">
      <c r="A73" t="s">
        <v>504</v>
      </c>
      <c r="B73">
        <v>9.8094999999999999</v>
      </c>
      <c r="C73" s="65" t="s">
        <v>505</v>
      </c>
      <c r="D73" s="15" t="s">
        <v>506</v>
      </c>
    </row>
    <row r="74" spans="1:5" x14ac:dyDescent="0.25">
      <c r="A74" t="s">
        <v>90</v>
      </c>
      <c r="B74">
        <f>B72*B73</f>
        <v>980.95</v>
      </c>
    </row>
    <row r="76" spans="1:5" x14ac:dyDescent="0.25">
      <c r="A76" s="11" t="s">
        <v>32</v>
      </c>
      <c r="B76" s="22">
        <v>5280</v>
      </c>
    </row>
    <row r="78" spans="1:5" x14ac:dyDescent="0.25">
      <c r="A78" t="s">
        <v>268</v>
      </c>
      <c r="B78">
        <f>B74*B76</f>
        <v>5179416</v>
      </c>
    </row>
    <row r="79" spans="1:5" x14ac:dyDescent="0.25">
      <c r="A79" t="s">
        <v>31</v>
      </c>
      <c r="B79">
        <v>3412.14</v>
      </c>
    </row>
    <row r="80" spans="1:5" x14ac:dyDescent="0.25">
      <c r="A80" t="s">
        <v>268</v>
      </c>
      <c r="B80">
        <f>B78*B79</f>
        <v>17672892510.239998</v>
      </c>
    </row>
    <row r="82" spans="1:2" x14ac:dyDescent="0.25">
      <c r="A82" s="1" t="s">
        <v>428</v>
      </c>
    </row>
    <row r="83" spans="1:2" x14ac:dyDescent="0.25">
      <c r="A83" s="12">
        <f>B70/B80</f>
        <v>6.4700641354405657E-6</v>
      </c>
      <c r="B83" t="s">
        <v>522</v>
      </c>
    </row>
  </sheetData>
  <phoneticPr fontId="10" type="noConversion"/>
  <hyperlinks>
    <hyperlink ref="D53" r:id="rId1" xr:uid="{A6DC4AC4-74B1-4E7B-BA41-28F0B5652653}"/>
    <hyperlink ref="D73" r:id="rId2" xr:uid="{710D1754-3D51-4D73-AC41-A0B063FC700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heetViews>
  <sheetFormatPr defaultColWidth="8.85546875" defaultRowHeight="15" x14ac:dyDescent="0.25"/>
  <cols>
    <col min="1" max="1" width="53.28515625" customWidth="1"/>
    <col min="2" max="2" width="12" bestFit="1" customWidth="1"/>
  </cols>
  <sheetData>
    <row r="1" spans="1:3" x14ac:dyDescent="0.25">
      <c r="A1" s="17" t="s">
        <v>54</v>
      </c>
      <c r="B1" s="18"/>
      <c r="C1" s="18"/>
    </row>
    <row r="3" spans="1:3" x14ac:dyDescent="0.25">
      <c r="A3" s="11" t="s">
        <v>78</v>
      </c>
    </row>
    <row r="5" spans="1:3" x14ac:dyDescent="0.25">
      <c r="A5" t="s">
        <v>55</v>
      </c>
      <c r="B5" s="8">
        <v>307500</v>
      </c>
      <c r="C5" t="s">
        <v>59</v>
      </c>
    </row>
    <row r="6" spans="1:3" x14ac:dyDescent="0.25">
      <c r="A6" t="s">
        <v>56</v>
      </c>
      <c r="B6">
        <v>4000</v>
      </c>
      <c r="C6" t="s">
        <v>60</v>
      </c>
    </row>
    <row r="8" spans="1:3" x14ac:dyDescent="0.25">
      <c r="A8" t="s">
        <v>57</v>
      </c>
      <c r="B8" s="8">
        <v>75863</v>
      </c>
      <c r="C8" t="s">
        <v>59</v>
      </c>
    </row>
    <row r="9" spans="1:3" x14ac:dyDescent="0.25">
      <c r="A9" t="s">
        <v>58</v>
      </c>
      <c r="B9" s="8">
        <v>6226</v>
      </c>
      <c r="C9" t="s">
        <v>59</v>
      </c>
    </row>
    <row r="11" spans="1:3" x14ac:dyDescent="0.25">
      <c r="A11" t="s">
        <v>61</v>
      </c>
      <c r="B11" s="25">
        <v>0.45</v>
      </c>
      <c r="C11" t="s">
        <v>62</v>
      </c>
    </row>
    <row r="12" spans="1:3" x14ac:dyDescent="0.25">
      <c r="A12" t="s">
        <v>63</v>
      </c>
      <c r="B12" s="25">
        <v>0.15</v>
      </c>
      <c r="C12" t="s">
        <v>64</v>
      </c>
    </row>
    <row r="14" spans="1:3" x14ac:dyDescent="0.25">
      <c r="A14" t="s">
        <v>65</v>
      </c>
      <c r="B14" s="21">
        <f>B8/B11</f>
        <v>168584.44444444444</v>
      </c>
      <c r="C14" t="s">
        <v>66</v>
      </c>
    </row>
    <row r="15" spans="1:3" x14ac:dyDescent="0.25">
      <c r="A15" t="s">
        <v>67</v>
      </c>
      <c r="B15" s="21">
        <f>B9/B12</f>
        <v>41506.666666666672</v>
      </c>
      <c r="C15" t="s">
        <v>33</v>
      </c>
    </row>
    <row r="17" spans="1:3" x14ac:dyDescent="0.25">
      <c r="A17" t="s">
        <v>31</v>
      </c>
      <c r="B17">
        <v>100000</v>
      </c>
      <c r="C17" t="s">
        <v>68</v>
      </c>
    </row>
    <row r="18" spans="1:3" x14ac:dyDescent="0.25">
      <c r="A18" t="s">
        <v>31</v>
      </c>
      <c r="B18">
        <v>3412.14</v>
      </c>
      <c r="C18" t="s">
        <v>35</v>
      </c>
    </row>
    <row r="20" spans="1:3" x14ac:dyDescent="0.25">
      <c r="A20" t="s">
        <v>65</v>
      </c>
      <c r="B20" s="9">
        <f>B14*B17</f>
        <v>16858444444.444445</v>
      </c>
      <c r="C20" t="s">
        <v>22</v>
      </c>
    </row>
    <row r="21" spans="1:3" x14ac:dyDescent="0.25">
      <c r="A21" t="s">
        <v>67</v>
      </c>
      <c r="B21" s="9">
        <f>B15*B18</f>
        <v>141626557.60000002</v>
      </c>
      <c r="C21" t="s">
        <v>22</v>
      </c>
    </row>
    <row r="23" spans="1:3" x14ac:dyDescent="0.25">
      <c r="A23" t="s">
        <v>69</v>
      </c>
    </row>
    <row r="24" spans="1:3" x14ac:dyDescent="0.25">
      <c r="A24" t="s">
        <v>70</v>
      </c>
    </row>
    <row r="26" spans="1:3" x14ac:dyDescent="0.25">
      <c r="A26" t="s">
        <v>71</v>
      </c>
      <c r="B26" s="9">
        <f>SUM(B20:B21)</f>
        <v>17000071002.044445</v>
      </c>
      <c r="C26" t="s">
        <v>22</v>
      </c>
    </row>
    <row r="27" spans="1:3" x14ac:dyDescent="0.25">
      <c r="A27" t="s">
        <v>72</v>
      </c>
      <c r="B27" s="12">
        <f>B5/B26</f>
        <v>1.8088159747275158E-5</v>
      </c>
      <c r="C27" t="s">
        <v>23</v>
      </c>
    </row>
    <row r="29" spans="1:3" x14ac:dyDescent="0.25">
      <c r="A29" s="17" t="s">
        <v>79</v>
      </c>
      <c r="B29" s="18"/>
      <c r="C29" s="18"/>
    </row>
    <row r="31" spans="1:3" x14ac:dyDescent="0.25">
      <c r="A31" s="1" t="s">
        <v>80</v>
      </c>
    </row>
    <row r="32" spans="1:3" x14ac:dyDescent="0.25">
      <c r="A32" t="s">
        <v>82</v>
      </c>
      <c r="B32" s="8">
        <v>200</v>
      </c>
      <c r="C32" t="s">
        <v>81</v>
      </c>
    </row>
    <row r="33" spans="1:4" x14ac:dyDescent="0.25">
      <c r="A33" t="s">
        <v>83</v>
      </c>
      <c r="B33" s="8">
        <v>500</v>
      </c>
      <c r="C33" t="s">
        <v>81</v>
      </c>
    </row>
    <row r="34" spans="1:4" x14ac:dyDescent="0.25">
      <c r="A34" t="s">
        <v>84</v>
      </c>
      <c r="B34" s="8">
        <f>AVERAGE(B32:B33)</f>
        <v>350</v>
      </c>
      <c r="C34" t="s">
        <v>81</v>
      </c>
    </row>
    <row r="36" spans="1:4" x14ac:dyDescent="0.25">
      <c r="A36" t="s">
        <v>85</v>
      </c>
      <c r="B36">
        <v>500</v>
      </c>
      <c r="C36" t="s">
        <v>86</v>
      </c>
      <c r="D36" t="s">
        <v>91</v>
      </c>
    </row>
    <row r="38" spans="1:4" x14ac:dyDescent="0.25">
      <c r="A38" t="s">
        <v>87</v>
      </c>
      <c r="B38" s="8">
        <f>B34*B36</f>
        <v>175000</v>
      </c>
      <c r="C38" t="s">
        <v>59</v>
      </c>
    </row>
    <row r="41" spans="1:4" x14ac:dyDescent="0.25">
      <c r="A41" t="s">
        <v>88</v>
      </c>
      <c r="B41">
        <v>0.57599999999999996</v>
      </c>
      <c r="C41" t="s">
        <v>89</v>
      </c>
    </row>
    <row r="42" spans="1:4" x14ac:dyDescent="0.25">
      <c r="A42" t="s">
        <v>92</v>
      </c>
      <c r="B42">
        <f>B41*B36</f>
        <v>288</v>
      </c>
      <c r="C42" t="s">
        <v>90</v>
      </c>
    </row>
    <row r="44" spans="1:4" x14ac:dyDescent="0.25">
      <c r="A44" t="s">
        <v>56</v>
      </c>
      <c r="B44">
        <f>B6</f>
        <v>4000</v>
      </c>
      <c r="C44" t="s">
        <v>60</v>
      </c>
      <c r="D44" t="s">
        <v>91</v>
      </c>
    </row>
    <row r="46" spans="1:4" x14ac:dyDescent="0.25">
      <c r="A46" t="s">
        <v>67</v>
      </c>
      <c r="B46">
        <f>B42*B44</f>
        <v>1152000</v>
      </c>
      <c r="C46" t="s">
        <v>33</v>
      </c>
    </row>
    <row r="47" spans="1:4" x14ac:dyDescent="0.25">
      <c r="A47" t="s">
        <v>67</v>
      </c>
      <c r="B47" s="9">
        <f>B46*B18</f>
        <v>3930785280</v>
      </c>
      <c r="C47" t="s">
        <v>22</v>
      </c>
    </row>
    <row r="49" spans="1:3" x14ac:dyDescent="0.25">
      <c r="A49" t="s">
        <v>72</v>
      </c>
      <c r="B49" s="12">
        <f>B38/B47</f>
        <v>4.4520366169683022E-5</v>
      </c>
      <c r="C49" t="s">
        <v>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54"/>
  <sheetViews>
    <sheetView workbookViewId="0"/>
  </sheetViews>
  <sheetFormatPr defaultColWidth="11.42578125" defaultRowHeight="15" x14ac:dyDescent="0.2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x14ac:dyDescent="0.25">
      <c r="A1" s="17" t="s">
        <v>337</v>
      </c>
      <c r="B1" s="18"/>
      <c r="C1" s="18"/>
      <c r="D1" s="18"/>
    </row>
    <row r="3" spans="1:4" x14ac:dyDescent="0.25">
      <c r="A3" s="41" t="s">
        <v>308</v>
      </c>
      <c r="B3" s="42"/>
      <c r="C3" s="11" t="s">
        <v>317</v>
      </c>
    </row>
    <row r="4" spans="1:4" x14ac:dyDescent="0.25">
      <c r="A4" s="1" t="s">
        <v>301</v>
      </c>
      <c r="B4" s="1" t="s">
        <v>309</v>
      </c>
      <c r="C4" s="1"/>
    </row>
    <row r="5" spans="1:4" x14ac:dyDescent="0.25">
      <c r="A5" t="s">
        <v>303</v>
      </c>
      <c r="B5">
        <v>492000</v>
      </c>
      <c r="C5" s="43"/>
    </row>
    <row r="6" spans="1:4" x14ac:dyDescent="0.25">
      <c r="A6" t="s">
        <v>310</v>
      </c>
      <c r="B6">
        <v>135000</v>
      </c>
      <c r="C6" s="43"/>
    </row>
    <row r="7" spans="1:4" x14ac:dyDescent="0.25">
      <c r="A7" t="s">
        <v>311</v>
      </c>
      <c r="B7">
        <v>474000</v>
      </c>
      <c r="C7" s="43"/>
    </row>
    <row r="8" spans="1:4" x14ac:dyDescent="0.25">
      <c r="A8" t="s">
        <v>312</v>
      </c>
      <c r="B8">
        <v>70000</v>
      </c>
      <c r="C8" s="43"/>
    </row>
    <row r="9" spans="1:4" x14ac:dyDescent="0.25">
      <c r="A9" t="s">
        <v>313</v>
      </c>
      <c r="B9">
        <v>22000</v>
      </c>
      <c r="C9" s="43"/>
    </row>
    <row r="10" spans="1:4" x14ac:dyDescent="0.25">
      <c r="A10" t="s">
        <v>314</v>
      </c>
      <c r="B10">
        <v>18000</v>
      </c>
      <c r="C10" s="43"/>
    </row>
    <row r="11" spans="1:4" x14ac:dyDescent="0.25">
      <c r="A11" t="s">
        <v>315</v>
      </c>
      <c r="B11">
        <v>216000</v>
      </c>
      <c r="C11" s="43"/>
    </row>
    <row r="12" spans="1:4" x14ac:dyDescent="0.25">
      <c r="A12" t="s">
        <v>307</v>
      </c>
      <c r="B12">
        <v>51000</v>
      </c>
      <c r="C12" s="43"/>
    </row>
    <row r="13" spans="1:4" x14ac:dyDescent="0.25">
      <c r="A13" t="s">
        <v>316</v>
      </c>
      <c r="B13">
        <v>125000</v>
      </c>
      <c r="C13" s="43"/>
    </row>
    <row r="15" spans="1:4" x14ac:dyDescent="0.25">
      <c r="A15" s="41" t="s">
        <v>322</v>
      </c>
      <c r="B15" s="42"/>
      <c r="C15" s="11" t="s">
        <v>325</v>
      </c>
    </row>
    <row r="16" spans="1:4" x14ac:dyDescent="0.25">
      <c r="A16" s="1" t="s">
        <v>301</v>
      </c>
      <c r="B16" s="1" t="s">
        <v>323</v>
      </c>
    </row>
    <row r="17" spans="1:5" x14ac:dyDescent="0.25">
      <c r="A17" t="s">
        <v>303</v>
      </c>
      <c r="B17" s="20">
        <v>13400</v>
      </c>
    </row>
    <row r="18" spans="1:5" x14ac:dyDescent="0.25">
      <c r="A18" t="s">
        <v>306</v>
      </c>
      <c r="B18" s="20">
        <v>5300</v>
      </c>
    </row>
    <row r="19" spans="1:5" x14ac:dyDescent="0.25">
      <c r="A19" t="s">
        <v>324</v>
      </c>
      <c r="B19" s="20">
        <v>13600</v>
      </c>
    </row>
    <row r="21" spans="1:5" x14ac:dyDescent="0.25">
      <c r="A21" s="41" t="s">
        <v>327</v>
      </c>
      <c r="B21" s="42"/>
      <c r="C21" s="42"/>
      <c r="D21" s="42"/>
      <c r="E21" s="11" t="s">
        <v>331</v>
      </c>
    </row>
    <row r="22" spans="1:5" x14ac:dyDescent="0.25">
      <c r="A22" s="1" t="s">
        <v>302</v>
      </c>
      <c r="B22" s="1" t="s">
        <v>328</v>
      </c>
      <c r="C22" s="1" t="s">
        <v>329</v>
      </c>
      <c r="D22" s="1" t="s">
        <v>330</v>
      </c>
    </row>
    <row r="23" spans="1:5" x14ac:dyDescent="0.25">
      <c r="A23" t="s">
        <v>304</v>
      </c>
      <c r="B23">
        <v>4380</v>
      </c>
      <c r="D23">
        <v>15</v>
      </c>
    </row>
    <row r="24" spans="1:5" x14ac:dyDescent="0.25">
      <c r="A24" t="s">
        <v>305</v>
      </c>
      <c r="B24">
        <v>4380</v>
      </c>
      <c r="C24">
        <v>56000</v>
      </c>
    </row>
    <row r="27" spans="1:5" x14ac:dyDescent="0.25">
      <c r="A27" s="16" t="s">
        <v>344</v>
      </c>
      <c r="B27" s="40"/>
      <c r="C27" s="40"/>
      <c r="D27" s="40"/>
    </row>
    <row r="28" spans="1:5" x14ac:dyDescent="0.25">
      <c r="A28" t="s">
        <v>338</v>
      </c>
    </row>
    <row r="29" spans="1:5" x14ac:dyDescent="0.25">
      <c r="A29" t="s">
        <v>339</v>
      </c>
    </row>
    <row r="30" spans="1:5" x14ac:dyDescent="0.25">
      <c r="A30" t="s">
        <v>340</v>
      </c>
    </row>
    <row r="31" spans="1:5" x14ac:dyDescent="0.25">
      <c r="A31" t="s">
        <v>341</v>
      </c>
    </row>
    <row r="32" spans="1:5" x14ac:dyDescent="0.25">
      <c r="A32" t="s">
        <v>342</v>
      </c>
    </row>
    <row r="33" spans="1:4" x14ac:dyDescent="0.25">
      <c r="A33" s="1" t="s">
        <v>343</v>
      </c>
      <c r="B33" s="1">
        <f>'Boilers &amp; Heat Pumps'!B56</f>
        <v>5280</v>
      </c>
    </row>
    <row r="36" spans="1:4" x14ac:dyDescent="0.25">
      <c r="A36" s="16" t="s">
        <v>31</v>
      </c>
      <c r="B36" s="46">
        <v>3412.14</v>
      </c>
      <c r="C36" s="40" t="s">
        <v>35</v>
      </c>
    </row>
    <row r="37" spans="1:4" x14ac:dyDescent="0.25">
      <c r="B37" s="32"/>
    </row>
    <row r="38" spans="1:4" x14ac:dyDescent="0.25">
      <c r="A38" s="45" t="s">
        <v>332</v>
      </c>
      <c r="B38" s="44"/>
      <c r="C38" s="44"/>
      <c r="D38" s="44"/>
    </row>
    <row r="39" spans="1:4" x14ac:dyDescent="0.25">
      <c r="A39" s="1" t="s">
        <v>302</v>
      </c>
      <c r="B39" s="7" t="s">
        <v>333</v>
      </c>
      <c r="C39" s="7" t="s">
        <v>334</v>
      </c>
      <c r="D39" s="7" t="s">
        <v>335</v>
      </c>
    </row>
    <row r="40" spans="1:4" x14ac:dyDescent="0.25">
      <c r="A40" t="s">
        <v>304</v>
      </c>
      <c r="B40">
        <f>$B$33*D23*B36</f>
        <v>270241488</v>
      </c>
      <c r="C40" s="25">
        <f>($B$17*$B$5+$B$18*SUM($B$6:$B$7)+$B$19*$B$13)/SUM($B$5:$B$7,$B$13)</f>
        <v>9396.8189233278954</v>
      </c>
      <c r="D40" s="12">
        <f>C40/B40</f>
        <v>3.4771933032458345E-5</v>
      </c>
    </row>
    <row r="41" spans="1:4" x14ac:dyDescent="0.25">
      <c r="A41" t="s">
        <v>305</v>
      </c>
      <c r="B41">
        <f>$B$33*C24</f>
        <v>295680000</v>
      </c>
      <c r="C41" s="25">
        <f>($B$17*$B$5+$B$18*SUM($B$6:$B$7)+$B$19*$B$13)/SUM($B$5:$B$7,$B$13)</f>
        <v>9396.8189233278954</v>
      </c>
      <c r="D41" s="12">
        <f>C41/B41</f>
        <v>3.1780367029653324E-5</v>
      </c>
    </row>
    <row r="50" spans="1:4" x14ac:dyDescent="0.25">
      <c r="A50" s="11" t="s">
        <v>336</v>
      </c>
    </row>
    <row r="51" spans="1:4" x14ac:dyDescent="0.25">
      <c r="A51" s="41" t="s">
        <v>318</v>
      </c>
      <c r="B51" s="42"/>
      <c r="C51" s="42"/>
      <c r="D51" s="11" t="s">
        <v>326</v>
      </c>
    </row>
    <row r="52" spans="1:4" x14ac:dyDescent="0.25">
      <c r="A52" s="1" t="s">
        <v>319</v>
      </c>
      <c r="B52" s="7" t="s">
        <v>320</v>
      </c>
      <c r="C52" s="1" t="s">
        <v>321</v>
      </c>
    </row>
    <row r="53" spans="1:4" x14ac:dyDescent="0.25">
      <c r="A53" t="s">
        <v>304</v>
      </c>
      <c r="B53">
        <v>722000</v>
      </c>
      <c r="C53" s="43">
        <f>B53/SUM($B$53:$B$54)</f>
        <v>0.45012468827930174</v>
      </c>
    </row>
    <row r="54" spans="1:4" x14ac:dyDescent="0.25">
      <c r="A54" t="s">
        <v>305</v>
      </c>
      <c r="B54">
        <v>882000</v>
      </c>
      <c r="C54" s="43">
        <f>B54/SUM($B$53:$B$54)</f>
        <v>0.54987531172069826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67"/>
  <sheetViews>
    <sheetView zoomScale="145" zoomScaleNormal="145" workbookViewId="0"/>
  </sheetViews>
  <sheetFormatPr defaultColWidth="8.85546875" defaultRowHeight="15" x14ac:dyDescent="0.25"/>
  <cols>
    <col min="1" max="1" width="13.85546875" customWidth="1"/>
    <col min="4" max="4" width="11.42578125" customWidth="1"/>
    <col min="6" max="6" width="17.7109375" customWidth="1"/>
    <col min="9" max="9" width="9.28515625" customWidth="1"/>
  </cols>
  <sheetData>
    <row r="1" spans="1:9" x14ac:dyDescent="0.25">
      <c r="A1" s="17" t="s">
        <v>160</v>
      </c>
      <c r="B1" s="18"/>
      <c r="C1" s="18"/>
      <c r="D1" s="18"/>
      <c r="E1" s="18"/>
      <c r="F1" s="18"/>
      <c r="G1" s="18"/>
    </row>
    <row r="2" spans="1:9" x14ac:dyDescent="0.25">
      <c r="I2" s="1" t="s">
        <v>172</v>
      </c>
    </row>
    <row r="3" spans="1:9" x14ac:dyDescent="0.25">
      <c r="A3" t="s">
        <v>161</v>
      </c>
      <c r="C3" s="25"/>
      <c r="F3" s="25">
        <f>254*1.04</f>
        <v>264.16000000000003</v>
      </c>
      <c r="G3" t="s">
        <v>162</v>
      </c>
      <c r="I3" s="15" t="s">
        <v>178</v>
      </c>
    </row>
    <row r="4" spans="1:9" x14ac:dyDescent="0.25">
      <c r="A4" t="s">
        <v>163</v>
      </c>
      <c r="F4">
        <v>450</v>
      </c>
      <c r="G4" t="s">
        <v>164</v>
      </c>
      <c r="I4" s="15" t="s">
        <v>174</v>
      </c>
    </row>
    <row r="5" spans="1:9" x14ac:dyDescent="0.25">
      <c r="A5" t="s">
        <v>165</v>
      </c>
      <c r="C5" s="32"/>
      <c r="F5" s="32">
        <v>800000</v>
      </c>
      <c r="G5" t="s">
        <v>166</v>
      </c>
      <c r="I5" s="15" t="s">
        <v>176</v>
      </c>
    </row>
    <row r="7" spans="1:9" x14ac:dyDescent="0.25">
      <c r="A7" t="s">
        <v>429</v>
      </c>
      <c r="F7">
        <f>F4*F5</f>
        <v>360000000</v>
      </c>
      <c r="G7" t="s">
        <v>167</v>
      </c>
    </row>
    <row r="8" spans="1:9" x14ac:dyDescent="0.25">
      <c r="A8" t="s">
        <v>430</v>
      </c>
      <c r="F8">
        <f>F7*0.003412</f>
        <v>1228320</v>
      </c>
      <c r="G8" t="s">
        <v>168</v>
      </c>
    </row>
    <row r="9" spans="1:9" x14ac:dyDescent="0.25">
      <c r="A9" t="s">
        <v>169</v>
      </c>
      <c r="F9" s="25">
        <f>F3*F5</f>
        <v>211328000.00000003</v>
      </c>
      <c r="G9" t="s">
        <v>170</v>
      </c>
    </row>
    <row r="10" spans="1:9" x14ac:dyDescent="0.25">
      <c r="A10" t="s">
        <v>171</v>
      </c>
      <c r="F10" s="12">
        <f>F9/(F8*10^6)</f>
        <v>1.7204637228083889E-4</v>
      </c>
      <c r="G10" t="s">
        <v>171</v>
      </c>
      <c r="I10" s="24" t="s">
        <v>348</v>
      </c>
    </row>
    <row r="12" spans="1:9" x14ac:dyDescent="0.25">
      <c r="A12" t="s">
        <v>175</v>
      </c>
      <c r="E12">
        <f>8760*155</f>
        <v>1357800</v>
      </c>
      <c r="F12" t="s">
        <v>177</v>
      </c>
    </row>
    <row r="14" spans="1:9" x14ac:dyDescent="0.25">
      <c r="A14" s="17" t="s">
        <v>299</v>
      </c>
      <c r="B14" s="18"/>
      <c r="C14" s="18"/>
      <c r="D14" s="18"/>
      <c r="E14" s="18"/>
      <c r="F14" s="18"/>
      <c r="G14" s="18"/>
    </row>
    <row r="16" spans="1:9" x14ac:dyDescent="0.25">
      <c r="A16" t="s">
        <v>273</v>
      </c>
      <c r="F16" s="20">
        <v>170</v>
      </c>
      <c r="G16" t="s">
        <v>274</v>
      </c>
    </row>
    <row r="17" spans="1:9" x14ac:dyDescent="0.25">
      <c r="F17" s="39">
        <f>F16/F23</f>
        <v>26.356589147286826</v>
      </c>
      <c r="G17" t="s">
        <v>277</v>
      </c>
    </row>
    <row r="18" spans="1:9" x14ac:dyDescent="0.25">
      <c r="F18" s="39">
        <f>F17/277.778</f>
        <v>9.4883645023316546E-2</v>
      </c>
      <c r="G18" t="s">
        <v>278</v>
      </c>
    </row>
    <row r="19" spans="1:9" x14ac:dyDescent="0.25">
      <c r="F19" s="9">
        <f>F18/3412</f>
        <v>2.7808805692648461E-5</v>
      </c>
      <c r="G19" t="s">
        <v>23</v>
      </c>
      <c r="I19" s="24" t="s">
        <v>349</v>
      </c>
    </row>
    <row r="21" spans="1:9" x14ac:dyDescent="0.25">
      <c r="A21" t="s">
        <v>210</v>
      </c>
      <c r="F21">
        <v>36000000</v>
      </c>
      <c r="G21" t="s">
        <v>220</v>
      </c>
      <c r="I21" s="15" t="s">
        <v>219</v>
      </c>
    </row>
    <row r="22" spans="1:9" x14ac:dyDescent="0.25">
      <c r="A22" t="s">
        <v>210</v>
      </c>
      <c r="F22" s="20">
        <f>F21*0.14</f>
        <v>5040000.0000000009</v>
      </c>
      <c r="G22" t="s">
        <v>59</v>
      </c>
      <c r="I22" s="15"/>
    </row>
    <row r="23" spans="1:9" x14ac:dyDescent="0.25">
      <c r="A23" t="s">
        <v>186</v>
      </c>
      <c r="F23">
        <f>AVERAGE(5.1,7.8)</f>
        <v>6.4499999999999993</v>
      </c>
      <c r="G23" t="s">
        <v>211</v>
      </c>
      <c r="I23" t="s">
        <v>218</v>
      </c>
    </row>
    <row r="24" spans="1:9" x14ac:dyDescent="0.25">
      <c r="A24" t="s">
        <v>215</v>
      </c>
      <c r="F24">
        <v>8000</v>
      </c>
      <c r="G24" t="s">
        <v>216</v>
      </c>
      <c r="I24" s="15" t="s">
        <v>217</v>
      </c>
    </row>
    <row r="25" spans="1:9" x14ac:dyDescent="0.25">
      <c r="A25" t="s">
        <v>222</v>
      </c>
      <c r="F25">
        <v>600</v>
      </c>
      <c r="G25" t="s">
        <v>221</v>
      </c>
      <c r="I25" s="15" t="s">
        <v>219</v>
      </c>
    </row>
    <row r="26" spans="1:9" x14ac:dyDescent="0.25">
      <c r="F26">
        <f>F23*F25</f>
        <v>3869.9999999999995</v>
      </c>
      <c r="G26" t="s">
        <v>275</v>
      </c>
      <c r="I26" s="15"/>
    </row>
    <row r="27" spans="1:9" x14ac:dyDescent="0.25">
      <c r="F27">
        <f>F26*(F24/24)</f>
        <v>1289999.9999999998</v>
      </c>
      <c r="G27" t="s">
        <v>276</v>
      </c>
      <c r="I27" s="15"/>
    </row>
    <row r="28" spans="1:9" x14ac:dyDescent="0.25">
      <c r="A28" t="s">
        <v>429</v>
      </c>
      <c r="F28">
        <f>F27*277.778</f>
        <v>358333619.99999994</v>
      </c>
      <c r="G28" t="s">
        <v>167</v>
      </c>
      <c r="I28" t="s">
        <v>223</v>
      </c>
    </row>
    <row r="29" spans="1:9" x14ac:dyDescent="0.25">
      <c r="A29" t="s">
        <v>430</v>
      </c>
      <c r="F29">
        <f>F28*0.003412</f>
        <v>1222634.3114399998</v>
      </c>
      <c r="G29" t="s">
        <v>168</v>
      </c>
    </row>
    <row r="30" spans="1:9" x14ac:dyDescent="0.25">
      <c r="A30" t="s">
        <v>171</v>
      </c>
      <c r="F30" s="12">
        <f>(F21*0.14)/(F29*10^6)</f>
        <v>4.1222464909102436E-6</v>
      </c>
      <c r="G30" t="s">
        <v>171</v>
      </c>
      <c r="I30" t="s">
        <v>224</v>
      </c>
    </row>
    <row r="32" spans="1:9" x14ac:dyDescent="0.25">
      <c r="A32" s="1" t="s">
        <v>279</v>
      </c>
    </row>
    <row r="34" spans="1:9" x14ac:dyDescent="0.25">
      <c r="A34" t="s">
        <v>280</v>
      </c>
      <c r="F34">
        <v>21.08</v>
      </c>
      <c r="G34" t="s">
        <v>281</v>
      </c>
      <c r="I34" s="15" t="s">
        <v>292</v>
      </c>
    </row>
    <row r="35" spans="1:9" x14ac:dyDescent="0.25">
      <c r="A35" t="s">
        <v>282</v>
      </c>
      <c r="F35">
        <v>0.76</v>
      </c>
      <c r="G35" t="s">
        <v>144</v>
      </c>
      <c r="I35" s="15" t="s">
        <v>284</v>
      </c>
    </row>
    <row r="36" spans="1:9" x14ac:dyDescent="0.25">
      <c r="A36" t="s">
        <v>280</v>
      </c>
      <c r="F36" s="34">
        <f>F34*F35</f>
        <v>16.020799999999998</v>
      </c>
      <c r="G36" t="s">
        <v>283</v>
      </c>
    </row>
    <row r="37" spans="1:9" x14ac:dyDescent="0.25">
      <c r="F37">
        <v>1.3284</v>
      </c>
      <c r="G37" t="s">
        <v>285</v>
      </c>
    </row>
    <row r="38" spans="1:9" x14ac:dyDescent="0.25">
      <c r="F38" s="34">
        <f>F36*F37</f>
        <v>21.282030719999998</v>
      </c>
      <c r="G38" t="s">
        <v>286</v>
      </c>
    </row>
    <row r="39" spans="1:9" x14ac:dyDescent="0.25">
      <c r="F39">
        <v>1.32</v>
      </c>
      <c r="G39" t="s">
        <v>287</v>
      </c>
    </row>
    <row r="40" spans="1:9" x14ac:dyDescent="0.25">
      <c r="F40" s="34">
        <f>F38*F39</f>
        <v>28.092280550399998</v>
      </c>
      <c r="G40" t="s">
        <v>288</v>
      </c>
    </row>
    <row r="41" spans="1:9" x14ac:dyDescent="0.25">
      <c r="F41" s="34">
        <f>F40/F23</f>
        <v>4.3553923333953488</v>
      </c>
      <c r="G41" t="s">
        <v>289</v>
      </c>
    </row>
    <row r="42" spans="1:9" x14ac:dyDescent="0.25">
      <c r="F42">
        <v>277.77800000000002</v>
      </c>
      <c r="G42" t="s">
        <v>290</v>
      </c>
    </row>
    <row r="43" spans="1:9" x14ac:dyDescent="0.25">
      <c r="F43">
        <f>F41/F42</f>
        <v>1.5679399856703368E-2</v>
      </c>
      <c r="G43" t="s">
        <v>291</v>
      </c>
    </row>
    <row r="44" spans="1:9" x14ac:dyDescent="0.25">
      <c r="F44">
        <v>3412.14</v>
      </c>
      <c r="G44" t="s">
        <v>293</v>
      </c>
    </row>
    <row r="45" spans="1:9" x14ac:dyDescent="0.25">
      <c r="F45" s="12">
        <f>F43/F44</f>
        <v>4.5951806950193628E-6</v>
      </c>
      <c r="G45" t="s">
        <v>294</v>
      </c>
    </row>
    <row r="47" spans="1:9" x14ac:dyDescent="0.25">
      <c r="A47" s="17" t="s">
        <v>179</v>
      </c>
      <c r="B47" s="18"/>
      <c r="C47" s="18"/>
      <c r="D47" s="18"/>
      <c r="E47" s="18"/>
      <c r="F47" s="18"/>
      <c r="G47" s="18"/>
    </row>
    <row r="49" spans="1:9" x14ac:dyDescent="0.25">
      <c r="A49" t="s">
        <v>180</v>
      </c>
      <c r="F49" s="32">
        <v>6000000</v>
      </c>
      <c r="G49" s="33" t="s">
        <v>181</v>
      </c>
      <c r="I49" s="15" t="s">
        <v>200</v>
      </c>
    </row>
    <row r="50" spans="1:9" x14ac:dyDescent="0.25">
      <c r="A50" t="s">
        <v>182</v>
      </c>
      <c r="F50">
        <v>300</v>
      </c>
      <c r="G50" t="s">
        <v>183</v>
      </c>
      <c r="I50" s="15" t="s">
        <v>200</v>
      </c>
    </row>
    <row r="51" spans="1:9" x14ac:dyDescent="0.25">
      <c r="A51" t="s">
        <v>184</v>
      </c>
      <c r="F51">
        <v>8760</v>
      </c>
      <c r="G51" t="s">
        <v>185</v>
      </c>
      <c r="I51" s="15" t="s">
        <v>200</v>
      </c>
    </row>
    <row r="52" spans="1:9" x14ac:dyDescent="0.25">
      <c r="A52" t="s">
        <v>186</v>
      </c>
      <c r="F52">
        <v>1100</v>
      </c>
      <c r="G52" t="s">
        <v>164</v>
      </c>
      <c r="I52" s="15" t="s">
        <v>200</v>
      </c>
    </row>
    <row r="54" spans="1:9" x14ac:dyDescent="0.25">
      <c r="A54" t="s">
        <v>429</v>
      </c>
      <c r="F54">
        <f>(F3*365)*F52</f>
        <v>106060240.00000001</v>
      </c>
      <c r="G54" t="s">
        <v>167</v>
      </c>
    </row>
    <row r="55" spans="1:9" x14ac:dyDescent="0.25">
      <c r="A55" t="s">
        <v>430</v>
      </c>
      <c r="F55" s="34">
        <f>F54*0.003412</f>
        <v>361877.53888000007</v>
      </c>
      <c r="G55" t="s">
        <v>168</v>
      </c>
    </row>
    <row r="56" spans="1:9" x14ac:dyDescent="0.25">
      <c r="A56" t="s">
        <v>171</v>
      </c>
      <c r="F56" s="12">
        <f>(F49*1.25)/(F55*10^6)</f>
        <v>2.0725243194734525E-5</v>
      </c>
      <c r="G56" t="s">
        <v>171</v>
      </c>
    </row>
    <row r="58" spans="1:9" x14ac:dyDescent="0.25">
      <c r="A58" s="17" t="s">
        <v>206</v>
      </c>
      <c r="B58" s="18"/>
      <c r="C58" s="18"/>
      <c r="D58" s="18"/>
      <c r="E58" s="18"/>
      <c r="F58" s="18"/>
      <c r="G58" s="18"/>
    </row>
    <row r="60" spans="1:9" x14ac:dyDescent="0.25">
      <c r="A60" t="s">
        <v>203</v>
      </c>
      <c r="F60">
        <f>574-184</f>
        <v>390</v>
      </c>
      <c r="G60" s="33" t="s">
        <v>204</v>
      </c>
    </row>
    <row r="61" spans="1:9" x14ac:dyDescent="0.25">
      <c r="A61" t="s">
        <v>163</v>
      </c>
      <c r="F61">
        <v>3500</v>
      </c>
      <c r="G61" t="s">
        <v>207</v>
      </c>
      <c r="I61" s="15" t="s">
        <v>205</v>
      </c>
    </row>
    <row r="62" spans="1:9" x14ac:dyDescent="0.25">
      <c r="A62" t="s">
        <v>165</v>
      </c>
      <c r="F62" s="32">
        <v>1500000</v>
      </c>
      <c r="G62" t="s">
        <v>209</v>
      </c>
      <c r="I62" s="15" t="s">
        <v>208</v>
      </c>
    </row>
    <row r="64" spans="1:9" x14ac:dyDescent="0.25">
      <c r="A64" t="s">
        <v>429</v>
      </c>
      <c r="F64">
        <f>F61*F62</f>
        <v>5250000000</v>
      </c>
      <c r="G64" t="s">
        <v>167</v>
      </c>
    </row>
    <row r="65" spans="1:7" x14ac:dyDescent="0.25">
      <c r="A65" t="s">
        <v>430</v>
      </c>
      <c r="F65">
        <f>F64*0.003412</f>
        <v>17913000</v>
      </c>
      <c r="G65" t="s">
        <v>168</v>
      </c>
    </row>
    <row r="66" spans="1:7" x14ac:dyDescent="0.25">
      <c r="A66" t="s">
        <v>169</v>
      </c>
      <c r="F66" s="25">
        <f>F60*F62</f>
        <v>585000000</v>
      </c>
      <c r="G66" t="s">
        <v>170</v>
      </c>
    </row>
    <row r="67" spans="1:7" x14ac:dyDescent="0.25">
      <c r="A67" t="s">
        <v>171</v>
      </c>
      <c r="F67" s="12">
        <f>F66/(F65*10^6)</f>
        <v>3.265784625690839E-5</v>
      </c>
      <c r="G67" t="s">
        <v>171</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zoomScale="130" zoomScaleNormal="130" workbookViewId="0"/>
  </sheetViews>
  <sheetFormatPr defaultColWidth="8.85546875" defaultRowHeight="15" x14ac:dyDescent="0.2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x14ac:dyDescent="0.25">
      <c r="A1" s="17" t="s">
        <v>262</v>
      </c>
      <c r="B1" s="18"/>
      <c r="C1" s="18"/>
    </row>
    <row r="2" spans="1:23" x14ac:dyDescent="0.25">
      <c r="A2" t="s">
        <v>117</v>
      </c>
    </row>
    <row r="3" spans="1:23" x14ac:dyDescent="0.25">
      <c r="A3" t="s">
        <v>116</v>
      </c>
    </row>
    <row r="4" spans="1:23" x14ac:dyDescent="0.25">
      <c r="A4" t="s">
        <v>133</v>
      </c>
    </row>
    <row r="5" spans="1:23" x14ac:dyDescent="0.25">
      <c r="A5" t="s">
        <v>360</v>
      </c>
    </row>
    <row r="6" spans="1:23" x14ac:dyDescent="0.25">
      <c r="A6" t="s">
        <v>132</v>
      </c>
    </row>
    <row r="8" spans="1:23" ht="15.75" x14ac:dyDescent="0.25">
      <c r="B8" s="26" t="s">
        <v>108</v>
      </c>
      <c r="C8" s="26" t="s">
        <v>109</v>
      </c>
      <c r="D8" s="26" t="s">
        <v>110</v>
      </c>
      <c r="E8" s="26" t="s">
        <v>111</v>
      </c>
      <c r="F8" s="26" t="s">
        <v>112</v>
      </c>
      <c r="G8" s="26" t="s">
        <v>113</v>
      </c>
      <c r="H8" s="26" t="s">
        <v>114</v>
      </c>
      <c r="I8" s="26" t="s">
        <v>115</v>
      </c>
      <c r="J8" s="30" t="s">
        <v>126</v>
      </c>
      <c r="K8" s="27"/>
      <c r="L8" s="29" t="s">
        <v>127</v>
      </c>
      <c r="M8" s="27"/>
      <c r="N8" s="28" t="s">
        <v>18</v>
      </c>
      <c r="O8" s="27"/>
      <c r="P8" s="29" t="s">
        <v>131</v>
      </c>
      <c r="Q8" s="27"/>
      <c r="R8" s="29" t="s">
        <v>350</v>
      </c>
      <c r="S8" s="27"/>
      <c r="T8" s="29" t="s">
        <v>432</v>
      </c>
      <c r="U8" s="27"/>
      <c r="V8" s="27"/>
      <c r="W8" s="29" t="s">
        <v>358</v>
      </c>
    </row>
    <row r="9" spans="1:23" x14ac:dyDescent="0.25">
      <c r="B9" s="3" t="s">
        <v>97</v>
      </c>
      <c r="C9" t="s">
        <v>90</v>
      </c>
      <c r="D9">
        <v>0.3</v>
      </c>
      <c r="E9">
        <v>1500</v>
      </c>
      <c r="F9" s="21">
        <v>43.754184261800326</v>
      </c>
      <c r="G9" s="21">
        <v>512727.48211595422</v>
      </c>
      <c r="H9">
        <v>1.1000000000000001</v>
      </c>
      <c r="I9">
        <v>1000</v>
      </c>
      <c r="J9" s="21">
        <f t="shared" ref="J9:J14" si="0">AVERAGE(D9,E9)</f>
        <v>750.15</v>
      </c>
      <c r="L9" s="21">
        <f>J9*1.34102</f>
        <v>1005.9661530000001</v>
      </c>
      <c r="N9" s="21">
        <f t="shared" ref="N9:N19" si="1">F9*(((D9+E9)/2)/D9)^H9*(800/I9)</f>
        <v>191398.76147944329</v>
      </c>
      <c r="P9">
        <v>7436</v>
      </c>
      <c r="R9" s="43">
        <f>0.157/0.581</f>
        <v>0.27022375215146299</v>
      </c>
      <c r="T9" s="21">
        <f t="shared" ref="T9:T19" si="2">J9*0.003412*P9</f>
        <v>19032.529744800002</v>
      </c>
      <c r="W9" s="9">
        <f t="shared" ref="W9:W19" si="3">N9/(T9*10^6)</f>
        <v>1.005640154229821E-5</v>
      </c>
    </row>
    <row r="10" spans="1:23" x14ac:dyDescent="0.25">
      <c r="B10" s="3" t="s">
        <v>98</v>
      </c>
      <c r="C10" t="s">
        <v>90</v>
      </c>
      <c r="D10">
        <v>8</v>
      </c>
      <c r="E10">
        <v>150</v>
      </c>
      <c r="F10" s="21">
        <v>1455.1962633016838</v>
      </c>
      <c r="G10" s="21">
        <v>22223.515169375642</v>
      </c>
      <c r="H10">
        <v>0.93</v>
      </c>
      <c r="I10">
        <v>1000</v>
      </c>
      <c r="J10" s="21">
        <f t="shared" si="0"/>
        <v>79</v>
      </c>
      <c r="L10" s="21">
        <f t="shared" ref="L10:L19" si="4">J10*1.34102</f>
        <v>105.94058000000001</v>
      </c>
      <c r="N10" s="21">
        <f t="shared" si="1"/>
        <v>9793.3452423684339</v>
      </c>
      <c r="P10">
        <v>4174</v>
      </c>
      <c r="R10" s="43">
        <f>0.144/0.581</f>
        <v>0.24784853700516352</v>
      </c>
      <c r="T10" s="21">
        <f t="shared" si="2"/>
        <v>1125.0933520000001</v>
      </c>
      <c r="W10" s="9">
        <f t="shared" si="3"/>
        <v>8.7044734776536431E-6</v>
      </c>
    </row>
    <row r="11" spans="1:23" x14ac:dyDescent="0.25">
      <c r="B11" s="3" t="s">
        <v>99</v>
      </c>
      <c r="C11" t="s">
        <v>90</v>
      </c>
      <c r="D11">
        <v>350</v>
      </c>
      <c r="E11">
        <v>7000</v>
      </c>
      <c r="F11" s="21">
        <v>64088.852077797135</v>
      </c>
      <c r="G11" s="21">
        <v>1137028.3379406705</v>
      </c>
      <c r="H11">
        <v>0.96</v>
      </c>
      <c r="I11">
        <v>1000</v>
      </c>
      <c r="J11" s="21">
        <f t="shared" si="0"/>
        <v>3675</v>
      </c>
      <c r="L11" s="21">
        <f t="shared" si="4"/>
        <v>4928.2485000000006</v>
      </c>
      <c r="N11" s="21">
        <f t="shared" si="1"/>
        <v>490020.45239808032</v>
      </c>
      <c r="P11">
        <v>7436</v>
      </c>
      <c r="R11" s="43">
        <f>0.157/0.581</f>
        <v>0.27022375215146299</v>
      </c>
      <c r="T11" s="21">
        <f t="shared" si="2"/>
        <v>93240.747600000002</v>
      </c>
      <c r="W11" s="9">
        <f t="shared" si="3"/>
        <v>5.2554324692917872E-6</v>
      </c>
    </row>
    <row r="12" spans="1:23" x14ac:dyDescent="0.25">
      <c r="B12" s="3" t="s">
        <v>100</v>
      </c>
      <c r="C12" t="s">
        <v>90</v>
      </c>
      <c r="D12">
        <v>500</v>
      </c>
      <c r="E12">
        <v>7000</v>
      </c>
      <c r="F12" s="21">
        <v>77307.967291430425</v>
      </c>
      <c r="G12" s="21">
        <v>655523.04372978187</v>
      </c>
      <c r="H12">
        <v>0.81</v>
      </c>
      <c r="I12">
        <v>1000</v>
      </c>
      <c r="J12" s="21">
        <f t="shared" si="0"/>
        <v>3750</v>
      </c>
      <c r="L12" s="21">
        <f t="shared" si="4"/>
        <v>5028.8250000000007</v>
      </c>
      <c r="N12" s="21">
        <f t="shared" si="1"/>
        <v>316310.68638940249</v>
      </c>
      <c r="P12">
        <v>7436</v>
      </c>
      <c r="R12" s="43">
        <f>0.157/0.581</f>
        <v>0.27022375215146299</v>
      </c>
      <c r="T12" s="21">
        <f t="shared" si="2"/>
        <v>95143.62</v>
      </c>
      <c r="W12" s="9">
        <f t="shared" si="3"/>
        <v>3.3245601374995242E-6</v>
      </c>
    </row>
    <row r="13" spans="1:23" x14ac:dyDescent="0.25">
      <c r="B13" s="3" t="s">
        <v>101</v>
      </c>
      <c r="C13" t="s">
        <v>90</v>
      </c>
      <c r="D13">
        <v>0.35</v>
      </c>
      <c r="E13">
        <v>1.8</v>
      </c>
      <c r="F13" s="21">
        <v>1297.2736980632467</v>
      </c>
      <c r="G13" s="21">
        <v>1800</v>
      </c>
      <c r="H13">
        <v>0.2</v>
      </c>
      <c r="I13">
        <v>1000</v>
      </c>
      <c r="J13" s="21">
        <f t="shared" si="0"/>
        <v>1.075</v>
      </c>
      <c r="L13" s="21">
        <f t="shared" si="4"/>
        <v>1.4415964999999999</v>
      </c>
      <c r="N13" s="21">
        <f t="shared" si="1"/>
        <v>1298.941773935192</v>
      </c>
      <c r="P13">
        <v>2745</v>
      </c>
      <c r="R13" s="43">
        <f>0.048/0.581</f>
        <v>8.2616179001721177E-2</v>
      </c>
      <c r="T13" s="21">
        <f t="shared" si="2"/>
        <v>10.0683855</v>
      </c>
      <c r="W13" s="9">
        <f t="shared" si="3"/>
        <v>1.290119229081159E-4</v>
      </c>
    </row>
    <row r="14" spans="1:23" x14ac:dyDescent="0.25">
      <c r="B14" s="3" t="s">
        <v>101</v>
      </c>
      <c r="C14" t="s">
        <v>90</v>
      </c>
      <c r="D14">
        <v>1.8</v>
      </c>
      <c r="E14">
        <v>15</v>
      </c>
      <c r="F14" s="21">
        <v>1800</v>
      </c>
      <c r="G14" s="21">
        <v>5537.4069913635094</v>
      </c>
      <c r="H14">
        <v>0.53</v>
      </c>
      <c r="I14">
        <v>1000</v>
      </c>
      <c r="J14" s="21">
        <f t="shared" si="0"/>
        <v>8.4</v>
      </c>
      <c r="L14" s="21">
        <f t="shared" si="4"/>
        <v>11.264568000000001</v>
      </c>
      <c r="N14" s="21">
        <f t="shared" si="1"/>
        <v>3257.8875198502201</v>
      </c>
      <c r="P14">
        <v>3391</v>
      </c>
      <c r="R14" s="43">
        <f>0.104/0.581</f>
        <v>0.17900172117039587</v>
      </c>
      <c r="T14" s="21">
        <f t="shared" si="2"/>
        <v>97.18877280000001</v>
      </c>
      <c r="W14" s="9">
        <f t="shared" si="3"/>
        <v>3.3521233224690123E-5</v>
      </c>
    </row>
    <row r="15" spans="1:23" x14ac:dyDescent="0.25">
      <c r="B15" s="3" t="s">
        <v>102</v>
      </c>
      <c r="C15" t="s">
        <v>103</v>
      </c>
      <c r="D15">
        <v>0.35</v>
      </c>
      <c r="E15">
        <v>7.5</v>
      </c>
      <c r="F15" s="21">
        <v>3198.2717479261355</v>
      </c>
      <c r="G15" s="21">
        <v>22051.649944608704</v>
      </c>
      <c r="H15">
        <v>0.63</v>
      </c>
      <c r="I15">
        <v>1000</v>
      </c>
      <c r="J15" s="21">
        <f>AVERAGE(D15,E15)</f>
        <v>3.9249999999999998</v>
      </c>
      <c r="L15" s="21">
        <f t="shared" si="4"/>
        <v>5.2635035000000006</v>
      </c>
      <c r="N15" s="21">
        <f t="shared" si="1"/>
        <v>11731.714005716587</v>
      </c>
      <c r="P15">
        <v>2745</v>
      </c>
      <c r="R15" s="43">
        <f>0.048/0.581</f>
        <v>8.2616179001721177E-2</v>
      </c>
      <c r="T15" s="21">
        <f t="shared" si="2"/>
        <v>36.761314500000005</v>
      </c>
      <c r="W15" s="9">
        <f t="shared" si="3"/>
        <v>3.1913205948379741E-4</v>
      </c>
    </row>
    <row r="16" spans="1:23" ht="30" x14ac:dyDescent="0.25">
      <c r="B16" s="3" t="s">
        <v>104</v>
      </c>
      <c r="C16" t="s">
        <v>105</v>
      </c>
      <c r="D16">
        <v>3</v>
      </c>
      <c r="E16">
        <v>50</v>
      </c>
      <c r="F16" s="21">
        <v>1691.6842777294887</v>
      </c>
      <c r="G16" s="21">
        <v>6000</v>
      </c>
      <c r="H16">
        <v>0.45</v>
      </c>
      <c r="I16">
        <v>1000</v>
      </c>
      <c r="J16" s="21">
        <f>AVERAGE(D16,E16)</f>
        <v>26.5</v>
      </c>
      <c r="L16" s="21">
        <f t="shared" si="4"/>
        <v>35.537030000000001</v>
      </c>
      <c r="N16" s="21">
        <f t="shared" si="1"/>
        <v>3607.159769818647</v>
      </c>
      <c r="P16">
        <v>3530</v>
      </c>
      <c r="R16" s="43">
        <f>0.127/0.581</f>
        <v>0.21858864027538727</v>
      </c>
      <c r="T16" s="21">
        <f t="shared" si="2"/>
        <v>319.17554000000001</v>
      </c>
      <c r="W16" s="9">
        <f t="shared" si="3"/>
        <v>1.1301491868138288E-5</v>
      </c>
    </row>
    <row r="17" spans="1:24" ht="30" x14ac:dyDescent="0.25">
      <c r="B17" s="3" t="s">
        <v>106</v>
      </c>
      <c r="C17" t="s">
        <v>105</v>
      </c>
      <c r="D17">
        <v>50</v>
      </c>
      <c r="E17">
        <v>1500</v>
      </c>
      <c r="F17" s="21">
        <v>6000</v>
      </c>
      <c r="G17" s="21">
        <v>76911.661151322129</v>
      </c>
      <c r="H17">
        <v>0.75</v>
      </c>
      <c r="I17">
        <v>1000</v>
      </c>
      <c r="J17" s="21">
        <f>AVERAGE(D17,E17)</f>
        <v>775</v>
      </c>
      <c r="L17" s="21">
        <f t="shared" si="4"/>
        <v>1039.2905000000001</v>
      </c>
      <c r="N17" s="21">
        <f t="shared" si="1"/>
        <v>37496.437777254898</v>
      </c>
      <c r="P17">
        <v>7436</v>
      </c>
      <c r="R17" s="43">
        <f>0.157/0.581</f>
        <v>0.27022375215146299</v>
      </c>
      <c r="T17" s="21">
        <f t="shared" si="2"/>
        <v>19663.014800000001</v>
      </c>
      <c r="W17" s="9">
        <f t="shared" si="3"/>
        <v>1.9069526295253003E-6</v>
      </c>
    </row>
    <row r="18" spans="1:24" x14ac:dyDescent="0.25">
      <c r="B18" s="3" t="s">
        <v>107</v>
      </c>
      <c r="C18" t="s">
        <v>105</v>
      </c>
      <c r="D18">
        <v>3</v>
      </c>
      <c r="E18">
        <v>180</v>
      </c>
      <c r="F18" s="21">
        <v>580.86364315386913</v>
      </c>
      <c r="G18" s="21">
        <v>5300</v>
      </c>
      <c r="H18">
        <v>0.54</v>
      </c>
      <c r="I18">
        <v>1000</v>
      </c>
      <c r="J18" s="21">
        <f>AVERAGE(D18,E18)</f>
        <v>91.5</v>
      </c>
      <c r="L18" s="21">
        <f t="shared" si="4"/>
        <v>122.70333000000001</v>
      </c>
      <c r="N18" s="21">
        <f t="shared" si="1"/>
        <v>2942.2941929843073</v>
      </c>
      <c r="P18">
        <v>4174</v>
      </c>
      <c r="R18" s="43">
        <f>0.144/0.581</f>
        <v>0.24784853700516352</v>
      </c>
      <c r="T18" s="21">
        <f t="shared" si="2"/>
        <v>1303.114452</v>
      </c>
      <c r="W18" s="9">
        <f t="shared" si="3"/>
        <v>2.2578939159707113E-6</v>
      </c>
    </row>
    <row r="19" spans="1:24" x14ac:dyDescent="0.25">
      <c r="B19" s="3" t="s">
        <v>107</v>
      </c>
      <c r="C19" t="s">
        <v>105</v>
      </c>
      <c r="D19">
        <v>180</v>
      </c>
      <c r="E19">
        <v>1500</v>
      </c>
      <c r="F19" s="21">
        <v>5300</v>
      </c>
      <c r="G19" s="21">
        <v>297736.10466011299</v>
      </c>
      <c r="H19">
        <v>1.9</v>
      </c>
      <c r="I19">
        <v>1000</v>
      </c>
      <c r="J19" s="21">
        <f>AVERAGE(D19,E19)</f>
        <v>840</v>
      </c>
      <c r="L19" s="21">
        <f t="shared" si="4"/>
        <v>1126.4568000000002</v>
      </c>
      <c r="N19" s="21">
        <f t="shared" si="1"/>
        <v>79155.070568115683</v>
      </c>
      <c r="P19">
        <v>7436</v>
      </c>
      <c r="R19" s="43">
        <f>0.157/0.581</f>
        <v>0.27022375215146299</v>
      </c>
      <c r="T19" s="21">
        <f t="shared" si="2"/>
        <v>21312.170880000001</v>
      </c>
      <c r="W19" s="9">
        <f t="shared" si="3"/>
        <v>3.7140782613749238E-6</v>
      </c>
    </row>
    <row r="20" spans="1:24" x14ac:dyDescent="0.25">
      <c r="W20" s="9"/>
    </row>
    <row r="21" spans="1:24" x14ac:dyDescent="0.25">
      <c r="B21" t="s">
        <v>119</v>
      </c>
      <c r="N21" s="21"/>
      <c r="P21" s="21"/>
      <c r="Q21" s="21"/>
      <c r="T21" s="21">
        <f>AVERAGE(T9:T19)</f>
        <v>22843.953167418182</v>
      </c>
      <c r="W21" s="9">
        <f>AVERAGE(W9:W19)</f>
        <v>4.8016954538032345E-5</v>
      </c>
    </row>
    <row r="22" spans="1:24" x14ac:dyDescent="0.25">
      <c r="B22" s="1" t="s">
        <v>359</v>
      </c>
      <c r="N22" s="21"/>
      <c r="P22" s="21"/>
      <c r="Q22" s="21"/>
      <c r="T22" s="47">
        <f>SUMPRODUCT(F24:F28, I24:I28)</f>
        <v>13814.301562165096</v>
      </c>
      <c r="U22" s="1"/>
      <c r="V22" s="1"/>
      <c r="W22" s="48">
        <f>SUMPRODUCT(F24:F28, N24:N28)</f>
        <v>2.9652197760109964E-5</v>
      </c>
    </row>
    <row r="23" spans="1:24" x14ac:dyDescent="0.25">
      <c r="C23" s="49" t="s">
        <v>352</v>
      </c>
      <c r="D23" s="49"/>
      <c r="E23" s="49"/>
      <c r="F23" s="49" t="s">
        <v>361</v>
      </c>
      <c r="G23" s="49"/>
      <c r="H23" s="49"/>
      <c r="I23" s="49" t="s">
        <v>433</v>
      </c>
      <c r="J23" s="49"/>
      <c r="K23" s="49"/>
      <c r="L23" s="49"/>
      <c r="M23" s="49"/>
      <c r="N23" s="50" t="s">
        <v>358</v>
      </c>
      <c r="P23" s="21"/>
      <c r="Q23" s="21"/>
      <c r="T23" s="21"/>
    </row>
    <row r="24" spans="1:24" x14ac:dyDescent="0.25">
      <c r="C24" s="75" t="s">
        <v>355</v>
      </c>
      <c r="D24" s="76"/>
      <c r="E24" s="77"/>
      <c r="F24" s="78">
        <f>0.048/0.581</f>
        <v>8.2616179001721177E-2</v>
      </c>
      <c r="G24" s="79"/>
      <c r="H24" s="80"/>
      <c r="I24" s="72">
        <f>((T13+T15)/2)</f>
        <v>23.414850000000001</v>
      </c>
      <c r="J24" s="73"/>
      <c r="K24" s="73"/>
      <c r="L24" s="73"/>
      <c r="M24" s="74"/>
      <c r="N24" s="51">
        <f>((W13+W15)/2)</f>
        <v>2.2407199119595664E-4</v>
      </c>
      <c r="P24" s="21"/>
      <c r="Q24" s="21"/>
      <c r="T24" s="21"/>
    </row>
    <row r="25" spans="1:24" x14ac:dyDescent="0.25">
      <c r="C25" s="75" t="s">
        <v>356</v>
      </c>
      <c r="D25" s="76"/>
      <c r="E25" s="77"/>
      <c r="F25" s="78">
        <f>0.104/0.581</f>
        <v>0.17900172117039587</v>
      </c>
      <c r="G25" s="79"/>
      <c r="H25" s="80"/>
      <c r="I25" s="72">
        <f>T14</f>
        <v>97.18877280000001</v>
      </c>
      <c r="J25" s="73"/>
      <c r="K25" s="73"/>
      <c r="L25" s="73"/>
      <c r="M25" s="74"/>
      <c r="N25" s="51">
        <f>W14</f>
        <v>3.3521233224690123E-5</v>
      </c>
      <c r="P25" s="21"/>
      <c r="Q25" s="21"/>
      <c r="T25" s="21"/>
    </row>
    <row r="26" spans="1:24" x14ac:dyDescent="0.25">
      <c r="C26" s="75" t="s">
        <v>354</v>
      </c>
      <c r="D26" s="76"/>
      <c r="E26" s="77"/>
      <c r="F26" s="78">
        <f>0.127/0.581</f>
        <v>0.21858864027538727</v>
      </c>
      <c r="G26" s="79"/>
      <c r="H26" s="80"/>
      <c r="I26" s="72">
        <f>T16</f>
        <v>319.17554000000001</v>
      </c>
      <c r="J26" s="73"/>
      <c r="K26" s="73"/>
      <c r="L26" s="73"/>
      <c r="M26" s="74"/>
      <c r="N26" s="51">
        <f>W16</f>
        <v>1.1301491868138288E-5</v>
      </c>
      <c r="P26" s="21"/>
      <c r="Q26" s="21"/>
      <c r="T26" s="21"/>
    </row>
    <row r="27" spans="1:24" x14ac:dyDescent="0.25">
      <c r="C27" s="75" t="s">
        <v>353</v>
      </c>
      <c r="D27" s="76"/>
      <c r="E27" s="77"/>
      <c r="F27" s="78">
        <f>0.144/0.581</f>
        <v>0.24784853700516352</v>
      </c>
      <c r="G27" s="79"/>
      <c r="H27" s="80"/>
      <c r="I27" s="72">
        <f>((T10+T18)/2)</f>
        <v>1214.1039020000001</v>
      </c>
      <c r="J27" s="73"/>
      <c r="K27" s="73"/>
      <c r="L27" s="73"/>
      <c r="M27" s="74"/>
      <c r="N27" s="51">
        <f>((W10+W18)/2)</f>
        <v>5.481183696812177E-6</v>
      </c>
      <c r="P27" s="21"/>
      <c r="Q27" s="21"/>
      <c r="T27" s="21"/>
    </row>
    <row r="28" spans="1:24" x14ac:dyDescent="0.25">
      <c r="C28" s="75" t="s">
        <v>357</v>
      </c>
      <c r="D28" s="76"/>
      <c r="E28" s="77"/>
      <c r="F28" s="78">
        <f>0.157/0.581</f>
        <v>0.27022375215146299</v>
      </c>
      <c r="G28" s="79"/>
      <c r="H28" s="80"/>
      <c r="I28" s="72">
        <f>((T9+T11+T12+T17+T19)/5)</f>
        <v>49678.416604960003</v>
      </c>
      <c r="J28" s="73"/>
      <c r="K28" s="73"/>
      <c r="L28" s="73"/>
      <c r="M28" s="74"/>
      <c r="N28" s="51">
        <f>((W9+W11+W12+W17+W19)/5)</f>
        <v>4.8514850079979492E-6</v>
      </c>
      <c r="P28" s="21"/>
      <c r="Q28" s="21"/>
      <c r="T28" s="21"/>
    </row>
    <row r="29" spans="1:24" x14ac:dyDescent="0.25">
      <c r="U29" s="9"/>
      <c r="W29" s="9"/>
    </row>
    <row r="30" spans="1:24" x14ac:dyDescent="0.25">
      <c r="W30" s="9"/>
      <c r="X30" s="9"/>
    </row>
    <row r="31" spans="1:24" x14ac:dyDescent="0.25">
      <c r="A31" s="17" t="s">
        <v>253</v>
      </c>
      <c r="B31" s="18"/>
      <c r="C31" s="18"/>
    </row>
    <row r="32" spans="1:24" x14ac:dyDescent="0.25">
      <c r="G32" s="1" t="s">
        <v>172</v>
      </c>
      <c r="U32" s="9"/>
      <c r="W32" s="9"/>
    </row>
    <row r="33" spans="2:20" x14ac:dyDescent="0.25">
      <c r="B33" t="s">
        <v>254</v>
      </c>
      <c r="D33" s="21">
        <v>502</v>
      </c>
      <c r="E33" t="s">
        <v>137</v>
      </c>
      <c r="G33" s="15" t="s">
        <v>255</v>
      </c>
      <c r="T33" s="9"/>
    </row>
    <row r="34" spans="2:20" x14ac:dyDescent="0.25">
      <c r="B34" t="s">
        <v>256</v>
      </c>
      <c r="D34" s="21">
        <v>250</v>
      </c>
      <c r="E34" t="s">
        <v>257</v>
      </c>
      <c r="G34" s="15" t="s">
        <v>258</v>
      </c>
      <c r="T34" s="9"/>
    </row>
    <row r="35" spans="2:20" x14ac:dyDescent="0.25">
      <c r="B35" t="s">
        <v>259</v>
      </c>
      <c r="D35" s="21">
        <f>D34/1.341</f>
        <v>186.42803877703207</v>
      </c>
      <c r="E35" t="s">
        <v>90</v>
      </c>
    </row>
    <row r="36" spans="2:20" x14ac:dyDescent="0.25">
      <c r="B36" t="s">
        <v>260</v>
      </c>
      <c r="D36" s="21">
        <v>2080</v>
      </c>
      <c r="E36" t="s">
        <v>185</v>
      </c>
      <c r="G36" s="15" t="s">
        <v>258</v>
      </c>
      <c r="I36" s="8"/>
    </row>
    <row r="37" spans="2:20" x14ac:dyDescent="0.25">
      <c r="B37" t="s">
        <v>431</v>
      </c>
      <c r="D37" s="21">
        <f>D35*0.003412*D36</f>
        <v>1323.0723340790455</v>
      </c>
      <c r="E37" t="s">
        <v>261</v>
      </c>
    </row>
    <row r="38" spans="2:20" x14ac:dyDescent="0.25">
      <c r="B38" t="s">
        <v>118</v>
      </c>
      <c r="D38" s="12">
        <f>(D33*D35)/(D37*10^6)</f>
        <v>7.0734511678239686E-5</v>
      </c>
      <c r="E38" t="s">
        <v>118</v>
      </c>
    </row>
  </sheetData>
  <mergeCells count="15">
    <mergeCell ref="F24:H24"/>
    <mergeCell ref="F25:H25"/>
    <mergeCell ref="F26:H26"/>
    <mergeCell ref="F27:H27"/>
    <mergeCell ref="F28:H28"/>
    <mergeCell ref="C24:E24"/>
    <mergeCell ref="C25:E25"/>
    <mergeCell ref="C26:E26"/>
    <mergeCell ref="C27:E27"/>
    <mergeCell ref="C28:E28"/>
    <mergeCell ref="I24:M24"/>
    <mergeCell ref="I25:M25"/>
    <mergeCell ref="I26:M26"/>
    <mergeCell ref="I27:M27"/>
    <mergeCell ref="I28:M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zoomScale="145" zoomScaleNormal="145" workbookViewId="0"/>
  </sheetViews>
  <sheetFormatPr defaultColWidth="8.85546875" defaultRowHeight="15" x14ac:dyDescent="0.25"/>
  <cols>
    <col min="3" max="3" width="30.28515625" customWidth="1"/>
    <col min="7" max="7" width="12" bestFit="1" customWidth="1"/>
  </cols>
  <sheetData>
    <row r="1" spans="1:11" x14ac:dyDescent="0.25">
      <c r="A1" s="17" t="s">
        <v>134</v>
      </c>
      <c r="B1" s="18"/>
      <c r="C1" s="18"/>
      <c r="D1" s="18"/>
      <c r="E1" s="18"/>
      <c r="F1" s="18"/>
      <c r="G1" s="18"/>
    </row>
    <row r="2" spans="1:11" x14ac:dyDescent="0.25">
      <c r="A2" s="24" t="s">
        <v>135</v>
      </c>
    </row>
    <row r="3" spans="1:11" x14ac:dyDescent="0.25">
      <c r="A3" s="24" t="s">
        <v>159</v>
      </c>
    </row>
    <row r="4" spans="1:11" x14ac:dyDescent="0.25">
      <c r="A4" s="24"/>
    </row>
    <row r="5" spans="1:11" x14ac:dyDescent="0.25">
      <c r="A5" s="1" t="s">
        <v>136</v>
      </c>
      <c r="G5" s="1"/>
      <c r="K5" s="1"/>
    </row>
    <row r="6" spans="1:11" x14ac:dyDescent="0.25">
      <c r="A6" t="s">
        <v>147</v>
      </c>
      <c r="D6">
        <f>AVERAGE(760,1000)</f>
        <v>880</v>
      </c>
      <c r="E6" t="s">
        <v>137</v>
      </c>
    </row>
    <row r="7" spans="1:11" x14ac:dyDescent="0.25">
      <c r="A7" t="s">
        <v>149</v>
      </c>
      <c r="D7">
        <f>AVERAGE(373.1,597)</f>
        <v>485.05</v>
      </c>
      <c r="E7" t="s">
        <v>137</v>
      </c>
    </row>
    <row r="9" spans="1:11" x14ac:dyDescent="0.25">
      <c r="A9" s="1" t="s">
        <v>138</v>
      </c>
    </row>
    <row r="11" spans="1:11" x14ac:dyDescent="0.25">
      <c r="A11" t="s">
        <v>148</v>
      </c>
      <c r="D11">
        <f>AVERAGE(975,1200)</f>
        <v>1087.5</v>
      </c>
      <c r="E11" t="s">
        <v>137</v>
      </c>
    </row>
    <row r="12" spans="1:11" x14ac:dyDescent="0.25">
      <c r="A12" t="s">
        <v>149</v>
      </c>
      <c r="D12">
        <f>AVERAGE(1492.5,2238.8)</f>
        <v>1865.65</v>
      </c>
      <c r="E12" t="s">
        <v>137</v>
      </c>
    </row>
    <row r="14" spans="1:11" x14ac:dyDescent="0.25">
      <c r="A14" t="s">
        <v>141</v>
      </c>
    </row>
    <row r="15" spans="1:11" x14ac:dyDescent="0.25">
      <c r="A15" t="s">
        <v>143</v>
      </c>
      <c r="D15">
        <v>1.5</v>
      </c>
      <c r="E15" t="s">
        <v>142</v>
      </c>
    </row>
    <row r="16" spans="1:11" x14ac:dyDescent="0.25">
      <c r="A16" t="s">
        <v>145</v>
      </c>
      <c r="D16">
        <v>70</v>
      </c>
      <c r="E16" t="s">
        <v>144</v>
      </c>
    </row>
    <row r="18" spans="1:7" x14ac:dyDescent="0.25">
      <c r="A18" t="s">
        <v>151</v>
      </c>
      <c r="G18">
        <f>(D6)*(1.5*1000000)</f>
        <v>1320000000</v>
      </c>
    </row>
    <row r="19" spans="1:7" x14ac:dyDescent="0.25">
      <c r="A19" t="s">
        <v>434</v>
      </c>
      <c r="G19">
        <f>(1.5*1000000)*(0.7*8760)</f>
        <v>9198000000</v>
      </c>
    </row>
    <row r="20" spans="1:7" x14ac:dyDescent="0.25">
      <c r="A20" t="s">
        <v>435</v>
      </c>
      <c r="G20">
        <f>G19*3412</f>
        <v>31383576000000</v>
      </c>
    </row>
    <row r="21" spans="1:7" x14ac:dyDescent="0.25">
      <c r="A21" t="s">
        <v>150</v>
      </c>
      <c r="G21">
        <f>G18/G20</f>
        <v>4.2060216464815867E-5</v>
      </c>
    </row>
    <row r="22" spans="1:7" x14ac:dyDescent="0.25">
      <c r="A22" t="s">
        <v>153</v>
      </c>
      <c r="G22">
        <f>(D7*(1.5*1000000))/G20</f>
        <v>2.3183304541203336E-5</v>
      </c>
    </row>
    <row r="24" spans="1:7" x14ac:dyDescent="0.25">
      <c r="A24" t="s">
        <v>152</v>
      </c>
      <c r="G24">
        <f>(D11)*(1.5*1000000)</f>
        <v>1631250000</v>
      </c>
    </row>
    <row r="25" spans="1:7" x14ac:dyDescent="0.25">
      <c r="A25" t="s">
        <v>434</v>
      </c>
      <c r="G25">
        <f>(1.5*1000000)*(0.7*8760)</f>
        <v>9198000000</v>
      </c>
    </row>
    <row r="26" spans="1:7" x14ac:dyDescent="0.25">
      <c r="A26" t="s">
        <v>435</v>
      </c>
      <c r="G26">
        <f>G25*3412</f>
        <v>31383576000000</v>
      </c>
    </row>
    <row r="27" spans="1:7" x14ac:dyDescent="0.25">
      <c r="A27" t="s">
        <v>150</v>
      </c>
      <c r="G27">
        <f>G24/G26</f>
        <v>5.1977824324417333E-5</v>
      </c>
    </row>
    <row r="28" spans="1:7" x14ac:dyDescent="0.25">
      <c r="A28" t="s">
        <v>153</v>
      </c>
      <c r="G28">
        <f>(D12*(1.5*1000000))/G26</f>
        <v>8.9170048690436044E-5</v>
      </c>
    </row>
    <row r="30" spans="1:7" x14ac:dyDescent="0.25">
      <c r="A30" t="s">
        <v>139</v>
      </c>
    </row>
    <row r="32" spans="1:7" x14ac:dyDescent="0.25">
      <c r="A32" t="s">
        <v>140</v>
      </c>
      <c r="G32" s="12">
        <f>(G21*0.75)+(G27*0.25)</f>
        <v>4.4539618429716232E-5</v>
      </c>
    </row>
    <row r="33" spans="1:7" x14ac:dyDescent="0.25">
      <c r="A33" t="s">
        <v>146</v>
      </c>
      <c r="G33" s="9">
        <f>G32*0.6</f>
        <v>2.6723771057829738E-5</v>
      </c>
    </row>
    <row r="34" spans="1:7" x14ac:dyDescent="0.25">
      <c r="G34" s="9"/>
    </row>
    <row r="35" spans="1:7" x14ac:dyDescent="0.25">
      <c r="A35" t="s">
        <v>154</v>
      </c>
      <c r="G35" s="9">
        <f>(G22*0.75)+(G28*0.25)</f>
        <v>3.9679990578511508E-5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BBC2-333F-45D7-87D4-C9F757AF344C}">
  <dimension ref="A1:W39"/>
  <sheetViews>
    <sheetView zoomScale="115" zoomScaleNormal="115" workbookViewId="0"/>
  </sheetViews>
  <sheetFormatPr defaultRowHeight="15" x14ac:dyDescent="0.25"/>
  <cols>
    <col min="2" max="2" width="13.140625" bestFit="1" customWidth="1"/>
    <col min="5" max="5" width="11.42578125" bestFit="1" customWidth="1"/>
    <col min="8" max="9" width="10.5703125" customWidth="1"/>
    <col min="10" max="11" width="12" bestFit="1" customWidth="1"/>
    <col min="13" max="13" width="13.140625" bestFit="1" customWidth="1"/>
  </cols>
  <sheetData>
    <row r="1" spans="1:23" x14ac:dyDescent="0.25">
      <c r="A1" t="s">
        <v>440</v>
      </c>
      <c r="P1" t="s">
        <v>472</v>
      </c>
    </row>
    <row r="3" spans="1:23" x14ac:dyDescent="0.25">
      <c r="C3" t="s">
        <v>459</v>
      </c>
      <c r="D3" t="s">
        <v>460</v>
      </c>
      <c r="E3" t="s">
        <v>460</v>
      </c>
      <c r="F3" t="s">
        <v>460</v>
      </c>
      <c r="G3" t="s">
        <v>460</v>
      </c>
      <c r="H3" t="s">
        <v>460</v>
      </c>
      <c r="I3" t="s">
        <v>460</v>
      </c>
      <c r="J3" t="s">
        <v>460</v>
      </c>
      <c r="K3" t="s">
        <v>461</v>
      </c>
      <c r="L3" t="s">
        <v>461</v>
      </c>
      <c r="M3" t="s">
        <v>461</v>
      </c>
      <c r="N3" t="s">
        <v>465</v>
      </c>
      <c r="O3" t="s">
        <v>465</v>
      </c>
      <c r="P3" t="s">
        <v>473</v>
      </c>
      <c r="Q3" t="s">
        <v>473</v>
      </c>
      <c r="R3" t="s">
        <v>473</v>
      </c>
      <c r="S3" t="s">
        <v>473</v>
      </c>
      <c r="T3" t="s">
        <v>473</v>
      </c>
    </row>
    <row r="4" spans="1:23" x14ac:dyDescent="0.25">
      <c r="C4" t="s">
        <v>452</v>
      </c>
      <c r="D4" t="s">
        <v>453</v>
      </c>
      <c r="E4" t="s">
        <v>454</v>
      </c>
      <c r="F4" t="s">
        <v>453</v>
      </c>
      <c r="G4" t="s">
        <v>453</v>
      </c>
      <c r="H4" t="s">
        <v>452</v>
      </c>
      <c r="I4" t="s">
        <v>455</v>
      </c>
      <c r="J4" t="s">
        <v>455</v>
      </c>
      <c r="K4" t="s">
        <v>462</v>
      </c>
      <c r="L4" t="s">
        <v>455</v>
      </c>
      <c r="M4" t="s">
        <v>455</v>
      </c>
      <c r="N4" t="s">
        <v>452</v>
      </c>
      <c r="O4" t="s">
        <v>452</v>
      </c>
      <c r="P4" t="s">
        <v>452</v>
      </c>
      <c r="Q4" t="s">
        <v>452</v>
      </c>
      <c r="R4" t="s">
        <v>452</v>
      </c>
      <c r="S4" t="s">
        <v>477</v>
      </c>
      <c r="T4" t="s">
        <v>477</v>
      </c>
    </row>
    <row r="5" spans="1:23" x14ac:dyDescent="0.25">
      <c r="C5" t="s">
        <v>441</v>
      </c>
      <c r="D5" t="s">
        <v>445</v>
      </c>
      <c r="E5" t="s">
        <v>446</v>
      </c>
      <c r="F5" t="s">
        <v>447</v>
      </c>
      <c r="G5" t="s">
        <v>448</v>
      </c>
      <c r="H5" t="s">
        <v>449</v>
      </c>
      <c r="I5" t="s">
        <v>451</v>
      </c>
      <c r="J5" t="s">
        <v>456</v>
      </c>
      <c r="K5" t="s">
        <v>458</v>
      </c>
      <c r="L5" t="s">
        <v>463</v>
      </c>
      <c r="M5" t="s">
        <v>464</v>
      </c>
      <c r="N5" t="s">
        <v>466</v>
      </c>
      <c r="O5" t="s">
        <v>466</v>
      </c>
      <c r="P5" t="s">
        <v>474</v>
      </c>
      <c r="Q5" t="s">
        <v>475</v>
      </c>
      <c r="R5" t="s">
        <v>476</v>
      </c>
      <c r="S5" t="s">
        <v>478</v>
      </c>
      <c r="T5" t="s">
        <v>479</v>
      </c>
    </row>
    <row r="6" spans="1:23" x14ac:dyDescent="0.25">
      <c r="B6" s="65" t="s">
        <v>59</v>
      </c>
      <c r="C6">
        <v>1.3</v>
      </c>
      <c r="D6">
        <v>5.15</v>
      </c>
      <c r="E6">
        <v>7.48</v>
      </c>
      <c r="F6">
        <v>8.3000000000000007</v>
      </c>
      <c r="G6">
        <v>11.84</v>
      </c>
      <c r="H6">
        <f>12.98/4</f>
        <v>3.2450000000000001</v>
      </c>
      <c r="I6">
        <f>124.94/10</f>
        <v>12.494</v>
      </c>
      <c r="J6">
        <f>172.75/25</f>
        <v>6.91</v>
      </c>
      <c r="K6">
        <f>5.21</f>
        <v>5.21</v>
      </c>
      <c r="L6">
        <f>206.09/40</f>
        <v>5.1522500000000004</v>
      </c>
      <c r="M6">
        <f>28.85/6</f>
        <v>4.8083333333333336</v>
      </c>
      <c r="N6">
        <f>16.57/3</f>
        <v>5.5233333333333334</v>
      </c>
      <c r="O6">
        <f>198.86/12/3</f>
        <v>5.52388888888889</v>
      </c>
      <c r="P6">
        <v>15.99</v>
      </c>
      <c r="Q6">
        <v>27.95</v>
      </c>
      <c r="R6">
        <v>39.950000000000003</v>
      </c>
      <c r="S6">
        <v>17</v>
      </c>
      <c r="T6">
        <v>12</v>
      </c>
      <c r="W6" t="s">
        <v>59</v>
      </c>
    </row>
    <row r="7" spans="1:23" x14ac:dyDescent="0.25">
      <c r="B7" s="65" t="s">
        <v>442</v>
      </c>
      <c r="C7">
        <v>40</v>
      </c>
      <c r="D7">
        <v>6.5</v>
      </c>
      <c r="E7">
        <v>7.5</v>
      </c>
      <c r="F7">
        <v>12</v>
      </c>
      <c r="G7">
        <v>15</v>
      </c>
      <c r="H7">
        <v>10</v>
      </c>
      <c r="I7">
        <v>40</v>
      </c>
      <c r="J7">
        <v>11</v>
      </c>
      <c r="K7">
        <v>13</v>
      </c>
      <c r="L7">
        <v>54</v>
      </c>
      <c r="M7">
        <v>32</v>
      </c>
      <c r="N7">
        <v>23</v>
      </c>
      <c r="O7">
        <v>23</v>
      </c>
      <c r="P7">
        <v>100</v>
      </c>
      <c r="Q7">
        <v>1000</v>
      </c>
      <c r="R7">
        <v>1000</v>
      </c>
      <c r="S7">
        <v>70</v>
      </c>
      <c r="T7">
        <v>100</v>
      </c>
    </row>
    <row r="8" spans="1:23" x14ac:dyDescent="0.25">
      <c r="B8" s="65" t="s">
        <v>443</v>
      </c>
      <c r="C8">
        <v>225</v>
      </c>
      <c r="D8">
        <v>520</v>
      </c>
      <c r="E8">
        <v>650</v>
      </c>
      <c r="F8">
        <v>1000</v>
      </c>
      <c r="G8">
        <v>1200</v>
      </c>
      <c r="H8">
        <v>800</v>
      </c>
      <c r="I8">
        <v>5500</v>
      </c>
      <c r="J8">
        <v>1800</v>
      </c>
      <c r="K8">
        <v>800</v>
      </c>
      <c r="L8">
        <v>5000</v>
      </c>
      <c r="M8">
        <v>3050</v>
      </c>
      <c r="N8">
        <v>1600</v>
      </c>
      <c r="O8">
        <v>1600</v>
      </c>
      <c r="P8">
        <v>8500</v>
      </c>
      <c r="Q8">
        <v>110000</v>
      </c>
    </row>
    <row r="9" spans="1:23" x14ac:dyDescent="0.25">
      <c r="B9" s="65" t="s">
        <v>444</v>
      </c>
      <c r="C9">
        <v>2500</v>
      </c>
      <c r="D9">
        <v>25000</v>
      </c>
      <c r="E9">
        <v>25000</v>
      </c>
      <c r="F9">
        <v>25000</v>
      </c>
      <c r="G9">
        <v>25000</v>
      </c>
      <c r="H9">
        <v>15000</v>
      </c>
      <c r="I9">
        <v>50000</v>
      </c>
      <c r="J9">
        <v>50000</v>
      </c>
      <c r="K9">
        <v>12000</v>
      </c>
      <c r="L9">
        <v>24000</v>
      </c>
      <c r="M9">
        <v>24000</v>
      </c>
      <c r="N9">
        <v>12000</v>
      </c>
      <c r="O9">
        <v>12000</v>
      </c>
      <c r="P9">
        <v>15000</v>
      </c>
      <c r="Q9">
        <v>10000</v>
      </c>
      <c r="R9">
        <v>5000</v>
      </c>
      <c r="S9">
        <v>6000</v>
      </c>
    </row>
    <row r="10" spans="1:23" x14ac:dyDescent="0.25">
      <c r="B10" s="65" t="s">
        <v>450</v>
      </c>
      <c r="D10">
        <v>50</v>
      </c>
      <c r="E10">
        <v>65</v>
      </c>
      <c r="F10">
        <v>75</v>
      </c>
      <c r="G10">
        <v>90</v>
      </c>
      <c r="H10">
        <v>60</v>
      </c>
      <c r="I10">
        <v>59</v>
      </c>
      <c r="J10" t="s">
        <v>457</v>
      </c>
      <c r="N10">
        <v>100</v>
      </c>
      <c r="O10">
        <v>100</v>
      </c>
    </row>
    <row r="11" spans="1:23" x14ac:dyDescent="0.25">
      <c r="C11">
        <f>C6/C7</f>
        <v>3.2500000000000001E-2</v>
      </c>
      <c r="D11">
        <f t="shared" ref="D11:T11" si="0">D6/D7</f>
        <v>0.79230769230769238</v>
      </c>
      <c r="E11">
        <f t="shared" si="0"/>
        <v>0.9973333333333334</v>
      </c>
      <c r="F11">
        <f t="shared" si="0"/>
        <v>0.69166666666666676</v>
      </c>
      <c r="G11">
        <f t="shared" si="0"/>
        <v>0.78933333333333333</v>
      </c>
      <c r="H11">
        <f t="shared" si="0"/>
        <v>0.32450000000000001</v>
      </c>
      <c r="I11">
        <f t="shared" si="0"/>
        <v>0.31235000000000002</v>
      </c>
      <c r="J11">
        <f t="shared" si="0"/>
        <v>0.62818181818181817</v>
      </c>
      <c r="K11">
        <f t="shared" si="0"/>
        <v>0.40076923076923077</v>
      </c>
      <c r="L11">
        <f t="shared" si="0"/>
        <v>9.5412037037037045E-2</v>
      </c>
      <c r="M11">
        <f t="shared" si="0"/>
        <v>0.15026041666666667</v>
      </c>
      <c r="N11">
        <f t="shared" si="0"/>
        <v>0.2401449275362319</v>
      </c>
      <c r="O11">
        <f t="shared" si="0"/>
        <v>0.24016908212560392</v>
      </c>
      <c r="P11">
        <f t="shared" si="0"/>
        <v>0.15990000000000001</v>
      </c>
      <c r="Q11">
        <f t="shared" si="0"/>
        <v>2.7949999999999999E-2</v>
      </c>
      <c r="R11">
        <f t="shared" si="0"/>
        <v>3.9949999999999999E-2</v>
      </c>
      <c r="S11">
        <f t="shared" si="0"/>
        <v>0.24285714285714285</v>
      </c>
      <c r="T11">
        <f t="shared" si="0"/>
        <v>0.12</v>
      </c>
    </row>
    <row r="13" spans="1:23" x14ac:dyDescent="0.25">
      <c r="H13" t="s">
        <v>467</v>
      </c>
    </row>
    <row r="14" spans="1:23" x14ac:dyDescent="0.25">
      <c r="C14" t="s">
        <v>59</v>
      </c>
      <c r="D14" t="s">
        <v>484</v>
      </c>
      <c r="E14" t="s">
        <v>485</v>
      </c>
      <c r="F14" t="s">
        <v>442</v>
      </c>
      <c r="H14" t="s">
        <v>468</v>
      </c>
    </row>
    <row r="15" spans="1:23" x14ac:dyDescent="0.25">
      <c r="B15" s="65" t="s">
        <v>459</v>
      </c>
      <c r="C15" s="34">
        <f>AVERAGEIFS($C$6:$T$6,$C$3:$T$3,$B15)</f>
        <v>1.3</v>
      </c>
      <c r="D15" s="21">
        <f>AVERAGEIFS($C$9:$T$9,$C$3:$T$3,$B15)</f>
        <v>2500</v>
      </c>
      <c r="E15" s="21">
        <f>AVERAGEIFS($C$7:$T$7,$C$3:$T$3,$B15)*$O$19/1000*$O$21</f>
        <v>377565.42095238098</v>
      </c>
      <c r="F15" s="21">
        <f>AVERAGEIFS($C$7:$T$7,$C$3:$T$3,$B15)</f>
        <v>40</v>
      </c>
      <c r="G15" s="21"/>
      <c r="H15" t="s">
        <v>460</v>
      </c>
      <c r="I15" s="43">
        <v>0.65200000000000002</v>
      </c>
      <c r="J15" s="21">
        <f>I15*D16</f>
        <v>20025.714285714286</v>
      </c>
      <c r="K15" s="21">
        <f>I15*E16</f>
        <v>89677.181267918349</v>
      </c>
      <c r="L15">
        <f>C16*I15</f>
        <v>5.1618839999999997</v>
      </c>
      <c r="M15">
        <f>I15*F16</f>
        <v>9.500571428571428</v>
      </c>
    </row>
    <row r="16" spans="1:23" x14ac:dyDescent="0.25">
      <c r="B16" s="65" t="s">
        <v>460</v>
      </c>
      <c r="C16" s="34">
        <f t="shared" ref="C16:C19" si="1">AVERAGEIFS($C$6:$T$6,$C$3:$T$3,$B16)</f>
        <v>7.9169999999999998</v>
      </c>
      <c r="D16" s="21">
        <f t="shared" ref="D16:D19" si="2">AVERAGEIFS($C$9:$T$9,$C$3:$T$3,$B16)</f>
        <v>30714.285714285714</v>
      </c>
      <c r="E16" s="21">
        <f>AVERAGEIFS($C$7:$T$7,$C$3:$T$3,$B16)*$O$19/1000*$O$21</f>
        <v>137541.68906122446</v>
      </c>
      <c r="F16" s="21">
        <f t="shared" ref="F16:F19" si="3">AVERAGEIFS($C$7:$T$7,$C$3:$T$3,$B16)</f>
        <v>14.571428571428571</v>
      </c>
      <c r="G16" s="21"/>
      <c r="H16" t="s">
        <v>469</v>
      </c>
      <c r="I16" s="43">
        <v>0.13650000000000001</v>
      </c>
      <c r="J16" s="21">
        <f>I16*D17</f>
        <v>2730</v>
      </c>
      <c r="K16" s="21">
        <f>I16*E17</f>
        <v>42518.585966999999</v>
      </c>
      <c r="L16">
        <f>I16*C17</f>
        <v>0.69026154166666676</v>
      </c>
      <c r="M16">
        <f>I16*F17</f>
        <v>4.5045000000000002</v>
      </c>
      <c r="O16" t="s">
        <v>482</v>
      </c>
    </row>
    <row r="17" spans="2:16" x14ac:dyDescent="0.25">
      <c r="B17" s="65" t="s">
        <v>461</v>
      </c>
      <c r="C17" s="34">
        <f t="shared" si="1"/>
        <v>5.056861111111111</v>
      </c>
      <c r="D17" s="21">
        <f t="shared" si="2"/>
        <v>20000</v>
      </c>
      <c r="E17" s="21">
        <f>AVERAGEIFS($C$7:$T$7,$C$3:$T$3,$B17)*$O$19/1000*$O$21</f>
        <v>311491.47228571423</v>
      </c>
      <c r="F17" s="21">
        <f t="shared" si="3"/>
        <v>33</v>
      </c>
      <c r="G17" s="21"/>
      <c r="H17" t="s">
        <v>470</v>
      </c>
      <c r="I17" s="43">
        <v>0.20050000000000001</v>
      </c>
      <c r="J17" s="21">
        <f>I17*D19</f>
        <v>1804.5</v>
      </c>
      <c r="K17" s="21">
        <f>I17*E19</f>
        <v>859216.18932580936</v>
      </c>
      <c r="L17">
        <f>I17*C19</f>
        <v>4.5268889999999997</v>
      </c>
      <c r="M17">
        <f>I17*F19</f>
        <v>91.027000000000001</v>
      </c>
      <c r="O17">
        <v>9</v>
      </c>
      <c r="P17" t="s">
        <v>481</v>
      </c>
    </row>
    <row r="18" spans="2:16" x14ac:dyDescent="0.25">
      <c r="B18" s="65" t="s">
        <v>465</v>
      </c>
      <c r="C18" s="34">
        <f t="shared" si="1"/>
        <v>5.5236111111111121</v>
      </c>
      <c r="D18" s="21">
        <f t="shared" si="2"/>
        <v>12000</v>
      </c>
      <c r="E18" s="21">
        <f>AVERAGEIFS($C$7:$T$7,$C$3:$T$3,$B18)*$O$19/1000*$O$21</f>
        <v>217100.11704761902</v>
      </c>
      <c r="F18" s="21">
        <f t="shared" si="3"/>
        <v>23</v>
      </c>
      <c r="G18" s="21"/>
      <c r="H18" t="s">
        <v>471</v>
      </c>
      <c r="I18" s="43">
        <v>1.0999999999999999E-2</v>
      </c>
      <c r="J18" s="21">
        <f>I18*D16</f>
        <v>337.85714285714283</v>
      </c>
      <c r="K18" s="21">
        <f>I18*E16</f>
        <v>1512.9585796734689</v>
      </c>
      <c r="L18">
        <f>I18*C16</f>
        <v>8.7086999999999998E-2</v>
      </c>
      <c r="M18">
        <f>I18*F16</f>
        <v>0.16028571428571428</v>
      </c>
    </row>
    <row r="19" spans="2:16" x14ac:dyDescent="0.25">
      <c r="B19" s="65" t="s">
        <v>473</v>
      </c>
      <c r="C19" s="34">
        <f t="shared" si="1"/>
        <v>22.577999999999999</v>
      </c>
      <c r="D19" s="21">
        <f t="shared" si="2"/>
        <v>9000</v>
      </c>
      <c r="E19" s="21">
        <f>AVERAGEIFS($C$7:$T$7,$C$3:$T$3,$B19)*$O$19/1000*$O$21</f>
        <v>4285367.527809523</v>
      </c>
      <c r="F19" s="21">
        <f t="shared" si="3"/>
        <v>454</v>
      </c>
      <c r="G19" s="21"/>
      <c r="J19" s="47">
        <f>SUM(J15:J18)</f>
        <v>24898.071428571428</v>
      </c>
      <c r="K19" s="47">
        <f>SUM(K15:K18)</f>
        <v>992924.91514040111</v>
      </c>
      <c r="L19" s="66">
        <f>SUM(L15:L18)</f>
        <v>10.466121541666666</v>
      </c>
      <c r="M19" s="47">
        <f>SUM(M15:M18)</f>
        <v>105.19235714285715</v>
      </c>
      <c r="O19" s="47">
        <f>J19/9</f>
        <v>2766.4523809523807</v>
      </c>
      <c r="P19" s="1" t="s">
        <v>483</v>
      </c>
    </row>
    <row r="20" spans="2:16" x14ac:dyDescent="0.25">
      <c r="J20" s="1" t="s">
        <v>480</v>
      </c>
      <c r="K20" s="1" t="s">
        <v>485</v>
      </c>
      <c r="L20" t="s">
        <v>59</v>
      </c>
      <c r="M20" s="1" t="s">
        <v>442</v>
      </c>
    </row>
    <row r="21" spans="2:16" x14ac:dyDescent="0.25">
      <c r="O21">
        <v>3412</v>
      </c>
      <c r="P21" t="s">
        <v>35</v>
      </c>
    </row>
    <row r="23" spans="2:16" x14ac:dyDescent="0.25">
      <c r="O23" s="67">
        <f>L19/K19</f>
        <v>1.0540697873601793E-5</v>
      </c>
      <c r="P23" t="s">
        <v>23</v>
      </c>
    </row>
    <row r="24" spans="2:16" x14ac:dyDescent="0.25">
      <c r="B24" t="s">
        <v>486</v>
      </c>
    </row>
    <row r="25" spans="2:16" x14ac:dyDescent="0.25">
      <c r="B25" t="s">
        <v>487</v>
      </c>
    </row>
    <row r="27" spans="2:16" x14ac:dyDescent="0.25">
      <c r="B27" s="43">
        <f>0.35</f>
        <v>0.35</v>
      </c>
      <c r="C27" t="s">
        <v>488</v>
      </c>
    </row>
    <row r="28" spans="2:16" x14ac:dyDescent="0.25">
      <c r="B28">
        <f>O23*B27</f>
        <v>3.6892442557606274E-6</v>
      </c>
      <c r="C28" t="s">
        <v>500</v>
      </c>
    </row>
    <row r="31" spans="2:16" x14ac:dyDescent="0.25">
      <c r="B31" t="s">
        <v>489</v>
      </c>
    </row>
    <row r="32" spans="2:16" x14ac:dyDescent="0.25">
      <c r="B32" t="s">
        <v>490</v>
      </c>
      <c r="C32" t="s">
        <v>491</v>
      </c>
      <c r="D32" t="s">
        <v>492</v>
      </c>
      <c r="E32" t="s">
        <v>493</v>
      </c>
      <c r="F32" t="s">
        <v>494</v>
      </c>
      <c r="G32" t="s">
        <v>495</v>
      </c>
      <c r="H32" t="s">
        <v>496</v>
      </c>
    </row>
    <row r="33" spans="1:11" x14ac:dyDescent="0.25">
      <c r="A33" t="s">
        <v>59</v>
      </c>
      <c r="B33">
        <v>3579</v>
      </c>
      <c r="C33">
        <v>649</v>
      </c>
      <c r="D33">
        <v>849</v>
      </c>
      <c r="E33">
        <v>926</v>
      </c>
      <c r="F33">
        <v>399.99</v>
      </c>
      <c r="G33">
        <v>1299</v>
      </c>
      <c r="H33">
        <v>999</v>
      </c>
      <c r="I33" s="21">
        <f>AVERAGE(Lighting!B33:H33)</f>
        <v>1242.9985714285715</v>
      </c>
      <c r="J33" t="s">
        <v>498</v>
      </c>
    </row>
    <row r="34" spans="1:11" x14ac:dyDescent="0.25">
      <c r="A34" t="s">
        <v>442</v>
      </c>
      <c r="B34">
        <v>10000</v>
      </c>
      <c r="C34">
        <v>5300</v>
      </c>
      <c r="D34">
        <v>7500</v>
      </c>
      <c r="E34">
        <v>9500</v>
      </c>
      <c r="F34">
        <v>5600</v>
      </c>
      <c r="G34">
        <v>13000</v>
      </c>
      <c r="H34">
        <f>AVERAGE(10000,8000)</f>
        <v>9000</v>
      </c>
      <c r="I34" s="21">
        <f>AVERAGE(Lighting!B34:H34)</f>
        <v>8557.1428571428569</v>
      </c>
      <c r="J34" t="s">
        <v>497</v>
      </c>
    </row>
    <row r="35" spans="1:11" x14ac:dyDescent="0.25">
      <c r="B35">
        <f>B33/B34</f>
        <v>0.3579</v>
      </c>
      <c r="C35">
        <f t="shared" ref="C35:H35" si="4">C33/C34</f>
        <v>0.12245283018867925</v>
      </c>
      <c r="D35">
        <f t="shared" si="4"/>
        <v>0.1132</v>
      </c>
      <c r="E35">
        <f t="shared" si="4"/>
        <v>9.747368421052631E-2</v>
      </c>
      <c r="F35">
        <f t="shared" si="4"/>
        <v>7.142678571428572E-2</v>
      </c>
      <c r="G35">
        <f t="shared" si="4"/>
        <v>9.992307692307692E-2</v>
      </c>
      <c r="H35">
        <f t="shared" si="4"/>
        <v>0.111</v>
      </c>
    </row>
    <row r="37" spans="1:11" x14ac:dyDescent="0.25">
      <c r="I37" s="21">
        <f>I33*M19/I34</f>
        <v>15.280094283412833</v>
      </c>
      <c r="J37" t="s">
        <v>59</v>
      </c>
      <c r="K37" t="s">
        <v>499</v>
      </c>
    </row>
    <row r="38" spans="1:11" x14ac:dyDescent="0.25">
      <c r="I38">
        <f>I37/K19*B27</f>
        <v>5.3861403995872857E-6</v>
      </c>
      <c r="K38" t="s">
        <v>501</v>
      </c>
    </row>
    <row r="39" spans="1:11" x14ac:dyDescent="0.25">
      <c r="I39" s="67">
        <f>I38+B28</f>
        <v>9.0753846553479132E-6</v>
      </c>
      <c r="K39" t="s">
        <v>502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130" zoomScaleNormal="130" workbookViewId="0"/>
  </sheetViews>
  <sheetFormatPr defaultColWidth="8.85546875" defaultRowHeight="15" x14ac:dyDescent="0.25"/>
  <cols>
    <col min="1" max="1" width="18.42578125" customWidth="1"/>
    <col min="2" max="2" width="13.7109375" customWidth="1"/>
    <col min="3" max="3" width="10.7109375" customWidth="1"/>
    <col min="5" max="5" width="12" bestFit="1" customWidth="1"/>
  </cols>
  <sheetData>
    <row r="1" spans="1:8" x14ac:dyDescent="0.25">
      <c r="A1" s="17" t="s">
        <v>245</v>
      </c>
      <c r="B1" s="18"/>
      <c r="C1" s="18"/>
      <c r="D1" s="18"/>
      <c r="E1" s="18"/>
      <c r="F1" s="18"/>
      <c r="G1" s="18"/>
      <c r="H1" s="18"/>
    </row>
    <row r="3" spans="1:8" x14ac:dyDescent="0.25">
      <c r="A3" t="s">
        <v>161</v>
      </c>
      <c r="E3" s="39">
        <f>2758*1.03</f>
        <v>2840.7400000000002</v>
      </c>
      <c r="F3" t="s">
        <v>246</v>
      </c>
      <c r="H3" t="s">
        <v>249</v>
      </c>
    </row>
    <row r="4" spans="1:8" x14ac:dyDescent="0.25">
      <c r="A4" t="s">
        <v>436</v>
      </c>
      <c r="E4">
        <v>18</v>
      </c>
      <c r="F4" t="s">
        <v>90</v>
      </c>
      <c r="H4" s="15" t="s">
        <v>248</v>
      </c>
    </row>
    <row r="5" spans="1:8" x14ac:dyDescent="0.25">
      <c r="A5" t="s">
        <v>32</v>
      </c>
      <c r="E5">
        <f>18*365</f>
        <v>6570</v>
      </c>
      <c r="F5" t="s">
        <v>216</v>
      </c>
      <c r="H5" t="s">
        <v>247</v>
      </c>
    </row>
    <row r="7" spans="1:8" x14ac:dyDescent="0.25">
      <c r="A7" t="s">
        <v>429</v>
      </c>
      <c r="E7">
        <f>E4*E5</f>
        <v>118260</v>
      </c>
      <c r="F7" t="s">
        <v>167</v>
      </c>
    </row>
    <row r="8" spans="1:8" x14ac:dyDescent="0.25">
      <c r="A8" t="s">
        <v>430</v>
      </c>
      <c r="E8">
        <f>E7*0.003412</f>
        <v>403.50312000000002</v>
      </c>
      <c r="F8" t="s">
        <v>168</v>
      </c>
    </row>
    <row r="9" spans="1:8" x14ac:dyDescent="0.25">
      <c r="A9" t="s">
        <v>171</v>
      </c>
      <c r="E9" s="12">
        <f>E3/(E8*10^6)</f>
        <v>7.0401933942914745E-6</v>
      </c>
      <c r="F9" t="s">
        <v>171</v>
      </c>
    </row>
    <row r="12" spans="1:8" x14ac:dyDescent="0.25">
      <c r="A12" s="17" t="s">
        <v>233</v>
      </c>
      <c r="B12" s="18"/>
      <c r="C12" s="18"/>
    </row>
    <row r="14" spans="1:8" x14ac:dyDescent="0.25">
      <c r="A14" t="s">
        <v>252</v>
      </c>
    </row>
    <row r="16" spans="1:8" x14ac:dyDescent="0.25">
      <c r="A16" t="s">
        <v>232</v>
      </c>
      <c r="B16" s="8">
        <v>862500</v>
      </c>
      <c r="C16" t="s">
        <v>59</v>
      </c>
    </row>
    <row r="17" spans="1:3" x14ac:dyDescent="0.25">
      <c r="A17" t="s">
        <v>231</v>
      </c>
      <c r="B17" s="8">
        <v>1500000</v>
      </c>
      <c r="C17" t="s">
        <v>59</v>
      </c>
    </row>
    <row r="18" spans="1:3" x14ac:dyDescent="0.25">
      <c r="A18" t="s">
        <v>230</v>
      </c>
      <c r="B18" s="8">
        <f>AVERAGE(B16,B17)</f>
        <v>1181250</v>
      </c>
      <c r="C18" t="s">
        <v>59</v>
      </c>
    </row>
    <row r="20" spans="1:3" x14ac:dyDescent="0.25">
      <c r="A20" t="s">
        <v>56</v>
      </c>
      <c r="B20" s="32">
        <v>8760</v>
      </c>
      <c r="C20" t="s">
        <v>216</v>
      </c>
    </row>
    <row r="21" spans="1:3" x14ac:dyDescent="0.25">
      <c r="A21" t="s">
        <v>229</v>
      </c>
      <c r="B21" s="32">
        <v>6051100</v>
      </c>
      <c r="C21" t="s">
        <v>228</v>
      </c>
    </row>
    <row r="23" spans="1:3" x14ac:dyDescent="0.25">
      <c r="A23" t="s">
        <v>227</v>
      </c>
      <c r="B23">
        <f>B20*B21</f>
        <v>53007636000</v>
      </c>
      <c r="C23" t="s">
        <v>226</v>
      </c>
    </row>
    <row r="24" spans="1:3" x14ac:dyDescent="0.25">
      <c r="A24" t="s">
        <v>55</v>
      </c>
      <c r="B24" s="12">
        <f>B18/B23</f>
        <v>2.2284525195577483E-5</v>
      </c>
      <c r="C24" t="s">
        <v>225</v>
      </c>
    </row>
    <row r="28" spans="1:3" x14ac:dyDescent="0.25">
      <c r="A28" s="1" t="s">
        <v>263</v>
      </c>
    </row>
    <row r="29" spans="1:3" x14ac:dyDescent="0.25">
      <c r="A29" s="1" t="s">
        <v>264</v>
      </c>
    </row>
  </sheetData>
  <hyperlinks>
    <hyperlink ref="H4" r:id="rId1" xr:uid="{0EBADC85-7E7A-4D8B-B878-F45654EA16C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1:P83"/>
  <sheetViews>
    <sheetView workbookViewId="0"/>
  </sheetViews>
  <sheetFormatPr defaultRowHeight="15" x14ac:dyDescent="0.25"/>
  <cols>
    <col min="2" max="2" width="11.42578125" customWidth="1"/>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1" spans="1:16" x14ac:dyDescent="0.25">
      <c r="A1" s="53" t="s">
        <v>367</v>
      </c>
      <c r="B1" s="52"/>
      <c r="C1" s="52"/>
      <c r="D1" s="52"/>
      <c r="E1" s="52"/>
      <c r="F1" s="52"/>
      <c r="G1" s="52"/>
      <c r="H1" s="52"/>
      <c r="I1" s="52"/>
      <c r="J1" s="52"/>
      <c r="K1" s="52"/>
      <c r="L1" s="52"/>
      <c r="M1" s="52"/>
      <c r="N1" s="52"/>
      <c r="O1" s="52"/>
      <c r="P1" s="52"/>
    </row>
    <row r="2" spans="1:16" x14ac:dyDescent="0.25">
      <c r="A2" s="54">
        <v>0.57060049240377109</v>
      </c>
      <c r="B2" t="s">
        <v>401</v>
      </c>
    </row>
    <row r="3" spans="1:16" x14ac:dyDescent="0.25">
      <c r="A3" s="54">
        <f>4000/15</f>
        <v>266.66666666666669</v>
      </c>
      <c r="B3" t="s">
        <v>405</v>
      </c>
    </row>
    <row r="4" spans="1:16" x14ac:dyDescent="0.25">
      <c r="A4" s="24"/>
    </row>
    <row r="5" spans="1:16" x14ac:dyDescent="0.25">
      <c r="A5" s="56">
        <f>AVERAGE(O29,H39,H83)</f>
        <v>8.2719018162705823E-4</v>
      </c>
      <c r="B5" t="s">
        <v>411</v>
      </c>
    </row>
    <row r="6" spans="1:16" x14ac:dyDescent="0.25">
      <c r="A6" s="56">
        <f>AVERAGE(O30,H40,H82)</f>
        <v>3.1381977460259781E-3</v>
      </c>
      <c r="B6" t="s">
        <v>412</v>
      </c>
    </row>
    <row r="7" spans="1:16" x14ac:dyDescent="0.25">
      <c r="A7" s="24"/>
    </row>
    <row r="9" spans="1:16" x14ac:dyDescent="0.25">
      <c r="A9" s="24" t="s">
        <v>368</v>
      </c>
    </row>
    <row r="28" spans="2:15" x14ac:dyDescent="0.25">
      <c r="C28" t="s">
        <v>372</v>
      </c>
      <c r="D28" t="s">
        <v>374</v>
      </c>
      <c r="E28" t="s">
        <v>375</v>
      </c>
      <c r="F28" t="s">
        <v>376</v>
      </c>
      <c r="G28" t="s">
        <v>377</v>
      </c>
      <c r="H28" t="s">
        <v>381</v>
      </c>
      <c r="I28" t="s">
        <v>399</v>
      </c>
      <c r="M28" t="s">
        <v>403</v>
      </c>
      <c r="N28" t="s">
        <v>404</v>
      </c>
      <c r="O28" t="s">
        <v>118</v>
      </c>
    </row>
    <row r="29" spans="2:15" x14ac:dyDescent="0.25">
      <c r="B29" t="s">
        <v>369</v>
      </c>
      <c r="C29">
        <v>17000</v>
      </c>
      <c r="D29">
        <v>7.1</v>
      </c>
      <c r="F29">
        <v>9.5</v>
      </c>
      <c r="G29" s="21">
        <f>D29*About!$A$151</f>
        <v>983279</v>
      </c>
      <c r="H29" s="21">
        <f>G29/F29</f>
        <v>103503.05263157895</v>
      </c>
      <c r="I29">
        <v>250</v>
      </c>
      <c r="L29" t="s">
        <v>366</v>
      </c>
      <c r="M29">
        <f>AVERAGE(C29:C31)*About!A156</f>
        <v>21966.588645333242</v>
      </c>
      <c r="N29">
        <f>AVERAGE(H29:H31)*A3</f>
        <v>27574616.079328757</v>
      </c>
      <c r="O29" s="55">
        <f>M29/N29</f>
        <v>7.9662355342094654E-4</v>
      </c>
    </row>
    <row r="30" spans="2:15" x14ac:dyDescent="0.25">
      <c r="B30" t="s">
        <v>370</v>
      </c>
      <c r="C30">
        <v>17000</v>
      </c>
      <c r="D30">
        <v>7.1</v>
      </c>
      <c r="F30">
        <v>10</v>
      </c>
      <c r="G30" s="21">
        <f>D30*About!$A$151</f>
        <v>983279</v>
      </c>
      <c r="H30" s="21">
        <f>G30/F30</f>
        <v>98327.9</v>
      </c>
      <c r="I30">
        <v>250</v>
      </c>
      <c r="L30" t="s">
        <v>402</v>
      </c>
      <c r="M30">
        <f>C32*About!A156</f>
        <v>43148.65626761887</v>
      </c>
      <c r="N30">
        <f>N29*(1-A2)</f>
        <v>11840526.566618824</v>
      </c>
      <c r="O30" s="55">
        <f>M30/N30</f>
        <v>3.6441501165383038E-3</v>
      </c>
    </row>
    <row r="31" spans="2:15" x14ac:dyDescent="0.25">
      <c r="B31" t="s">
        <v>371</v>
      </c>
      <c r="C31">
        <v>50000</v>
      </c>
      <c r="D31">
        <v>18</v>
      </c>
      <c r="F31">
        <v>23</v>
      </c>
      <c r="G31" s="21">
        <f>D31*About!$A$151</f>
        <v>2492820</v>
      </c>
      <c r="H31" s="21">
        <f>G31/F31</f>
        <v>108383.47826086957</v>
      </c>
      <c r="I31">
        <v>250</v>
      </c>
    </row>
    <row r="32" spans="2:15" x14ac:dyDescent="0.25">
      <c r="B32" t="s">
        <v>373</v>
      </c>
      <c r="C32">
        <v>55000</v>
      </c>
      <c r="E32">
        <v>24</v>
      </c>
      <c r="F32">
        <v>16</v>
      </c>
      <c r="G32" s="21">
        <f>E32*About!$A$153</f>
        <v>81891.360000000001</v>
      </c>
      <c r="H32" s="21"/>
      <c r="I32">
        <v>250</v>
      </c>
    </row>
    <row r="33" spans="1:8" x14ac:dyDescent="0.25">
      <c r="C33">
        <f>C32/AVERAGE(C29:C31)</f>
        <v>1.9642857142857142</v>
      </c>
      <c r="H33" s="21"/>
    </row>
    <row r="34" spans="1:8" x14ac:dyDescent="0.25">
      <c r="E34">
        <f>E32/38.1</f>
        <v>0.62992125984251968</v>
      </c>
    </row>
    <row r="36" spans="1:8" x14ac:dyDescent="0.25">
      <c r="A36" s="24" t="s">
        <v>382</v>
      </c>
    </row>
    <row r="38" spans="1:8" x14ac:dyDescent="0.25">
      <c r="C38" t="s">
        <v>383</v>
      </c>
      <c r="D38" t="s">
        <v>216</v>
      </c>
      <c r="E38" t="s">
        <v>398</v>
      </c>
      <c r="F38" t="s">
        <v>406</v>
      </c>
      <c r="G38" t="s">
        <v>408</v>
      </c>
      <c r="H38" t="s">
        <v>118</v>
      </c>
    </row>
    <row r="39" spans="1:8" x14ac:dyDescent="0.25">
      <c r="B39" t="s">
        <v>384</v>
      </c>
      <c r="C39">
        <v>2940</v>
      </c>
      <c r="D39">
        <v>545</v>
      </c>
      <c r="E39">
        <f>37500</f>
        <v>37500</v>
      </c>
      <c r="F39" s="21">
        <f>AVERAGE(60400,120900,214300)</f>
        <v>131866.66666666666</v>
      </c>
      <c r="G39" s="21">
        <f>F39*$A$3</f>
        <v>35164444.444444448</v>
      </c>
      <c r="H39" s="55">
        <f>E39*About!$A$157/G39</f>
        <v>9.0358045924813471E-4</v>
      </c>
    </row>
    <row r="40" spans="1:8" x14ac:dyDescent="0.25">
      <c r="B40" t="s">
        <v>385</v>
      </c>
      <c r="C40">
        <v>113</v>
      </c>
      <c r="D40">
        <v>995</v>
      </c>
      <c r="E40" s="21">
        <f>AVERAGE(58000,74999)</f>
        <v>66499.5</v>
      </c>
      <c r="F40" s="21">
        <f>F39*(1-A2)</f>
        <v>56623.481735022717</v>
      </c>
      <c r="G40" s="21">
        <f>F40*$A$3</f>
        <v>15099595.129339391</v>
      </c>
      <c r="H40" s="55">
        <f>E40*About!$A$157/G40</f>
        <v>3.7315769386037706E-3</v>
      </c>
    </row>
    <row r="41" spans="1:8" x14ac:dyDescent="0.25">
      <c r="F41" t="s">
        <v>407</v>
      </c>
    </row>
    <row r="53" spans="1:5" x14ac:dyDescent="0.25">
      <c r="A53" s="24" t="s">
        <v>386</v>
      </c>
    </row>
    <row r="54" spans="1:5" x14ac:dyDescent="0.25">
      <c r="C54" t="s">
        <v>389</v>
      </c>
    </row>
    <row r="55" spans="1:5" x14ac:dyDescent="0.25">
      <c r="B55" t="s">
        <v>387</v>
      </c>
      <c r="C55" s="19">
        <v>0.54</v>
      </c>
      <c r="E55" s="11" t="s">
        <v>397</v>
      </c>
    </row>
    <row r="56" spans="1:5" x14ac:dyDescent="0.25">
      <c r="B56" t="s">
        <v>388</v>
      </c>
      <c r="C56" s="19">
        <v>0.52</v>
      </c>
    </row>
    <row r="57" spans="1:5" x14ac:dyDescent="0.25">
      <c r="C57" s="19"/>
    </row>
    <row r="58" spans="1:5" x14ac:dyDescent="0.25">
      <c r="A58" s="24" t="s">
        <v>390</v>
      </c>
    </row>
    <row r="81" spans="2:8" x14ac:dyDescent="0.25">
      <c r="C81" s="7" t="s">
        <v>393</v>
      </c>
      <c r="D81" s="7" t="s">
        <v>394</v>
      </c>
      <c r="E81" s="7" t="s">
        <v>395</v>
      </c>
      <c r="F81" s="7" t="s">
        <v>396</v>
      </c>
      <c r="G81" s="7" t="s">
        <v>410</v>
      </c>
      <c r="H81" s="7" t="s">
        <v>118</v>
      </c>
    </row>
    <row r="82" spans="2:8" x14ac:dyDescent="0.25">
      <c r="B82" s="1" t="s">
        <v>391</v>
      </c>
      <c r="C82">
        <v>28398</v>
      </c>
      <c r="D82">
        <v>250</v>
      </c>
      <c r="G82" s="21">
        <f>G83*(1-A2)</f>
        <v>11801531.10292552</v>
      </c>
      <c r="H82" s="55">
        <f>C82*About!$A$157/G82</f>
        <v>2.0388661829358595E-3</v>
      </c>
    </row>
    <row r="83" spans="2:8" x14ac:dyDescent="0.25">
      <c r="B83" s="1" t="s">
        <v>392</v>
      </c>
      <c r="C83">
        <v>25345</v>
      </c>
      <c r="D83">
        <v>250</v>
      </c>
      <c r="E83">
        <f>AVERAGE(144,228.1)</f>
        <v>186.05</v>
      </c>
      <c r="G83" s="21">
        <f>E83*About!A151*A3/D83</f>
        <v>27483802.133333337</v>
      </c>
      <c r="H83" s="55">
        <f>C83*About!$A$157/G83</f>
        <v>7.8136653221209343E-4</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EDD54-04F6-423F-9D03-CF219E654680}">
  <sheetPr>
    <tabColor theme="2" tint="-0.249977111117893"/>
  </sheetPr>
  <dimension ref="A1:M45"/>
  <sheetViews>
    <sheetView zoomScale="145" zoomScaleNormal="145" workbookViewId="0"/>
  </sheetViews>
  <sheetFormatPr defaultColWidth="8.85546875" defaultRowHeight="15" x14ac:dyDescent="0.25"/>
  <cols>
    <col min="1" max="1" width="35" customWidth="1"/>
    <col min="2" max="11" width="13.28515625" customWidth="1"/>
    <col min="12" max="13" width="9.7109375" bestFit="1" customWidth="1"/>
  </cols>
  <sheetData>
    <row r="1" spans="1:13" s="3" customFormat="1" ht="60" x14ac:dyDescent="0.25">
      <c r="A1" s="4" t="s">
        <v>24</v>
      </c>
      <c r="B1" s="2" t="s">
        <v>1</v>
      </c>
      <c r="C1" s="2" t="s">
        <v>2</v>
      </c>
      <c r="D1" s="2" t="s">
        <v>3</v>
      </c>
      <c r="E1" s="2" t="s">
        <v>4</v>
      </c>
      <c r="F1" s="2" t="s">
        <v>5</v>
      </c>
      <c r="G1" s="2" t="s">
        <v>6</v>
      </c>
      <c r="H1" s="2" t="s">
        <v>7</v>
      </c>
      <c r="I1" s="2" t="s">
        <v>8</v>
      </c>
      <c r="J1" s="2" t="s">
        <v>9</v>
      </c>
      <c r="K1" s="2" t="s">
        <v>10</v>
      </c>
      <c r="L1" s="2" t="s">
        <v>364</v>
      </c>
      <c r="M1" s="2" t="s">
        <v>365</v>
      </c>
    </row>
    <row r="2" spans="1:13" x14ac:dyDescent="0.25">
      <c r="A2" s="5" t="s">
        <v>11</v>
      </c>
      <c r="B2" s="69">
        <f>'Boilers &amp; Heat Pumps'!B15</f>
        <v>3.6314488500484264E-5</v>
      </c>
      <c r="C2" s="69">
        <f>'Boilers &amp; Heat Pumps'!$H$21</f>
        <v>1.9822770514052231E-5</v>
      </c>
      <c r="D2" s="69">
        <f>'Boilers &amp; Heat Pumps'!$H$23</f>
        <v>6.9746785142035624E-6</v>
      </c>
      <c r="E2" s="70">
        <f>C2</f>
        <v>1.9822770514052231E-5</v>
      </c>
      <c r="F2" s="69">
        <f>'Boilers &amp; Heat Pumps'!$H$22</f>
        <v>1.248100365699585E-5</v>
      </c>
      <c r="G2" s="71">
        <v>0</v>
      </c>
      <c r="H2" s="70">
        <f>F2</f>
        <v>1.248100365699585E-5</v>
      </c>
      <c r="I2" s="70">
        <f>F2</f>
        <v>1.248100365699585E-5</v>
      </c>
      <c r="J2" s="70">
        <f>F2</f>
        <v>1.248100365699585E-5</v>
      </c>
      <c r="K2" s="69">
        <f>'Boilers &amp; Heat Pumps'!A37</f>
        <v>1.0462017771305345E-5</v>
      </c>
      <c r="L2" s="69">
        <f t="shared" ref="L2:M8" si="0">K2</f>
        <v>1.0462017771305345E-5</v>
      </c>
      <c r="M2" s="69">
        <f t="shared" si="0"/>
        <v>1.0462017771305345E-5</v>
      </c>
    </row>
    <row r="3" spans="1:13" x14ac:dyDescent="0.25">
      <c r="A3" s="5" t="s">
        <v>12</v>
      </c>
      <c r="B3" s="70">
        <f>B2</f>
        <v>3.6314488500484264E-5</v>
      </c>
      <c r="C3" s="70">
        <f t="shared" ref="C3:K3" si="1">C2</f>
        <v>1.9822770514052231E-5</v>
      </c>
      <c r="D3" s="70">
        <f t="shared" si="1"/>
        <v>6.9746785142035624E-6</v>
      </c>
      <c r="E3" s="70">
        <f t="shared" si="1"/>
        <v>1.9822770514052231E-5</v>
      </c>
      <c r="F3" s="70">
        <f t="shared" si="1"/>
        <v>1.248100365699585E-5</v>
      </c>
      <c r="G3" s="71">
        <f t="shared" si="1"/>
        <v>0</v>
      </c>
      <c r="H3" s="70">
        <f t="shared" si="1"/>
        <v>1.248100365699585E-5</v>
      </c>
      <c r="I3" s="70">
        <f t="shared" si="1"/>
        <v>1.248100365699585E-5</v>
      </c>
      <c r="J3" s="70">
        <f t="shared" si="1"/>
        <v>1.248100365699585E-5</v>
      </c>
      <c r="K3" s="70">
        <f t="shared" si="1"/>
        <v>1.0462017771305345E-5</v>
      </c>
      <c r="L3" s="70">
        <f t="shared" si="0"/>
        <v>1.0462017771305345E-5</v>
      </c>
      <c r="M3" s="70">
        <f t="shared" si="0"/>
        <v>1.0462017771305345E-5</v>
      </c>
    </row>
    <row r="4" spans="1:13" x14ac:dyDescent="0.25">
      <c r="A4" s="5" t="s">
        <v>13</v>
      </c>
      <c r="B4" s="69">
        <f>'NB Medium Temp'!D40</f>
        <v>3.4771933032458345E-5</v>
      </c>
      <c r="C4" s="70">
        <f>D4</f>
        <v>3.1780367029653324E-5</v>
      </c>
      <c r="D4" s="69">
        <f>'NB Medium Temp'!D41</f>
        <v>3.1780367029653324E-5</v>
      </c>
      <c r="E4" s="70">
        <f>C4</f>
        <v>3.1780367029653324E-5</v>
      </c>
      <c r="F4" s="70">
        <f>D4</f>
        <v>3.1780367029653324E-5</v>
      </c>
      <c r="G4" s="71">
        <v>0</v>
      </c>
      <c r="H4" s="70">
        <f>F4</f>
        <v>3.1780367029653324E-5</v>
      </c>
      <c r="I4" s="70">
        <f>F4</f>
        <v>3.1780367029653324E-5</v>
      </c>
      <c r="J4" s="70">
        <f>F4</f>
        <v>3.1780367029653324E-5</v>
      </c>
      <c r="K4" s="70">
        <f>D4</f>
        <v>3.1780367029653324E-5</v>
      </c>
      <c r="L4" s="70">
        <f t="shared" si="0"/>
        <v>3.1780367029653324E-5</v>
      </c>
      <c r="M4" s="70">
        <f t="shared" si="0"/>
        <v>3.1780367029653324E-5</v>
      </c>
    </row>
    <row r="5" spans="1:13" x14ac:dyDescent="0.25">
      <c r="A5" s="5" t="s">
        <v>14</v>
      </c>
      <c r="B5" s="69">
        <f>'NB High Temp'!F10</f>
        <v>1.7204637228083889E-4</v>
      </c>
      <c r="C5" s="69">
        <f>'NB High Temp'!F45</f>
        <v>4.5951806950193628E-6</v>
      </c>
      <c r="D5" s="69">
        <f>'NB High Temp'!F56</f>
        <v>2.0725243194734525E-5</v>
      </c>
      <c r="E5" s="70">
        <f>C5</f>
        <v>4.5951806950193628E-6</v>
      </c>
      <c r="F5" s="70">
        <f>D5*(F2/D2)</f>
        <v>3.7087277295840735E-5</v>
      </c>
      <c r="G5" s="71">
        <v>0</v>
      </c>
      <c r="H5" s="70">
        <f>F5</f>
        <v>3.7087277295840735E-5</v>
      </c>
      <c r="I5" s="70">
        <f>F5</f>
        <v>3.7087277295840735E-5</v>
      </c>
      <c r="J5" s="70">
        <f>F5</f>
        <v>3.7087277295840735E-5</v>
      </c>
      <c r="K5" s="69">
        <f>'NB High Temp'!F67</f>
        <v>3.265784625690839E-5</v>
      </c>
      <c r="L5" s="69">
        <f t="shared" si="0"/>
        <v>3.265784625690839E-5</v>
      </c>
      <c r="M5" s="69">
        <f t="shared" si="0"/>
        <v>3.265784625690839E-5</v>
      </c>
    </row>
    <row r="6" spans="1:13" x14ac:dyDescent="0.25">
      <c r="A6" s="5" t="s">
        <v>15</v>
      </c>
      <c r="B6" s="69">
        <f>Cooling!$B$49</f>
        <v>4.4520366169683022E-5</v>
      </c>
      <c r="C6" s="70">
        <f>$D$6</f>
        <v>1.8088159747275158E-5</v>
      </c>
      <c r="D6" s="69">
        <f>Cooling!$B$27</f>
        <v>1.8088159747275158E-5</v>
      </c>
      <c r="E6" s="70">
        <f>$D$6</f>
        <v>1.8088159747275158E-5</v>
      </c>
      <c r="F6" s="70">
        <f>$D$6</f>
        <v>1.8088159747275158E-5</v>
      </c>
      <c r="G6" s="71">
        <v>0</v>
      </c>
      <c r="H6" s="70">
        <f>$D$6</f>
        <v>1.8088159747275158E-5</v>
      </c>
      <c r="I6" s="70">
        <f>$D$6</f>
        <v>1.8088159747275158E-5</v>
      </c>
      <c r="J6" s="70">
        <f>$D$6</f>
        <v>1.8088159747275158E-5</v>
      </c>
      <c r="K6" s="70">
        <f>$D$6*(K2/D2)</f>
        <v>2.7132239620912743E-5</v>
      </c>
      <c r="L6" s="70">
        <f t="shared" si="0"/>
        <v>2.7132239620912743E-5</v>
      </c>
      <c r="M6" s="70">
        <f t="shared" si="0"/>
        <v>2.7132239620912743E-5</v>
      </c>
    </row>
    <row r="7" spans="1:13" x14ac:dyDescent="0.25">
      <c r="A7" s="5" t="s">
        <v>16</v>
      </c>
      <c r="B7" s="69">
        <f>'Machine Drive'!$W$22</f>
        <v>2.9652197760109964E-5</v>
      </c>
      <c r="C7" s="70">
        <f>$F$7</f>
        <v>7.0734511678239686E-5</v>
      </c>
      <c r="D7" s="70">
        <f>$F$7</f>
        <v>7.0734511678239686E-5</v>
      </c>
      <c r="E7" s="70">
        <f>$F$7</f>
        <v>7.0734511678239686E-5</v>
      </c>
      <c r="F7" s="69">
        <f>'Machine Drive'!D38</f>
        <v>7.0734511678239686E-5</v>
      </c>
      <c r="G7" s="71">
        <v>0</v>
      </c>
      <c r="H7" s="70">
        <f>$F$7</f>
        <v>7.0734511678239686E-5</v>
      </c>
      <c r="I7" s="70">
        <f>$F$7</f>
        <v>7.0734511678239686E-5</v>
      </c>
      <c r="J7" s="70">
        <f>$F$7</f>
        <v>7.0734511678239686E-5</v>
      </c>
      <c r="K7" s="70">
        <f>$F$7</f>
        <v>7.0734511678239686E-5</v>
      </c>
      <c r="L7" s="70">
        <f t="shared" si="0"/>
        <v>7.0734511678239686E-5</v>
      </c>
      <c r="M7" s="70">
        <f t="shared" si="0"/>
        <v>7.0734511678239686E-5</v>
      </c>
    </row>
    <row r="8" spans="1:13" x14ac:dyDescent="0.25">
      <c r="A8" s="5" t="s">
        <v>17</v>
      </c>
      <c r="B8" s="69">
        <f>Other!E9</f>
        <v>7.0401933942914745E-6</v>
      </c>
      <c r="C8" s="70">
        <f>C4</f>
        <v>3.1780367029653324E-5</v>
      </c>
      <c r="D8" s="69">
        <f>Other!B24</f>
        <v>2.2284525195577483E-5</v>
      </c>
      <c r="E8" s="70">
        <f>C8</f>
        <v>3.1780367029653324E-5</v>
      </c>
      <c r="F8" s="70">
        <f>F4</f>
        <v>3.1780367029653324E-5</v>
      </c>
      <c r="G8" s="71">
        <v>0</v>
      </c>
      <c r="H8" s="70">
        <f>F8</f>
        <v>3.1780367029653324E-5</v>
      </c>
      <c r="I8" s="70">
        <f>F8</f>
        <v>3.1780367029653324E-5</v>
      </c>
      <c r="J8" s="70">
        <f>F8</f>
        <v>3.1780367029653324E-5</v>
      </c>
      <c r="K8" s="70">
        <f>D8*(K2/D2)</f>
        <v>3.3426787793366228E-5</v>
      </c>
      <c r="L8" s="70">
        <f t="shared" si="0"/>
        <v>3.3426787793366228E-5</v>
      </c>
      <c r="M8" s="70">
        <f>L8</f>
        <v>3.3426787793366228E-5</v>
      </c>
    </row>
    <row r="9" spans="1:13" x14ac:dyDescent="0.25">
      <c r="A9" s="5" t="s">
        <v>437</v>
      </c>
      <c r="B9" s="70">
        <f>B2</f>
        <v>3.6314488500484264E-5</v>
      </c>
      <c r="C9" s="70">
        <f t="shared" ref="C9:M9" si="2">C2</f>
        <v>1.9822770514052231E-5</v>
      </c>
      <c r="D9" s="70">
        <f t="shared" si="2"/>
        <v>6.9746785142035624E-6</v>
      </c>
      <c r="E9" s="70">
        <f t="shared" si="2"/>
        <v>1.9822770514052231E-5</v>
      </c>
      <c r="F9" s="70">
        <f t="shared" si="2"/>
        <v>1.248100365699585E-5</v>
      </c>
      <c r="G9" s="71">
        <v>0</v>
      </c>
      <c r="H9" s="70">
        <f t="shared" si="2"/>
        <v>1.248100365699585E-5</v>
      </c>
      <c r="I9" s="70">
        <f t="shared" si="2"/>
        <v>1.248100365699585E-5</v>
      </c>
      <c r="J9" s="70">
        <f t="shared" si="2"/>
        <v>1.248100365699585E-5</v>
      </c>
      <c r="K9" s="70">
        <f t="shared" si="2"/>
        <v>1.0462017771305345E-5</v>
      </c>
      <c r="L9" s="70">
        <f t="shared" si="2"/>
        <v>1.0462017771305345E-5</v>
      </c>
      <c r="M9" s="70">
        <f t="shared" si="2"/>
        <v>1.0462017771305345E-5</v>
      </c>
    </row>
    <row r="10" spans="1:13" x14ac:dyDescent="0.25">
      <c r="A10" s="5" t="s">
        <v>438</v>
      </c>
      <c r="B10" s="69">
        <f>Lighting!O23</f>
        <v>1.0540697873601793E-5</v>
      </c>
      <c r="C10" s="70">
        <f t="shared" ref="C10:D10" si="3">$F$10</f>
        <v>9.0753846553479132E-6</v>
      </c>
      <c r="D10" s="70">
        <f t="shared" si="3"/>
        <v>9.0753846553479132E-6</v>
      </c>
      <c r="E10" s="70">
        <f>$F$10</f>
        <v>9.0753846553479132E-6</v>
      </c>
      <c r="F10" s="69">
        <f>Lighting!I39</f>
        <v>9.0753846553479132E-6</v>
      </c>
      <c r="G10" s="71">
        <v>0</v>
      </c>
      <c r="H10" s="70">
        <f t="shared" ref="H10:M10" si="4">$F$10</f>
        <v>9.0753846553479132E-6</v>
      </c>
      <c r="I10" s="70">
        <f t="shared" si="4"/>
        <v>9.0753846553479132E-6</v>
      </c>
      <c r="J10" s="70">
        <f t="shared" si="4"/>
        <v>9.0753846553479132E-6</v>
      </c>
      <c r="K10" s="70">
        <f t="shared" si="4"/>
        <v>9.0753846553479132E-6</v>
      </c>
      <c r="L10" s="70">
        <f t="shared" si="4"/>
        <v>9.0753846553479132E-6</v>
      </c>
      <c r="M10" s="70">
        <f t="shared" si="4"/>
        <v>9.0753846553479132E-6</v>
      </c>
    </row>
    <row r="11" spans="1:13" x14ac:dyDescent="0.25">
      <c r="A11" s="5" t="s">
        <v>439</v>
      </c>
      <c r="B11" s="70">
        <f>AVERAGE(B2:B10)</f>
        <v>4.5279469556937371E-5</v>
      </c>
      <c r="C11" s="70">
        <f t="shared" ref="C11:M11" si="5">AVERAGE(C2:C10)</f>
        <v>2.5058031375260608E-5</v>
      </c>
      <c r="D11" s="70">
        <f t="shared" si="5"/>
        <v>2.1512469671493199E-5</v>
      </c>
      <c r="E11" s="70">
        <f t="shared" si="5"/>
        <v>2.5058031375260608E-5</v>
      </c>
      <c r="F11" s="70">
        <f t="shared" si="5"/>
        <v>2.6221008711888631E-5</v>
      </c>
      <c r="G11" s="68">
        <f t="shared" si="5"/>
        <v>0</v>
      </c>
      <c r="H11" s="70">
        <f t="shared" si="5"/>
        <v>2.6221008711888631E-5</v>
      </c>
      <c r="I11" s="70">
        <f t="shared" si="5"/>
        <v>2.6221008711888631E-5</v>
      </c>
      <c r="J11" s="70">
        <f t="shared" si="5"/>
        <v>2.6221008711888631E-5</v>
      </c>
      <c r="K11" s="70">
        <f t="shared" si="5"/>
        <v>2.62436878164827E-5</v>
      </c>
      <c r="L11" s="70">
        <f t="shared" si="5"/>
        <v>2.62436878164827E-5</v>
      </c>
      <c r="M11" s="70">
        <f t="shared" si="5"/>
        <v>2.62436878164827E-5</v>
      </c>
    </row>
    <row r="12" spans="1:13" x14ac:dyDescent="0.25">
      <c r="B12" s="9"/>
    </row>
    <row r="13" spans="1:13" x14ac:dyDescent="0.25">
      <c r="A13" s="13" t="s">
        <v>53</v>
      </c>
    </row>
    <row r="14" spans="1:13" x14ac:dyDescent="0.25">
      <c r="A14" t="s">
        <v>250</v>
      </c>
    </row>
    <row r="42" spans="1:1" x14ac:dyDescent="0.25">
      <c r="A42" t="s">
        <v>346</v>
      </c>
    </row>
    <row r="43" spans="1:1" x14ac:dyDescent="0.25">
      <c r="A43" t="s">
        <v>345</v>
      </c>
    </row>
    <row r="44" spans="1:1" x14ac:dyDescent="0.25">
      <c r="A44" t="s">
        <v>347</v>
      </c>
    </row>
    <row r="45" spans="1:1" x14ac:dyDescent="0.25">
      <c r="A45" t="s">
        <v>362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AR11"/>
  <sheetViews>
    <sheetView zoomScale="85" zoomScaleNormal="85" workbookViewId="0"/>
  </sheetViews>
  <sheetFormatPr defaultColWidth="8.85546875" defaultRowHeight="15" x14ac:dyDescent="0.25"/>
  <cols>
    <col min="1" max="1" width="35" customWidth="1"/>
    <col min="2" max="11" width="13.28515625" customWidth="1"/>
    <col min="12" max="13" width="9.7109375" bestFit="1" customWidth="1"/>
  </cols>
  <sheetData>
    <row r="1" spans="1:44" s="3" customFormat="1" ht="60" x14ac:dyDescent="0.25">
      <c r="A1" s="4" t="s">
        <v>24</v>
      </c>
      <c r="B1" s="2" t="s">
        <v>1</v>
      </c>
      <c r="C1" s="2" t="s">
        <v>2</v>
      </c>
      <c r="D1" s="2" t="s">
        <v>3</v>
      </c>
      <c r="E1" s="2" t="s">
        <v>4</v>
      </c>
      <c r="F1" s="2" t="s">
        <v>5</v>
      </c>
      <c r="G1" s="2" t="s">
        <v>6</v>
      </c>
      <c r="H1" s="2" t="s">
        <v>7</v>
      </c>
      <c r="I1" s="2" t="s">
        <v>8</v>
      </c>
      <c r="J1" s="2" t="s">
        <v>9</v>
      </c>
      <c r="K1" s="2" t="s">
        <v>10</v>
      </c>
      <c r="L1" s="2" t="s">
        <v>364</v>
      </c>
      <c r="M1" s="2" t="s">
        <v>365</v>
      </c>
      <c r="N1"/>
      <c r="O1"/>
      <c r="P1"/>
      <c r="Q1"/>
      <c r="R1"/>
      <c r="S1"/>
      <c r="T1"/>
      <c r="U1"/>
      <c r="V1"/>
      <c r="W1"/>
      <c r="X1"/>
      <c r="Y1"/>
      <c r="Z1"/>
      <c r="AA1"/>
      <c r="AB1"/>
      <c r="AC1"/>
      <c r="AD1"/>
      <c r="AE1"/>
      <c r="AF1"/>
      <c r="AG1"/>
      <c r="AH1"/>
      <c r="AI1"/>
      <c r="AJ1"/>
      <c r="AK1"/>
      <c r="AL1"/>
      <c r="AM1"/>
      <c r="AN1"/>
      <c r="AO1"/>
      <c r="AP1"/>
      <c r="AQ1"/>
      <c r="AR1"/>
    </row>
    <row r="2" spans="1:44" x14ac:dyDescent="0.25">
      <c r="A2" s="5" t="s">
        <v>11</v>
      </c>
      <c r="B2" s="68">
        <f>Summary!B2</f>
        <v>3.6314488500484264E-5</v>
      </c>
      <c r="C2" s="68">
        <f>Summary!C2</f>
        <v>1.9822770514052231E-5</v>
      </c>
      <c r="D2" s="68">
        <f>Summary!D2</f>
        <v>6.9746785142035624E-6</v>
      </c>
      <c r="E2" s="68">
        <f>Summary!E2</f>
        <v>1.9822770514052231E-5</v>
      </c>
      <c r="F2" s="68">
        <f>Summary!F2</f>
        <v>1.248100365699585E-5</v>
      </c>
      <c r="G2" s="68">
        <f>Summary!G2</f>
        <v>0</v>
      </c>
      <c r="H2" s="68">
        <f>Summary!H2</f>
        <v>1.248100365699585E-5</v>
      </c>
      <c r="I2" s="68">
        <f>Summary!I2</f>
        <v>1.248100365699585E-5</v>
      </c>
      <c r="J2" s="68">
        <f>Summary!J2</f>
        <v>1.248100365699585E-5</v>
      </c>
      <c r="K2" s="68">
        <f>Summary!K2</f>
        <v>1.0462017771305345E-5</v>
      </c>
      <c r="L2" s="68">
        <f>Summary!L2</f>
        <v>1.0462017771305345E-5</v>
      </c>
      <c r="M2" s="68">
        <f>Summary!M2</f>
        <v>1.0462017771305345E-5</v>
      </c>
    </row>
    <row r="3" spans="1:44" x14ac:dyDescent="0.25">
      <c r="A3" s="5" t="s">
        <v>12</v>
      </c>
      <c r="B3" s="68">
        <f>Summary!B3</f>
        <v>3.6314488500484264E-5</v>
      </c>
      <c r="C3" s="68">
        <f>Summary!C3</f>
        <v>1.9822770514052231E-5</v>
      </c>
      <c r="D3" s="68">
        <f>Summary!D3</f>
        <v>6.9746785142035624E-6</v>
      </c>
      <c r="E3" s="68">
        <f>Summary!E3</f>
        <v>1.9822770514052231E-5</v>
      </c>
      <c r="F3" s="68">
        <f>Summary!F3</f>
        <v>1.248100365699585E-5</v>
      </c>
      <c r="G3" s="68">
        <f>Summary!G3</f>
        <v>0</v>
      </c>
      <c r="H3" s="68">
        <f>Summary!H3</f>
        <v>1.248100365699585E-5</v>
      </c>
      <c r="I3" s="68">
        <f>Summary!I3</f>
        <v>1.248100365699585E-5</v>
      </c>
      <c r="J3" s="68">
        <f>Summary!J3</f>
        <v>1.248100365699585E-5</v>
      </c>
      <c r="K3" s="68">
        <f>Summary!K3</f>
        <v>1.0462017771305345E-5</v>
      </c>
      <c r="L3" s="68">
        <f>Summary!L3</f>
        <v>1.0462017771305345E-5</v>
      </c>
      <c r="M3" s="68">
        <f>Summary!M3</f>
        <v>1.0462017771305345E-5</v>
      </c>
    </row>
    <row r="4" spans="1:44" x14ac:dyDescent="0.25">
      <c r="A4" s="5" t="s">
        <v>13</v>
      </c>
      <c r="B4" s="68">
        <f>Summary!B4</f>
        <v>3.4771933032458345E-5</v>
      </c>
      <c r="C4" s="68">
        <f>Summary!C4</f>
        <v>3.1780367029653324E-5</v>
      </c>
      <c r="D4" s="68">
        <f>Summary!D4</f>
        <v>3.1780367029653324E-5</v>
      </c>
      <c r="E4" s="68">
        <f>Summary!E4</f>
        <v>3.1780367029653324E-5</v>
      </c>
      <c r="F4" s="68">
        <f>Summary!F4</f>
        <v>3.1780367029653324E-5</v>
      </c>
      <c r="G4" s="68">
        <f>Summary!G4</f>
        <v>0</v>
      </c>
      <c r="H4" s="68">
        <f>Summary!H4</f>
        <v>3.1780367029653324E-5</v>
      </c>
      <c r="I4" s="68">
        <f>Summary!I4</f>
        <v>3.1780367029653324E-5</v>
      </c>
      <c r="J4" s="68">
        <f>Summary!J4</f>
        <v>3.1780367029653324E-5</v>
      </c>
      <c r="K4" s="68">
        <f>Summary!K4</f>
        <v>3.1780367029653324E-5</v>
      </c>
      <c r="L4" s="68">
        <f>Summary!L4</f>
        <v>3.1780367029653324E-5</v>
      </c>
      <c r="M4" s="68">
        <f>Summary!M4</f>
        <v>3.1780367029653324E-5</v>
      </c>
    </row>
    <row r="5" spans="1:44" x14ac:dyDescent="0.25">
      <c r="A5" s="5" t="s">
        <v>14</v>
      </c>
      <c r="B5" s="68">
        <f>Summary!B5</f>
        <v>1.7204637228083889E-4</v>
      </c>
      <c r="C5" s="68">
        <f>Summary!C5</f>
        <v>4.5951806950193628E-6</v>
      </c>
      <c r="D5" s="68">
        <f>Summary!D5</f>
        <v>2.0725243194734525E-5</v>
      </c>
      <c r="E5" s="68">
        <f>Summary!E5</f>
        <v>4.5951806950193628E-6</v>
      </c>
      <c r="F5" s="68">
        <f>Summary!F5</f>
        <v>3.7087277295840735E-5</v>
      </c>
      <c r="G5" s="68">
        <f>Summary!G5</f>
        <v>0</v>
      </c>
      <c r="H5" s="68">
        <f>Summary!H5</f>
        <v>3.7087277295840735E-5</v>
      </c>
      <c r="I5" s="68">
        <f>Summary!I5</f>
        <v>3.7087277295840735E-5</v>
      </c>
      <c r="J5" s="68">
        <f>Summary!J5</f>
        <v>3.7087277295840735E-5</v>
      </c>
      <c r="K5" s="68">
        <f>Summary!K5</f>
        <v>3.265784625690839E-5</v>
      </c>
      <c r="L5" s="68">
        <f>Summary!L5</f>
        <v>3.265784625690839E-5</v>
      </c>
      <c r="M5" s="68">
        <f>Summary!M5</f>
        <v>3.265784625690839E-5</v>
      </c>
    </row>
    <row r="6" spans="1:44" x14ac:dyDescent="0.25">
      <c r="A6" s="5" t="s">
        <v>15</v>
      </c>
      <c r="B6" s="68">
        <f>Summary!B6</f>
        <v>4.4520366169683022E-5</v>
      </c>
      <c r="C6" s="68">
        <f>Summary!C6</f>
        <v>1.8088159747275158E-5</v>
      </c>
      <c r="D6" s="68">
        <f>Summary!D6</f>
        <v>1.8088159747275158E-5</v>
      </c>
      <c r="E6" s="68">
        <f>Summary!E6</f>
        <v>1.8088159747275158E-5</v>
      </c>
      <c r="F6" s="68">
        <f>Summary!F6</f>
        <v>1.8088159747275158E-5</v>
      </c>
      <c r="G6" s="68">
        <f>Summary!G6</f>
        <v>0</v>
      </c>
      <c r="H6" s="68">
        <f>Summary!H6</f>
        <v>1.8088159747275158E-5</v>
      </c>
      <c r="I6" s="68">
        <f>Summary!I6</f>
        <v>1.8088159747275158E-5</v>
      </c>
      <c r="J6" s="68">
        <f>Summary!J6</f>
        <v>1.8088159747275158E-5</v>
      </c>
      <c r="K6" s="68">
        <f>Summary!K6</f>
        <v>2.7132239620912743E-5</v>
      </c>
      <c r="L6" s="68">
        <f>Summary!L6</f>
        <v>2.7132239620912743E-5</v>
      </c>
      <c r="M6" s="68">
        <f>Summary!M6</f>
        <v>2.7132239620912743E-5</v>
      </c>
    </row>
    <row r="7" spans="1:44" x14ac:dyDescent="0.25">
      <c r="A7" s="5" t="s">
        <v>16</v>
      </c>
      <c r="B7" s="68">
        <f>Summary!B7</f>
        <v>2.9652197760109964E-5</v>
      </c>
      <c r="C7" s="68">
        <f>Summary!C7</f>
        <v>7.0734511678239686E-5</v>
      </c>
      <c r="D7" s="68">
        <f>Summary!D7</f>
        <v>7.0734511678239686E-5</v>
      </c>
      <c r="E7" s="68">
        <f>Summary!E7</f>
        <v>7.0734511678239686E-5</v>
      </c>
      <c r="F7" s="68">
        <f>Summary!F7</f>
        <v>7.0734511678239686E-5</v>
      </c>
      <c r="G7" s="68">
        <f>Summary!G7</f>
        <v>0</v>
      </c>
      <c r="H7" s="68">
        <f>Summary!H7</f>
        <v>7.0734511678239686E-5</v>
      </c>
      <c r="I7" s="68">
        <f>Summary!I7</f>
        <v>7.0734511678239686E-5</v>
      </c>
      <c r="J7" s="68">
        <f>Summary!J7</f>
        <v>7.0734511678239686E-5</v>
      </c>
      <c r="K7" s="68">
        <f>Summary!K7</f>
        <v>7.0734511678239686E-5</v>
      </c>
      <c r="L7" s="68">
        <f>Summary!L7</f>
        <v>7.0734511678239686E-5</v>
      </c>
      <c r="M7" s="68">
        <f>Summary!M7</f>
        <v>7.0734511678239686E-5</v>
      </c>
    </row>
    <row r="8" spans="1:44" x14ac:dyDescent="0.25">
      <c r="A8" s="5" t="s">
        <v>17</v>
      </c>
      <c r="B8" s="68">
        <f>Summary!B8</f>
        <v>7.0401933942914745E-6</v>
      </c>
      <c r="C8" s="68">
        <f>Summary!C8</f>
        <v>3.1780367029653324E-5</v>
      </c>
      <c r="D8" s="68">
        <f>Summary!D8</f>
        <v>2.2284525195577483E-5</v>
      </c>
      <c r="E8" s="68">
        <f>Summary!E8</f>
        <v>3.1780367029653324E-5</v>
      </c>
      <c r="F8" s="68">
        <f>Summary!F8</f>
        <v>3.1780367029653324E-5</v>
      </c>
      <c r="G8" s="68">
        <f>Summary!G8</f>
        <v>0</v>
      </c>
      <c r="H8" s="68">
        <f>Summary!H8</f>
        <v>3.1780367029653324E-5</v>
      </c>
      <c r="I8" s="68">
        <f>Summary!I8</f>
        <v>3.1780367029653324E-5</v>
      </c>
      <c r="J8" s="68">
        <f>Summary!J8</f>
        <v>3.1780367029653324E-5</v>
      </c>
      <c r="K8" s="68">
        <f>Summary!K8</f>
        <v>3.3426787793366228E-5</v>
      </c>
      <c r="L8" s="68">
        <f>Summary!L8</f>
        <v>3.3426787793366228E-5</v>
      </c>
      <c r="M8" s="68">
        <f>Summary!M8</f>
        <v>3.3426787793366228E-5</v>
      </c>
    </row>
    <row r="9" spans="1:44" x14ac:dyDescent="0.25">
      <c r="A9" s="5" t="s">
        <v>437</v>
      </c>
      <c r="B9" s="68">
        <f>Summary!B9</f>
        <v>3.6314488500484264E-5</v>
      </c>
      <c r="C9" s="68">
        <f>Summary!C9</f>
        <v>1.9822770514052231E-5</v>
      </c>
      <c r="D9" s="68">
        <f>Summary!D9</f>
        <v>6.9746785142035624E-6</v>
      </c>
      <c r="E9" s="68">
        <f>Summary!E9</f>
        <v>1.9822770514052231E-5</v>
      </c>
      <c r="F9" s="68">
        <f>Summary!F9</f>
        <v>1.248100365699585E-5</v>
      </c>
      <c r="G9" s="68">
        <f>Summary!G9</f>
        <v>0</v>
      </c>
      <c r="H9" s="68">
        <f>Summary!H9</f>
        <v>1.248100365699585E-5</v>
      </c>
      <c r="I9" s="68">
        <f>Summary!I9</f>
        <v>1.248100365699585E-5</v>
      </c>
      <c r="J9" s="68">
        <f>Summary!J9</f>
        <v>1.248100365699585E-5</v>
      </c>
      <c r="K9" s="68">
        <f>Summary!K9</f>
        <v>1.0462017771305345E-5</v>
      </c>
      <c r="L9" s="68">
        <f>Summary!L9</f>
        <v>1.0462017771305345E-5</v>
      </c>
      <c r="M9" s="68">
        <f>Summary!M9</f>
        <v>1.0462017771305345E-5</v>
      </c>
    </row>
    <row r="10" spans="1:44" x14ac:dyDescent="0.25">
      <c r="A10" s="5" t="s">
        <v>438</v>
      </c>
      <c r="B10" s="68">
        <f>Summary!B10</f>
        <v>1.0540697873601793E-5</v>
      </c>
      <c r="C10" s="68">
        <f>Summary!C10</f>
        <v>9.0753846553479132E-6</v>
      </c>
      <c r="D10" s="68">
        <f>Summary!D10</f>
        <v>9.0753846553479132E-6</v>
      </c>
      <c r="E10" s="68">
        <f>Summary!E10</f>
        <v>9.0753846553479132E-6</v>
      </c>
      <c r="F10" s="68">
        <f>Summary!F10</f>
        <v>9.0753846553479132E-6</v>
      </c>
      <c r="G10" s="68">
        <f>Summary!G10</f>
        <v>0</v>
      </c>
      <c r="H10" s="68">
        <f>Summary!H10</f>
        <v>9.0753846553479132E-6</v>
      </c>
      <c r="I10" s="68">
        <f>Summary!I10</f>
        <v>9.0753846553479132E-6</v>
      </c>
      <c r="J10" s="68">
        <f>Summary!J10</f>
        <v>9.0753846553479132E-6</v>
      </c>
      <c r="K10" s="68">
        <f>Summary!K10</f>
        <v>9.0753846553479132E-6</v>
      </c>
      <c r="L10" s="68">
        <f>Summary!L10</f>
        <v>9.0753846553479132E-6</v>
      </c>
      <c r="M10" s="68">
        <f>Summary!M10</f>
        <v>9.0753846553479132E-6</v>
      </c>
    </row>
    <row r="11" spans="1:44" x14ac:dyDescent="0.25">
      <c r="A11" s="5" t="s">
        <v>439</v>
      </c>
      <c r="B11" s="68">
        <f>Summary!B11</f>
        <v>4.5279469556937371E-5</v>
      </c>
      <c r="C11" s="68">
        <f>Summary!C11</f>
        <v>2.5058031375260608E-5</v>
      </c>
      <c r="D11" s="68">
        <f>Summary!D11</f>
        <v>2.1512469671493199E-5</v>
      </c>
      <c r="E11" s="68">
        <f>Summary!E11</f>
        <v>2.5058031375260608E-5</v>
      </c>
      <c r="F11" s="68">
        <f>Summary!F11</f>
        <v>2.6221008711888631E-5</v>
      </c>
      <c r="G11" s="68">
        <f>Summary!G11</f>
        <v>0</v>
      </c>
      <c r="H11" s="68">
        <f>Summary!H11</f>
        <v>2.6221008711888631E-5</v>
      </c>
      <c r="I11" s="68">
        <f>Summary!I11</f>
        <v>2.6221008711888631E-5</v>
      </c>
      <c r="J11" s="68">
        <f>Summary!J11</f>
        <v>2.6221008711888631E-5</v>
      </c>
      <c r="K11" s="68">
        <f>Summary!K11</f>
        <v>2.62436878164827E-5</v>
      </c>
      <c r="L11" s="68">
        <f>Summary!L11</f>
        <v>2.62436878164827E-5</v>
      </c>
      <c r="M11" s="68">
        <f>Summary!M11</f>
        <v>2.62436878164827E-5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workbookViewId="0"/>
  </sheetViews>
  <sheetFormatPr defaultRowHeight="15" x14ac:dyDescent="0.25"/>
  <cols>
    <col min="1" max="1" width="35.85546875" bestFit="1" customWidth="1"/>
    <col min="2" max="13" width="13.28515625" customWidth="1"/>
  </cols>
  <sheetData>
    <row r="1" spans="1:13" ht="45" x14ac:dyDescent="0.25">
      <c r="A1" s="4" t="s">
        <v>24</v>
      </c>
      <c r="B1" s="2"/>
      <c r="C1" s="2"/>
      <c r="D1" s="2"/>
      <c r="E1" s="2"/>
      <c r="F1" s="2"/>
      <c r="G1" s="2"/>
      <c r="H1" s="2"/>
      <c r="I1" s="2"/>
      <c r="J1" s="2"/>
      <c r="K1" s="2"/>
      <c r="L1" s="2"/>
      <c r="M1" s="2"/>
    </row>
    <row r="2" spans="1:13" x14ac:dyDescent="0.25">
      <c r="A2" s="5" t="s">
        <v>1</v>
      </c>
      <c r="B2" s="12">
        <f>'Other (mobile)'!A6</f>
        <v>3.1381977460259781E-3</v>
      </c>
    </row>
    <row r="3" spans="1:13" x14ac:dyDescent="0.25">
      <c r="A3" t="s">
        <v>2</v>
      </c>
      <c r="B3" s="10">
        <f>B6</f>
        <v>8.2719018162705823E-4</v>
      </c>
    </row>
    <row r="4" spans="1:13" x14ac:dyDescent="0.25">
      <c r="A4" t="s">
        <v>3</v>
      </c>
      <c r="B4" s="10">
        <f>B6</f>
        <v>8.2719018162705823E-4</v>
      </c>
    </row>
    <row r="5" spans="1:13" x14ac:dyDescent="0.25">
      <c r="A5" t="s">
        <v>4</v>
      </c>
      <c r="B5" s="10">
        <f>B6</f>
        <v>8.2719018162705823E-4</v>
      </c>
    </row>
    <row r="6" spans="1:13" x14ac:dyDescent="0.25">
      <c r="A6" t="s">
        <v>5</v>
      </c>
      <c r="B6" s="10">
        <f>'Other (mobile)'!A5</f>
        <v>8.2719018162705823E-4</v>
      </c>
    </row>
    <row r="7" spans="1:13" x14ac:dyDescent="0.25">
      <c r="A7" t="s">
        <v>6</v>
      </c>
      <c r="B7" s="57">
        <v>0</v>
      </c>
    </row>
    <row r="8" spans="1:13" x14ac:dyDescent="0.25">
      <c r="A8" t="s">
        <v>7</v>
      </c>
      <c r="B8" s="10">
        <f>B6</f>
        <v>8.2719018162705823E-4</v>
      </c>
    </row>
    <row r="9" spans="1:13" x14ac:dyDescent="0.25">
      <c r="A9" t="s">
        <v>8</v>
      </c>
      <c r="B9" s="10">
        <f>B6</f>
        <v>8.2719018162705823E-4</v>
      </c>
    </row>
    <row r="10" spans="1:13" x14ac:dyDescent="0.25">
      <c r="A10" t="s">
        <v>9</v>
      </c>
      <c r="B10" s="10">
        <f>B6</f>
        <v>8.2719018162705823E-4</v>
      </c>
    </row>
    <row r="11" spans="1:13" x14ac:dyDescent="0.25">
      <c r="A11" t="s">
        <v>10</v>
      </c>
      <c r="B11" s="10">
        <f>B6</f>
        <v>8.2719018162705823E-4</v>
      </c>
    </row>
    <row r="12" spans="1:13" x14ac:dyDescent="0.25">
      <c r="A12" t="s">
        <v>364</v>
      </c>
      <c r="B12" s="10">
        <f>B11</f>
        <v>8.2719018162705823E-4</v>
      </c>
    </row>
    <row r="13" spans="1:13" x14ac:dyDescent="0.25">
      <c r="A13" t="s">
        <v>365</v>
      </c>
      <c r="B13" s="10">
        <f>B12</f>
        <v>8.2719018162705823E-4</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Boilers &amp; Heat Pumps</vt:lpstr>
      <vt:lpstr>Cooling</vt:lpstr>
      <vt:lpstr>NB Medium Temp</vt:lpstr>
      <vt:lpstr>NB High Temp</vt:lpstr>
      <vt:lpstr>Machine Drive</vt:lpstr>
      <vt:lpstr>Electrochemical</vt:lpstr>
      <vt:lpstr>Lighting</vt:lpstr>
      <vt:lpstr>Other</vt:lpstr>
      <vt:lpstr>Other (mobile)</vt:lpstr>
      <vt:lpstr>Summary</vt:lpstr>
      <vt:lpstr>IECCpUAEU</vt:lpstr>
      <vt:lpstr>IECCpUAEU-mobile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Jeff Rissman</cp:lastModifiedBy>
  <dcterms:created xsi:type="dcterms:W3CDTF">2024-08-15T22:42:40Z</dcterms:created>
  <dcterms:modified xsi:type="dcterms:W3CDTF">2026-03-23T22:44:22Z</dcterms:modified>
</cp:coreProperties>
</file>