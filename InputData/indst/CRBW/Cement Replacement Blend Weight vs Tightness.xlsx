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gions" sheetId="2" state="visible" r:id="rId2"/>
    <sheet name="Derivation" sheetId="3" state="visible" r:id="rId3"/>
    <sheet name="Checks" sheetId="4" state="visible" r:id="rId4"/>
    <sheet name="CRBWv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nergyinnovation.org/" TargetMode="External" Id="rId1" /><Relationship Type="http://schemas.openxmlformats.org/officeDocument/2006/relationships/hyperlink" Target="https://gccassociation.org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CRBWvT Cement Replacement Blend Weight vs Tightness</t>
        </is>
      </c>
    </row>
    <row r="2"/>
    <row r="3">
      <c r="A3" s="1" t="inlineStr">
        <is>
          <t>Sources:</t>
        </is>
      </c>
      <c r="B3" s="2" t="inlineStr">
        <is>
          <t>Curve form and US calibration</t>
        </is>
      </c>
    </row>
    <row r="4">
      <c r="B4" s="3" t="inlineStr">
        <is>
          <t>Energy Innovation (internal design memo)</t>
        </is>
      </c>
    </row>
    <row r="5">
      <c r="B5" s="3" t="inlineStr">
        <is>
          <t>Cement_Utilization_Tightness_Design.md, sections 4 and 7.3</t>
        </is>
      </c>
    </row>
    <row r="6">
      <c r="B6" s="3" t="n">
        <v>2026</v>
      </c>
    </row>
    <row r="7">
      <c r="B7" s="4" t="inlineStr">
        <is>
          <t>https://www.energyinnovation.org/</t>
        </is>
      </c>
    </row>
    <row r="8">
      <c r="B8" s="3" t="inlineStr">
        <is>
          <t>Hill / normalized-logit form w(tau) = tau^p / (tau^p + k (1-tau)^p), endpoints pinned (w(0)=0, w(1)=1). p = 2 (steepness; p=1,3 sensitivity immaterial). US k = 0.3686 solved so that w at the start-year tightness (tau0 = 0.5456 at utilization 0.69) = 0.7964, the 2026-2035 mean greenfield share in the pre-activation baseline (start-year anchor).</t>
        </is>
      </c>
    </row>
    <row r="9"/>
    <row r="10">
      <c r="B10" s="2" t="inlineStr">
        <is>
          <t>Regional envelope anchors that set tau (CULB/CUUB)</t>
        </is>
      </c>
    </row>
    <row r="11">
      <c r="B11" s="3" t="inlineStr">
        <is>
          <t>Energy Innovation staging package</t>
        </is>
      </c>
    </row>
    <row r="12">
      <c r="B12" s="3" t="inlineStr">
        <is>
          <t>Cement_Utilization_Regional_Anchors/regional_anchors_master.csv</t>
        </is>
      </c>
    </row>
    <row r="13">
      <c r="B13" s="3" t="n">
        <v>2026</v>
      </c>
    </row>
    <row r="14">
      <c r="B14" s="4" t="inlineStr">
        <is>
          <t>https://gccassociation.org/</t>
        </is>
      </c>
    </row>
    <row r="15">
      <c r="B15" s="3" t="inlineStr">
        <is>
          <t>k must be re-solved per region at build time from that region's start-year utilization and calibrated overhaul share; rows other than the US ship the template k = 1 and are flagged UNCALIBRATED.</t>
        </is>
      </c>
    </row>
    <row r="16"/>
    <row r="17"/>
    <row r="18">
      <c r="A18" s="1" t="inlineStr">
        <is>
          <t>Notes:</t>
        </is>
      </c>
    </row>
    <row r="19">
      <c r="A19" s="1" t="inlineStr">
        <is>
          <t>DRAFT status</t>
        </is>
      </c>
      <c r="B19" s="3" t="inlineStr">
        <is>
          <t>This is an input for staff review, not a finished or approved EI position; treat as a starting point pending team sign-off. Verify all cited figures against the primary sources before use.</t>
        </is>
      </c>
    </row>
    <row r="20">
      <c r="A20" s="1" t="inlineStr">
        <is>
          <t>What it is</t>
        </is>
      </c>
      <c r="B20" s="3" t="inlineStr">
        <is>
          <t>The greenfield weight in the retire-alternative cost of the overhaul-or-replace decision, as a function of fleet tightness tau (0 = at CULB, 1 = at CUUB): a slack market absorbs a retiring kiln's output with sunk capital (w near 0), a tight market must build (w near 1).</t>
        </is>
      </c>
    </row>
    <row r="21">
      <c r="A21" s="1" t="inlineStr">
        <is>
          <t>Subscript</t>
        </is>
      </c>
      <c r="B21" s="3" t="inlineStr">
        <is>
          <t>The lookup carries the artificial subscript element [average summer day] in EPS.mdl because SDEverywhere cannot handle unsubscripted lookups. The element has no meaning; the curve is fleet-wide, not pathway-specific (Dan, 2026-09-29; previously [dry kiln with precalciner], which read as pathway-specific).</t>
        </is>
      </c>
    </row>
    <row r="22">
      <c r="A22" s="1" t="inlineStr">
        <is>
          <t>Region selector</t>
        </is>
      </c>
      <c r="B22" s="3" t="inlineStr">
        <is>
          <t>Regions!B1 picks p and k; the Derivation samples the curve on tau = 0..1 step 0.05 (rounded to 4 decimals). Export literal is the US curve; re-export after switching.</t>
        </is>
      </c>
    </row>
    <row r="23">
      <c r="A23" s="1" t="inlineStr">
        <is>
          <t>Design memo</t>
        </is>
      </c>
      <c r="B23" s="3" t="inlineStr">
        <is>
          <t>Design memo: Cement_Utilization_Tightness_Design.md (cement-industry-breakout-f901fc worktree root); anchors staging package: Cement_Utilization_Regional_Anchors/ (same root).</t>
        </is>
      </c>
    </row>
    <row r="24">
      <c r="A24" s="1" t="inlineStr">
        <is>
          <t>Provenance</t>
        </is>
      </c>
      <c r="B24" s="3" t="inlineStr">
        <is>
          <t>Built by Claude Code (Fable 5.1 session), cement section-2 review, worktree cement-calculation-flow-89da5b, 2026-09-29. Reviewed by: (pending).</t>
        </is>
      </c>
    </row>
    <row r="25">
      <c r="A25" s="1" t="inlineStr">
        <is>
          <t>Regional rows loaded 2026-10-01</t>
        </is>
      </c>
      <c r="B25" s="3" t="inlineStr">
        <is>
          <t>Non-US rows of the Regions tab loaded from Cement_Regional_Data_Draft.md (cement-calculation-flow-89da5b worktree root), passes 1 and 2; pass 2 (primary sources) wins on conflict and the conflict is kept in the row note. Flags: DIRECT = read in the primary document; SNIPPET = secondary/trade-press summary or an unopened primary; JUDGMENT = own arithmetic or estimate (written as a visible formula where computed); blank = TO FILL. Supersedes any placeholder description in the Sources block above. The US row, Derivation and export tab are unchanged. Verify every non-US value against its cited primary source before use. Loader: Cement_Regional_Rows_Loading/load_regional_rows.py.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4" customWidth="1" min="4" max="4"/>
    <col width="80" customWidth="1" min="5" max="5"/>
  </cols>
  <sheetData>
    <row r="1">
      <c r="A1" s="1" t="inlineStr">
        <is>
          <t>Selected region (drop-down):</t>
        </is>
      </c>
      <c r="B1" s="5" t="inlineStr">
        <is>
          <t>United States</t>
        </is>
      </c>
    </row>
    <row r="2">
      <c r="A2" s="3" t="inlineStr">
        <is>
          <t>Change B1 to switch the Derivation to another region's row; the export tab holds literal values, so re-export the CSV after switching. Blank = TO FILL.</t>
        </is>
      </c>
    </row>
    <row r="4">
      <c r="A4" s="6" t="inlineStr">
        <is>
          <t>Region</t>
        </is>
      </c>
      <c r="B4" s="6" t="inlineStr">
        <is>
          <t>p (steepness)</t>
        </is>
      </c>
      <c r="C4" s="6" t="inlineStr">
        <is>
          <t>k (midpoint shifter)</t>
        </is>
      </c>
      <c r="D4" s="6" t="inlineStr">
        <is>
          <t>Status</t>
        </is>
      </c>
      <c r="E4" s="6" t="inlineStr">
        <is>
          <t>Note</t>
        </is>
      </c>
    </row>
    <row r="5">
      <c r="A5" t="inlineStr">
        <is>
          <t>United States</t>
        </is>
      </c>
      <c r="B5" t="n">
        <v>2</v>
      </c>
      <c r="C5" t="n">
        <v>0.3686</v>
      </c>
      <c r="D5" t="inlineStr">
        <is>
          <t>CALIBRATED 2026-08-28</t>
        </is>
      </c>
      <c r="E5" t="inlineStr">
        <is>
          <t>k solved from the start-year anchor (design memo section 4)</t>
        </is>
      </c>
    </row>
    <row r="6">
      <c r="A6" t="inlineStr">
        <is>
          <t>China</t>
        </is>
      </c>
      <c r="B6" t="n">
        <v>2</v>
      </c>
      <c r="C6" t="n">
        <v>1</v>
      </c>
      <c r="D6" t="inlineStr">
        <is>
          <t>UNCALIBRATED - template</t>
        </is>
      </c>
      <c r="E6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7">
      <c r="A7" t="inlineStr">
        <is>
          <t>India</t>
        </is>
      </c>
      <c r="B7" t="n">
        <v>2</v>
      </c>
      <c r="C7" t="n">
        <v>1</v>
      </c>
      <c r="D7" t="inlineStr">
        <is>
          <t>UNCALIBRATED - template</t>
        </is>
      </c>
      <c r="E7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8">
      <c r="A8" t="inlineStr">
        <is>
          <t>EU-27</t>
        </is>
      </c>
      <c r="B8" t="n">
        <v>2</v>
      </c>
      <c r="C8" t="n">
        <v>1</v>
      </c>
      <c r="D8" t="inlineStr">
        <is>
          <t>UNCALIBRATED - template</t>
        </is>
      </c>
      <c r="E8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9">
      <c r="A9" t="inlineStr">
        <is>
          <t>Japan</t>
        </is>
      </c>
      <c r="B9" t="n">
        <v>2</v>
      </c>
      <c r="C9" t="n">
        <v>1</v>
      </c>
      <c r="D9" t="inlineStr">
        <is>
          <t>UNCALIBRATED - template</t>
        </is>
      </c>
      <c r="E9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10">
      <c r="A10" t="inlineStr">
        <is>
          <t>Brazil</t>
        </is>
      </c>
      <c r="B10" t="n">
        <v>2</v>
      </c>
      <c r="C10" t="n">
        <v>1</v>
      </c>
      <c r="D10" t="inlineStr">
        <is>
          <t>UNCALIBRATED - template</t>
        </is>
      </c>
      <c r="E10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11">
      <c r="A11" t="inlineStr">
        <is>
          <t>Mexico</t>
        </is>
      </c>
      <c r="B11" t="n">
        <v>2</v>
      </c>
      <c r="C11" t="n">
        <v>1</v>
      </c>
      <c r="D11" t="inlineStr">
        <is>
          <t>UNCALIBRATED - template</t>
        </is>
      </c>
      <c r="E11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12">
      <c r="A12" t="inlineStr">
        <is>
          <t>Canada</t>
        </is>
      </c>
      <c r="B12" t="n">
        <v>2</v>
      </c>
      <c r="C12" t="n">
        <v>1</v>
      </c>
      <c r="D12" t="inlineStr">
        <is>
          <t>UNCALIBRATED - template</t>
        </is>
      </c>
      <c r="E12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13">
      <c r="A13" t="inlineStr">
        <is>
          <t>Indonesia</t>
        </is>
      </c>
      <c r="B13" t="n">
        <v>2</v>
      </c>
      <c r="C13" t="n">
        <v>1</v>
      </c>
      <c r="D13" t="inlineStr">
        <is>
          <t>UNCALIBRATED - template</t>
        </is>
      </c>
      <c r="E13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  <row r="14">
      <c r="A14" t="inlineStr">
        <is>
          <t>Australia</t>
        </is>
      </c>
      <c r="B14" t="n">
        <v>2</v>
      </c>
      <c r="C14" t="n">
        <v>1</v>
      </c>
      <c r="D14" t="inlineStr">
        <is>
          <t>UNCALIBRATED - template</t>
        </is>
      </c>
      <c r="E14" t="inlineStr">
        <is>
          <t>k = 1.0 is a template, not a value: k must be solved at build time from the region's start-year utilization and calibrated overhaul share (design memo Cement_Utilization_Tightness_Design.md section 4), as was done for the US.</t>
        </is>
      </c>
    </row>
  </sheetData>
  <dataValidations count="1">
    <dataValidation sqref="B1" showDropDown="0" showInputMessage="0" showErrorMessage="0" allowBlank="0" type="list">
      <formula1>=$A$5:$A$14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Selected region</t>
        </is>
      </c>
      <c r="B1">
        <f>Regions!B1</f>
        <v/>
      </c>
    </row>
    <row r="2">
      <c r="A2" t="inlineStr">
        <is>
          <t>p</t>
        </is>
      </c>
      <c r="B2">
        <f>INDEX(Regions!$B$5:$B$14,MATCH(Regions!$B$1,Regions!$A$5:$A$14,0))</f>
        <v/>
      </c>
    </row>
    <row r="3">
      <c r="A3" t="inlineStr">
        <is>
          <t>k</t>
        </is>
      </c>
      <c r="B3">
        <f>INDEX(Regions!$C$5:$C$14,MATCH(Regions!$B$1,Regions!$A$5:$A$14,0))</f>
        <v/>
      </c>
    </row>
    <row r="5">
      <c r="A5" t="inlineStr">
        <is>
          <t>tau</t>
        </is>
      </c>
      <c r="B5" t="n">
        <v>0</v>
      </c>
      <c r="C5" t="n">
        <v>0.05</v>
      </c>
      <c r="D5" t="n">
        <v>0.1</v>
      </c>
      <c r="E5" t="n">
        <v>0.15</v>
      </c>
      <c r="F5" t="n">
        <v>0.2</v>
      </c>
      <c r="G5" t="n">
        <v>0.25</v>
      </c>
      <c r="H5" t="n">
        <v>0.3</v>
      </c>
      <c r="I5" t="n">
        <v>0.35</v>
      </c>
      <c r="J5" t="n">
        <v>0.4</v>
      </c>
      <c r="K5" t="n">
        <v>0.45</v>
      </c>
      <c r="L5" t="n">
        <v>0.5</v>
      </c>
      <c r="M5" t="n">
        <v>0.55</v>
      </c>
      <c r="N5" t="n">
        <v>0.6</v>
      </c>
      <c r="O5" t="n">
        <v>0.65</v>
      </c>
      <c r="P5" t="n">
        <v>0.7</v>
      </c>
      <c r="Q5" t="n">
        <v>0.75</v>
      </c>
      <c r="R5" t="n">
        <v>0.8</v>
      </c>
      <c r="S5" t="n">
        <v>0.85</v>
      </c>
      <c r="T5" t="n">
        <v>0.9</v>
      </c>
      <c r="U5" t="n">
        <v>0.95</v>
      </c>
      <c r="V5" t="n">
        <v>1</v>
      </c>
    </row>
    <row r="6">
      <c r="A6" t="inlineStr">
        <is>
          <t>w(tau) = tau^p / (tau^p + k (1-tau)^p), rounded to 4 decimals</t>
        </is>
      </c>
      <c r="B6">
        <f>IF(B5&lt;=0,0,IF(B5&gt;=1,1,ROUND(B5^$B$2/(B5^$B$2+$B$3*(1-B5)^$B$2),4)))</f>
        <v/>
      </c>
      <c r="C6">
        <f>IF(C5&lt;=0,0,IF(C5&gt;=1,1,ROUND(C5^$B$2/(C5^$B$2+$B$3*(1-C5)^$B$2),4)))</f>
        <v/>
      </c>
      <c r="D6">
        <f>IF(D5&lt;=0,0,IF(D5&gt;=1,1,ROUND(D5^$B$2/(D5^$B$2+$B$3*(1-D5)^$B$2),4)))</f>
        <v/>
      </c>
      <c r="E6">
        <f>IF(E5&lt;=0,0,IF(E5&gt;=1,1,ROUND(E5^$B$2/(E5^$B$2+$B$3*(1-E5)^$B$2),4)))</f>
        <v/>
      </c>
      <c r="F6">
        <f>IF(F5&lt;=0,0,IF(F5&gt;=1,1,ROUND(F5^$B$2/(F5^$B$2+$B$3*(1-F5)^$B$2),4)))</f>
        <v/>
      </c>
      <c r="G6">
        <f>IF(G5&lt;=0,0,IF(G5&gt;=1,1,ROUND(G5^$B$2/(G5^$B$2+$B$3*(1-G5)^$B$2),4)))</f>
        <v/>
      </c>
      <c r="H6">
        <f>IF(H5&lt;=0,0,IF(H5&gt;=1,1,ROUND(H5^$B$2/(H5^$B$2+$B$3*(1-H5)^$B$2),4)))</f>
        <v/>
      </c>
      <c r="I6">
        <f>IF(I5&lt;=0,0,IF(I5&gt;=1,1,ROUND(I5^$B$2/(I5^$B$2+$B$3*(1-I5)^$B$2),4)))</f>
        <v/>
      </c>
      <c r="J6">
        <f>IF(J5&lt;=0,0,IF(J5&gt;=1,1,ROUND(J5^$B$2/(J5^$B$2+$B$3*(1-J5)^$B$2),4)))</f>
        <v/>
      </c>
      <c r="K6">
        <f>IF(K5&lt;=0,0,IF(K5&gt;=1,1,ROUND(K5^$B$2/(K5^$B$2+$B$3*(1-K5)^$B$2),4)))</f>
        <v/>
      </c>
      <c r="L6">
        <f>IF(L5&lt;=0,0,IF(L5&gt;=1,1,ROUND(L5^$B$2/(L5^$B$2+$B$3*(1-L5)^$B$2),4)))</f>
        <v/>
      </c>
      <c r="M6">
        <f>IF(M5&lt;=0,0,IF(M5&gt;=1,1,ROUND(M5^$B$2/(M5^$B$2+$B$3*(1-M5)^$B$2),4)))</f>
        <v/>
      </c>
      <c r="N6">
        <f>IF(N5&lt;=0,0,IF(N5&gt;=1,1,ROUND(N5^$B$2/(N5^$B$2+$B$3*(1-N5)^$B$2),4)))</f>
        <v/>
      </c>
      <c r="O6">
        <f>IF(O5&lt;=0,0,IF(O5&gt;=1,1,ROUND(O5^$B$2/(O5^$B$2+$B$3*(1-O5)^$B$2),4)))</f>
        <v/>
      </c>
      <c r="P6">
        <f>IF(P5&lt;=0,0,IF(P5&gt;=1,1,ROUND(P5^$B$2/(P5^$B$2+$B$3*(1-P5)^$B$2),4)))</f>
        <v/>
      </c>
      <c r="Q6">
        <f>IF(Q5&lt;=0,0,IF(Q5&gt;=1,1,ROUND(Q5^$B$2/(Q5^$B$2+$B$3*(1-Q5)^$B$2),4)))</f>
        <v/>
      </c>
      <c r="R6">
        <f>IF(R5&lt;=0,0,IF(R5&gt;=1,1,ROUND(R5^$B$2/(R5^$B$2+$B$3*(1-R5)^$B$2),4)))</f>
        <v/>
      </c>
      <c r="S6">
        <f>IF(S5&lt;=0,0,IF(S5&gt;=1,1,ROUND(S5^$B$2/(S5^$B$2+$B$3*(1-S5)^$B$2),4)))</f>
        <v/>
      </c>
      <c r="T6">
        <f>IF(T5&lt;=0,0,IF(T5&gt;=1,1,ROUND(T5^$B$2/(T5^$B$2+$B$3*(1-T5)^$B$2),4)))</f>
        <v/>
      </c>
      <c r="U6">
        <f>IF(U5&lt;=0,0,IF(U5&gt;=1,1,ROUND(U5^$B$2/(U5^$B$2+$B$3*(1-U5)^$B$2),4)))</f>
        <v/>
      </c>
      <c r="V6">
        <f>IF(V5&lt;=0,0,IF(V5&gt;=1,1,ROUND(V5^$B$2/(V5^$B$2+$B$3*(1-V5)^$B$2),4)))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Cross-check: 'CRBWvT' export literals vs Derivation</t>
        </is>
      </c>
    </row>
    <row r="3">
      <c r="B3" t="n">
        <v>0</v>
      </c>
      <c r="C3" t="n">
        <v>0.05</v>
      </c>
      <c r="D3" t="n">
        <v>0.1</v>
      </c>
      <c r="E3" t="n">
        <v>0.15</v>
      </c>
      <c r="F3" t="n">
        <v>0.2</v>
      </c>
      <c r="G3" t="n">
        <v>0.25</v>
      </c>
      <c r="H3" t="n">
        <v>0.3</v>
      </c>
      <c r="I3" t="n">
        <v>0.35</v>
      </c>
      <c r="J3" t="n">
        <v>0.4</v>
      </c>
      <c r="K3" t="n">
        <v>0.45</v>
      </c>
      <c r="L3" t="n">
        <v>0.5</v>
      </c>
      <c r="M3" t="n">
        <v>0.55</v>
      </c>
      <c r="N3" t="n">
        <v>0.6</v>
      </c>
      <c r="O3" t="n">
        <v>0.65</v>
      </c>
      <c r="P3" t="n">
        <v>0.7</v>
      </c>
      <c r="Q3" t="n">
        <v>0.75</v>
      </c>
      <c r="R3" t="n">
        <v>0.8</v>
      </c>
      <c r="S3" t="n">
        <v>0.85</v>
      </c>
      <c r="T3" t="n">
        <v>0.9</v>
      </c>
      <c r="U3" t="n">
        <v>0.95</v>
      </c>
      <c r="V3" t="n">
        <v>1</v>
      </c>
    </row>
    <row r="4">
      <c r="A4" t="inlineStr">
        <is>
          <t>Export literal</t>
        </is>
      </c>
      <c r="B4" t="n">
        <v>0</v>
      </c>
      <c r="C4" t="n">
        <v>0.0075</v>
      </c>
      <c r="D4" t="n">
        <v>0.0324</v>
      </c>
      <c r="E4" t="n">
        <v>0.0779</v>
      </c>
      <c r="F4" t="n">
        <v>0.145</v>
      </c>
      <c r="G4" t="n">
        <v>0.2316</v>
      </c>
      <c r="H4" t="n">
        <v>0.3326</v>
      </c>
      <c r="I4" t="n">
        <v>0.4403</v>
      </c>
      <c r="J4" t="n">
        <v>0.5467</v>
      </c>
      <c r="K4" t="n">
        <v>0.6449</v>
      </c>
      <c r="L4" t="n">
        <v>0.7307</v>
      </c>
      <c r="M4" t="n">
        <v>0.8021</v>
      </c>
      <c r="N4" t="n">
        <v>0.8592</v>
      </c>
      <c r="O4" t="n">
        <v>0.9035</v>
      </c>
      <c r="P4" t="n">
        <v>0.9366</v>
      </c>
      <c r="Q4" t="n">
        <v>0.9607</v>
      </c>
      <c r="R4" t="n">
        <v>0.9775</v>
      </c>
      <c r="S4" t="n">
        <v>0.9887</v>
      </c>
      <c r="T4" t="n">
        <v>0.9955000000000001</v>
      </c>
      <c r="U4" t="n">
        <v>0.999</v>
      </c>
      <c r="V4" t="n">
        <v>1</v>
      </c>
    </row>
    <row r="5">
      <c r="A5" t="inlineStr">
        <is>
          <t>Derivation</t>
        </is>
      </c>
      <c r="B5">
        <f>Derivation!B6</f>
        <v/>
      </c>
      <c r="C5">
        <f>Derivation!C6</f>
        <v/>
      </c>
      <c r="D5">
        <f>Derivation!D6</f>
        <v/>
      </c>
      <c r="E5">
        <f>Derivation!E6</f>
        <v/>
      </c>
      <c r="F5">
        <f>Derivation!F6</f>
        <v/>
      </c>
      <c r="G5">
        <f>Derivation!G6</f>
        <v/>
      </c>
      <c r="H5">
        <f>Derivation!H6</f>
        <v/>
      </c>
      <c r="I5">
        <f>Derivation!I6</f>
        <v/>
      </c>
      <c r="J5">
        <f>Derivation!J6</f>
        <v/>
      </c>
      <c r="K5">
        <f>Derivation!K6</f>
        <v/>
      </c>
      <c r="L5">
        <f>Derivation!L6</f>
        <v/>
      </c>
      <c r="M5">
        <f>Derivation!M6</f>
        <v/>
      </c>
      <c r="N5">
        <f>Derivation!N6</f>
        <v/>
      </c>
      <c r="O5">
        <f>Derivation!O6</f>
        <v/>
      </c>
      <c r="P5">
        <f>Derivation!P6</f>
        <v/>
      </c>
      <c r="Q5">
        <f>Derivation!Q6</f>
        <v/>
      </c>
      <c r="R5">
        <f>Derivation!R6</f>
        <v/>
      </c>
      <c r="S5">
        <f>Derivation!S6</f>
        <v/>
      </c>
      <c r="T5">
        <f>Derivation!T6</f>
        <v/>
      </c>
      <c r="U5">
        <f>Derivation!U6</f>
        <v/>
      </c>
      <c r="V5">
        <f>Derivation!V6</f>
        <v/>
      </c>
    </row>
    <row r="6">
      <c r="A6" t="inlineStr">
        <is>
          <t>ABS diff</t>
        </is>
      </c>
      <c r="B6">
        <f>ABS(B4-B5)</f>
        <v/>
      </c>
      <c r="C6">
        <f>ABS(C4-C5)</f>
        <v/>
      </c>
      <c r="D6">
        <f>ABS(D4-D5)</f>
        <v/>
      </c>
      <c r="E6">
        <f>ABS(E4-E5)</f>
        <v/>
      </c>
      <c r="F6">
        <f>ABS(F4-F5)</f>
        <v/>
      </c>
      <c r="G6">
        <f>ABS(G4-G5)</f>
        <v/>
      </c>
      <c r="H6">
        <f>ABS(H4-H5)</f>
        <v/>
      </c>
      <c r="I6">
        <f>ABS(I4-I5)</f>
        <v/>
      </c>
      <c r="J6">
        <f>ABS(J4-J5)</f>
        <v/>
      </c>
      <c r="K6">
        <f>ABS(K4-K5)</f>
        <v/>
      </c>
      <c r="L6">
        <f>ABS(L4-L5)</f>
        <v/>
      </c>
      <c r="M6">
        <f>ABS(M4-M5)</f>
        <v/>
      </c>
      <c r="N6">
        <f>ABS(N4-N5)</f>
        <v/>
      </c>
      <c r="O6">
        <f>ABS(O4-O5)</f>
        <v/>
      </c>
      <c r="P6">
        <f>ABS(P4-P5)</f>
        <v/>
      </c>
      <c r="Q6">
        <f>ABS(Q4-Q5)</f>
        <v/>
      </c>
      <c r="R6">
        <f>ABS(R4-R5)</f>
        <v/>
      </c>
      <c r="S6">
        <f>ABS(S4-S5)</f>
        <v/>
      </c>
      <c r="T6">
        <f>ABS(T4-T5)</f>
        <v/>
      </c>
      <c r="U6">
        <f>ABS(U4-U5)</f>
        <v/>
      </c>
      <c r="V6">
        <f>ABS(V4-V5)</f>
        <v/>
      </c>
    </row>
    <row r="8">
      <c r="A8" t="inlineStr">
        <is>
          <t>Max abs diff</t>
        </is>
      </c>
      <c r="B8">
        <f>MAX(B6:V6)</f>
        <v/>
      </c>
    </row>
    <row r="9">
      <c r="A9" t="inlineStr">
        <is>
          <t>Result</t>
        </is>
      </c>
      <c r="B9">
        <f>IF(B8&lt;0.00015,"PASS","FAIL")</f>
        <v/>
      </c>
      <c r="C9" t="inlineStr">
        <is>
          <t>tolerance 1.5e-4: the shipped CSV was sampled by the 2026-08-28 generator and one point differs by a 4th-decimal rounding step from the workbook 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(replacement blend weight - greenfield weight in the retire-alternative cost - vs fleet tightness tau; Hill form w=tau^p/(tau^p+k(1-tau)^p) p=2 k=0.3686; k solved 2026-08-28 so w(tau0=0.5456 at u=SYCCU 0.69)=0.7964 = 1 minus the 2026-2035 mean absorbable share in the pre-activation baseline Gate0Base (start-year anchor, design memo sec 4); regenerate with Cement_Utilization_Regional_Anchors/make_region_files.py)</t>
        </is>
      </c>
      <c r="B1" t="n">
        <v>0</v>
      </c>
      <c r="C1" t="n">
        <v>0.05</v>
      </c>
      <c r="D1" t="n">
        <v>0.1</v>
      </c>
      <c r="E1" t="n">
        <v>0.15</v>
      </c>
      <c r="F1" t="n">
        <v>0.2</v>
      </c>
      <c r="G1" t="n">
        <v>0.25</v>
      </c>
      <c r="H1" t="n">
        <v>0.3</v>
      </c>
      <c r="I1" t="n">
        <v>0.35</v>
      </c>
      <c r="J1" t="n">
        <v>0.4</v>
      </c>
      <c r="K1" t="n">
        <v>0.45</v>
      </c>
      <c r="L1" t="n">
        <v>0.5</v>
      </c>
      <c r="M1" t="n">
        <v>0.55</v>
      </c>
      <c r="N1" t="n">
        <v>0.6</v>
      </c>
      <c r="O1" t="n">
        <v>0.65</v>
      </c>
      <c r="P1" t="n">
        <v>0.7</v>
      </c>
      <c r="Q1" t="n">
        <v>0.75</v>
      </c>
      <c r="R1" t="n">
        <v>0.8</v>
      </c>
      <c r="S1" t="n">
        <v>0.85</v>
      </c>
      <c r="T1" t="n">
        <v>0.9</v>
      </c>
      <c r="U1" t="n">
        <v>0.95</v>
      </c>
      <c r="V1" t="n">
        <v>1</v>
      </c>
    </row>
    <row r="2">
      <c r="A2" t="inlineStr">
        <is>
          <t>Cement Replacement Blend Weight</t>
        </is>
      </c>
      <c r="B2" t="n">
        <v>0</v>
      </c>
      <c r="C2" t="n">
        <v>0.0075</v>
      </c>
      <c r="D2" t="n">
        <v>0.0324</v>
      </c>
      <c r="E2" t="n">
        <v>0.0779</v>
      </c>
      <c r="F2" t="n">
        <v>0.145</v>
      </c>
      <c r="G2" t="n">
        <v>0.2316</v>
      </c>
      <c r="H2" t="n">
        <v>0.3326</v>
      </c>
      <c r="I2" t="n">
        <v>0.4403</v>
      </c>
      <c r="J2" t="n">
        <v>0.5467</v>
      </c>
      <c r="K2" t="n">
        <v>0.6449</v>
      </c>
      <c r="L2" t="n">
        <v>0.7307</v>
      </c>
      <c r="M2" t="n">
        <v>0.8021</v>
      </c>
      <c r="N2" t="n">
        <v>0.8592</v>
      </c>
      <c r="O2" t="n">
        <v>0.9035</v>
      </c>
      <c r="P2" t="n">
        <v>0.9366</v>
      </c>
      <c r="Q2" t="n">
        <v>0.9607</v>
      </c>
      <c r="R2" t="n">
        <v>0.9775</v>
      </c>
      <c r="S2" t="n">
        <v>0.9887</v>
      </c>
      <c r="T2" t="n">
        <v>0.9955000000000001</v>
      </c>
      <c r="U2" t="n">
        <v>0.999</v>
      </c>
      <c r="V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2026-09-29T18:40:23Z</dcterms:created>
  <dcterms:modified xsi:type="dcterms:W3CDTF">2026-10-01T20:23:34Z</dcterms:modified>
</cp:coreProperties>
</file>