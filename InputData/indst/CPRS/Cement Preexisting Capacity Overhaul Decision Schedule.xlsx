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NZA Annex K Cohorts" sheetId="2" state="visible" r:id="rId2"/>
    <sheet name="Derivation" sheetId="3" state="visible" r:id="rId3"/>
    <sheet name="Checks" sheetId="4" state="visible" r:id="rId4"/>
    <sheet name="CP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tzeroamerica.princeton.edu/img/Princeton_NZA_Annex_K.pdf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1" t="inlineStr">
        <is>
          <t>CPRS Cement Preexisting Capacity Overhaul Decision Schedule</t>
        </is>
      </c>
    </row>
    <row r="3">
      <c r="A3" s="1" t="inlineStr">
        <is>
          <t>Sources:</t>
        </is>
      </c>
      <c r="B3" s="2" t="inlineStr">
        <is>
          <t>US cement kiln fleet age cohorts (pre-2000 / post-2000)</t>
        </is>
      </c>
    </row>
    <row r="4">
      <c r="B4" s="3" t="inlineStr">
        <is>
          <t>Princeton University Net-Zero America (NZA) project</t>
        </is>
      </c>
    </row>
    <row r="5">
      <c r="B5" s="3" t="inlineStr">
        <is>
          <t>NZA Annex K, section 6.3 (cement)</t>
        </is>
      </c>
    </row>
    <row r="6">
      <c r="B6" s="3" t="n">
        <v>2021</v>
      </c>
    </row>
    <row r="7">
      <c r="B7" s="4" t="inlineStr">
        <is>
          <t>https://netzeroamerica.princeton.edu/img/Princeton_NZA_Annex_K.pdf</t>
        </is>
      </c>
    </row>
    <row r="8">
      <c r="B8" s="3" t="inlineStr">
        <is>
          <t>Annex K sec 6.3: ~92 pre-2000 US kilns totaling ~49.6 Mt/yr nameplate clinker capacity, and ~38 post-2000 kilns totaling ~46.7 Mt/yr; a 35-year kiln campaign convention (EIA IDM 30-yr assumption extended by 5). Retrieved via reader proxy 2026-08-25 (direct PDF access restricted) - cohort totals CONFIRMED exactly against the Annex K text in Phase 4 verification. [DIRECT via proxy]</t>
        </is>
      </c>
    </row>
    <row r="11">
      <c r="A11" s="1" t="inlineStr">
        <is>
          <t>Notes:</t>
        </is>
      </c>
    </row>
    <row r="12">
      <c r="A12" s="1" t="inlineStr">
        <is>
          <t>Decision-schedule semantics (Phase 2b)</t>
        </is>
      </c>
      <c r="B12" s="3" t="inlineStr">
        <is>
          <t>CPRS[Y] = nameplate clinker capacity whose kiln campaign ends in year Y and therefore reaches an overhaul-vs-replace DECISION that year. The decision OUTCOME (overhaul vs. replace) is endogenous, made by the CRSW-weighted two-option relative-cost logit (overhaul capex, CRCC, annuitized, vs. the pathway's share-weighted new-build cost). CPRS does not say what retires - it says how much nameplate capacity, by pathway, reaches a decision each year. GEM's cement tracker records no kiln-level vintages, so this schedule is built from fleet age cohorts rather than a unit-by-unit table (contrast with steel's GEM-sourced SPRS).</t>
        </is>
      </c>
    </row>
    <row r="13">
      <c r="A13" s="1" t="inlineStr">
        <is>
          <t>Pre-2000 cohort schedule</t>
        </is>
      </c>
      <c r="B13" s="3" t="inlineStr">
        <is>
          <t>NZA's own convention: post-2025 turnover at 7%/yr of the 49.6 Mt pre-2000 cohort, from 2026. 7% x 49.6 Mt = 3.472 Mt/yr, rounded to the shipped 3,470,000, applied 2026-2039 (14 years); the remainder (49.6 Mt - 14 x 3.47 Mt = 1.02 Mt) decides in 2040. NZA's pre-2025 3%/yr retirement convention (2018-2025) is already embedded in the USGS 2025 capacity figure the module's start-year stock initializes from, so it is not re-applied here. See the Derivation tab.</t>
        </is>
      </c>
    </row>
    <row r="14">
      <c r="A14" s="1" t="inlineStr">
        <is>
          <t>Post-2000 cohort schedule</t>
        </is>
      </c>
      <c r="B14" s="3" t="inlineStr">
        <is>
          <t>The 46.7 Mt post-2000 cohort was installed roughly 2000-2010 and reaches its 35-year campaign end individually staggered across that installation window. Approximated as a flat 46.7 Mt / 10 yr = 4.67 Mt/yr (rounded to the shipped 4,700,000/yr) over 2036-2045 - a documented simplification in the absence of kiln-level install-year data. See the Derivation tab.</t>
        </is>
      </c>
    </row>
    <row r="15">
      <c r="A15" s="1" t="inlineStr">
        <is>
          <t>Overlap years 2036-2039</t>
        </is>
      </c>
      <c r="B15" s="3" t="inlineStr">
        <is>
          <t>Both cohort schedules are active 2036-2039, so CPRS in those years is the SUM of the pre-2000 remainder-period rate (3.47 Mt/yr through 2039) and the post-2000 flat rate (4.70 Mt/yr): 8,170,000/yr. 2040 sums the pre-2000 remainder (1,020,000) and the post-2000 rate (4,700,000) = 5,720,000. 2041-2045 carries only the post-2000 rate (4,700,000).</t>
        </is>
      </c>
    </row>
    <row r="16">
      <c r="A16" s="1" t="inlineStr">
        <is>
          <t>Pathway attribution</t>
        </is>
      </c>
      <c r="B16" s="3" t="inlineStr">
        <is>
          <t>All decision capacity is attributed to the dry kiln with precalciner pathway (the entire preexisting fleet); the other three pathways are 0 in every year, consistent with SYCPbP.</t>
        </is>
      </c>
    </row>
    <row r="17">
      <c r="A17" s="1" t="inlineStr">
        <is>
          <t>Upgrade path</t>
        </is>
      </c>
      <c r="B17" s="3" t="inlineStr">
        <is>
          <t>PCA's Plant Information Summary carries kiln-level vintage data but is a proprietary/member-only product; upgrading this schedule to unit-level (as steel's GEM-sourced SPRS does) requires EI access to that data set.</t>
        </is>
      </c>
    </row>
    <row r="18">
      <c r="A18" s="1" t="inlineStr">
        <is>
          <t>DRAFT status</t>
        </is>
      </c>
      <c r="B18" s="3" t="inlineStr">
        <is>
          <t>DRAFT - verify against primary sources before release. This workbook is an input for staff review, not a finished or approved EI position.</t>
        </is>
      </c>
    </row>
    <row r="19">
      <c r="A19" s="1" t="inlineStr">
        <is>
          <t>Provenance</t>
        </is>
      </c>
      <c r="B19" s="3" t="inlineStr">
        <is>
          <t>Written by Claude Code (Fable/Sonnet agent session), cement industry breakout, worktree cement-industry-breakout-f901fc, 2026-08-26. This is a DRAFT input for staff review, not a finished or approved EI position; verify all figures against primary sources before use in any work product. Reviewed by: (pending).</t>
        </is>
      </c>
    </row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Cohort</t>
        </is>
      </c>
      <c r="B1" s="1" t="inlineStr">
        <is>
          <t>Kiln count</t>
        </is>
      </c>
      <c r="C1" s="1" t="inlineStr">
        <is>
          <t>Nameplate capacity (Mt/yr)</t>
        </is>
      </c>
      <c r="D1" s="1" t="inlineStr">
        <is>
          <t>Convention</t>
        </is>
      </c>
    </row>
    <row r="2">
      <c r="A2" t="inlineStr">
        <is>
          <t>Pre-2000</t>
        </is>
      </c>
      <c r="B2" t="n">
        <v>92</v>
      </c>
      <c r="C2" t="n">
        <v>49.6</v>
      </c>
      <c r="D2" t="inlineStr">
        <is>
          <t>7%/yr turnover from 2026 (NZA post-2025 rate)</t>
        </is>
      </c>
    </row>
    <row r="3">
      <c r="A3" t="inlineStr">
        <is>
          <t>Post-2000</t>
        </is>
      </c>
      <c r="B3" t="n">
        <v>38</v>
      </c>
      <c r="C3" t="n">
        <v>46.7</v>
      </c>
      <c r="D3" t="inlineStr">
        <is>
          <t>35-yr campaign, staggered installs ~2000-2010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Pre-2000 cohort: 7%/yr of 49.6 Mt, 2026-2039, remainder in 2040</t>
        </is>
      </c>
    </row>
    <row r="3">
      <c r="A3" t="inlineStr">
        <is>
          <t>Pre-2000 cohort nameplate (Mt)</t>
        </is>
      </c>
      <c r="B3">
        <f>'NZA Annex K Cohorts'!C2</f>
        <v/>
      </c>
    </row>
    <row r="4">
      <c r="A4" t="inlineStr">
        <is>
          <t>Annual rate = 7% x cohort</t>
        </is>
      </c>
      <c r="B4">
        <f>0.07*B3</f>
        <v/>
      </c>
    </row>
    <row r="5">
      <c r="A5" t="inlineStr">
        <is>
          <t>Annual rate, rounded to nearest 10,000 t/yr (shipped)</t>
        </is>
      </c>
      <c r="B5" t="n">
        <v>3470000</v>
      </c>
    </row>
    <row r="6">
      <c r="A6" t="inlineStr">
        <is>
          <t>Years at full rate (2026-2039)</t>
        </is>
      </c>
      <c r="B6" t="n">
        <v>14</v>
      </c>
    </row>
    <row r="7">
      <c r="A7" t="inlineStr">
        <is>
          <t>Cumulative at full rate (Mt)</t>
        </is>
      </c>
      <c r="B7">
        <f>B5*B6/1000000</f>
        <v/>
      </c>
    </row>
    <row r="8">
      <c r="A8" t="inlineStr">
        <is>
          <t>Remainder in 2040 (Mt) = cohort - cumulative</t>
        </is>
      </c>
      <c r="B8">
        <f>B3-B7</f>
        <v/>
      </c>
    </row>
    <row r="9">
      <c r="A9" t="inlineStr">
        <is>
          <t>Remainder in 2040, shipped (t/yr)</t>
        </is>
      </c>
      <c r="B9" t="n">
        <v>1020000</v>
      </c>
    </row>
    <row r="11">
      <c r="A11" s="1" t="inlineStr">
        <is>
          <t>Post-2000 cohort: 35-yr staggered campaign end, 2036-2045</t>
        </is>
      </c>
    </row>
    <row r="13">
      <c r="A13" t="inlineStr">
        <is>
          <t>Post-2000 cohort nameplate (Mt)</t>
        </is>
      </c>
      <c r="B13">
        <f>'NZA Annex K Cohorts'!C3</f>
        <v/>
      </c>
    </row>
    <row r="14">
      <c r="A14" t="inlineStr">
        <is>
          <t>Years spanned (2036-2045)</t>
        </is>
      </c>
      <c r="B14" t="n">
        <v>10</v>
      </c>
    </row>
    <row r="15">
      <c r="A15" t="inlineStr">
        <is>
          <t>Annual rate = cohort / years (Mt/yr)</t>
        </is>
      </c>
      <c r="B15">
        <f>B13/B14</f>
        <v/>
      </c>
    </row>
    <row r="16">
      <c r="A16" t="inlineStr">
        <is>
          <t>Annual rate, shipped (t/yr)</t>
        </is>
      </c>
      <c r="B16" t="n">
        <v>4700000</v>
      </c>
    </row>
    <row r="18">
      <c r="A18" s="1" t="inlineStr">
        <is>
          <t>Year-by-year schedule (t/yr), pre-2000 + post-2000</t>
        </is>
      </c>
    </row>
    <row r="19">
      <c r="A19" t="inlineStr">
        <is>
          <t>Year</t>
        </is>
      </c>
      <c r="B19" t="inlineStr">
        <is>
          <t>Pre-2000 component</t>
        </is>
      </c>
      <c r="C19" t="inlineStr">
        <is>
          <t>Post-2000 component</t>
        </is>
      </c>
      <c r="D19" t="inlineStr">
        <is>
          <t>Total (dry kiln with precalciner)</t>
        </is>
      </c>
    </row>
    <row r="20">
      <c r="A20" t="n">
        <v>2021</v>
      </c>
      <c r="B20" t="n">
        <v>0</v>
      </c>
      <c r="C20" t="n">
        <v>0</v>
      </c>
      <c r="D20">
        <f>B20+C20</f>
        <v/>
      </c>
    </row>
    <row r="21">
      <c r="A21" t="n">
        <v>2022</v>
      </c>
      <c r="B21" t="n">
        <v>0</v>
      </c>
      <c r="C21" t="n">
        <v>0</v>
      </c>
      <c r="D21">
        <f>B21+C21</f>
        <v/>
      </c>
    </row>
    <row r="22">
      <c r="A22" t="n">
        <v>2023</v>
      </c>
      <c r="B22" t="n">
        <v>0</v>
      </c>
      <c r="C22" t="n">
        <v>0</v>
      </c>
      <c r="D22">
        <f>B22+C22</f>
        <v/>
      </c>
    </row>
    <row r="23">
      <c r="A23" t="n">
        <v>2024</v>
      </c>
      <c r="B23" t="n">
        <v>0</v>
      </c>
      <c r="C23" t="n">
        <v>0</v>
      </c>
      <c r="D23">
        <f>B23+C23</f>
        <v/>
      </c>
    </row>
    <row r="24">
      <c r="A24" t="n">
        <v>2025</v>
      </c>
      <c r="B24" t="n">
        <v>0</v>
      </c>
      <c r="C24" t="n">
        <v>0</v>
      </c>
      <c r="D24">
        <f>B24+C24</f>
        <v/>
      </c>
    </row>
    <row r="25">
      <c r="A25" t="n">
        <v>2026</v>
      </c>
      <c r="B25">
        <f>$B$5</f>
        <v/>
      </c>
      <c r="C25" t="n">
        <v>0</v>
      </c>
      <c r="D25">
        <f>B25+C25</f>
        <v/>
      </c>
    </row>
    <row r="26">
      <c r="A26" t="n">
        <v>2027</v>
      </c>
      <c r="B26">
        <f>$B$5</f>
        <v/>
      </c>
      <c r="C26" t="n">
        <v>0</v>
      </c>
      <c r="D26">
        <f>B26+C26</f>
        <v/>
      </c>
    </row>
    <row r="27">
      <c r="A27" t="n">
        <v>2028</v>
      </c>
      <c r="B27">
        <f>$B$5</f>
        <v/>
      </c>
      <c r="C27" t="n">
        <v>0</v>
      </c>
      <c r="D27">
        <f>B27+C27</f>
        <v/>
      </c>
    </row>
    <row r="28">
      <c r="A28" t="n">
        <v>2029</v>
      </c>
      <c r="B28">
        <f>$B$5</f>
        <v/>
      </c>
      <c r="C28" t="n">
        <v>0</v>
      </c>
      <c r="D28">
        <f>B28+C28</f>
        <v/>
      </c>
    </row>
    <row r="29">
      <c r="A29" t="n">
        <v>2030</v>
      </c>
      <c r="B29">
        <f>$B$5</f>
        <v/>
      </c>
      <c r="C29" t="n">
        <v>0</v>
      </c>
      <c r="D29">
        <f>B29+C29</f>
        <v/>
      </c>
    </row>
    <row r="30">
      <c r="A30" t="n">
        <v>2031</v>
      </c>
      <c r="B30">
        <f>$B$5</f>
        <v/>
      </c>
      <c r="C30" t="n">
        <v>0</v>
      </c>
      <c r="D30">
        <f>B30+C30</f>
        <v/>
      </c>
    </row>
    <row r="31">
      <c r="A31" t="n">
        <v>2032</v>
      </c>
      <c r="B31">
        <f>$B$5</f>
        <v/>
      </c>
      <c r="C31" t="n">
        <v>0</v>
      </c>
      <c r="D31">
        <f>B31+C31</f>
        <v/>
      </c>
    </row>
    <row r="32">
      <c r="A32" t="n">
        <v>2033</v>
      </c>
      <c r="B32">
        <f>$B$5</f>
        <v/>
      </c>
      <c r="C32" t="n">
        <v>0</v>
      </c>
      <c r="D32">
        <f>B32+C32</f>
        <v/>
      </c>
    </row>
    <row r="33">
      <c r="A33" t="n">
        <v>2034</v>
      </c>
      <c r="B33">
        <f>$B$5</f>
        <v/>
      </c>
      <c r="C33" t="n">
        <v>0</v>
      </c>
      <c r="D33">
        <f>B33+C33</f>
        <v/>
      </c>
    </row>
    <row r="34">
      <c r="A34" t="n">
        <v>2035</v>
      </c>
      <c r="B34">
        <f>$B$5</f>
        <v/>
      </c>
      <c r="C34" t="n">
        <v>0</v>
      </c>
      <c r="D34">
        <f>B34+C34</f>
        <v/>
      </c>
    </row>
    <row r="35">
      <c r="A35" t="n">
        <v>2036</v>
      </c>
      <c r="B35">
        <f>$B$5</f>
        <v/>
      </c>
      <c r="C35">
        <f>$B$16</f>
        <v/>
      </c>
      <c r="D35">
        <f>B35+C35</f>
        <v/>
      </c>
    </row>
    <row r="36">
      <c r="A36" t="n">
        <v>2037</v>
      </c>
      <c r="B36">
        <f>$B$5</f>
        <v/>
      </c>
      <c r="C36">
        <f>$B$16</f>
        <v/>
      </c>
      <c r="D36">
        <f>B36+C36</f>
        <v/>
      </c>
    </row>
    <row r="37">
      <c r="A37" t="n">
        <v>2038</v>
      </c>
      <c r="B37">
        <f>$B$5</f>
        <v/>
      </c>
      <c r="C37">
        <f>$B$16</f>
        <v/>
      </c>
      <c r="D37">
        <f>B37+C37</f>
        <v/>
      </c>
    </row>
    <row r="38">
      <c r="A38" t="n">
        <v>2039</v>
      </c>
      <c r="B38">
        <f>$B$5</f>
        <v/>
      </c>
      <c r="C38">
        <f>$B$16</f>
        <v/>
      </c>
      <c r="D38">
        <f>B38+C38</f>
        <v/>
      </c>
    </row>
    <row r="39">
      <c r="A39" t="n">
        <v>2040</v>
      </c>
      <c r="B39">
        <f>$B$9</f>
        <v/>
      </c>
      <c r="C39">
        <f>$B$16</f>
        <v/>
      </c>
      <c r="D39">
        <f>B39+C39</f>
        <v/>
      </c>
    </row>
    <row r="40">
      <c r="A40" t="n">
        <v>2041</v>
      </c>
      <c r="B40" t="n">
        <v>0</v>
      </c>
      <c r="C40">
        <f>$B$16</f>
        <v/>
      </c>
      <c r="D40">
        <f>B40+C40</f>
        <v/>
      </c>
    </row>
    <row r="41">
      <c r="A41" t="n">
        <v>2042</v>
      </c>
      <c r="B41" t="n">
        <v>0</v>
      </c>
      <c r="C41">
        <f>$B$16</f>
        <v/>
      </c>
      <c r="D41">
        <f>B41+C41</f>
        <v/>
      </c>
    </row>
    <row r="42">
      <c r="A42" t="n">
        <v>2043</v>
      </c>
      <c r="B42" t="n">
        <v>0</v>
      </c>
      <c r="C42">
        <f>$B$16</f>
        <v/>
      </c>
      <c r="D42">
        <f>B42+C42</f>
        <v/>
      </c>
    </row>
    <row r="43">
      <c r="A43" t="n">
        <v>2044</v>
      </c>
      <c r="B43" t="n">
        <v>0</v>
      </c>
      <c r="C43">
        <f>$B$16</f>
        <v/>
      </c>
      <c r="D43">
        <f>B43+C43</f>
        <v/>
      </c>
    </row>
    <row r="44">
      <c r="A44" t="n">
        <v>2045</v>
      </c>
      <c r="B44" t="n">
        <v>0</v>
      </c>
      <c r="C44">
        <f>$B$16</f>
        <v/>
      </c>
      <c r="D44">
        <f>B44+C44</f>
        <v/>
      </c>
    </row>
    <row r="45">
      <c r="A45" t="n">
        <v>2046</v>
      </c>
      <c r="B45" t="n">
        <v>0</v>
      </c>
      <c r="C45" t="n">
        <v>0</v>
      </c>
      <c r="D45">
        <f>B45+C45</f>
        <v/>
      </c>
    </row>
    <row r="46">
      <c r="A46" t="n">
        <v>2047</v>
      </c>
      <c r="B46" t="n">
        <v>0</v>
      </c>
      <c r="C46" t="n">
        <v>0</v>
      </c>
      <c r="D46">
        <f>B46+C46</f>
        <v/>
      </c>
    </row>
    <row r="47">
      <c r="A47" t="n">
        <v>2048</v>
      </c>
      <c r="B47" t="n">
        <v>0</v>
      </c>
      <c r="C47" t="n">
        <v>0</v>
      </c>
      <c r="D47">
        <f>B47+C47</f>
        <v/>
      </c>
    </row>
    <row r="48">
      <c r="A48" t="n">
        <v>2049</v>
      </c>
      <c r="B48" t="n">
        <v>0</v>
      </c>
      <c r="C48" t="n">
        <v>0</v>
      </c>
      <c r="D48">
        <f>B48+C48</f>
        <v/>
      </c>
    </row>
    <row r="49">
      <c r="A49" t="n">
        <v>2050</v>
      </c>
      <c r="B49" t="n">
        <v>0</v>
      </c>
      <c r="C49" t="n">
        <v>0</v>
      </c>
      <c r="D49">
        <f>B49+C49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Cross-check: export tab (dry kiln with precalciner row) literal vs. Derivation formula total, all 30 years</t>
        </is>
      </c>
    </row>
    <row r="3">
      <c r="A3" t="inlineStr">
        <is>
          <t>Year</t>
        </is>
      </c>
      <c r="B3" t="inlineStr">
        <is>
          <t>Export tab value</t>
        </is>
      </c>
      <c r="C3" t="inlineStr">
        <is>
          <t>Derivation total</t>
        </is>
      </c>
      <c r="D3" t="inlineStr">
        <is>
          <t>Result</t>
        </is>
      </c>
    </row>
    <row r="4">
      <c r="A4" t="n">
        <v>2021</v>
      </c>
      <c r="B4">
        <f>CPRS!B2</f>
        <v/>
      </c>
      <c r="C4">
        <f>Derivation!D20</f>
        <v/>
      </c>
      <c r="D4">
        <f>IF(ABS(B4-C4)&lt;0.5,"PASS","FAIL")</f>
        <v/>
      </c>
    </row>
    <row r="5">
      <c r="A5" t="n">
        <v>2022</v>
      </c>
      <c r="B5">
        <f>CPRS!C2</f>
        <v/>
      </c>
      <c r="C5">
        <f>Derivation!D21</f>
        <v/>
      </c>
      <c r="D5">
        <f>IF(ABS(B5-C5)&lt;0.5,"PASS","FAIL")</f>
        <v/>
      </c>
    </row>
    <row r="6">
      <c r="A6" t="n">
        <v>2023</v>
      </c>
      <c r="B6">
        <f>CPRS!D2</f>
        <v/>
      </c>
      <c r="C6">
        <f>Derivation!D22</f>
        <v/>
      </c>
      <c r="D6">
        <f>IF(ABS(B6-C6)&lt;0.5,"PASS","FAIL")</f>
        <v/>
      </c>
    </row>
    <row r="7">
      <c r="A7" t="n">
        <v>2024</v>
      </c>
      <c r="B7">
        <f>CPRS!E2</f>
        <v/>
      </c>
      <c r="C7">
        <f>Derivation!D23</f>
        <v/>
      </c>
      <c r="D7">
        <f>IF(ABS(B7-C7)&lt;0.5,"PASS","FAIL")</f>
        <v/>
      </c>
    </row>
    <row r="8">
      <c r="A8" t="n">
        <v>2025</v>
      </c>
      <c r="B8">
        <f>CPRS!F2</f>
        <v/>
      </c>
      <c r="C8">
        <f>Derivation!D24</f>
        <v/>
      </c>
      <c r="D8">
        <f>IF(ABS(B8-C8)&lt;0.5,"PASS","FAIL")</f>
        <v/>
      </c>
    </row>
    <row r="9">
      <c r="A9" t="n">
        <v>2026</v>
      </c>
      <c r="B9">
        <f>CPRS!G2</f>
        <v/>
      </c>
      <c r="C9">
        <f>Derivation!D25</f>
        <v/>
      </c>
      <c r="D9">
        <f>IF(ABS(B9-C9)&lt;0.5,"PASS","FAIL")</f>
        <v/>
      </c>
    </row>
    <row r="10">
      <c r="A10" t="n">
        <v>2027</v>
      </c>
      <c r="B10">
        <f>CPRS!H2</f>
        <v/>
      </c>
      <c r="C10">
        <f>Derivation!D26</f>
        <v/>
      </c>
      <c r="D10">
        <f>IF(ABS(B10-C10)&lt;0.5,"PASS","FAIL")</f>
        <v/>
      </c>
    </row>
    <row r="11">
      <c r="A11" t="n">
        <v>2028</v>
      </c>
      <c r="B11">
        <f>CPRS!I2</f>
        <v/>
      </c>
      <c r="C11">
        <f>Derivation!D27</f>
        <v/>
      </c>
      <c r="D11">
        <f>IF(ABS(B11-C11)&lt;0.5,"PASS","FAIL")</f>
        <v/>
      </c>
    </row>
    <row r="12">
      <c r="A12" t="n">
        <v>2029</v>
      </c>
      <c r="B12">
        <f>CPRS!J2</f>
        <v/>
      </c>
      <c r="C12">
        <f>Derivation!D28</f>
        <v/>
      </c>
      <c r="D12">
        <f>IF(ABS(B12-C12)&lt;0.5,"PASS","FAIL")</f>
        <v/>
      </c>
    </row>
    <row r="13">
      <c r="A13" t="n">
        <v>2030</v>
      </c>
      <c r="B13">
        <f>CPRS!K2</f>
        <v/>
      </c>
      <c r="C13">
        <f>Derivation!D29</f>
        <v/>
      </c>
      <c r="D13">
        <f>IF(ABS(B13-C13)&lt;0.5,"PASS","FAIL")</f>
        <v/>
      </c>
    </row>
    <row r="14">
      <c r="A14" t="n">
        <v>2031</v>
      </c>
      <c r="B14">
        <f>CPRS!L2</f>
        <v/>
      </c>
      <c r="C14">
        <f>Derivation!D30</f>
        <v/>
      </c>
      <c r="D14">
        <f>IF(ABS(B14-C14)&lt;0.5,"PASS","FAIL")</f>
        <v/>
      </c>
    </row>
    <row r="15">
      <c r="A15" t="n">
        <v>2032</v>
      </c>
      <c r="B15">
        <f>CPRS!M2</f>
        <v/>
      </c>
      <c r="C15">
        <f>Derivation!D31</f>
        <v/>
      </c>
      <c r="D15">
        <f>IF(ABS(B15-C15)&lt;0.5,"PASS","FAIL")</f>
        <v/>
      </c>
    </row>
    <row r="16">
      <c r="A16" t="n">
        <v>2033</v>
      </c>
      <c r="B16">
        <f>CPRS!N2</f>
        <v/>
      </c>
      <c r="C16">
        <f>Derivation!D32</f>
        <v/>
      </c>
      <c r="D16">
        <f>IF(ABS(B16-C16)&lt;0.5,"PASS","FAIL")</f>
        <v/>
      </c>
    </row>
    <row r="17">
      <c r="A17" t="n">
        <v>2034</v>
      </c>
      <c r="B17">
        <f>CPRS!O2</f>
        <v/>
      </c>
      <c r="C17">
        <f>Derivation!D33</f>
        <v/>
      </c>
      <c r="D17">
        <f>IF(ABS(B17-C17)&lt;0.5,"PASS","FAIL")</f>
        <v/>
      </c>
    </row>
    <row r="18">
      <c r="A18" t="n">
        <v>2035</v>
      </c>
      <c r="B18">
        <f>CPRS!P2</f>
        <v/>
      </c>
      <c r="C18">
        <f>Derivation!D34</f>
        <v/>
      </c>
      <c r="D18">
        <f>IF(ABS(B18-C18)&lt;0.5,"PASS","FAIL")</f>
        <v/>
      </c>
    </row>
    <row r="19">
      <c r="A19" t="n">
        <v>2036</v>
      </c>
      <c r="B19">
        <f>CPRS!Q2</f>
        <v/>
      </c>
      <c r="C19">
        <f>Derivation!D35</f>
        <v/>
      </c>
      <c r="D19">
        <f>IF(ABS(B19-C19)&lt;0.5,"PASS","FAIL")</f>
        <v/>
      </c>
    </row>
    <row r="20">
      <c r="A20" t="n">
        <v>2037</v>
      </c>
      <c r="B20">
        <f>CPRS!R2</f>
        <v/>
      </c>
      <c r="C20">
        <f>Derivation!D36</f>
        <v/>
      </c>
      <c r="D20">
        <f>IF(ABS(B20-C20)&lt;0.5,"PASS","FAIL")</f>
        <v/>
      </c>
    </row>
    <row r="21">
      <c r="A21" t="n">
        <v>2038</v>
      </c>
      <c r="B21">
        <f>CPRS!S2</f>
        <v/>
      </c>
      <c r="C21">
        <f>Derivation!D37</f>
        <v/>
      </c>
      <c r="D21">
        <f>IF(ABS(B21-C21)&lt;0.5,"PASS","FAIL")</f>
        <v/>
      </c>
    </row>
    <row r="22">
      <c r="A22" t="n">
        <v>2039</v>
      </c>
      <c r="B22">
        <f>CPRS!T2</f>
        <v/>
      </c>
      <c r="C22">
        <f>Derivation!D38</f>
        <v/>
      </c>
      <c r="D22">
        <f>IF(ABS(B22-C22)&lt;0.5,"PASS","FAIL")</f>
        <v/>
      </c>
    </row>
    <row r="23">
      <c r="A23" t="n">
        <v>2040</v>
      </c>
      <c r="B23">
        <f>CPRS!U2</f>
        <v/>
      </c>
      <c r="C23">
        <f>Derivation!D39</f>
        <v/>
      </c>
      <c r="D23">
        <f>IF(ABS(B23-C23)&lt;0.5,"PASS","FAIL")</f>
        <v/>
      </c>
    </row>
    <row r="24">
      <c r="A24" t="n">
        <v>2041</v>
      </c>
      <c r="B24">
        <f>CPRS!V2</f>
        <v/>
      </c>
      <c r="C24">
        <f>Derivation!D40</f>
        <v/>
      </c>
      <c r="D24">
        <f>IF(ABS(B24-C24)&lt;0.5,"PASS","FAIL")</f>
        <v/>
      </c>
    </row>
    <row r="25">
      <c r="A25" t="n">
        <v>2042</v>
      </c>
      <c r="B25">
        <f>CPRS!W2</f>
        <v/>
      </c>
      <c r="C25">
        <f>Derivation!D41</f>
        <v/>
      </c>
      <c r="D25">
        <f>IF(ABS(B25-C25)&lt;0.5,"PASS","FAIL")</f>
        <v/>
      </c>
    </row>
    <row r="26">
      <c r="A26" t="n">
        <v>2043</v>
      </c>
      <c r="B26">
        <f>CPRS!X2</f>
        <v/>
      </c>
      <c r="C26">
        <f>Derivation!D42</f>
        <v/>
      </c>
      <c r="D26">
        <f>IF(ABS(B26-C26)&lt;0.5,"PASS","FAIL")</f>
        <v/>
      </c>
    </row>
    <row r="27">
      <c r="A27" t="n">
        <v>2044</v>
      </c>
      <c r="B27">
        <f>CPRS!Y2</f>
        <v/>
      </c>
      <c r="C27">
        <f>Derivation!D43</f>
        <v/>
      </c>
      <c r="D27">
        <f>IF(ABS(B27-C27)&lt;0.5,"PASS","FAIL")</f>
        <v/>
      </c>
    </row>
    <row r="28">
      <c r="A28" t="n">
        <v>2045</v>
      </c>
      <c r="B28">
        <f>CPRS!Z2</f>
        <v/>
      </c>
      <c r="C28">
        <f>Derivation!D44</f>
        <v/>
      </c>
      <c r="D28">
        <f>IF(ABS(B28-C28)&lt;0.5,"PASS","FAIL")</f>
        <v/>
      </c>
    </row>
    <row r="29">
      <c r="A29" t="n">
        <v>2046</v>
      </c>
      <c r="B29">
        <f>CPRS!AA2</f>
        <v/>
      </c>
      <c r="C29">
        <f>Derivation!D45</f>
        <v/>
      </c>
      <c r="D29">
        <f>IF(ABS(B29-C29)&lt;0.5,"PASS","FAIL")</f>
        <v/>
      </c>
    </row>
    <row r="30">
      <c r="A30" t="n">
        <v>2047</v>
      </c>
      <c r="B30">
        <f>CPRS!AB2</f>
        <v/>
      </c>
      <c r="C30">
        <f>Derivation!D46</f>
        <v/>
      </c>
      <c r="D30">
        <f>IF(ABS(B30-C30)&lt;0.5,"PASS","FAIL")</f>
        <v/>
      </c>
    </row>
    <row r="31">
      <c r="A31" t="n">
        <v>2048</v>
      </c>
      <c r="B31">
        <f>CPRS!AC2</f>
        <v/>
      </c>
      <c r="C31">
        <f>Derivation!D47</f>
        <v/>
      </c>
      <c r="D31">
        <f>IF(ABS(B31-C31)&lt;0.5,"PASS","FAIL")</f>
        <v/>
      </c>
    </row>
    <row r="32">
      <c r="A32" t="n">
        <v>2049</v>
      </c>
      <c r="B32">
        <f>CPRS!AD2</f>
        <v/>
      </c>
      <c r="C32">
        <f>Derivation!D48</f>
        <v/>
      </c>
      <c r="D32">
        <f>IF(ABS(B32-C32)&lt;0.5,"PASS","FAIL")</f>
        <v/>
      </c>
    </row>
    <row r="33">
      <c r="A33" t="n">
        <v>2050</v>
      </c>
      <c r="B33">
        <f>CPRS!AE2</f>
        <v/>
      </c>
      <c r="C33">
        <f>Derivation!D49</f>
        <v/>
      </c>
      <c r="D33">
        <f>IF(ABS(B33-C33)&lt;0.5,"PASS","FAIL")</f>
        <v/>
      </c>
    </row>
    <row r="35">
      <c r="A35" s="1" t="inlineStr">
        <is>
          <t>Overall</t>
        </is>
      </c>
      <c r="B35">
        <f>IF(COUNTIF(D4:D33,"FAIL")=0,"ALL PASS","CHECK FAILURES ABOVE")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A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Unit: metric tons/year nameplate reaching campaign-end decision (NZA Annex K cohorts confirmed exact; pre-2000 at NZA 7%/yr from 2026, post-2000 35-yr staggered 2036-45)</t>
        </is>
      </c>
      <c r="B1" t="n">
        <v>2021</v>
      </c>
      <c r="C1" t="n">
        <v>2022</v>
      </c>
      <c r="D1" t="n">
        <v>2023</v>
      </c>
      <c r="E1" t="n">
        <v>2024</v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  <c r="L1" t="n">
        <v>2031</v>
      </c>
      <c r="M1" t="n">
        <v>2032</v>
      </c>
      <c r="N1" t="n">
        <v>2033</v>
      </c>
      <c r="O1" t="n">
        <v>2034</v>
      </c>
      <c r="P1" t="n">
        <v>2035</v>
      </c>
      <c r="Q1" t="n">
        <v>2036</v>
      </c>
      <c r="R1" t="n">
        <v>2037</v>
      </c>
      <c r="S1" t="n">
        <v>2038</v>
      </c>
      <c r="T1" t="n">
        <v>2039</v>
      </c>
      <c r="U1" t="n">
        <v>2040</v>
      </c>
      <c r="V1" t="n">
        <v>2041</v>
      </c>
      <c r="W1" t="n">
        <v>2042</v>
      </c>
      <c r="X1" t="n">
        <v>2043</v>
      </c>
      <c r="Y1" t="n">
        <v>2044</v>
      </c>
      <c r="Z1" t="n">
        <v>2045</v>
      </c>
      <c r="AA1" t="n">
        <v>2046</v>
      </c>
      <c r="AB1" t="n">
        <v>2047</v>
      </c>
      <c r="AC1" t="n">
        <v>2048</v>
      </c>
      <c r="AD1" t="n">
        <v>2049</v>
      </c>
      <c r="AE1" t="n">
        <v>2050</v>
      </c>
    </row>
    <row r="2">
      <c r="A2" t="inlineStr">
        <is>
          <t>dry kiln with precalciner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3470000</v>
      </c>
      <c r="H2" t="n">
        <v>3470000</v>
      </c>
      <c r="I2" t="n">
        <v>3470000</v>
      </c>
      <c r="J2" t="n">
        <v>3470000</v>
      </c>
      <c r="K2" t="n">
        <v>3470000</v>
      </c>
      <c r="L2" t="n">
        <v>3470000</v>
      </c>
      <c r="M2" t="n">
        <v>3470000</v>
      </c>
      <c r="N2" t="n">
        <v>3470000</v>
      </c>
      <c r="O2" t="n">
        <v>3470000</v>
      </c>
      <c r="P2" t="n">
        <v>3470000</v>
      </c>
      <c r="Q2" t="n">
        <v>8170000</v>
      </c>
      <c r="R2" t="n">
        <v>8170000</v>
      </c>
      <c r="S2" t="n">
        <v>8170000</v>
      </c>
      <c r="T2" t="n">
        <v>8170000</v>
      </c>
      <c r="U2" t="n">
        <v>5720000</v>
      </c>
      <c r="V2" t="n">
        <v>4700000</v>
      </c>
      <c r="W2" t="n">
        <v>4700000</v>
      </c>
      <c r="X2" t="n">
        <v>4700000</v>
      </c>
      <c r="Y2" t="n">
        <v>4700000</v>
      </c>
      <c r="Z2" t="n">
        <v>4700000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dry kiln with CCS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electric kiln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alternative chemistry cement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2026-08-26T11:48:09Z</dcterms:created>
  <dcterms:modified xsi:type="dcterms:W3CDTF">2026-08-26T11:48:09Z</dcterms:modified>
</cp:coreProperties>
</file>