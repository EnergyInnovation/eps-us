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_cement\CCTS\"/>
    </mc:Choice>
  </mc:AlternateContent>
  <xr:revisionPtr revIDLastSave="0" documentId="13_ncr:1_{BA24015F-BE66-42E7-BDEE-4CF6AED839B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Assumptions" sheetId="2" r:id="rId2"/>
    <sheet name="Checks" sheetId="3" r:id="rId3"/>
    <sheet name="C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3"/>
  <c r="C3" i="3" s="1"/>
</calcChain>
</file>

<file path=xl/sharedStrings.xml><?xml version="1.0" encoding="utf-8"?>
<sst xmlns="http://schemas.openxmlformats.org/spreadsheetml/2006/main" count="34" uniqueCount="31">
  <si>
    <t>CCTS Cement CCfD Two Sided Share</t>
  </si>
  <si>
    <t>Sources:</t>
  </si>
  <si>
    <t>Two-sided contracts (the excess is paid back when the carbon price passes the strike)</t>
  </si>
  <si>
    <t>German Federal Ministry for Economic Affairs and Climate Action (BMWK)</t>
  </si>
  <si>
    <t>Funding guideline for climate protection contracts (Foerderrichtlinie Klimaschutzvertraege, FRL KSV) of 11 March 2024, as summarised in industriAll Europe, The Carbon Contracts for Difference in Germany (2024)</t>
  </si>
  <si>
    <t>https://news.industriall-europe.eu/documents/upload/2024/7/638554482875183634_The_Carbon_Contracts_for_Difference_in_Germany._A_new_funding_instrument_for_the_transition_with_the_respect_of_social_conditional_(2).pdf</t>
  </si>
  <si>
    <t>Fifteen-year carbon contracts for difference for energy-intensive industry, including cement. When the climate-friendly route becomes cheaper than the conventional one (for example because the EU carbon price rises), payments reverse and the company pays the surplus to the state. The model value 1 represents this design. Secondary summary; check the guideline text for the exact surplus-payment rule.</t>
  </si>
  <si>
    <t>One-sided contracts (payments stop at zero, nothing is paid back)</t>
  </si>
  <si>
    <t>Netherlands Enterprise Agency (RVO)</t>
  </si>
  <si>
    <t>SDE++ 2024 brochure (Stimulation of Sustainable Energy Production and Climate Transition), including CO2 capture and storage at industrial sites</t>
  </si>
  <si>
    <t>https://english.rvo.nl/sites/default/files/2024-09/Brochure_SDE_English_20240906.pdf</t>
  </si>
  <si>
    <t>Fifteen-year operating subsidy that pays the gap between a base amount (the cost of the clean option) and a correction amount (the market value, including the carbon price for CO2 capture); when the correction amount reaches the base amount the subsidy is zero, and nothing is paid back. The model value 0 represents this design.</t>
  </si>
  <si>
    <t>Notes:</t>
  </si>
  <si>
    <t>Purpose and layout</t>
  </si>
  <si>
    <t>CCTS is the share of cement carbon contracts for difference (the Cement CCfD Strike Price policy) that are two-sided. A contract pays a kiln the strike price per tonne of CO2 avoided, less the carbon price the kiln already faces. When the carbon price rises above the strike, a two-sided contract pays the excess back to government; a one-sided contract simply stops paying. Values between 0 and 1 represent a mix. The setting only matters in years when the carbon price is above the strike. Edit the 'Assumptions' tab; the 'CCTS' tab is exported to CCTS.csv.</t>
  </si>
  <si>
    <t>U.S. value</t>
  </si>
  <si>
    <t>1 (two-sided). The U.S. has no cement contract for difference; two-sided is the design proposed for U.S. industrial contracts for difference and the one Germany uses for cement. Use 0 for a Dutch- or Danish-style one-sided subsidy.</t>
  </si>
  <si>
    <t>Other regions</t>
  </si>
  <si>
    <t>Enter the design of the region's contract program, or 1 where none exists.</t>
  </si>
  <si>
    <t>Values (edit here)</t>
  </si>
  <si>
    <t>Share of carbon contracts for difference that pay back the excess when the carbon price passes the strike.</t>
  </si>
  <si>
    <t>Quantity</t>
  </si>
  <si>
    <t>Value</t>
  </si>
  <si>
    <t>Basis</t>
  </si>
  <si>
    <t>Cement CCfD Two Sided Share</t>
  </si>
  <si>
    <t>Two-sided, the German climate protection contract design</t>
  </si>
  <si>
    <t>Live checks</t>
  </si>
  <si>
    <t>Check</t>
  </si>
  <si>
    <t>Result</t>
  </si>
  <si>
    <t>Exported value between 0 and 1 (count outside)</t>
  </si>
  <si>
    <t>Unit: 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</si>
</sst>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glish.rvo.nl/sites/default/files/2024-09/Brochure_SDE_English_20240906.pdf" TargetMode="External"/><Relationship Id="rId1" Type="http://schemas.openxmlformats.org/officeDocument/2006/relationships/hyperlink" Target="https://news.industriall-europe.eu/documents/upload/2024/7/638554482875183634_The_Carbon_Contracts_for_Difference_in_Germany._A_new_funding_instrument_for_the_transition_with_the_respect_of_social_conditional_(2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ht="30" x14ac:dyDescent="0.25">
      <c r="B5" s="3" t="s">
        <v>4</v>
      </c>
    </row>
    <row r="6" spans="1:2" x14ac:dyDescent="0.25">
      <c r="B6" s="3">
        <v>2024</v>
      </c>
    </row>
    <row r="7" spans="1:2" ht="45" x14ac:dyDescent="0.25">
      <c r="B7" s="4" t="s">
        <v>5</v>
      </c>
    </row>
    <row r="8" spans="1:2" ht="60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ht="30" x14ac:dyDescent="0.25">
      <c r="B12" s="3" t="s">
        <v>9</v>
      </c>
    </row>
    <row r="13" spans="1:2" x14ac:dyDescent="0.25">
      <c r="B13" s="3">
        <v>2024</v>
      </c>
    </row>
    <row r="14" spans="1:2" x14ac:dyDescent="0.25">
      <c r="B14" s="4" t="s">
        <v>10</v>
      </c>
    </row>
    <row r="15" spans="1:2" ht="45" x14ac:dyDescent="0.25">
      <c r="B15" s="3" t="s">
        <v>11</v>
      </c>
    </row>
    <row r="18" spans="1:2" x14ac:dyDescent="0.25">
      <c r="A18" s="1" t="s">
        <v>12</v>
      </c>
    </row>
    <row r="19" spans="1:2" ht="75" x14ac:dyDescent="0.25">
      <c r="A19" s="5" t="s">
        <v>13</v>
      </c>
      <c r="B19" s="3" t="s">
        <v>14</v>
      </c>
    </row>
    <row r="20" spans="1:2" ht="30" x14ac:dyDescent="0.25">
      <c r="A20" s="5" t="s">
        <v>15</v>
      </c>
      <c r="B20" s="3" t="s">
        <v>16</v>
      </c>
    </row>
    <row r="21" spans="1:2" x14ac:dyDescent="0.25">
      <c r="A21" s="5" t="s">
        <v>17</v>
      </c>
      <c r="B21" s="3" t="s">
        <v>18</v>
      </c>
    </row>
  </sheetData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44" customWidth="1"/>
    <col min="2" max="2" width="12" customWidth="1"/>
    <col min="3" max="3" width="70" customWidth="1"/>
  </cols>
  <sheetData>
    <row r="1" spans="1:3" x14ac:dyDescent="0.25">
      <c r="A1" s="1" t="s">
        <v>19</v>
      </c>
    </row>
    <row r="2" spans="1:3" ht="30" customHeight="1" x14ac:dyDescent="0.25">
      <c r="A2" s="7" t="s">
        <v>20</v>
      </c>
      <c r="B2" s="8"/>
      <c r="C2" s="8"/>
    </row>
    <row r="3" spans="1:3" ht="20.100000000000001" customHeight="1" x14ac:dyDescent="0.25">
      <c r="A3" s="6" t="s">
        <v>21</v>
      </c>
      <c r="B3" s="6" t="s">
        <v>22</v>
      </c>
      <c r="C3" s="6" t="s">
        <v>23</v>
      </c>
    </row>
    <row r="4" spans="1:3" x14ac:dyDescent="0.25">
      <c r="A4" t="s">
        <v>24</v>
      </c>
      <c r="B4">
        <v>1</v>
      </c>
      <c r="C4" s="3" t="s">
        <v>25</v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50" customWidth="1"/>
  </cols>
  <sheetData>
    <row r="1" spans="1:3" x14ac:dyDescent="0.25">
      <c r="A1" s="1" t="s">
        <v>26</v>
      </c>
    </row>
    <row r="2" spans="1:3" ht="20.100000000000001" customHeight="1" x14ac:dyDescent="0.25">
      <c r="A2" s="6" t="s">
        <v>27</v>
      </c>
      <c r="B2" s="6" t="s">
        <v>22</v>
      </c>
      <c r="C2" s="6" t="s">
        <v>28</v>
      </c>
    </row>
    <row r="3" spans="1:3" x14ac:dyDescent="0.25">
      <c r="A3" t="s">
        <v>29</v>
      </c>
      <c r="B3">
        <f>COUNTIF(CCTS!B2:B2,"&lt;0")+COUNTIF(CCTS!B2:B2,"&gt;1")+COUNTBLANK(CCTS!B2:B2)</f>
        <v>0</v>
      </c>
      <c r="C3" t="str">
        <f>IF(B3=0,"PASS","FAIL")</f>
        <v>PASS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2"/>
  <sheetViews>
    <sheetView workbookViewId="0"/>
  </sheetViews>
  <sheetFormatPr defaultRowHeight="15" x14ac:dyDescent="0.25"/>
  <cols>
    <col min="1" max="1" width="34" customWidth="1"/>
  </cols>
  <sheetData>
    <row r="1" spans="1:2" x14ac:dyDescent="0.25">
      <c r="A1" t="s">
        <v>30</v>
      </c>
      <c r="B1" t="s">
        <v>22</v>
      </c>
    </row>
    <row r="2" spans="1:2" x14ac:dyDescent="0.25">
      <c r="A2" t="s">
        <v>24</v>
      </c>
      <c r="B2">
        <f>Assumptions!B4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Assumptions</vt:lpstr>
      <vt:lpstr>Checks</vt:lpstr>
      <vt:lpstr>CCTS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2026-10-19T14:07:38Z</dcterms:created>
  <dcterms:modified xsi:type="dcterms:W3CDTF">2026-10-19T14:08:40Z</dcterms:modified>
</cp:coreProperties>
</file>