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LCPT\"/>
    </mc:Choice>
  </mc:AlternateContent>
  <xr:revisionPtr revIDLastSave="0" documentId="13_ncr:1_{5E399E4E-FCF6-47AC-AF94-D055199E22CA}" xr6:coauthVersionLast="47" xr6:coauthVersionMax="47" xr10:uidLastSave="{00000000-0000-0000-0000-000000000000}"/>
  <bookViews>
    <workbookView xWindow="2660" yWindow="2660" windowWidth="14400" windowHeight="8170" xr2:uid="{00000000-000D-0000-FFFF-FFFF00000000}"/>
  </bookViews>
  <sheets>
    <sheet name="About" sheetId="1" r:id="rId1"/>
    <sheet name="Assumptions" sheetId="2" r:id="rId2"/>
    <sheet name="Derivation" sheetId="3" r:id="rId3"/>
    <sheet name="Checks" sheetId="4" r:id="rId4"/>
    <sheet name="LCP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B4" i="2" s="1"/>
  <c r="B2" i="5" s="1"/>
  <c r="B3" i="4" s="1"/>
  <c r="C3" i="4" s="1"/>
</calcChain>
</file>

<file path=xl/sharedStrings.xml><?xml version="1.0" encoding="utf-8"?>
<sst xmlns="http://schemas.openxmlformats.org/spreadsheetml/2006/main" count="57" uniqueCount="53">
  <si>
    <t>LCPT Low Carbon Procurement Threshold as Share of Fleet CO2 Intensity</t>
  </si>
  <si>
    <t>Sources:</t>
  </si>
  <si>
    <t>Federal low-embodied-carbon limits for cement (the U.S. value)</t>
  </si>
  <si>
    <t>U.S. General Services Administration</t>
  </si>
  <si>
    <t>Inflation Reduction Act Low Embodied Carbon Material Requirements, interim determination limits for cement (May 2023)</t>
  </si>
  <si>
    <t>https://www.gsa.gov/real-estate/gsa-properties/inflation-reduction-act/lec-program-details/material-requirements-faqs</t>
  </si>
  <si>
    <t>Global warming potential limits per tonne of cement from environmental product declarations: 751 kg CO2e for the best 20 percent of products, 819 for the best 40 percent, 858 for better than average. The best-20 percent limit is the shipped value. The unobligated IRA funds behind the program were rescinded in 2025, so the limits describe the policy design rather than a programme in force.</t>
  </si>
  <si>
    <t>Industry-average cement declaration the federal limits are set against</t>
  </si>
  <si>
    <t>Portland Cement Association (Athena Sustainable Materials Institute)</t>
  </si>
  <si>
    <t>Environmental Product Declaration, Portland Cement (industry-wide, ASTM-verified; 2021, revised July 2026)</t>
  </si>
  <si>
    <t>https://www.cement.org/wp-content/uploads/2026/07/PCA_EPD_Portland_Athena_Final_revised_Jul2026.pdf</t>
  </si>
  <si>
    <t>Cradle-to-gate global warming potential of 919 kg CO2 eq per metric ton of portland cement (GWP 100, IPCC 2013), the production-weighted average of the participating US plants. The same declaration basis the GSA limits use, so the ratio of a limit to this average is the relative rule.</t>
  </si>
  <si>
    <t>Near-zero and low-carbon cement definitions used by buyer coalitions</t>
  </si>
  <si>
    <t>World Economic Forum, First Movers Coalition</t>
  </si>
  <si>
    <t>Cement and Concrete Procurement Guide (2024)</t>
  </si>
  <si>
    <t>https://www3.weforum.org/docs/WEF_First_Movers_Coalition_Cement_Concrete_Procurement_Guide_2024.pdf</t>
  </si>
  <si>
    <t>Members commit to buy at least 10 percent of their cement and concrete as near-zero by 2030, defined as cement below 184 kg CO2e per tonne (cradle to gate). The GCCA/IEA near-zero definition is 125 kg per tonne at 100 percent clinker. An advance market commitment for near-zero cement would enter about 0.2 here (184 over 919).</t>
  </si>
  <si>
    <t>U.S. plant CO2 intensity per tonne of cement (the reference the thresholds are set against)</t>
  </si>
  <si>
    <t>U.S. Environmental Protection Agency</t>
  </si>
  <si>
    <t>U.S. Cement Industry Carbon Intensities (2019), EPA 430-F-21-004</t>
  </si>
  <si>
    <t>https://www.epa.gov/system/files/documents/2021-10/cement-carbon-intensities-fact-sheet.pdf</t>
  </si>
  <si>
    <t>Kiln CO2 (fuel plus calcination, excluding biogenic CO2) per tonne of cement at the 92 U.S. plants with continuous emissions monitors in 2019: 0.722 at the cleaner quartile, 0.776 at the median plant, 0.886 at the dirtier quartile. Direct emissions only, the same basis as the model's pathway intensities.</t>
  </si>
  <si>
    <t>Notes:</t>
  </si>
  <si>
    <t>Purpose and layout</t>
  </si>
  <si>
    <t>LCPT is the share of last year's fleet-average direct CO2 intensity (per tonne of cement) at or below which cement counts as low-carbon for the procurement policy (Fraction of Cement Demand Purchased under Low Carbon Procurement). Pathways whose cement is at or below it can be bought with the committed volume and are built first to serve it. Edit the 'Assumptions' tab; the 'Derivation' tab turns the published limit into a share; the 'LCPT' tab is exported to LCPT.csv.</t>
  </si>
  <si>
    <t>Why a share rather than kilograms</t>
  </si>
  <si>
    <t>Buy Clean limits are percentile rules re-set from the declarations on file, and they are quoted on the cradle-to-gate declaration basis (fuel and electricity supply, transport and quarrying included). The model's pathway intensities count direct kiln CO2 only, so the published kilograms cannot be compared with them directly; the ratio of the limit to the industry average can. The model applies that ratio to last year's fleet average, so the threshold tightens as the fleet cleans up, as a percentile rule does.</t>
  </si>
  <si>
    <t>U.S. value</t>
  </si>
  <si>
    <t>0.817: the GSA best-20-percent limit (751 kg CO2e per tonne) over the PCA industry-average declaration (919 kg per tonne). With the U.S. inputs the conventional precalciner kiln, at the fleet average, does not qualify; the CCS, electric and alternative-chemistry pathways do. A near-zero commitment (First Movers Coalition, 184 kg per tonne) would be about 0.2 and reach only the CCS and alternative-chemistry pathways.</t>
  </si>
  <si>
    <t>Other regions</t>
  </si>
  <si>
    <t>Enter the regional Buy Clean limit over the regional industry-average declaration, or the coalition definition.</t>
  </si>
  <si>
    <t>Values (edit here)</t>
  </si>
  <si>
    <t>Share of last year's fleet-average direct CO2 intensity at or below which cement is low-carbon for the procurement lever.</t>
  </si>
  <si>
    <t>Quantity</t>
  </si>
  <si>
    <t>Value</t>
  </si>
  <si>
    <t>Basis</t>
  </si>
  <si>
    <t>Low Carbon Procurement Threshold as Share of Fleet CO2 Intensity</t>
  </si>
  <si>
    <t>Derivation tab: published limit over the industry-average declaration</t>
  </si>
  <si>
    <t>From the published limit to a share of the fleet average</t>
  </si>
  <si>
    <t>The limit and the industry average are both cradle-to-gate declaration values; their ratio is the relative rule the model applies to its own fleet intensity.</t>
  </si>
  <si>
    <t>Step</t>
  </si>
  <si>
    <t>Explanation</t>
  </si>
  <si>
    <t>GSA best-20-percent limit for cement (kg CO2e per tonne, 2023)</t>
  </si>
  <si>
    <t>GSA IRA low-embodied-carbon material requirements</t>
  </si>
  <si>
    <t>Industry-average portland cement declaration (kg CO2e per tonne)</t>
  </si>
  <si>
    <t>PCA industry-wide EPD, GWP 100</t>
  </si>
  <si>
    <t>THRESHOLD USED IN THE OUTPUT FILE (share of fleet average)</t>
  </si>
  <si>
    <t>Limit over the industry average</t>
  </si>
  <si>
    <t>Live checks</t>
  </si>
  <si>
    <t>Check</t>
  </si>
  <si>
    <t>Result</t>
  </si>
  <si>
    <t>Exported values are positive numbers (count of non-positive)</t>
  </si>
  <si>
    <t>Unit: fraction of last year fleet CO2 intensity per metric ton 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</si>
</sst>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top" wrapText="1"/>
    </xf>
    <xf numFmtId="0" fontId="3" fillId="3" borderId="0" xfId="0" applyFont="1" applyFill="1" applyAlignment="1">
      <alignment horizontal="left" vertical="top" wrapText="1"/>
    </xf>
    <xf numFmtId="0" fontId="0" fillId="0" borderId="0" xfId="0" applyAlignment="1">
      <alignment horizontal="lef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3.weforum.org/docs/WEF_First_Movers_Coalition_Cement_Concrete_Procurement_Guide_2024.pdf" TargetMode="External"/><Relationship Id="rId2" Type="http://schemas.openxmlformats.org/officeDocument/2006/relationships/hyperlink" Target="https://www.cement.org/wp-content/uploads/2026/07/PCA_EPD_Portland_Athena_Final_revised_Jul2026.pdf" TargetMode="External"/><Relationship Id="rId1" Type="http://schemas.openxmlformats.org/officeDocument/2006/relationships/hyperlink" Target="https://www.gsa.gov/real-estate/gsa-properties/inflation-reduction-act/lec-program-details/material-requirements-faqs" TargetMode="External"/><Relationship Id="rId4" Type="http://schemas.openxmlformats.org/officeDocument/2006/relationships/hyperlink" Target="https://www.epa.gov/system/files/documents/2021-10/cement-carbon-intensities-fact-shee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tabSelected="1" workbookViewId="0"/>
  </sheetViews>
  <sheetFormatPr defaultRowHeight="14.5" x14ac:dyDescent="0.35"/>
  <cols>
    <col min="1" max="1" width="24" customWidth="1"/>
    <col min="2" max="2" width="110" customWidth="1"/>
  </cols>
  <sheetData>
    <row r="1" spans="1:2" x14ac:dyDescent="0.35">
      <c r="A1" s="1" t="s">
        <v>0</v>
      </c>
    </row>
    <row r="3" spans="1:2" x14ac:dyDescent="0.35">
      <c r="A3" s="1" t="s">
        <v>1</v>
      </c>
      <c r="B3" s="2" t="s">
        <v>2</v>
      </c>
    </row>
    <row r="4" spans="1:2" x14ac:dyDescent="0.35">
      <c r="B4" s="3" t="s">
        <v>3</v>
      </c>
    </row>
    <row r="5" spans="1:2" x14ac:dyDescent="0.35">
      <c r="B5" s="3" t="s">
        <v>4</v>
      </c>
    </row>
    <row r="6" spans="1:2" x14ac:dyDescent="0.35">
      <c r="B6" s="3">
        <v>2023</v>
      </c>
    </row>
    <row r="7" spans="1:2" x14ac:dyDescent="0.35">
      <c r="B7" s="4" t="s">
        <v>5</v>
      </c>
    </row>
    <row r="8" spans="1:2" ht="58" x14ac:dyDescent="0.35">
      <c r="B8" s="3" t="s">
        <v>6</v>
      </c>
    </row>
    <row r="10" spans="1:2" x14ac:dyDescent="0.35">
      <c r="B10" s="2" t="s">
        <v>7</v>
      </c>
    </row>
    <row r="11" spans="1:2" x14ac:dyDescent="0.35">
      <c r="B11" s="3" t="s">
        <v>8</v>
      </c>
    </row>
    <row r="12" spans="1:2" x14ac:dyDescent="0.35">
      <c r="B12" s="3" t="s">
        <v>9</v>
      </c>
    </row>
    <row r="13" spans="1:2" x14ac:dyDescent="0.35">
      <c r="B13" s="3">
        <v>2026</v>
      </c>
    </row>
    <row r="14" spans="1:2" x14ac:dyDescent="0.35">
      <c r="B14" s="4" t="s">
        <v>10</v>
      </c>
    </row>
    <row r="15" spans="1:2" ht="43.5" x14ac:dyDescent="0.35">
      <c r="B15" s="3" t="s">
        <v>11</v>
      </c>
    </row>
    <row r="17" spans="1:2" x14ac:dyDescent="0.35">
      <c r="B17" s="2" t="s">
        <v>12</v>
      </c>
    </row>
    <row r="18" spans="1:2" x14ac:dyDescent="0.35">
      <c r="B18" s="3" t="s">
        <v>13</v>
      </c>
    </row>
    <row r="19" spans="1:2" x14ac:dyDescent="0.35">
      <c r="B19" s="3" t="s">
        <v>14</v>
      </c>
    </row>
    <row r="20" spans="1:2" x14ac:dyDescent="0.35">
      <c r="B20" s="3">
        <v>2024</v>
      </c>
    </row>
    <row r="21" spans="1:2" x14ac:dyDescent="0.35">
      <c r="B21" s="4" t="s">
        <v>15</v>
      </c>
    </row>
    <row r="22" spans="1:2" ht="43.5" x14ac:dyDescent="0.35">
      <c r="B22" s="3" t="s">
        <v>16</v>
      </c>
    </row>
    <row r="24" spans="1:2" x14ac:dyDescent="0.35">
      <c r="B24" s="2" t="s">
        <v>17</v>
      </c>
    </row>
    <row r="25" spans="1:2" x14ac:dyDescent="0.35">
      <c r="B25" s="3" t="s">
        <v>18</v>
      </c>
    </row>
    <row r="26" spans="1:2" x14ac:dyDescent="0.35">
      <c r="B26" s="3" t="s">
        <v>19</v>
      </c>
    </row>
    <row r="27" spans="1:2" x14ac:dyDescent="0.35">
      <c r="B27" s="3">
        <v>2021</v>
      </c>
    </row>
    <row r="28" spans="1:2" x14ac:dyDescent="0.35">
      <c r="B28" s="4" t="s">
        <v>20</v>
      </c>
    </row>
    <row r="29" spans="1:2" ht="43.5" x14ac:dyDescent="0.35">
      <c r="B29" s="3" t="s">
        <v>21</v>
      </c>
    </row>
    <row r="31" spans="1:2" x14ac:dyDescent="0.35">
      <c r="A31" s="1" t="s">
        <v>22</v>
      </c>
    </row>
    <row r="32" spans="1:2" ht="58" x14ac:dyDescent="0.35">
      <c r="A32" s="5" t="s">
        <v>23</v>
      </c>
      <c r="B32" s="3" t="s">
        <v>24</v>
      </c>
    </row>
    <row r="33" spans="1:2" ht="58" x14ac:dyDescent="0.35">
      <c r="A33" s="5" t="s">
        <v>25</v>
      </c>
      <c r="B33" s="3" t="s">
        <v>26</v>
      </c>
    </row>
    <row r="34" spans="1:2" ht="58" x14ac:dyDescent="0.35">
      <c r="A34" s="5" t="s">
        <v>27</v>
      </c>
      <c r="B34" s="3" t="s">
        <v>28</v>
      </c>
    </row>
    <row r="35" spans="1:2" x14ac:dyDescent="0.35">
      <c r="A35" s="5" t="s">
        <v>29</v>
      </c>
      <c r="B35" s="3" t="s">
        <v>30</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RowHeight="14.5" x14ac:dyDescent="0.35"/>
  <cols>
    <col min="1" max="1" width="60" customWidth="1"/>
    <col min="2" max="2" width="16" customWidth="1"/>
    <col min="3" max="3" width="90" customWidth="1"/>
  </cols>
  <sheetData>
    <row r="1" spans="1:3" x14ac:dyDescent="0.35">
      <c r="A1" s="1" t="s">
        <v>31</v>
      </c>
    </row>
    <row r="2" spans="1:3" ht="45" customHeight="1" x14ac:dyDescent="0.35">
      <c r="A2" s="7" t="s">
        <v>32</v>
      </c>
      <c r="B2" s="8"/>
      <c r="C2" s="8"/>
    </row>
    <row r="3" spans="1:3" ht="20" customHeight="1" x14ac:dyDescent="0.35">
      <c r="A3" s="6" t="s">
        <v>33</v>
      </c>
      <c r="B3" s="6" t="s">
        <v>34</v>
      </c>
      <c r="C3" s="6" t="s">
        <v>35</v>
      </c>
    </row>
    <row r="4" spans="1:3" x14ac:dyDescent="0.35">
      <c r="A4" t="s">
        <v>36</v>
      </c>
      <c r="B4">
        <f>Derivation!B6</f>
        <v>0.81719260065288357</v>
      </c>
      <c r="C4" s="3" t="s">
        <v>37</v>
      </c>
    </row>
  </sheetData>
  <mergeCells count="1">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RowHeight="14.5" x14ac:dyDescent="0.35"/>
  <cols>
    <col min="1" max="1" width="62" customWidth="1"/>
    <col min="2" max="2" width="18" customWidth="1"/>
    <col min="3" max="3" width="80" customWidth="1"/>
  </cols>
  <sheetData>
    <row r="1" spans="1:3" x14ac:dyDescent="0.35">
      <c r="A1" s="1" t="s">
        <v>38</v>
      </c>
    </row>
    <row r="2" spans="1:3" ht="40" customHeight="1" x14ac:dyDescent="0.35">
      <c r="A2" s="7" t="s">
        <v>39</v>
      </c>
      <c r="B2" s="8"/>
      <c r="C2" s="8"/>
    </row>
    <row r="3" spans="1:3" ht="20" customHeight="1" x14ac:dyDescent="0.35">
      <c r="A3" s="6" t="s">
        <v>40</v>
      </c>
      <c r="B3" s="6" t="s">
        <v>34</v>
      </c>
      <c r="C3" s="6" t="s">
        <v>41</v>
      </c>
    </row>
    <row r="4" spans="1:3" x14ac:dyDescent="0.35">
      <c r="A4" t="s">
        <v>42</v>
      </c>
      <c r="B4">
        <v>751</v>
      </c>
      <c r="C4" s="3" t="s">
        <v>43</v>
      </c>
    </row>
    <row r="5" spans="1:3" x14ac:dyDescent="0.35">
      <c r="A5" t="s">
        <v>44</v>
      </c>
      <c r="B5">
        <v>919</v>
      </c>
      <c r="C5" s="3" t="s">
        <v>45</v>
      </c>
    </row>
    <row r="6" spans="1:3" x14ac:dyDescent="0.35">
      <c r="A6" t="s">
        <v>46</v>
      </c>
      <c r="B6">
        <f>B4/B5</f>
        <v>0.81719260065288357</v>
      </c>
      <c r="C6" s="3" t="s">
        <v>47</v>
      </c>
    </row>
  </sheetData>
  <mergeCells count="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heetViews>
  <sheetFormatPr defaultRowHeight="14.5" x14ac:dyDescent="0.35"/>
  <cols>
    <col min="1" max="1" width="60" customWidth="1"/>
  </cols>
  <sheetData>
    <row r="1" spans="1:3" x14ac:dyDescent="0.35">
      <c r="A1" s="1" t="s">
        <v>48</v>
      </c>
    </row>
    <row r="2" spans="1:3" ht="20" customHeight="1" x14ac:dyDescent="0.35">
      <c r="A2" s="6" t="s">
        <v>49</v>
      </c>
      <c r="B2" s="6" t="s">
        <v>34</v>
      </c>
      <c r="C2" s="6" t="s">
        <v>50</v>
      </c>
    </row>
    <row r="3" spans="1:3" x14ac:dyDescent="0.35">
      <c r="A3" t="s">
        <v>51</v>
      </c>
      <c r="B3">
        <f>COUNTIF(LCPT!B2:B2,"&lt;=0")+COUNTBLANK(LCPT!B2:B2)</f>
        <v>0</v>
      </c>
      <c r="C3" t="str">
        <f>IF(B3=0,"PASS","FAIL")</f>
        <v>PASS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B2"/>
  <sheetViews>
    <sheetView workbookViewId="0"/>
  </sheetViews>
  <sheetFormatPr defaultRowHeight="14.5" x14ac:dyDescent="0.35"/>
  <cols>
    <col min="1" max="1" width="62" customWidth="1"/>
  </cols>
  <sheetData>
    <row r="1" spans="1:2" x14ac:dyDescent="0.35">
      <c r="A1" t="s">
        <v>52</v>
      </c>
      <c r="B1" t="s">
        <v>34</v>
      </c>
    </row>
    <row r="2" spans="1:2" x14ac:dyDescent="0.35">
      <c r="A2" t="s">
        <v>36</v>
      </c>
      <c r="B2">
        <f>Assumptions!B4</f>
        <v>0.81719260065288357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Assumptions</vt:lpstr>
      <vt:lpstr>Derivation</vt:lpstr>
      <vt:lpstr>Checks</vt:lpstr>
      <vt:lpstr>LCPT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2026-10-17T12:31:00Z</dcterms:created>
  <dcterms:modified xsi:type="dcterms:W3CDTF">2026-10-17T12:31:05Z</dcterms:modified>
</cp:coreProperties>
</file>