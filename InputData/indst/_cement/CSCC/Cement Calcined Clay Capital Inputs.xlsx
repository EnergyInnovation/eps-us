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SCC\"/>
    </mc:Choice>
  </mc:AlternateContent>
  <xr:revisionPtr revIDLastSave="0" documentId="13_ncr:1_{76790FCC-6F6A-43FF-9B93-0D7721C3C40D}" xr6:coauthVersionLast="47" xr6:coauthVersionMax="47" xr10:uidLastSave="{00000000-0000-0000-0000-000000000000}"/>
  <bookViews>
    <workbookView xWindow="3510" yWindow="3510" windowWidth="21600" windowHeight="12525" xr2:uid="{00000000-000D-0000-FFFF-FFFF00000000}"/>
  </bookViews>
  <sheets>
    <sheet name="About" sheetId="1" r:id="rId1"/>
    <sheet name="Derivation" sheetId="2" r:id="rId2"/>
    <sheet name="Assumptions" sheetId="3" r:id="rId3"/>
    <sheet name="Checks" sheetId="4" r:id="rId4"/>
    <sheet name="CSCC"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5" l="1"/>
  <c r="B4" i="4"/>
  <c r="C4" i="4" s="1"/>
  <c r="B7" i="2"/>
  <c r="B4" i="3" s="1"/>
  <c r="B2" i="5" s="1"/>
  <c r="B3" i="4" s="1"/>
  <c r="C3" i="4" s="1"/>
</calcChain>
</file>

<file path=xl/sharedStrings.xml><?xml version="1.0" encoding="utf-8"?>
<sst xmlns="http://schemas.openxmlformats.org/spreadsheetml/2006/main" count="66" uniqueCount="62">
  <si>
    <t>CSCC Cement Calcined Clay Capital Inputs</t>
  </si>
  <si>
    <t>Sources:</t>
  </si>
  <si>
    <t>Capital cost of calcined clay plants built or announced since 2017 (the central value)</t>
  </si>
  <si>
    <t>Leadership Group for Industry Transition (LeadIT)</t>
  </si>
  <si>
    <t>Calcined clay analysis (revised), Table 1: calcined clay projects, capacity and investment</t>
  </si>
  <si>
    <t>https://www.industrytransition.org/wp-content/uploads/2026/09/calcined-clay-analysis-revised.pdf</t>
  </si>
  <si>
    <t>Disclosed investments per tonne of annual calcined-clay capacity: Holcim Saint-Pierre-la-Cour (France, brownfield, 2023) about $100; CBI Tema (Ghana) $165-275 depending on source; CIMPOR Kribi about $288; CIMAF Ouagadougou retrofit $152-178; older Brazilian and Angolan plants $33-89. The 14 publicly disclosed projects total $405 million for 3.3 million tonnes a year, about $123 per tonne of capacity. Scopes differ (calciner only to whole lines).</t>
  </si>
  <si>
    <t>A built greenfield calcined clay line in the Americas</t>
  </si>
  <si>
    <t>Cementos Argos (company presentation); Global Cement</t>
  </si>
  <si>
    <t>Rio Claro calcined clay line (Colombia), investment and capacity; Global Cement news item 10475</t>
  </si>
  <si>
    <t>https://www.globalcement.com/news/item/10475-rio-claro-plant-starts-making-calcined-clay-cement</t>
  </si>
  <si>
    <t>About $78 million for about 450,000 tonnes a year of calcined clay (rotary kiln, flash dryer, cooler and mixing station), about $173 per tonne of annual capacity.</t>
  </si>
  <si>
    <t>Why the promoter study figures are not used as the central value</t>
  </si>
  <si>
    <t>LC3 Project (EPFL and partners)</t>
  </si>
  <si>
    <t>Financial attractiveness of LC3 (2019), Table 1 and section 7</t>
  </si>
  <si>
    <t>https://lc3.ch/wp-content/uploads/2020/10/2019-LC3FinancialAttractiveness-WEB.pdf</t>
  </si>
  <si>
    <t>Modelled turnkey flash calciner $10.3 million for 300,000 tonnes a year ($34 per tonne of capacity) and rotary kiln $6.6 million ($22), reusing existing coal preparation and grinding. Plants built since then disclosed three to seven times more per tonne, so these values are kept only as the low end of the range. The same study finds LC3 cash production costs 6 to 32 percent below ordinary cement, mostly because clay replaces clinker.</t>
  </si>
  <si>
    <t>North American cost picture for LC3</t>
  </si>
  <si>
    <t>RMI</t>
  </si>
  <si>
    <t>The Business Case for LC3 (December 2024), Exhibit for Plant 7 (North America)</t>
  </si>
  <si>
    <t>https://rmi.org/wp-content/uploads/dlm_uploads/2024/12/the_business_case_for_LC3_report.pdf</t>
  </si>
  <si>
    <t>Operating cost $61 per tonne for LC3 vs $73 for the benchmark cement (16 percent lower); calcined clay costs about $44 per tonne in North America because raw clay costs $15-25 per tonne. Built with the LC3 project's cost tool.</t>
  </si>
  <si>
    <t>Converting to the model's 2012 dollars</t>
  </si>
  <si>
    <t>U.S. Bureau of Labor Statistics</t>
  </si>
  <si>
    <t>Consumer Price Index for All Urban Consumers (CPI-U), U.S. city average, annual averages</t>
  </si>
  <si>
    <t>https://data.bls.gov/pdq/SurveyOutputServlet</t>
  </si>
  <si>
    <t>229.594 for 2012 and 313.689 for 2024. The central value is treated as 2024 dollars (the disclosed projects span 2017-2026).</t>
  </si>
  <si>
    <t>Notes:</t>
  </si>
  <si>
    <t>Purpose and layout</t>
  </si>
  <si>
    <t>CSCC holds two numbers for the capital needed to make calcined clay, the main new ingredient of blended cements such as limestone calcined clay cement (LC3): the capital cost of a calcined clay plant per tonne of annual capacity, and the share of the material that replaces clinker that is calcined clay. When a policy (the cement measures lever, the carbon-intensity standard or low-carbon procurement) raises clinker substitution, the model builds the calcined clay capacity the extra substitution needs and adds its cost to industry 239's capital spending. Edit the 'Assumptions' tab; the 'Derivation' tab converts the capital cost to 2012 dollars; the 'CSCC' tab is exported to CSCC.csv.</t>
  </si>
  <si>
    <t>U.S. values</t>
  </si>
  <si>
    <t>About $150 per tonne of annual calcined-clay capacity in 2024 dollars ($110 in 2012 dollars), covering the calciner, dryer, cooler and storage but not extra cement grinding: the middle of plants built or announced since 2020 ($100-290 per tonne; the 14 disclosed projects average about $123). No U.S. plant cost has been published, so the range is wide: use about $90 for a retrofit at an integrated plant and about $300 for a small or greenfield plant. The calcined clay share is 0.5, the same marginal substitution mix as the SCM production energy input (SCMEI): half calcined clay, the rest limestone, fly ash, slag and natural pozzolan, which need no new kilns.</t>
  </si>
  <si>
    <t>What the model still leaves out</t>
  </si>
  <si>
    <t>The purchase cost of slag, fly ash and raw clay, and the non-energy costs of the clinker that substitution avoids (raw meal, kiln maintenance, labor) are both left out. For calcined clay the cost studies find the avoided clinker costs larger than the clay (LC3 cash costs 6-33 percent below ordinary cement), so leaving both out errs against blending. For slag and fly ash, which sell for about $40-140 a tonne in the U.S. (USGS), the purchase cost can exceed the clinker they replace, so leaving it out errs the other way. The two roughly offset for the marginal mix used here.</t>
  </si>
  <si>
    <t>Confidence</t>
  </si>
  <si>
    <t>Low to medium. Every published production-cost comparison was built with the LC3 project's own tools, and disclosed project costs differ in scope.</t>
  </si>
  <si>
    <t>Calcined clay plant capital cost in 2012 dollars</t>
  </si>
  <si>
    <t>Step</t>
  </si>
  <si>
    <t>Value</t>
  </si>
  <si>
    <t>Explanation</t>
  </si>
  <si>
    <t>Capital cost per tonne of annual calcined-clay capacity, 2024 dollars</t>
  </si>
  <si>
    <t>Middle of plants built or announced since 2020 (About tab)</t>
  </si>
  <si>
    <t>CPI-U 2012</t>
  </si>
  <si>
    <t>BLS annual average</t>
  </si>
  <si>
    <t>CPI-U 2024</t>
  </si>
  <si>
    <t>CAPITAL COST USED (2012 dollars per tonne of annual capacity)</t>
  </si>
  <si>
    <t>Deflated by the CPI ratio</t>
  </si>
  <si>
    <t>Values (edit here)</t>
  </si>
  <si>
    <t>Quantity</t>
  </si>
  <si>
    <t>Basis</t>
  </si>
  <si>
    <t>Calcined clay plant capital cost (2012 USD per metric ton of annual capacity)</t>
  </si>
  <si>
    <t>Derivation tab</t>
  </si>
  <si>
    <t>Calcined clay share of clinker substitution (dimensionless)</t>
  </si>
  <si>
    <t>Same marginal mix as SCMEI: 50 percent calcined clay</t>
  </si>
  <si>
    <t>Live checks</t>
  </si>
  <si>
    <t>Check</t>
  </si>
  <si>
    <t>Result</t>
  </si>
  <si>
    <t>Capital cost positive and below 500 2012-$ per t (count failing)</t>
  </si>
  <si>
    <t>Share between 0 and 1 (count failing)</t>
  </si>
  <si>
    <t>Unit: see rows</t>
  </si>
  <si>
    <t>Calcined Clay Plant Capital Cost (2012 USD per metric ton of annual capacity)</t>
  </si>
  <si>
    <t>Calcined Clay Share of Clinker Substitution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</si>
</sst>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lc3.ch/wp-content/uploads/2020/10/2019-LC3FinancialAttractiveness-WEB.pdf" TargetMode="External"/><Relationship Id="rId2" Type="http://schemas.openxmlformats.org/officeDocument/2006/relationships/hyperlink" Target="https://www.globalcement.com/news/item/10475-rio-claro-plant-starts-making-calcined-clay-cement" TargetMode="External"/><Relationship Id="rId1" Type="http://schemas.openxmlformats.org/officeDocument/2006/relationships/hyperlink" Target="https://www.industrytransition.org/wp-content/uploads/2026/09/calcined-clay-analysis-revised.pdf" TargetMode="External"/><Relationship Id="rId5" Type="http://schemas.openxmlformats.org/officeDocument/2006/relationships/hyperlink" Target="https://data.bls.gov/pdq/SurveyOutputServlet" TargetMode="External"/><Relationship Id="rId4" Type="http://schemas.openxmlformats.org/officeDocument/2006/relationships/hyperlink" Target="https://rmi.org/wp-content/uploads/dlm_uploads/2024/12/the_business_case_for_LC3_repor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
  <sheetViews>
    <sheetView tabSelected="1" workbookViewId="0"/>
  </sheetViews>
  <sheetFormatPr defaultRowHeight="15" x14ac:dyDescent="0.25"/>
  <cols>
    <col min="1" max="1" width="22" customWidth="1"/>
    <col min="2" max="2" width="110" customWidth="1"/>
  </cols>
  <sheetData>
    <row r="1" spans="1:2" x14ac:dyDescent="0.25">
      <c r="A1" s="1" t="s">
        <v>0</v>
      </c>
    </row>
    <row r="3" spans="1:2" x14ac:dyDescent="0.25">
      <c r="A3" s="1" t="s">
        <v>1</v>
      </c>
      <c r="B3" s="2" t="s">
        <v>2</v>
      </c>
    </row>
    <row r="4" spans="1:2" x14ac:dyDescent="0.25">
      <c r="B4" s="3" t="s">
        <v>3</v>
      </c>
    </row>
    <row r="5" spans="1:2" x14ac:dyDescent="0.25">
      <c r="B5" s="3" t="s">
        <v>4</v>
      </c>
    </row>
    <row r="6" spans="1:2" x14ac:dyDescent="0.25">
      <c r="B6" s="3">
        <v>2026</v>
      </c>
    </row>
    <row r="7" spans="1:2" x14ac:dyDescent="0.25">
      <c r="B7" s="4" t="s">
        <v>5</v>
      </c>
    </row>
    <row r="8" spans="1:2" ht="60" x14ac:dyDescent="0.25">
      <c r="B8" s="3" t="s">
        <v>6</v>
      </c>
    </row>
    <row r="10" spans="1:2" x14ac:dyDescent="0.25">
      <c r="B10" s="2" t="s">
        <v>7</v>
      </c>
    </row>
    <row r="11" spans="1:2" x14ac:dyDescent="0.25">
      <c r="B11" s="3" t="s">
        <v>8</v>
      </c>
    </row>
    <row r="12" spans="1:2" x14ac:dyDescent="0.25">
      <c r="B12" s="3" t="s">
        <v>9</v>
      </c>
    </row>
    <row r="13" spans="1:2" x14ac:dyDescent="0.25">
      <c r="B13" s="3">
        <v>2020</v>
      </c>
    </row>
    <row r="14" spans="1:2" x14ac:dyDescent="0.25">
      <c r="B14" s="4" t="s">
        <v>10</v>
      </c>
    </row>
    <row r="15" spans="1:2" ht="30" x14ac:dyDescent="0.25">
      <c r="B15" s="3" t="s">
        <v>11</v>
      </c>
    </row>
    <row r="17" spans="2:2" x14ac:dyDescent="0.25">
      <c r="B17" s="2" t="s">
        <v>12</v>
      </c>
    </row>
    <row r="18" spans="2:2" x14ac:dyDescent="0.25">
      <c r="B18" s="3" t="s">
        <v>13</v>
      </c>
    </row>
    <row r="19" spans="2:2" x14ac:dyDescent="0.25">
      <c r="B19" s="3" t="s">
        <v>14</v>
      </c>
    </row>
    <row r="20" spans="2:2" x14ac:dyDescent="0.25">
      <c r="B20" s="3">
        <v>2019</v>
      </c>
    </row>
    <row r="21" spans="2:2" x14ac:dyDescent="0.25">
      <c r="B21" s="4" t="s">
        <v>15</v>
      </c>
    </row>
    <row r="22" spans="2:2" ht="60" x14ac:dyDescent="0.25">
      <c r="B22" s="3" t="s">
        <v>16</v>
      </c>
    </row>
    <row r="24" spans="2:2" x14ac:dyDescent="0.25">
      <c r="B24" s="2" t="s">
        <v>17</v>
      </c>
    </row>
    <row r="25" spans="2:2" x14ac:dyDescent="0.25">
      <c r="B25" s="3" t="s">
        <v>18</v>
      </c>
    </row>
    <row r="26" spans="2:2" x14ac:dyDescent="0.25">
      <c r="B26" s="3" t="s">
        <v>19</v>
      </c>
    </row>
    <row r="27" spans="2:2" x14ac:dyDescent="0.25">
      <c r="B27" s="3">
        <v>2024</v>
      </c>
    </row>
    <row r="28" spans="2:2" x14ac:dyDescent="0.25">
      <c r="B28" s="4" t="s">
        <v>20</v>
      </c>
    </row>
    <row r="29" spans="2:2" ht="30" x14ac:dyDescent="0.25">
      <c r="B29" s="3" t="s">
        <v>21</v>
      </c>
    </row>
    <row r="31" spans="2:2" x14ac:dyDescent="0.25">
      <c r="B31" s="2" t="s">
        <v>22</v>
      </c>
    </row>
    <row r="32" spans="2:2" x14ac:dyDescent="0.25">
      <c r="B32" s="3" t="s">
        <v>23</v>
      </c>
    </row>
    <row r="33" spans="1:2" x14ac:dyDescent="0.25">
      <c r="B33" s="3" t="s">
        <v>24</v>
      </c>
    </row>
    <row r="34" spans="1:2" x14ac:dyDescent="0.25">
      <c r="B34" s="3">
        <v>2025</v>
      </c>
    </row>
    <row r="35" spans="1:2" x14ac:dyDescent="0.25">
      <c r="B35" s="4" t="s">
        <v>25</v>
      </c>
    </row>
    <row r="36" spans="1:2" ht="30" x14ac:dyDescent="0.25">
      <c r="B36" s="3" t="s">
        <v>26</v>
      </c>
    </row>
    <row r="39" spans="1:2" x14ac:dyDescent="0.25">
      <c r="A39" s="1" t="s">
        <v>27</v>
      </c>
    </row>
    <row r="40" spans="1:2" ht="90" x14ac:dyDescent="0.25">
      <c r="A40" s="5" t="s">
        <v>28</v>
      </c>
      <c r="B40" s="3" t="s">
        <v>29</v>
      </c>
    </row>
    <row r="41" spans="1:2" ht="90" x14ac:dyDescent="0.25">
      <c r="A41" s="5" t="s">
        <v>30</v>
      </c>
      <c r="B41" s="3" t="s">
        <v>31</v>
      </c>
    </row>
    <row r="42" spans="1:2" ht="75" x14ac:dyDescent="0.25">
      <c r="A42" s="5" t="s">
        <v>32</v>
      </c>
      <c r="B42" s="3" t="s">
        <v>33</v>
      </c>
    </row>
    <row r="43" spans="1:2" ht="30" x14ac:dyDescent="0.25">
      <c r="A43" s="5" t="s">
        <v>34</v>
      </c>
      <c r="B43" s="3" t="s">
        <v>35</v>
      </c>
    </row>
  </sheetData>
  <hyperlinks>
    <hyperlink ref="B7" r:id="rId1" xr:uid="{00000000-0004-0000-0000-000000000000}"/>
    <hyperlink ref="B14" r:id="rId2" xr:uid="{00000000-0004-0000-0000-000001000000}"/>
    <hyperlink ref="B21" r:id="rId3" xr:uid="{00000000-0004-0000-0000-000002000000}"/>
    <hyperlink ref="B28" r:id="rId4" xr:uid="{00000000-0004-0000-0000-000003000000}"/>
    <hyperlink ref="B35" r:id="rId5" xr:uid="{00000000-0004-0000-0000-000004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5" x14ac:dyDescent="0.25"/>
  <cols>
    <col min="1" max="1" width="62" customWidth="1"/>
    <col min="2" max="2" width="14" customWidth="1"/>
    <col min="3" max="3" width="60" customWidth="1"/>
  </cols>
  <sheetData>
    <row r="1" spans="1:3" x14ac:dyDescent="0.25">
      <c r="A1" s="1" t="s">
        <v>36</v>
      </c>
    </row>
    <row r="3" spans="1:3" ht="20.100000000000001" customHeight="1" x14ac:dyDescent="0.25">
      <c r="A3" s="6" t="s">
        <v>37</v>
      </c>
      <c r="B3" s="6" t="s">
        <v>38</v>
      </c>
      <c r="C3" s="6" t="s">
        <v>39</v>
      </c>
    </row>
    <row r="4" spans="1:3" x14ac:dyDescent="0.25">
      <c r="A4" t="s">
        <v>40</v>
      </c>
      <c r="B4">
        <v>150</v>
      </c>
      <c r="C4" s="3" t="s">
        <v>41</v>
      </c>
    </row>
    <row r="5" spans="1:3" x14ac:dyDescent="0.25">
      <c r="A5" t="s">
        <v>42</v>
      </c>
      <c r="B5">
        <v>229.59399999999999</v>
      </c>
      <c r="C5" s="3" t="s">
        <v>43</v>
      </c>
    </row>
    <row r="6" spans="1:3" x14ac:dyDescent="0.25">
      <c r="A6" t="s">
        <v>44</v>
      </c>
      <c r="B6">
        <v>313.68900000000002</v>
      </c>
      <c r="C6" s="3" t="s">
        <v>43</v>
      </c>
    </row>
    <row r="7" spans="1:3" x14ac:dyDescent="0.25">
      <c r="A7" t="s">
        <v>45</v>
      </c>
      <c r="B7">
        <f>B4*B5/B6</f>
        <v>109.78740089706683</v>
      </c>
      <c r="C7" s="3" t="s">
        <v>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defaultRowHeight="15" x14ac:dyDescent="0.25"/>
  <cols>
    <col min="1" max="1" width="70" customWidth="1"/>
    <col min="2" max="2" width="14" customWidth="1"/>
    <col min="3" max="3" width="60" customWidth="1"/>
  </cols>
  <sheetData>
    <row r="1" spans="1:3" x14ac:dyDescent="0.25">
      <c r="A1" s="1" t="s">
        <v>47</v>
      </c>
    </row>
    <row r="3" spans="1:3" ht="20.100000000000001" customHeight="1" x14ac:dyDescent="0.25">
      <c r="A3" s="6" t="s">
        <v>48</v>
      </c>
      <c r="B3" s="6" t="s">
        <v>38</v>
      </c>
      <c r="C3" s="6" t="s">
        <v>49</v>
      </c>
    </row>
    <row r="4" spans="1:3" x14ac:dyDescent="0.25">
      <c r="A4" t="s">
        <v>50</v>
      </c>
      <c r="B4">
        <f>Derivation!B7</f>
        <v>109.78740089706683</v>
      </c>
      <c r="C4" s="3" t="s">
        <v>51</v>
      </c>
    </row>
    <row r="5" spans="1:3" x14ac:dyDescent="0.25">
      <c r="A5" t="s">
        <v>52</v>
      </c>
      <c r="B5">
        <v>0.5</v>
      </c>
      <c r="C5" s="3" t="s">
        <v>53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heetViews>
  <sheetFormatPr defaultRowHeight="15" x14ac:dyDescent="0.25"/>
  <cols>
    <col min="1" max="1" width="60" customWidth="1"/>
  </cols>
  <sheetData>
    <row r="1" spans="1:3" x14ac:dyDescent="0.25">
      <c r="A1" s="1" t="s">
        <v>54</v>
      </c>
    </row>
    <row r="2" spans="1:3" ht="20.100000000000001" customHeight="1" x14ac:dyDescent="0.25">
      <c r="A2" s="6" t="s">
        <v>55</v>
      </c>
      <c r="B2" s="6" t="s">
        <v>38</v>
      </c>
      <c r="C2" s="6" t="s">
        <v>56</v>
      </c>
    </row>
    <row r="3" spans="1:3" x14ac:dyDescent="0.25">
      <c r="A3" t="s">
        <v>57</v>
      </c>
      <c r="B3">
        <f>COUNTIF(CSCC!B2,"&lt;=0")+COUNTIF(CSCC!B2,"&gt;500")</f>
        <v>0</v>
      </c>
      <c r="C3" t="str">
        <f>IF(B3=0,"PASS","FAIL")</f>
        <v>PASS</v>
      </c>
    </row>
    <row r="4" spans="1:3" x14ac:dyDescent="0.25">
      <c r="A4" t="s">
        <v>58</v>
      </c>
      <c r="B4">
        <f>COUNTIF(CSCC!B3,"&lt;0")+COUNTIF(CSCC!B3,"&gt;1")</f>
        <v>0</v>
      </c>
      <c r="C4" t="str">
        <f>IF(B4=0,"PASS","FAIL")</f>
        <v>PASS</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3"/>
  <sheetViews>
    <sheetView workbookViewId="0"/>
  </sheetViews>
  <sheetFormatPr defaultRowHeight="15" x14ac:dyDescent="0.25"/>
  <cols>
    <col min="1" max="1" width="70" customWidth="1"/>
  </cols>
  <sheetData>
    <row r="1" spans="1:2" x14ac:dyDescent="0.25">
      <c r="A1" t="s">
        <v>59</v>
      </c>
      <c r="B1" t="s">
        <v>38</v>
      </c>
    </row>
    <row r="2" spans="1:2" x14ac:dyDescent="0.25">
      <c r="A2" t="s">
        <v>60</v>
      </c>
      <c r="B2">
        <f>Assumptions!B4</f>
        <v>109.78740089706683</v>
      </c>
    </row>
    <row r="3" spans="1:2" x14ac:dyDescent="0.25">
      <c r="A3" t="s">
        <v>61</v>
      </c>
      <c r="B3">
        <f>Assumptions!B5</f>
        <v>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Derivation</vt:lpstr>
      <vt:lpstr>Assumptions</vt:lpstr>
      <vt:lpstr>Checks</vt:lpstr>
      <vt:lpstr>CSCC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2026-10-19T17:43:01Z</dcterms:created>
  <dcterms:modified xsi:type="dcterms:W3CDTF">2026-10-19T17:43:04Z</dcterms:modified>
</cp:coreProperties>
</file>