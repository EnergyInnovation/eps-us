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Gate Parameters" sheetId="2" state="visible" r:id="rId2"/>
    <sheet name="Calc" sheetId="3" state="visible" r:id="rId3"/>
    <sheet name="Checks" sheetId="4" state="visible" r:id="rId4"/>
    <sheet name="CPS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nergy.gov/oced/oced-cement-and-concrete-industrial-demonstrations" TargetMode="External" Id="rId1" /><Relationship Type="http://schemas.openxmlformats.org/officeDocument/2006/relationships/hyperlink" Target="https://www.heidelbergmaterials.com/en/pr-30-06-2025" TargetMode="External" Id="rId2" /><Relationship Type="http://schemas.openxmlformats.org/officeDocument/2006/relationships/hyperlink" Target="https://www.heidelbergmaterials.com/en/pr-06-02-2025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CPSW Cement Pathway Shareweight</t>
        </is>
      </c>
    </row>
    <row r="3">
      <c r="A3" s="1" t="inlineStr">
        <is>
          <t>Sources:</t>
        </is>
      </c>
      <c r="B3" s="2" t="inlineStr">
        <is>
          <t>May 30, 2025 DOE/OCED cancellation wave (drove the CCS/alt-chem gate-year revisions)</t>
        </is>
      </c>
    </row>
    <row r="4">
      <c r="B4" s="3" t="inlineStr">
        <is>
          <t>U.S. Department of Energy, Office of Clean Energy Demonstrations (OCED)</t>
        </is>
      </c>
    </row>
    <row r="5">
      <c r="B5" s="3" t="inlineStr">
        <is>
          <t>DOE/OCED award cancellation announcements: Heidelberg Materials Mitchell CCS ($500M), Brimstone ($189M), Sublime Systems ($87M)</t>
        </is>
      </c>
    </row>
    <row r="6">
      <c r="B6" s="3" t="n">
        <v>2025</v>
      </c>
    </row>
    <row r="7">
      <c r="B7" s="4" t="inlineStr">
        <is>
          <t>https://www.energy.gov/oced/oced-cement-and-concrete-industrial-demonstrations</t>
        </is>
      </c>
    </row>
    <row r="8">
      <c r="B8" s="3" t="inlineStr">
        <is>
          <t>[DIRECT] All three cancelled awards were publicly announced by DOE/OCED. This wave pushed the CCS entry gate later (2028 -&gt; 2030) and the alternative-chemistry gate later (2030 -&gt; 2033) relative to the pre-cancellation DRAFT.</t>
        </is>
      </c>
    </row>
    <row r="10">
      <c r="B10" s="2" t="inlineStr">
        <is>
          <t>Brevik CCS commercial-scale proof point (kept the CCS gate from moving even later)</t>
        </is>
      </c>
    </row>
    <row r="11">
      <c r="B11" s="3" t="inlineStr">
        <is>
          <t>Heidelberg Materials Norway</t>
        </is>
      </c>
    </row>
    <row r="12">
      <c r="B12" s="3" t="inlineStr">
        <is>
          <t>Brevik CCS plant startup announcements (Norway, Longship/Northern Lights project)</t>
        </is>
      </c>
    </row>
    <row r="13">
      <c r="B13" s="3" t="n">
        <v>2025</v>
      </c>
    </row>
    <row r="14">
      <c r="B14" s="4" t="inlineStr">
        <is>
          <t>https://www.heidelbergmaterials.com/en/pr-30-06-2025</t>
        </is>
      </c>
    </row>
    <row r="15">
      <c r="B15" s="3" t="inlineStr">
        <is>
          <t>[DIRECT] Brevik began capturing CO2 at commercial scale in June 2025, proving cement CCS is technically viable abroad even though no US project currently has a live path to commercial operation.</t>
        </is>
      </c>
    </row>
    <row r="17">
      <c r="B17" s="2" t="inlineStr">
        <is>
          <t>Electric kiln pilot status (basis for the latest gate, 2035)</t>
        </is>
      </c>
    </row>
    <row r="18">
      <c r="B18" s="3" t="inlineStr">
        <is>
          <t>Heidelberg Materials; Coolbrook; Adani</t>
        </is>
      </c>
    </row>
    <row r="19">
      <c r="B19" s="3" t="inlineStr">
        <is>
          <t>ELECTRA plasma-kiln first test announcement (Feb 2025); Coolbrook/Adani development-stage project announcements</t>
        </is>
      </c>
    </row>
    <row r="20">
      <c r="B20" s="3" t="n">
        <v>2025</v>
      </c>
    </row>
    <row r="21">
      <c r="B21" s="4" t="inlineStr">
        <is>
          <t>https://www.heidelbergmaterials.com/en/pr-06-02-2025</t>
        </is>
      </c>
    </row>
    <row r="22">
      <c r="B22" s="3" t="inlineStr">
        <is>
          <t>[DIRECT for the pilot/development-stage facts] Electric kiln technology remains pilot-only in the US context - no commercial-scale project has been announced. Gate year of 2035 is an EI judgment call, not derived from a specific commissioning date.</t>
        </is>
      </c>
    </row>
    <row r="25">
      <c r="A25" s="1" t="inlineStr">
        <is>
          <t>Notes:</t>
        </is>
      </c>
    </row>
    <row r="26">
      <c r="A26" s="1" t="inlineStr">
        <is>
          <t>DRAFT status</t>
        </is>
      </c>
      <c r="B26" s="3" t="inlineStr">
        <is>
          <t>DRAFT - an input for staff review, not a finished or approved EI position. Verify every figure against primary sources before use in any work product; treat this workbook as a starting point open to further input and refinement.</t>
        </is>
      </c>
    </row>
    <row r="27">
      <c r="A27" s="1" t="inlineStr">
        <is>
          <t>Mechanism</t>
        </is>
      </c>
      <c r="B27" s="3" t="inlineStr">
        <is>
          <t>CPSW is an entry-gate switch, not a calibrated logit shareweight: 0 makes a pathway wholly ineligible for new-build/overhaul-replacement selection in a given year, 1 makes it eligible (selection among eligible pathways is then driven by relative cost, see CPCC/CRSW/etc). The Gate Parameters tab holds one gate year per pathway; the export tab formula is "=IF(year &gt;= gate year, 1, 0)" for every cell, so every gate is a single one-cell edit.</t>
        </is>
      </c>
    </row>
    <row r="28">
      <c r="A28" s="1" t="inlineStr">
        <is>
          <t>Gate years [UNVERIFIED - EI judgment except where a specific event is cited]</t>
        </is>
      </c>
      <c r="B28" s="3" t="inlineStr">
        <is>
          <t>dry kiln with precalciner: 2021 (incumbent, always eligible - the gate year is set to the first model year so the IF-formula returns 1 for every year with no special-cased logic). dry kiln with CCS: 2030 (revised from a pre-cancellation 2028 DRAFT per the May 2025 DOE/OCED cancellations; Brevik proves the technology, but no US project has a live commercial path). alternative chemistry cement: 2033 (revised from 2030; Sublime Holyoke is a 30 kt/yr demonstration-scale plant, far from commercial readiness). electric kiln: 2035 (revised from 2032; pilot-only, no commercial-scale announcement exists for any technology in this class).</t>
        </is>
      </c>
    </row>
    <row r="29">
      <c r="A29" s="1" t="inlineStr">
        <is>
          <t>Provenance</t>
        </is>
      </c>
      <c r="B29" s="3" t="inlineStr">
        <is>
          <t>Built by Claude Code (Fable/Sonnet agent session) from the Phase 4 verification dossier and CreateCementDraftInputsScript.py inline source comments, cement industry breakout, worktree cement-industry-breakout-f901fc, 2026-08-26. Reviewed by: (pending).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  <hyperlink xmlns:r="http://schemas.openxmlformats.org/officeDocument/2006/relationships" ref="B21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60" customWidth="1" min="3" max="3"/>
  </cols>
  <sheetData>
    <row r="1">
      <c r="A1" s="1" t="inlineStr">
        <is>
          <t>Pathway</t>
        </is>
      </c>
      <c r="B1" s="1" t="inlineStr">
        <is>
          <t>Gate year (first year eligible)</t>
        </is>
      </c>
      <c r="C1" s="1" t="inlineStr">
        <is>
          <t>Basis</t>
        </is>
      </c>
    </row>
    <row r="2">
      <c r="A2" t="inlineStr">
        <is>
          <t>dry kiln with precalciner</t>
        </is>
      </c>
      <c r="B2" t="n">
        <v>2021</v>
      </c>
      <c r="C2" t="inlineStr">
        <is>
          <t>Incumbent - always eligible; set to the first model year so the gate is trivially true every year.</t>
        </is>
      </c>
    </row>
    <row r="3">
      <c r="A3" t="inlineStr">
        <is>
          <t>dry kiln with CCS</t>
        </is>
      </c>
      <c r="B3" t="n">
        <v>2030</v>
      </c>
      <c r="C3" t="inlineStr">
        <is>
          <t>Revised from 2028 DRAFT per May 2025 DOE/OCED cancellations (Heidelberg Mitchell CCS); Brevik proves the tech abroad but no live US commercial path.</t>
        </is>
      </c>
    </row>
    <row r="4">
      <c r="A4" t="inlineStr">
        <is>
          <t>electric kiln</t>
        </is>
      </c>
      <c r="B4" t="n">
        <v>2035</v>
      </c>
      <c r="C4" t="inlineStr">
        <is>
          <t>Revised from 2032 DRAFT; pilot-only (Heidelberg ELECTRA Feb 2025, Coolbrook/Adani), EI judgment.</t>
        </is>
      </c>
    </row>
    <row r="5">
      <c r="A5" t="inlineStr">
        <is>
          <t>alternative chemistry cement</t>
        </is>
      </c>
      <c r="B5" t="n">
        <v>2033</v>
      </c>
      <c r="C5" t="inlineStr">
        <is>
          <t>Revised from 2030 DRAFT per May 2025 DOE/OCED cancellations (Brimstone, Sublime); Sublime Holyoke is 30 kt/yr demo scale, EI judgment.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Gate formula: =IF(year&gt;=gate year, 1, 0), one cell per pathway-year</t>
        </is>
      </c>
      <c r="B1" t="n">
        <v>2021</v>
      </c>
      <c r="C1" t="n">
        <v>2022</v>
      </c>
      <c r="D1" t="n">
        <v>2023</v>
      </c>
      <c r="E1" t="n">
        <v>2024</v>
      </c>
      <c r="F1" t="n">
        <v>2025</v>
      </c>
      <c r="G1" t="n">
        <v>2026</v>
      </c>
      <c r="H1" t="n">
        <v>2027</v>
      </c>
      <c r="I1" t="n">
        <v>2028</v>
      </c>
      <c r="J1" t="n">
        <v>2029</v>
      </c>
      <c r="K1" t="n">
        <v>2030</v>
      </c>
      <c r="L1" t="n">
        <v>2031</v>
      </c>
      <c r="M1" t="n">
        <v>2032</v>
      </c>
      <c r="N1" t="n">
        <v>2033</v>
      </c>
      <c r="O1" t="n">
        <v>2034</v>
      </c>
      <c r="P1" t="n">
        <v>2035</v>
      </c>
      <c r="Q1" t="n">
        <v>2036</v>
      </c>
      <c r="R1" t="n">
        <v>2037</v>
      </c>
      <c r="S1" t="n">
        <v>2038</v>
      </c>
      <c r="T1" t="n">
        <v>2039</v>
      </c>
      <c r="U1" t="n">
        <v>2040</v>
      </c>
      <c r="V1" t="n">
        <v>2041</v>
      </c>
      <c r="W1" t="n">
        <v>2042</v>
      </c>
      <c r="X1" t="n">
        <v>2043</v>
      </c>
      <c r="Y1" t="n">
        <v>2044</v>
      </c>
      <c r="Z1" t="n">
        <v>2045</v>
      </c>
      <c r="AA1" t="n">
        <v>2046</v>
      </c>
      <c r="AB1" t="n">
        <v>2047</v>
      </c>
      <c r="AC1" t="n">
        <v>2048</v>
      </c>
      <c r="AD1" t="n">
        <v>2049</v>
      </c>
      <c r="AE1" t="n">
        <v>2050</v>
      </c>
    </row>
    <row r="2">
      <c r="A2" t="inlineStr">
        <is>
          <t>dry kiln with precalciner</t>
        </is>
      </c>
      <c r="B2">
        <f>IF(B$1&gt;=VLOOKUP($A2,'Gate Parameters'!$A:$B,2,FALSE),1,0)</f>
        <v/>
      </c>
      <c r="C2">
        <f>IF(C$1&gt;=VLOOKUP($A2,'Gate Parameters'!$A:$B,2,FALSE),1,0)</f>
        <v/>
      </c>
      <c r="D2">
        <f>IF(D$1&gt;=VLOOKUP($A2,'Gate Parameters'!$A:$B,2,FALSE),1,0)</f>
        <v/>
      </c>
      <c r="E2">
        <f>IF(E$1&gt;=VLOOKUP($A2,'Gate Parameters'!$A:$B,2,FALSE),1,0)</f>
        <v/>
      </c>
      <c r="F2">
        <f>IF(F$1&gt;=VLOOKUP($A2,'Gate Parameters'!$A:$B,2,FALSE),1,0)</f>
        <v/>
      </c>
      <c r="G2">
        <f>IF(G$1&gt;=VLOOKUP($A2,'Gate Parameters'!$A:$B,2,FALSE),1,0)</f>
        <v/>
      </c>
      <c r="H2">
        <f>IF(H$1&gt;=VLOOKUP($A2,'Gate Parameters'!$A:$B,2,FALSE),1,0)</f>
        <v/>
      </c>
      <c r="I2">
        <f>IF(I$1&gt;=VLOOKUP($A2,'Gate Parameters'!$A:$B,2,FALSE),1,0)</f>
        <v/>
      </c>
      <c r="J2">
        <f>IF(J$1&gt;=VLOOKUP($A2,'Gate Parameters'!$A:$B,2,FALSE),1,0)</f>
        <v/>
      </c>
      <c r="K2">
        <f>IF(K$1&gt;=VLOOKUP($A2,'Gate Parameters'!$A:$B,2,FALSE),1,0)</f>
        <v/>
      </c>
      <c r="L2">
        <f>IF(L$1&gt;=VLOOKUP($A2,'Gate Parameters'!$A:$B,2,FALSE),1,0)</f>
        <v/>
      </c>
      <c r="M2">
        <f>IF(M$1&gt;=VLOOKUP($A2,'Gate Parameters'!$A:$B,2,FALSE),1,0)</f>
        <v/>
      </c>
      <c r="N2">
        <f>IF(N$1&gt;=VLOOKUP($A2,'Gate Parameters'!$A:$B,2,FALSE),1,0)</f>
        <v/>
      </c>
      <c r="O2">
        <f>IF(O$1&gt;=VLOOKUP($A2,'Gate Parameters'!$A:$B,2,FALSE),1,0)</f>
        <v/>
      </c>
      <c r="P2">
        <f>IF(P$1&gt;=VLOOKUP($A2,'Gate Parameters'!$A:$B,2,FALSE),1,0)</f>
        <v/>
      </c>
      <c r="Q2">
        <f>IF(Q$1&gt;=VLOOKUP($A2,'Gate Parameters'!$A:$B,2,FALSE),1,0)</f>
        <v/>
      </c>
      <c r="R2">
        <f>IF(R$1&gt;=VLOOKUP($A2,'Gate Parameters'!$A:$B,2,FALSE),1,0)</f>
        <v/>
      </c>
      <c r="S2">
        <f>IF(S$1&gt;=VLOOKUP($A2,'Gate Parameters'!$A:$B,2,FALSE),1,0)</f>
        <v/>
      </c>
      <c r="T2">
        <f>IF(T$1&gt;=VLOOKUP($A2,'Gate Parameters'!$A:$B,2,FALSE),1,0)</f>
        <v/>
      </c>
      <c r="U2">
        <f>IF(U$1&gt;=VLOOKUP($A2,'Gate Parameters'!$A:$B,2,FALSE),1,0)</f>
        <v/>
      </c>
      <c r="V2">
        <f>IF(V$1&gt;=VLOOKUP($A2,'Gate Parameters'!$A:$B,2,FALSE),1,0)</f>
        <v/>
      </c>
      <c r="W2">
        <f>IF(W$1&gt;=VLOOKUP($A2,'Gate Parameters'!$A:$B,2,FALSE),1,0)</f>
        <v/>
      </c>
      <c r="X2">
        <f>IF(X$1&gt;=VLOOKUP($A2,'Gate Parameters'!$A:$B,2,FALSE),1,0)</f>
        <v/>
      </c>
      <c r="Y2">
        <f>IF(Y$1&gt;=VLOOKUP($A2,'Gate Parameters'!$A:$B,2,FALSE),1,0)</f>
        <v/>
      </c>
      <c r="Z2">
        <f>IF(Z$1&gt;=VLOOKUP($A2,'Gate Parameters'!$A:$B,2,FALSE),1,0)</f>
        <v/>
      </c>
      <c r="AA2">
        <f>IF(AA$1&gt;=VLOOKUP($A2,'Gate Parameters'!$A:$B,2,FALSE),1,0)</f>
        <v/>
      </c>
      <c r="AB2">
        <f>IF(AB$1&gt;=VLOOKUP($A2,'Gate Parameters'!$A:$B,2,FALSE),1,0)</f>
        <v/>
      </c>
      <c r="AC2">
        <f>IF(AC$1&gt;=VLOOKUP($A2,'Gate Parameters'!$A:$B,2,FALSE),1,0)</f>
        <v/>
      </c>
      <c r="AD2">
        <f>IF(AD$1&gt;=VLOOKUP($A2,'Gate Parameters'!$A:$B,2,FALSE),1,0)</f>
        <v/>
      </c>
      <c r="AE2">
        <f>IF(AE$1&gt;=VLOOKUP($A2,'Gate Parameters'!$A:$B,2,FALSE),1,0)</f>
        <v/>
      </c>
    </row>
    <row r="3">
      <c r="A3" t="inlineStr">
        <is>
          <t>dry kiln with CCS</t>
        </is>
      </c>
      <c r="B3">
        <f>IF(B$1&gt;=VLOOKUP($A3,'Gate Parameters'!$A:$B,2,FALSE),1,0)</f>
        <v/>
      </c>
      <c r="C3">
        <f>IF(C$1&gt;=VLOOKUP($A3,'Gate Parameters'!$A:$B,2,FALSE),1,0)</f>
        <v/>
      </c>
      <c r="D3">
        <f>IF(D$1&gt;=VLOOKUP($A3,'Gate Parameters'!$A:$B,2,FALSE),1,0)</f>
        <v/>
      </c>
      <c r="E3">
        <f>IF(E$1&gt;=VLOOKUP($A3,'Gate Parameters'!$A:$B,2,FALSE),1,0)</f>
        <v/>
      </c>
      <c r="F3">
        <f>IF(F$1&gt;=VLOOKUP($A3,'Gate Parameters'!$A:$B,2,FALSE),1,0)</f>
        <v/>
      </c>
      <c r="G3">
        <f>IF(G$1&gt;=VLOOKUP($A3,'Gate Parameters'!$A:$B,2,FALSE),1,0)</f>
        <v/>
      </c>
      <c r="H3">
        <f>IF(H$1&gt;=VLOOKUP($A3,'Gate Parameters'!$A:$B,2,FALSE),1,0)</f>
        <v/>
      </c>
      <c r="I3">
        <f>IF(I$1&gt;=VLOOKUP($A3,'Gate Parameters'!$A:$B,2,FALSE),1,0)</f>
        <v/>
      </c>
      <c r="J3">
        <f>IF(J$1&gt;=VLOOKUP($A3,'Gate Parameters'!$A:$B,2,FALSE),1,0)</f>
        <v/>
      </c>
      <c r="K3">
        <f>IF(K$1&gt;=VLOOKUP($A3,'Gate Parameters'!$A:$B,2,FALSE),1,0)</f>
        <v/>
      </c>
      <c r="L3">
        <f>IF(L$1&gt;=VLOOKUP($A3,'Gate Parameters'!$A:$B,2,FALSE),1,0)</f>
        <v/>
      </c>
      <c r="M3">
        <f>IF(M$1&gt;=VLOOKUP($A3,'Gate Parameters'!$A:$B,2,FALSE),1,0)</f>
        <v/>
      </c>
      <c r="N3">
        <f>IF(N$1&gt;=VLOOKUP($A3,'Gate Parameters'!$A:$B,2,FALSE),1,0)</f>
        <v/>
      </c>
      <c r="O3">
        <f>IF(O$1&gt;=VLOOKUP($A3,'Gate Parameters'!$A:$B,2,FALSE),1,0)</f>
        <v/>
      </c>
      <c r="P3">
        <f>IF(P$1&gt;=VLOOKUP($A3,'Gate Parameters'!$A:$B,2,FALSE),1,0)</f>
        <v/>
      </c>
      <c r="Q3">
        <f>IF(Q$1&gt;=VLOOKUP($A3,'Gate Parameters'!$A:$B,2,FALSE),1,0)</f>
        <v/>
      </c>
      <c r="R3">
        <f>IF(R$1&gt;=VLOOKUP($A3,'Gate Parameters'!$A:$B,2,FALSE),1,0)</f>
        <v/>
      </c>
      <c r="S3">
        <f>IF(S$1&gt;=VLOOKUP($A3,'Gate Parameters'!$A:$B,2,FALSE),1,0)</f>
        <v/>
      </c>
      <c r="T3">
        <f>IF(T$1&gt;=VLOOKUP($A3,'Gate Parameters'!$A:$B,2,FALSE),1,0)</f>
        <v/>
      </c>
      <c r="U3">
        <f>IF(U$1&gt;=VLOOKUP($A3,'Gate Parameters'!$A:$B,2,FALSE),1,0)</f>
        <v/>
      </c>
      <c r="V3">
        <f>IF(V$1&gt;=VLOOKUP($A3,'Gate Parameters'!$A:$B,2,FALSE),1,0)</f>
        <v/>
      </c>
      <c r="W3">
        <f>IF(W$1&gt;=VLOOKUP($A3,'Gate Parameters'!$A:$B,2,FALSE),1,0)</f>
        <v/>
      </c>
      <c r="X3">
        <f>IF(X$1&gt;=VLOOKUP($A3,'Gate Parameters'!$A:$B,2,FALSE),1,0)</f>
        <v/>
      </c>
      <c r="Y3">
        <f>IF(Y$1&gt;=VLOOKUP($A3,'Gate Parameters'!$A:$B,2,FALSE),1,0)</f>
        <v/>
      </c>
      <c r="Z3">
        <f>IF(Z$1&gt;=VLOOKUP($A3,'Gate Parameters'!$A:$B,2,FALSE),1,0)</f>
        <v/>
      </c>
      <c r="AA3">
        <f>IF(AA$1&gt;=VLOOKUP($A3,'Gate Parameters'!$A:$B,2,FALSE),1,0)</f>
        <v/>
      </c>
      <c r="AB3">
        <f>IF(AB$1&gt;=VLOOKUP($A3,'Gate Parameters'!$A:$B,2,FALSE),1,0)</f>
        <v/>
      </c>
      <c r="AC3">
        <f>IF(AC$1&gt;=VLOOKUP($A3,'Gate Parameters'!$A:$B,2,FALSE),1,0)</f>
        <v/>
      </c>
      <c r="AD3">
        <f>IF(AD$1&gt;=VLOOKUP($A3,'Gate Parameters'!$A:$B,2,FALSE),1,0)</f>
        <v/>
      </c>
      <c r="AE3">
        <f>IF(AE$1&gt;=VLOOKUP($A3,'Gate Parameters'!$A:$B,2,FALSE),1,0)</f>
        <v/>
      </c>
    </row>
    <row r="4">
      <c r="A4" t="inlineStr">
        <is>
          <t>electric kiln</t>
        </is>
      </c>
      <c r="B4">
        <f>IF(B$1&gt;=VLOOKUP($A4,'Gate Parameters'!$A:$B,2,FALSE),1,0)</f>
        <v/>
      </c>
      <c r="C4">
        <f>IF(C$1&gt;=VLOOKUP($A4,'Gate Parameters'!$A:$B,2,FALSE),1,0)</f>
        <v/>
      </c>
      <c r="D4">
        <f>IF(D$1&gt;=VLOOKUP($A4,'Gate Parameters'!$A:$B,2,FALSE),1,0)</f>
        <v/>
      </c>
      <c r="E4">
        <f>IF(E$1&gt;=VLOOKUP($A4,'Gate Parameters'!$A:$B,2,FALSE),1,0)</f>
        <v/>
      </c>
      <c r="F4">
        <f>IF(F$1&gt;=VLOOKUP($A4,'Gate Parameters'!$A:$B,2,FALSE),1,0)</f>
        <v/>
      </c>
      <c r="G4">
        <f>IF(G$1&gt;=VLOOKUP($A4,'Gate Parameters'!$A:$B,2,FALSE),1,0)</f>
        <v/>
      </c>
      <c r="H4">
        <f>IF(H$1&gt;=VLOOKUP($A4,'Gate Parameters'!$A:$B,2,FALSE),1,0)</f>
        <v/>
      </c>
      <c r="I4">
        <f>IF(I$1&gt;=VLOOKUP($A4,'Gate Parameters'!$A:$B,2,FALSE),1,0)</f>
        <v/>
      </c>
      <c r="J4">
        <f>IF(J$1&gt;=VLOOKUP($A4,'Gate Parameters'!$A:$B,2,FALSE),1,0)</f>
        <v/>
      </c>
      <c r="K4">
        <f>IF(K$1&gt;=VLOOKUP($A4,'Gate Parameters'!$A:$B,2,FALSE),1,0)</f>
        <v/>
      </c>
      <c r="L4">
        <f>IF(L$1&gt;=VLOOKUP($A4,'Gate Parameters'!$A:$B,2,FALSE),1,0)</f>
        <v/>
      </c>
      <c r="M4">
        <f>IF(M$1&gt;=VLOOKUP($A4,'Gate Parameters'!$A:$B,2,FALSE),1,0)</f>
        <v/>
      </c>
      <c r="N4">
        <f>IF(N$1&gt;=VLOOKUP($A4,'Gate Parameters'!$A:$B,2,FALSE),1,0)</f>
        <v/>
      </c>
      <c r="O4">
        <f>IF(O$1&gt;=VLOOKUP($A4,'Gate Parameters'!$A:$B,2,FALSE),1,0)</f>
        <v/>
      </c>
      <c r="P4">
        <f>IF(P$1&gt;=VLOOKUP($A4,'Gate Parameters'!$A:$B,2,FALSE),1,0)</f>
        <v/>
      </c>
      <c r="Q4">
        <f>IF(Q$1&gt;=VLOOKUP($A4,'Gate Parameters'!$A:$B,2,FALSE),1,0)</f>
        <v/>
      </c>
      <c r="R4">
        <f>IF(R$1&gt;=VLOOKUP($A4,'Gate Parameters'!$A:$B,2,FALSE),1,0)</f>
        <v/>
      </c>
      <c r="S4">
        <f>IF(S$1&gt;=VLOOKUP($A4,'Gate Parameters'!$A:$B,2,FALSE),1,0)</f>
        <v/>
      </c>
      <c r="T4">
        <f>IF(T$1&gt;=VLOOKUP($A4,'Gate Parameters'!$A:$B,2,FALSE),1,0)</f>
        <v/>
      </c>
      <c r="U4">
        <f>IF(U$1&gt;=VLOOKUP($A4,'Gate Parameters'!$A:$B,2,FALSE),1,0)</f>
        <v/>
      </c>
      <c r="V4">
        <f>IF(V$1&gt;=VLOOKUP($A4,'Gate Parameters'!$A:$B,2,FALSE),1,0)</f>
        <v/>
      </c>
      <c r="W4">
        <f>IF(W$1&gt;=VLOOKUP($A4,'Gate Parameters'!$A:$B,2,FALSE),1,0)</f>
        <v/>
      </c>
      <c r="X4">
        <f>IF(X$1&gt;=VLOOKUP($A4,'Gate Parameters'!$A:$B,2,FALSE),1,0)</f>
        <v/>
      </c>
      <c r="Y4">
        <f>IF(Y$1&gt;=VLOOKUP($A4,'Gate Parameters'!$A:$B,2,FALSE),1,0)</f>
        <v/>
      </c>
      <c r="Z4">
        <f>IF(Z$1&gt;=VLOOKUP($A4,'Gate Parameters'!$A:$B,2,FALSE),1,0)</f>
        <v/>
      </c>
      <c r="AA4">
        <f>IF(AA$1&gt;=VLOOKUP($A4,'Gate Parameters'!$A:$B,2,FALSE),1,0)</f>
        <v/>
      </c>
      <c r="AB4">
        <f>IF(AB$1&gt;=VLOOKUP($A4,'Gate Parameters'!$A:$B,2,FALSE),1,0)</f>
        <v/>
      </c>
      <c r="AC4">
        <f>IF(AC$1&gt;=VLOOKUP($A4,'Gate Parameters'!$A:$B,2,FALSE),1,0)</f>
        <v/>
      </c>
      <c r="AD4">
        <f>IF(AD$1&gt;=VLOOKUP($A4,'Gate Parameters'!$A:$B,2,FALSE),1,0)</f>
        <v/>
      </c>
      <c r="AE4">
        <f>IF(AE$1&gt;=VLOOKUP($A4,'Gate Parameters'!$A:$B,2,FALSE),1,0)</f>
        <v/>
      </c>
    </row>
    <row r="5">
      <c r="A5" t="inlineStr">
        <is>
          <t>alternative chemistry cement</t>
        </is>
      </c>
      <c r="B5">
        <f>IF(B$1&gt;=VLOOKUP($A5,'Gate Parameters'!$A:$B,2,FALSE),1,0)</f>
        <v/>
      </c>
      <c r="C5">
        <f>IF(C$1&gt;=VLOOKUP($A5,'Gate Parameters'!$A:$B,2,FALSE),1,0)</f>
        <v/>
      </c>
      <c r="D5">
        <f>IF(D$1&gt;=VLOOKUP($A5,'Gate Parameters'!$A:$B,2,FALSE),1,0)</f>
        <v/>
      </c>
      <c r="E5">
        <f>IF(E$1&gt;=VLOOKUP($A5,'Gate Parameters'!$A:$B,2,FALSE),1,0)</f>
        <v/>
      </c>
      <c r="F5">
        <f>IF(F$1&gt;=VLOOKUP($A5,'Gate Parameters'!$A:$B,2,FALSE),1,0)</f>
        <v/>
      </c>
      <c r="G5">
        <f>IF(G$1&gt;=VLOOKUP($A5,'Gate Parameters'!$A:$B,2,FALSE),1,0)</f>
        <v/>
      </c>
      <c r="H5">
        <f>IF(H$1&gt;=VLOOKUP($A5,'Gate Parameters'!$A:$B,2,FALSE),1,0)</f>
        <v/>
      </c>
      <c r="I5">
        <f>IF(I$1&gt;=VLOOKUP($A5,'Gate Parameters'!$A:$B,2,FALSE),1,0)</f>
        <v/>
      </c>
      <c r="J5">
        <f>IF(J$1&gt;=VLOOKUP($A5,'Gate Parameters'!$A:$B,2,FALSE),1,0)</f>
        <v/>
      </c>
      <c r="K5">
        <f>IF(K$1&gt;=VLOOKUP($A5,'Gate Parameters'!$A:$B,2,FALSE),1,0)</f>
        <v/>
      </c>
      <c r="L5">
        <f>IF(L$1&gt;=VLOOKUP($A5,'Gate Parameters'!$A:$B,2,FALSE),1,0)</f>
        <v/>
      </c>
      <c r="M5">
        <f>IF(M$1&gt;=VLOOKUP($A5,'Gate Parameters'!$A:$B,2,FALSE),1,0)</f>
        <v/>
      </c>
      <c r="N5">
        <f>IF(N$1&gt;=VLOOKUP($A5,'Gate Parameters'!$A:$B,2,FALSE),1,0)</f>
        <v/>
      </c>
      <c r="O5">
        <f>IF(O$1&gt;=VLOOKUP($A5,'Gate Parameters'!$A:$B,2,FALSE),1,0)</f>
        <v/>
      </c>
      <c r="P5">
        <f>IF(P$1&gt;=VLOOKUP($A5,'Gate Parameters'!$A:$B,2,FALSE),1,0)</f>
        <v/>
      </c>
      <c r="Q5">
        <f>IF(Q$1&gt;=VLOOKUP($A5,'Gate Parameters'!$A:$B,2,FALSE),1,0)</f>
        <v/>
      </c>
      <c r="R5">
        <f>IF(R$1&gt;=VLOOKUP($A5,'Gate Parameters'!$A:$B,2,FALSE),1,0)</f>
        <v/>
      </c>
      <c r="S5">
        <f>IF(S$1&gt;=VLOOKUP($A5,'Gate Parameters'!$A:$B,2,FALSE),1,0)</f>
        <v/>
      </c>
      <c r="T5">
        <f>IF(T$1&gt;=VLOOKUP($A5,'Gate Parameters'!$A:$B,2,FALSE),1,0)</f>
        <v/>
      </c>
      <c r="U5">
        <f>IF(U$1&gt;=VLOOKUP($A5,'Gate Parameters'!$A:$B,2,FALSE),1,0)</f>
        <v/>
      </c>
      <c r="V5">
        <f>IF(V$1&gt;=VLOOKUP($A5,'Gate Parameters'!$A:$B,2,FALSE),1,0)</f>
        <v/>
      </c>
      <c r="W5">
        <f>IF(W$1&gt;=VLOOKUP($A5,'Gate Parameters'!$A:$B,2,FALSE),1,0)</f>
        <v/>
      </c>
      <c r="X5">
        <f>IF(X$1&gt;=VLOOKUP($A5,'Gate Parameters'!$A:$B,2,FALSE),1,0)</f>
        <v/>
      </c>
      <c r="Y5">
        <f>IF(Y$1&gt;=VLOOKUP($A5,'Gate Parameters'!$A:$B,2,FALSE),1,0)</f>
        <v/>
      </c>
      <c r="Z5">
        <f>IF(Z$1&gt;=VLOOKUP($A5,'Gate Parameters'!$A:$B,2,FALSE),1,0)</f>
        <v/>
      </c>
      <c r="AA5">
        <f>IF(AA$1&gt;=VLOOKUP($A5,'Gate Parameters'!$A:$B,2,FALSE),1,0)</f>
        <v/>
      </c>
      <c r="AB5">
        <f>IF(AB$1&gt;=VLOOKUP($A5,'Gate Parameters'!$A:$B,2,FALSE),1,0)</f>
        <v/>
      </c>
      <c r="AC5">
        <f>IF(AC$1&gt;=VLOOKUP($A5,'Gate Parameters'!$A:$B,2,FALSE),1,0)</f>
        <v/>
      </c>
      <c r="AD5">
        <f>IF(AD$1&gt;=VLOOKUP($A5,'Gate Parameters'!$A:$B,2,FALSE),1,0)</f>
        <v/>
      </c>
      <c r="AE5">
        <f>IF(AE$1&gt;=VLOOKUP($A5,'Gate Parameters'!$A:$B,2,FALSE),1,0)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Cross-check: export literal minus Calc gate-formula value, per pathway-year (plain ABS cells, no array formulas)</t>
        </is>
      </c>
      <c r="B1" t="n">
        <v>2021</v>
      </c>
      <c r="C1" t="n">
        <v>2022</v>
      </c>
      <c r="D1" t="n">
        <v>2023</v>
      </c>
      <c r="E1" t="n">
        <v>2024</v>
      </c>
      <c r="F1" t="n">
        <v>2025</v>
      </c>
      <c r="G1" t="n">
        <v>2026</v>
      </c>
      <c r="H1" t="n">
        <v>2027</v>
      </c>
      <c r="I1" t="n">
        <v>2028</v>
      </c>
      <c r="J1" t="n">
        <v>2029</v>
      </c>
      <c r="K1" t="n">
        <v>2030</v>
      </c>
      <c r="L1" t="n">
        <v>2031</v>
      </c>
      <c r="M1" t="n">
        <v>2032</v>
      </c>
      <c r="N1" t="n">
        <v>2033</v>
      </c>
      <c r="O1" t="n">
        <v>2034</v>
      </c>
      <c r="P1" t="n">
        <v>2035</v>
      </c>
      <c r="Q1" t="n">
        <v>2036</v>
      </c>
      <c r="R1" t="n">
        <v>2037</v>
      </c>
      <c r="S1" t="n">
        <v>2038</v>
      </c>
      <c r="T1" t="n">
        <v>2039</v>
      </c>
      <c r="U1" t="n">
        <v>2040</v>
      </c>
      <c r="V1" t="n">
        <v>2041</v>
      </c>
      <c r="W1" t="n">
        <v>2042</v>
      </c>
      <c r="X1" t="n">
        <v>2043</v>
      </c>
      <c r="Y1" t="n">
        <v>2044</v>
      </c>
      <c r="Z1" t="n">
        <v>2045</v>
      </c>
      <c r="AA1" t="n">
        <v>2046</v>
      </c>
      <c r="AB1" t="n">
        <v>2047</v>
      </c>
      <c r="AC1" t="n">
        <v>2048</v>
      </c>
      <c r="AD1" t="n">
        <v>2049</v>
      </c>
      <c r="AE1" t="n">
        <v>2050</v>
      </c>
    </row>
    <row r="2">
      <c r="A2" t="inlineStr">
        <is>
          <t>dry kiln with precalciner</t>
        </is>
      </c>
      <c r="B2">
        <f>ABS(CPSW!B2-Calc!B2)</f>
        <v/>
      </c>
      <c r="C2">
        <f>ABS(CPSW!C2-Calc!C2)</f>
        <v/>
      </c>
      <c r="D2">
        <f>ABS(CPSW!D2-Calc!D2)</f>
        <v/>
      </c>
      <c r="E2">
        <f>ABS(CPSW!E2-Calc!E2)</f>
        <v/>
      </c>
      <c r="F2">
        <f>ABS(CPSW!F2-Calc!F2)</f>
        <v/>
      </c>
      <c r="G2">
        <f>ABS(CPSW!G2-Calc!G2)</f>
        <v/>
      </c>
      <c r="H2">
        <f>ABS(CPSW!H2-Calc!H2)</f>
        <v/>
      </c>
      <c r="I2">
        <f>ABS(CPSW!I2-Calc!I2)</f>
        <v/>
      </c>
      <c r="J2">
        <f>ABS(CPSW!J2-Calc!J2)</f>
        <v/>
      </c>
      <c r="K2">
        <f>ABS(CPSW!K2-Calc!K2)</f>
        <v/>
      </c>
      <c r="L2">
        <f>ABS(CPSW!L2-Calc!L2)</f>
        <v/>
      </c>
      <c r="M2">
        <f>ABS(CPSW!M2-Calc!M2)</f>
        <v/>
      </c>
      <c r="N2">
        <f>ABS(CPSW!N2-Calc!N2)</f>
        <v/>
      </c>
      <c r="O2">
        <f>ABS(CPSW!O2-Calc!O2)</f>
        <v/>
      </c>
      <c r="P2">
        <f>ABS(CPSW!P2-Calc!P2)</f>
        <v/>
      </c>
      <c r="Q2">
        <f>ABS(CPSW!Q2-Calc!Q2)</f>
        <v/>
      </c>
      <c r="R2">
        <f>ABS(CPSW!R2-Calc!R2)</f>
        <v/>
      </c>
      <c r="S2">
        <f>ABS(CPSW!S2-Calc!S2)</f>
        <v/>
      </c>
      <c r="T2">
        <f>ABS(CPSW!T2-Calc!T2)</f>
        <v/>
      </c>
      <c r="U2">
        <f>ABS(CPSW!U2-Calc!U2)</f>
        <v/>
      </c>
      <c r="V2">
        <f>ABS(CPSW!V2-Calc!V2)</f>
        <v/>
      </c>
      <c r="W2">
        <f>ABS(CPSW!W2-Calc!W2)</f>
        <v/>
      </c>
      <c r="X2">
        <f>ABS(CPSW!X2-Calc!X2)</f>
        <v/>
      </c>
      <c r="Y2">
        <f>ABS(CPSW!Y2-Calc!Y2)</f>
        <v/>
      </c>
      <c r="Z2">
        <f>ABS(CPSW!Z2-Calc!Z2)</f>
        <v/>
      </c>
      <c r="AA2">
        <f>ABS(CPSW!AA2-Calc!AA2)</f>
        <v/>
      </c>
      <c r="AB2">
        <f>ABS(CPSW!AB2-Calc!AB2)</f>
        <v/>
      </c>
      <c r="AC2">
        <f>ABS(CPSW!AC2-Calc!AC2)</f>
        <v/>
      </c>
      <c r="AD2">
        <f>ABS(CPSW!AD2-Calc!AD2)</f>
        <v/>
      </c>
      <c r="AE2">
        <f>ABS(CPSW!AE2-Calc!AE2)</f>
        <v/>
      </c>
    </row>
    <row r="3">
      <c r="A3" t="inlineStr">
        <is>
          <t>dry kiln with CCS</t>
        </is>
      </c>
      <c r="B3">
        <f>ABS(CPSW!B3-Calc!B3)</f>
        <v/>
      </c>
      <c r="C3">
        <f>ABS(CPSW!C3-Calc!C3)</f>
        <v/>
      </c>
      <c r="D3">
        <f>ABS(CPSW!D3-Calc!D3)</f>
        <v/>
      </c>
      <c r="E3">
        <f>ABS(CPSW!E3-Calc!E3)</f>
        <v/>
      </c>
      <c r="F3">
        <f>ABS(CPSW!F3-Calc!F3)</f>
        <v/>
      </c>
      <c r="G3">
        <f>ABS(CPSW!G3-Calc!G3)</f>
        <v/>
      </c>
      <c r="H3">
        <f>ABS(CPSW!H3-Calc!H3)</f>
        <v/>
      </c>
      <c r="I3">
        <f>ABS(CPSW!I3-Calc!I3)</f>
        <v/>
      </c>
      <c r="J3">
        <f>ABS(CPSW!J3-Calc!J3)</f>
        <v/>
      </c>
      <c r="K3">
        <f>ABS(CPSW!K3-Calc!K3)</f>
        <v/>
      </c>
      <c r="L3">
        <f>ABS(CPSW!L3-Calc!L3)</f>
        <v/>
      </c>
      <c r="M3">
        <f>ABS(CPSW!M3-Calc!M3)</f>
        <v/>
      </c>
      <c r="N3">
        <f>ABS(CPSW!N3-Calc!N3)</f>
        <v/>
      </c>
      <c r="O3">
        <f>ABS(CPSW!O3-Calc!O3)</f>
        <v/>
      </c>
      <c r="P3">
        <f>ABS(CPSW!P3-Calc!P3)</f>
        <v/>
      </c>
      <c r="Q3">
        <f>ABS(CPSW!Q3-Calc!Q3)</f>
        <v/>
      </c>
      <c r="R3">
        <f>ABS(CPSW!R3-Calc!R3)</f>
        <v/>
      </c>
      <c r="S3">
        <f>ABS(CPSW!S3-Calc!S3)</f>
        <v/>
      </c>
      <c r="T3">
        <f>ABS(CPSW!T3-Calc!T3)</f>
        <v/>
      </c>
      <c r="U3">
        <f>ABS(CPSW!U3-Calc!U3)</f>
        <v/>
      </c>
      <c r="V3">
        <f>ABS(CPSW!V3-Calc!V3)</f>
        <v/>
      </c>
      <c r="W3">
        <f>ABS(CPSW!W3-Calc!W3)</f>
        <v/>
      </c>
      <c r="X3">
        <f>ABS(CPSW!X3-Calc!X3)</f>
        <v/>
      </c>
      <c r="Y3">
        <f>ABS(CPSW!Y3-Calc!Y3)</f>
        <v/>
      </c>
      <c r="Z3">
        <f>ABS(CPSW!Z3-Calc!Z3)</f>
        <v/>
      </c>
      <c r="AA3">
        <f>ABS(CPSW!AA3-Calc!AA3)</f>
        <v/>
      </c>
      <c r="AB3">
        <f>ABS(CPSW!AB3-Calc!AB3)</f>
        <v/>
      </c>
      <c r="AC3">
        <f>ABS(CPSW!AC3-Calc!AC3)</f>
        <v/>
      </c>
      <c r="AD3">
        <f>ABS(CPSW!AD3-Calc!AD3)</f>
        <v/>
      </c>
      <c r="AE3">
        <f>ABS(CPSW!AE3-Calc!AE3)</f>
        <v/>
      </c>
    </row>
    <row r="4">
      <c r="A4" t="inlineStr">
        <is>
          <t>electric kiln</t>
        </is>
      </c>
      <c r="B4">
        <f>ABS(CPSW!B4-Calc!B4)</f>
        <v/>
      </c>
      <c r="C4">
        <f>ABS(CPSW!C4-Calc!C4)</f>
        <v/>
      </c>
      <c r="D4">
        <f>ABS(CPSW!D4-Calc!D4)</f>
        <v/>
      </c>
      <c r="E4">
        <f>ABS(CPSW!E4-Calc!E4)</f>
        <v/>
      </c>
      <c r="F4">
        <f>ABS(CPSW!F4-Calc!F4)</f>
        <v/>
      </c>
      <c r="G4">
        <f>ABS(CPSW!G4-Calc!G4)</f>
        <v/>
      </c>
      <c r="H4">
        <f>ABS(CPSW!H4-Calc!H4)</f>
        <v/>
      </c>
      <c r="I4">
        <f>ABS(CPSW!I4-Calc!I4)</f>
        <v/>
      </c>
      <c r="J4">
        <f>ABS(CPSW!J4-Calc!J4)</f>
        <v/>
      </c>
      <c r="K4">
        <f>ABS(CPSW!K4-Calc!K4)</f>
        <v/>
      </c>
      <c r="L4">
        <f>ABS(CPSW!L4-Calc!L4)</f>
        <v/>
      </c>
      <c r="M4">
        <f>ABS(CPSW!M4-Calc!M4)</f>
        <v/>
      </c>
      <c r="N4">
        <f>ABS(CPSW!N4-Calc!N4)</f>
        <v/>
      </c>
      <c r="O4">
        <f>ABS(CPSW!O4-Calc!O4)</f>
        <v/>
      </c>
      <c r="P4">
        <f>ABS(CPSW!P4-Calc!P4)</f>
        <v/>
      </c>
      <c r="Q4">
        <f>ABS(CPSW!Q4-Calc!Q4)</f>
        <v/>
      </c>
      <c r="R4">
        <f>ABS(CPSW!R4-Calc!R4)</f>
        <v/>
      </c>
      <c r="S4">
        <f>ABS(CPSW!S4-Calc!S4)</f>
        <v/>
      </c>
      <c r="T4">
        <f>ABS(CPSW!T4-Calc!T4)</f>
        <v/>
      </c>
      <c r="U4">
        <f>ABS(CPSW!U4-Calc!U4)</f>
        <v/>
      </c>
      <c r="V4">
        <f>ABS(CPSW!V4-Calc!V4)</f>
        <v/>
      </c>
      <c r="W4">
        <f>ABS(CPSW!W4-Calc!W4)</f>
        <v/>
      </c>
      <c r="X4">
        <f>ABS(CPSW!X4-Calc!X4)</f>
        <v/>
      </c>
      <c r="Y4">
        <f>ABS(CPSW!Y4-Calc!Y4)</f>
        <v/>
      </c>
      <c r="Z4">
        <f>ABS(CPSW!Z4-Calc!Z4)</f>
        <v/>
      </c>
      <c r="AA4">
        <f>ABS(CPSW!AA4-Calc!AA4)</f>
        <v/>
      </c>
      <c r="AB4">
        <f>ABS(CPSW!AB4-Calc!AB4)</f>
        <v/>
      </c>
      <c r="AC4">
        <f>ABS(CPSW!AC4-Calc!AC4)</f>
        <v/>
      </c>
      <c r="AD4">
        <f>ABS(CPSW!AD4-Calc!AD4)</f>
        <v/>
      </c>
      <c r="AE4">
        <f>ABS(CPSW!AE4-Calc!AE4)</f>
        <v/>
      </c>
    </row>
    <row r="5">
      <c r="A5" t="inlineStr">
        <is>
          <t>alternative chemistry cement</t>
        </is>
      </c>
      <c r="B5">
        <f>ABS(CPSW!B5-Calc!B5)</f>
        <v/>
      </c>
      <c r="C5">
        <f>ABS(CPSW!C5-Calc!C5)</f>
        <v/>
      </c>
      <c r="D5">
        <f>ABS(CPSW!D5-Calc!D5)</f>
        <v/>
      </c>
      <c r="E5">
        <f>ABS(CPSW!E5-Calc!E5)</f>
        <v/>
      </c>
      <c r="F5">
        <f>ABS(CPSW!F5-Calc!F5)</f>
        <v/>
      </c>
      <c r="G5">
        <f>ABS(CPSW!G5-Calc!G5)</f>
        <v/>
      </c>
      <c r="H5">
        <f>ABS(CPSW!H5-Calc!H5)</f>
        <v/>
      </c>
      <c r="I5">
        <f>ABS(CPSW!I5-Calc!I5)</f>
        <v/>
      </c>
      <c r="J5">
        <f>ABS(CPSW!J5-Calc!J5)</f>
        <v/>
      </c>
      <c r="K5">
        <f>ABS(CPSW!K5-Calc!K5)</f>
        <v/>
      </c>
      <c r="L5">
        <f>ABS(CPSW!L5-Calc!L5)</f>
        <v/>
      </c>
      <c r="M5">
        <f>ABS(CPSW!M5-Calc!M5)</f>
        <v/>
      </c>
      <c r="N5">
        <f>ABS(CPSW!N5-Calc!N5)</f>
        <v/>
      </c>
      <c r="O5">
        <f>ABS(CPSW!O5-Calc!O5)</f>
        <v/>
      </c>
      <c r="P5">
        <f>ABS(CPSW!P5-Calc!P5)</f>
        <v/>
      </c>
      <c r="Q5">
        <f>ABS(CPSW!Q5-Calc!Q5)</f>
        <v/>
      </c>
      <c r="R5">
        <f>ABS(CPSW!R5-Calc!R5)</f>
        <v/>
      </c>
      <c r="S5">
        <f>ABS(CPSW!S5-Calc!S5)</f>
        <v/>
      </c>
      <c r="T5">
        <f>ABS(CPSW!T5-Calc!T5)</f>
        <v/>
      </c>
      <c r="U5">
        <f>ABS(CPSW!U5-Calc!U5)</f>
        <v/>
      </c>
      <c r="V5">
        <f>ABS(CPSW!V5-Calc!V5)</f>
        <v/>
      </c>
      <c r="W5">
        <f>ABS(CPSW!W5-Calc!W5)</f>
        <v/>
      </c>
      <c r="X5">
        <f>ABS(CPSW!X5-Calc!X5)</f>
        <v/>
      </c>
      <c r="Y5">
        <f>ABS(CPSW!Y5-Calc!Y5)</f>
        <v/>
      </c>
      <c r="Z5">
        <f>ABS(CPSW!Z5-Calc!Z5)</f>
        <v/>
      </c>
      <c r="AA5">
        <f>ABS(CPSW!AA5-Calc!AA5)</f>
        <v/>
      </c>
      <c r="AB5">
        <f>ABS(CPSW!AB5-Calc!AB5)</f>
        <v/>
      </c>
      <c r="AC5">
        <f>ABS(CPSW!AC5-Calc!AC5)</f>
        <v/>
      </c>
      <c r="AD5">
        <f>ABS(CPSW!AD5-Calc!AD5)</f>
        <v/>
      </c>
      <c r="AE5">
        <f>ABS(CPSW!AE5-Calc!AE5)</f>
        <v/>
      </c>
    </row>
    <row r="7">
      <c r="A7" s="1" t="inlineStr">
        <is>
          <t>MAX abs diff</t>
        </is>
      </c>
      <c r="B7">
        <f>MAX(B2:AE5)</f>
        <v/>
      </c>
    </row>
    <row r="8">
      <c r="A8" s="1" t="inlineStr">
        <is>
          <t>Overall</t>
        </is>
      </c>
      <c r="B8">
        <f>IF(B7&lt;0.0000001,"PASS","FAIL")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Unit: dimensionless (entry gates revised per post-2025 DOE-cancellation project landscape: CCS 2030 / alt chem 2033 / electric 2035; team review)</t>
        </is>
      </c>
      <c r="B1" t="n">
        <v>2021</v>
      </c>
      <c r="C1" t="n">
        <v>2022</v>
      </c>
      <c r="D1" t="n">
        <v>2023</v>
      </c>
      <c r="E1" t="n">
        <v>2024</v>
      </c>
      <c r="F1" t="n">
        <v>2025</v>
      </c>
      <c r="G1" t="n">
        <v>2026</v>
      </c>
      <c r="H1" t="n">
        <v>2027</v>
      </c>
      <c r="I1" t="n">
        <v>2028</v>
      </c>
      <c r="J1" t="n">
        <v>2029</v>
      </c>
      <c r="K1" t="n">
        <v>2030</v>
      </c>
      <c r="L1" t="n">
        <v>2031</v>
      </c>
      <c r="M1" t="n">
        <v>2032</v>
      </c>
      <c r="N1" t="n">
        <v>2033</v>
      </c>
      <c r="O1" t="n">
        <v>2034</v>
      </c>
      <c r="P1" t="n">
        <v>2035</v>
      </c>
      <c r="Q1" t="n">
        <v>2036</v>
      </c>
      <c r="R1" t="n">
        <v>2037</v>
      </c>
      <c r="S1" t="n">
        <v>2038</v>
      </c>
      <c r="T1" t="n">
        <v>2039</v>
      </c>
      <c r="U1" t="n">
        <v>2040</v>
      </c>
      <c r="V1" t="n">
        <v>2041</v>
      </c>
      <c r="W1" t="n">
        <v>2042</v>
      </c>
      <c r="X1" t="n">
        <v>2043</v>
      </c>
      <c r="Y1" t="n">
        <v>2044</v>
      </c>
      <c r="Z1" t="n">
        <v>2045</v>
      </c>
      <c r="AA1" t="n">
        <v>2046</v>
      </c>
      <c r="AB1" t="n">
        <v>2047</v>
      </c>
      <c r="AC1" t="n">
        <v>2048</v>
      </c>
      <c r="AD1" t="n">
        <v>2049</v>
      </c>
      <c r="AE1" t="n">
        <v>2050</v>
      </c>
    </row>
    <row r="2">
      <c r="A2" t="inlineStr">
        <is>
          <t>dry kiln with precalciner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</row>
    <row r="3">
      <c r="A3" t="inlineStr">
        <is>
          <t>dry kiln with CCS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</row>
    <row r="4">
      <c r="A4" t="inlineStr">
        <is>
          <t>electric kiln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</row>
    <row r="5">
      <c r="A5" t="inlineStr">
        <is>
          <t>alternative chemistry cement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2026-08-26T11:52:48Z</dcterms:created>
  <dcterms:modified xsi:type="dcterms:W3CDTF">2026-08-26T11:52:48Z</dcterms:modified>
</cp:coreProperties>
</file>