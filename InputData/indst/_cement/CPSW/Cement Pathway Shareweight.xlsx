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PSW\"/>
    </mc:Choice>
  </mc:AlternateContent>
  <xr:revisionPtr revIDLastSave="0" documentId="13_ncr:1_{C0E0C555-8112-4CAD-8050-D4EF832FAF7D}" xr6:coauthVersionLast="47" xr6:coauthVersionMax="47" xr10:uidLastSave="{00000000-0000-0000-0000-000000000000}"/>
  <bookViews>
    <workbookView xWindow="-120" yWindow="-120" windowWidth="29040" windowHeight="17520" xr2:uid="{00000000-000D-0000-FFFF-FFFF00000000}"/>
  </bookViews>
  <sheets>
    <sheet name="About" sheetId="1" r:id="rId1"/>
    <sheet name="Gate Parameters" sheetId="2" r:id="rId2"/>
    <sheet name="Calc" sheetId="3" r:id="rId3"/>
    <sheet name="CPSW"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5" i="3" l="1"/>
  <c r="AE5" i="5" s="1"/>
  <c r="AD5" i="3"/>
  <c r="AD5" i="5" s="1"/>
  <c r="AC5" i="3"/>
  <c r="AC5" i="5" s="1"/>
  <c r="AB5" i="3"/>
  <c r="AB5" i="5" s="1"/>
  <c r="AA5" i="3"/>
  <c r="AA5" i="5" s="1"/>
  <c r="Z5" i="3"/>
  <c r="Z5" i="5" s="1"/>
  <c r="Y5" i="3"/>
  <c r="Y5" i="5" s="1"/>
  <c r="X5" i="3"/>
  <c r="X5" i="5" s="1"/>
  <c r="W5" i="3"/>
  <c r="W5" i="5" s="1"/>
  <c r="V5" i="3"/>
  <c r="V5" i="5" s="1"/>
  <c r="U5" i="3"/>
  <c r="U5" i="5" s="1"/>
  <c r="T5" i="3"/>
  <c r="T5" i="5" s="1"/>
  <c r="S5" i="3"/>
  <c r="S5" i="5" s="1"/>
  <c r="R5" i="3"/>
  <c r="R5" i="5" s="1"/>
  <c r="Q5" i="3"/>
  <c r="Q5" i="5" s="1"/>
  <c r="P5" i="3"/>
  <c r="P5" i="5" s="1"/>
  <c r="O5" i="3"/>
  <c r="O5" i="5" s="1"/>
  <c r="N5" i="3"/>
  <c r="N5" i="5" s="1"/>
  <c r="M5" i="3"/>
  <c r="M5" i="5" s="1"/>
  <c r="L5" i="3"/>
  <c r="L5" i="5" s="1"/>
  <c r="K5" i="3"/>
  <c r="K5" i="5" s="1"/>
  <c r="J5" i="3"/>
  <c r="J5" i="5" s="1"/>
  <c r="I5" i="3"/>
  <c r="I5" i="5" s="1"/>
  <c r="H5" i="3"/>
  <c r="H5" i="5" s="1"/>
  <c r="G5" i="3"/>
  <c r="G5" i="5" s="1"/>
  <c r="F5" i="3"/>
  <c r="F5" i="5" s="1"/>
  <c r="E5" i="3"/>
  <c r="E5" i="5" s="1"/>
  <c r="D5" i="3"/>
  <c r="D5" i="5" s="1"/>
  <c r="C5" i="3"/>
  <c r="C5" i="5" s="1"/>
  <c r="B5" i="3"/>
  <c r="B5" i="5" s="1"/>
  <c r="AE4" i="3"/>
  <c r="AE4" i="5" s="1"/>
  <c r="AD4" i="3"/>
  <c r="AD4" i="5" s="1"/>
  <c r="AC4" i="3"/>
  <c r="AC4" i="5" s="1"/>
  <c r="AB4" i="3"/>
  <c r="AB4" i="5" s="1"/>
  <c r="AA4" i="3"/>
  <c r="AA4" i="5" s="1"/>
  <c r="Z4" i="3"/>
  <c r="Z4" i="5" s="1"/>
  <c r="Y4" i="3"/>
  <c r="Y4" i="5" s="1"/>
  <c r="X4" i="3"/>
  <c r="X4" i="5" s="1"/>
  <c r="W4" i="3"/>
  <c r="W4" i="5" s="1"/>
  <c r="V4" i="3"/>
  <c r="V4" i="5" s="1"/>
  <c r="U4" i="3"/>
  <c r="U4" i="5" s="1"/>
  <c r="T4" i="3"/>
  <c r="T4" i="5" s="1"/>
  <c r="S4" i="3"/>
  <c r="S4" i="5" s="1"/>
  <c r="R4" i="3"/>
  <c r="R4" i="5" s="1"/>
  <c r="Q4" i="3"/>
  <c r="Q4" i="5" s="1"/>
  <c r="P4" i="3"/>
  <c r="P4" i="5" s="1"/>
  <c r="O4" i="3"/>
  <c r="O4" i="5" s="1"/>
  <c r="N4" i="3"/>
  <c r="N4" i="5" s="1"/>
  <c r="M4" i="3"/>
  <c r="M4" i="5" s="1"/>
  <c r="L4" i="3"/>
  <c r="L4" i="5" s="1"/>
  <c r="K4" i="3"/>
  <c r="K4" i="5" s="1"/>
  <c r="J4" i="3"/>
  <c r="J4" i="5" s="1"/>
  <c r="I4" i="3"/>
  <c r="I4" i="5" s="1"/>
  <c r="H4" i="3"/>
  <c r="H4" i="5" s="1"/>
  <c r="G4" i="3"/>
  <c r="G4" i="5" s="1"/>
  <c r="F4" i="3"/>
  <c r="F4" i="5" s="1"/>
  <c r="E4" i="3"/>
  <c r="E4" i="5" s="1"/>
  <c r="D4" i="3"/>
  <c r="D4" i="5" s="1"/>
  <c r="C4" i="3"/>
  <c r="C4" i="5" s="1"/>
  <c r="B4" i="3"/>
  <c r="B4" i="5" s="1"/>
  <c r="AE3" i="3"/>
  <c r="AE3" i="5" s="1"/>
  <c r="AD3" i="3"/>
  <c r="AD3" i="5" s="1"/>
  <c r="AC3" i="3"/>
  <c r="AC3" i="5" s="1"/>
  <c r="AB3" i="3"/>
  <c r="AB3" i="5" s="1"/>
  <c r="AA3" i="3"/>
  <c r="AA3" i="5" s="1"/>
  <c r="Z3" i="3"/>
  <c r="Z3" i="5" s="1"/>
  <c r="Y3" i="3"/>
  <c r="Y3" i="5" s="1"/>
  <c r="X3" i="3"/>
  <c r="X3" i="5" s="1"/>
  <c r="W3" i="3"/>
  <c r="W3" i="5" s="1"/>
  <c r="V3" i="3"/>
  <c r="V3" i="5" s="1"/>
  <c r="U3" i="3"/>
  <c r="U3" i="5" s="1"/>
  <c r="T3" i="3"/>
  <c r="T3" i="5" s="1"/>
  <c r="S3" i="3"/>
  <c r="S3" i="5" s="1"/>
  <c r="R3" i="3"/>
  <c r="R3" i="5" s="1"/>
  <c r="Q3" i="3"/>
  <c r="Q3" i="5" s="1"/>
  <c r="P3" i="3"/>
  <c r="P3" i="5" s="1"/>
  <c r="O3" i="3"/>
  <c r="O3" i="5" s="1"/>
  <c r="N3" i="3"/>
  <c r="N3" i="5" s="1"/>
  <c r="M3" i="3"/>
  <c r="M3" i="5" s="1"/>
  <c r="L3" i="3"/>
  <c r="L3" i="5" s="1"/>
  <c r="K3" i="3"/>
  <c r="K3" i="5" s="1"/>
  <c r="J3" i="3"/>
  <c r="J3" i="5" s="1"/>
  <c r="I3" i="3"/>
  <c r="I3" i="5" s="1"/>
  <c r="H3" i="3"/>
  <c r="H3" i="5" s="1"/>
  <c r="G3" i="3"/>
  <c r="G3" i="5" s="1"/>
  <c r="F3" i="3"/>
  <c r="F3" i="5" s="1"/>
  <c r="E3" i="3"/>
  <c r="E3" i="5" s="1"/>
  <c r="D3" i="3"/>
  <c r="D3" i="5" s="1"/>
  <c r="C3" i="3"/>
  <c r="C3" i="5" s="1"/>
  <c r="B3" i="3"/>
  <c r="B3" i="5" s="1"/>
  <c r="AE2" i="3"/>
  <c r="AE2" i="5" s="1"/>
  <c r="AD2" i="3"/>
  <c r="AD2" i="5" s="1"/>
  <c r="AC2" i="3"/>
  <c r="AC2" i="5" s="1"/>
  <c r="AB2" i="3"/>
  <c r="AB2" i="5" s="1"/>
  <c r="AA2" i="3"/>
  <c r="AA2" i="5" s="1"/>
  <c r="Z2" i="3"/>
  <c r="Z2" i="5" s="1"/>
  <c r="Y2" i="3"/>
  <c r="Y2" i="5" s="1"/>
  <c r="X2" i="3"/>
  <c r="X2" i="5" s="1"/>
  <c r="W2" i="3"/>
  <c r="W2" i="5" s="1"/>
  <c r="V2" i="3"/>
  <c r="V2" i="5" s="1"/>
  <c r="U2" i="3"/>
  <c r="U2" i="5" s="1"/>
  <c r="T2" i="3"/>
  <c r="T2" i="5" s="1"/>
  <c r="S2" i="3"/>
  <c r="S2" i="5" s="1"/>
  <c r="R2" i="3"/>
  <c r="R2" i="5" s="1"/>
  <c r="Q2" i="3"/>
  <c r="Q2" i="5" s="1"/>
  <c r="P2" i="3"/>
  <c r="P2" i="5" s="1"/>
  <c r="O2" i="3"/>
  <c r="O2" i="5" s="1"/>
  <c r="N2" i="3"/>
  <c r="N2" i="5" s="1"/>
  <c r="M2" i="3"/>
  <c r="M2" i="5" s="1"/>
  <c r="L2" i="3"/>
  <c r="L2" i="5" s="1"/>
  <c r="K2" i="3"/>
  <c r="K2" i="5" s="1"/>
  <c r="J2" i="3"/>
  <c r="J2" i="5" s="1"/>
  <c r="I2" i="3"/>
  <c r="I2" i="5" s="1"/>
  <c r="H2" i="3"/>
  <c r="H2" i="5" s="1"/>
  <c r="G2" i="3"/>
  <c r="G2" i="5" s="1"/>
  <c r="F2" i="3"/>
  <c r="F2" i="5" s="1"/>
  <c r="E2" i="3"/>
  <c r="E2" i="5" s="1"/>
  <c r="D2" i="3"/>
  <c r="D2" i="5" s="1"/>
  <c r="C2" i="3"/>
  <c r="C2" i="5" s="1"/>
  <c r="B2" i="3"/>
  <c r="B2" i="5" s="1"/>
</calcChain>
</file>

<file path=xl/sharedStrings.xml><?xml version="1.0" encoding="utf-8"?>
<sst xmlns="http://schemas.openxmlformats.org/spreadsheetml/2006/main" count="45" uniqueCount="37">
  <si>
    <t>CPSW Cement Pathway Shareweight</t>
  </si>
  <si>
    <t>Sources:</t>
  </si>
  <si>
    <t>U.S. Department of Energy, Office of Clean Energy Demonstrations (OCED)</t>
  </si>
  <si>
    <t>https://www.energy.gov/oced/oced-cement-and-concrete-industrial-demonstrations</t>
  </si>
  <si>
    <t>https://www.heidelbergmaterials.com/en/pr-30-06-2025</t>
  </si>
  <si>
    <t>Heidelberg Materials; Coolbrook; Adani</t>
  </si>
  <si>
    <t>https://www.heidelbergmaterials.com/en/pr-06-02-2025</t>
  </si>
  <si>
    <t>Notes:</t>
  </si>
  <si>
    <t>Pathway</t>
  </si>
  <si>
    <t>Gate year (first year eligible)</t>
  </si>
  <si>
    <t>Basis</t>
  </si>
  <si>
    <t>dry kiln with precalciner</t>
  </si>
  <si>
    <t>Incumbent - always eligible; set to the first model year so the gate is trivially true every year.</t>
  </si>
  <si>
    <t>dry kiln with CCS</t>
  </si>
  <si>
    <t>electric kiln</t>
  </si>
  <si>
    <t>alternative chemistry cement</t>
  </si>
  <si>
    <t>Gate formula: =IF(year&gt;=gate year, 1, 0), one cell per pathway-year</t>
  </si>
  <si>
    <t>Why the CCS and alternative-chemistry gates are late</t>
  </si>
  <si>
    <t>OCED Cement and Concrete Industrial Demonstrations</t>
  </si>
  <si>
    <t>DOE cancelled its demonstration awards to Heidelberg Materials' Mitchell, Indiana CCS project ($500 million), Brimstone ($189 million), and Sublime Systems ($87 million) in May 2025. We read this as meaning no U.S. project for these technologies has a funded path to commercial operation soon, which pushes the gate years for dry kiln with CCS (2030) and alternative chemistry cement (2033) later. The gate years themselves are our judgment, not dates taken from the announcements. Sublime's Holyoke plant is a demonstration of about 30 thousand metric tons per year, far below commercial scale.</t>
  </si>
  <si>
    <t>Evidence that cement CCS works at scale</t>
  </si>
  <si>
    <t>Heidelberg Materials</t>
  </si>
  <si>
    <t>Brevik CCS plant start-up announcement (Norway, Longship / Northern Lights project)</t>
  </si>
  <si>
    <t>The Brevik plant began capturing CO2 at commercial scale in June 2025. It shows cement CCS is technically viable abroad and keeps our gate for dry kiln with CCS from moving later still. It is not a U.S. project.</t>
  </si>
  <si>
    <t>Electric kiln status</t>
  </si>
  <si>
    <t>ELECTRA plasma-kiln first test announcement (February 2025), plus Coolbrook and Adani development-stage project announcements</t>
  </si>
  <si>
    <t>Electric and plasma-heated kiln technology is still at pilot or development stage, with no commercial-scale project announced. The 2035 gate year for electric kiln is our judgment, not a commissioning date. The link covers the ELECTRA test.</t>
  </si>
  <si>
    <t>Purpose and layout</t>
  </si>
  <si>
    <t>This file tells the EPS cement module when each kiln pathway becomes available to be chosen for new kilns and for overhaul-or-replace decisions. A value of 0 in a year means the pathway cannot be chosen that year; 1 means it can. Among the pathways that are available, the model picks by comparing costs (see the CPCC, CRSW, and related files), so this file only opens or closes the door.
The 'Gate Parameters' tab holds one gate year per pathway and is the place to change a value: it is the only tab with judgment inputs. The 'Calc' tab sets each pathway-year to 1 once the year reaches the gate year and 0 before, and the 'CPSW' tab reads from 'Calc' and is what gets exported to CPSW.csv.</t>
  </si>
  <si>
    <t>U.S. values</t>
  </si>
  <si>
    <t>The dry kiln with precalciner is today's standard technology and is available in every year. The first year each of the other pathways can be chosen is 2030 for dry kiln with CCS, 2033 for alternative chemistry cement, and 2035 for electric kiln. These gate years are our own judgment based on the project landscape described under Sources; none is a date reported by a developer or agency.</t>
  </si>
  <si>
    <t>Limits</t>
  </si>
  <si>
    <t>A step from 0 to 1 means a pathway is either fully available or not at all, so the file does not describe a gradual commercial ramp-up. How fast a newly available pathway is adopted depends on the model's cost comparison and capacity limits, not on this file. For a non-U.S. region, the gate years should be reviewed against that region's project pipeline.</t>
  </si>
  <si>
    <t>May 2025 DOE/OCED cancellations (Heidelberg Mitchell CCS); Brevik proves the technology abroad but there is no live US commercial path. EI judgment.</t>
  </si>
  <si>
    <t>Pilot-only (Heidelberg ELECTRA Feb 2025, Coolbrook/Adani). EI judgment.</t>
  </si>
  <si>
    <t>May 2025 DOE/OCED cancellations (Brimstone, Sublime); Sublime Holyoke is a 30 kt/yr demonstration. EI judgment.</t>
  </si>
  <si>
    <t>Unit: dimensionless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</si>
</sst>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u/>
      <sz val="11"/>
      <color theme="10"/>
      <name val="Calibri"/>
      <family val="2"/>
      <scheme val="minor"/>
    </font>
    <font>
      <b/>
      <sz val="11"/>
      <color theme="1"/>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1" fillId="0" borderId="0" xfId="0" applyFont="1"/>
    <xf numFmtId="0" fontId="3" fillId="0" borderId="0" xfId="0" applyFont="1" applyAlignment="1">
      <alignment horizontal="left" vertical="top" wrapText="1"/>
    </xf>
    <xf numFmtId="0" fontId="3" fillId="0" borderId="0" xfId="0" applyFont="1" applyAlignment="1">
      <alignment horizontal="left" vertical="top"/>
    </xf>
    <xf numFmtId="0" fontId="3" fillId="2" borderId="0" xfId="0" applyFont="1" applyFill="1" applyAlignment="1">
      <alignment horizontal="left" vertical="top" wrapText="1"/>
    </xf>
    <xf numFmtId="0" fontId="0" fillId="0" borderId="0" xfId="0" applyAlignment="1">
      <alignment horizontal="left" vertical="top" wrapText="1"/>
    </xf>
    <xf numFmtId="0" fontId="4" fillId="0" borderId="0" xfId="1"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heidelbergmaterials.com/en/pr-06-02-2025" TargetMode="External"/><Relationship Id="rId2" Type="http://schemas.openxmlformats.org/officeDocument/2006/relationships/hyperlink" Target="https://www.heidelbergmaterials.com/en/pr-30-06-2025" TargetMode="External"/><Relationship Id="rId1" Type="http://schemas.openxmlformats.org/officeDocument/2006/relationships/hyperlink" Target="https://www.energy.gov/oced/oced-cement-and-concrete-industrial-demonstrat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8"/>
  <sheetViews>
    <sheetView tabSelected="1" workbookViewId="0"/>
  </sheetViews>
  <sheetFormatPr defaultRowHeight="15" x14ac:dyDescent="0.25"/>
  <cols>
    <col min="1" max="1" width="14.7109375" customWidth="1"/>
    <col min="2" max="2" width="110.7109375" customWidth="1"/>
    <col min="3" max="3" width="3.7109375" customWidth="1"/>
  </cols>
  <sheetData>
    <row r="1" spans="1:2" x14ac:dyDescent="0.25">
      <c r="A1" s="3" t="s">
        <v>0</v>
      </c>
    </row>
    <row r="3" spans="1:2" x14ac:dyDescent="0.25">
      <c r="A3" s="2" t="s">
        <v>1</v>
      </c>
      <c r="B3" s="4" t="s">
        <v>17</v>
      </c>
    </row>
    <row r="4" spans="1:2" x14ac:dyDescent="0.25">
      <c r="B4" s="5" t="s">
        <v>2</v>
      </c>
    </row>
    <row r="5" spans="1:2" x14ac:dyDescent="0.25">
      <c r="B5" s="5" t="s">
        <v>18</v>
      </c>
    </row>
    <row r="6" spans="1:2" x14ac:dyDescent="0.25">
      <c r="B6" s="5">
        <v>2025</v>
      </c>
    </row>
    <row r="7" spans="1:2" x14ac:dyDescent="0.25">
      <c r="B7" s="6" t="s">
        <v>3</v>
      </c>
    </row>
    <row r="8" spans="1:2" ht="90" x14ac:dyDescent="0.25">
      <c r="B8" s="5" t="s">
        <v>19</v>
      </c>
    </row>
    <row r="10" spans="1:2" x14ac:dyDescent="0.25">
      <c r="B10" s="4" t="s">
        <v>20</v>
      </c>
    </row>
    <row r="11" spans="1:2" x14ac:dyDescent="0.25">
      <c r="B11" s="5" t="s">
        <v>21</v>
      </c>
    </row>
    <row r="12" spans="1:2" x14ac:dyDescent="0.25">
      <c r="B12" s="5" t="s">
        <v>22</v>
      </c>
    </row>
    <row r="13" spans="1:2" x14ac:dyDescent="0.25">
      <c r="B13" s="5">
        <v>2025</v>
      </c>
    </row>
    <row r="14" spans="1:2" x14ac:dyDescent="0.25">
      <c r="B14" s="6" t="s">
        <v>4</v>
      </c>
    </row>
    <row r="15" spans="1:2" ht="30" x14ac:dyDescent="0.25">
      <c r="B15" s="5" t="s">
        <v>23</v>
      </c>
    </row>
    <row r="17" spans="1:2" x14ac:dyDescent="0.25">
      <c r="B17" s="4" t="s">
        <v>24</v>
      </c>
    </row>
    <row r="18" spans="1:2" x14ac:dyDescent="0.25">
      <c r="B18" s="5" t="s">
        <v>5</v>
      </c>
    </row>
    <row r="19" spans="1:2" ht="30" x14ac:dyDescent="0.25">
      <c r="B19" s="5" t="s">
        <v>25</v>
      </c>
    </row>
    <row r="20" spans="1:2" x14ac:dyDescent="0.25">
      <c r="B20" s="5">
        <v>2025</v>
      </c>
    </row>
    <row r="21" spans="1:2" x14ac:dyDescent="0.25">
      <c r="B21" s="6" t="s">
        <v>6</v>
      </c>
    </row>
    <row r="22" spans="1:2" ht="45" x14ac:dyDescent="0.25">
      <c r="B22" s="5" t="s">
        <v>26</v>
      </c>
    </row>
    <row r="25" spans="1:2" x14ac:dyDescent="0.25">
      <c r="A25" s="2" t="s">
        <v>7</v>
      </c>
    </row>
    <row r="26" spans="1:2" ht="120" x14ac:dyDescent="0.25">
      <c r="A26" s="2" t="s">
        <v>27</v>
      </c>
      <c r="B26" s="5" t="s">
        <v>28</v>
      </c>
    </row>
    <row r="27" spans="1:2" ht="60" x14ac:dyDescent="0.25">
      <c r="A27" s="2" t="s">
        <v>29</v>
      </c>
      <c r="B27" s="5" t="s">
        <v>30</v>
      </c>
    </row>
    <row r="28" spans="1:2" ht="60" x14ac:dyDescent="0.25">
      <c r="A28" s="2" t="s">
        <v>31</v>
      </c>
      <c r="B28" s="5" t="s">
        <v>32</v>
      </c>
    </row>
  </sheetData>
  <hyperlinks>
    <hyperlink ref="B7" r:id="rId1" xr:uid="{02AD7F37-A36B-4E01-9DDA-C8074CAF4D99}"/>
    <hyperlink ref="B14" r:id="rId2" xr:uid="{BDD21DC4-09E2-4395-8136-F384AA248DF1}"/>
    <hyperlink ref="B21" r:id="rId3" xr:uid="{319A8284-F05D-47A1-A61A-A2BE5EC99625}"/>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5"/>
  <sheetViews>
    <sheetView workbookViewId="0"/>
  </sheetViews>
  <sheetFormatPr defaultRowHeight="15" x14ac:dyDescent="0.25"/>
  <cols>
    <col min="1" max="1" width="32" customWidth="1"/>
    <col min="2" max="2" width="14" customWidth="1"/>
    <col min="3" max="3" width="60" customWidth="1"/>
  </cols>
  <sheetData>
    <row r="1" spans="1:3" x14ac:dyDescent="0.25">
      <c r="A1" s="1" t="s">
        <v>8</v>
      </c>
      <c r="B1" s="1" t="s">
        <v>9</v>
      </c>
      <c r="C1" s="1" t="s">
        <v>10</v>
      </c>
    </row>
    <row r="2" spans="1:3" x14ac:dyDescent="0.25">
      <c r="A2" t="s">
        <v>11</v>
      </c>
      <c r="B2">
        <v>2021</v>
      </c>
      <c r="C2" t="s">
        <v>12</v>
      </c>
    </row>
    <row r="3" spans="1:3" x14ac:dyDescent="0.25">
      <c r="A3" t="s">
        <v>13</v>
      </c>
      <c r="B3">
        <v>2030</v>
      </c>
      <c r="C3" t="s">
        <v>33</v>
      </c>
    </row>
    <row r="4" spans="1:3" x14ac:dyDescent="0.25">
      <c r="A4" t="s">
        <v>14</v>
      </c>
      <c r="B4">
        <v>2035</v>
      </c>
      <c r="C4" t="s">
        <v>34</v>
      </c>
    </row>
    <row r="5" spans="1:3" x14ac:dyDescent="0.25">
      <c r="A5" t="s">
        <v>15</v>
      </c>
      <c r="B5">
        <v>2033</v>
      </c>
      <c r="C5" t="s">
        <v>35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5"/>
  <sheetViews>
    <sheetView workbookViewId="0"/>
  </sheetViews>
  <sheetFormatPr defaultRowHeight="15" x14ac:dyDescent="0.25"/>
  <sheetData>
    <row r="1" spans="1:31" x14ac:dyDescent="0.25">
      <c r="A1" s="1" t="s">
        <v>16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11</v>
      </c>
      <c r="B2">
        <f>IF(B$1&gt;=VLOOKUP($A2,'Gate Parameters'!$A:$B,2,FALSE),1,0)</f>
        <v>1</v>
      </c>
      <c r="C2">
        <f>IF(C$1&gt;=VLOOKUP($A2,'Gate Parameters'!$A:$B,2,FALSE),1,0)</f>
        <v>1</v>
      </c>
      <c r="D2">
        <f>IF(D$1&gt;=VLOOKUP($A2,'Gate Parameters'!$A:$B,2,FALSE),1,0)</f>
        <v>1</v>
      </c>
      <c r="E2">
        <f>IF(E$1&gt;=VLOOKUP($A2,'Gate Parameters'!$A:$B,2,FALSE),1,0)</f>
        <v>1</v>
      </c>
      <c r="F2">
        <f>IF(F$1&gt;=VLOOKUP($A2,'Gate Parameters'!$A:$B,2,FALSE),1,0)</f>
        <v>1</v>
      </c>
      <c r="G2">
        <f>IF(G$1&gt;=VLOOKUP($A2,'Gate Parameters'!$A:$B,2,FALSE),1,0)</f>
        <v>1</v>
      </c>
      <c r="H2">
        <f>IF(H$1&gt;=VLOOKUP($A2,'Gate Parameters'!$A:$B,2,FALSE),1,0)</f>
        <v>1</v>
      </c>
      <c r="I2">
        <f>IF(I$1&gt;=VLOOKUP($A2,'Gate Parameters'!$A:$B,2,FALSE),1,0)</f>
        <v>1</v>
      </c>
      <c r="J2">
        <f>IF(J$1&gt;=VLOOKUP($A2,'Gate Parameters'!$A:$B,2,FALSE),1,0)</f>
        <v>1</v>
      </c>
      <c r="K2">
        <f>IF(K$1&gt;=VLOOKUP($A2,'Gate Parameters'!$A:$B,2,FALSE),1,0)</f>
        <v>1</v>
      </c>
      <c r="L2">
        <f>IF(L$1&gt;=VLOOKUP($A2,'Gate Parameters'!$A:$B,2,FALSE),1,0)</f>
        <v>1</v>
      </c>
      <c r="M2">
        <f>IF(M$1&gt;=VLOOKUP($A2,'Gate Parameters'!$A:$B,2,FALSE),1,0)</f>
        <v>1</v>
      </c>
      <c r="N2">
        <f>IF(N$1&gt;=VLOOKUP($A2,'Gate Parameters'!$A:$B,2,FALSE),1,0)</f>
        <v>1</v>
      </c>
      <c r="O2">
        <f>IF(O$1&gt;=VLOOKUP($A2,'Gate Parameters'!$A:$B,2,FALSE),1,0)</f>
        <v>1</v>
      </c>
      <c r="P2">
        <f>IF(P$1&gt;=VLOOKUP($A2,'Gate Parameters'!$A:$B,2,FALSE),1,0)</f>
        <v>1</v>
      </c>
      <c r="Q2">
        <f>IF(Q$1&gt;=VLOOKUP($A2,'Gate Parameters'!$A:$B,2,FALSE),1,0)</f>
        <v>1</v>
      </c>
      <c r="R2">
        <f>IF(R$1&gt;=VLOOKUP($A2,'Gate Parameters'!$A:$B,2,FALSE),1,0)</f>
        <v>1</v>
      </c>
      <c r="S2">
        <f>IF(S$1&gt;=VLOOKUP($A2,'Gate Parameters'!$A:$B,2,FALSE),1,0)</f>
        <v>1</v>
      </c>
      <c r="T2">
        <f>IF(T$1&gt;=VLOOKUP($A2,'Gate Parameters'!$A:$B,2,FALSE),1,0)</f>
        <v>1</v>
      </c>
      <c r="U2">
        <f>IF(U$1&gt;=VLOOKUP($A2,'Gate Parameters'!$A:$B,2,FALSE),1,0)</f>
        <v>1</v>
      </c>
      <c r="V2">
        <f>IF(V$1&gt;=VLOOKUP($A2,'Gate Parameters'!$A:$B,2,FALSE),1,0)</f>
        <v>1</v>
      </c>
      <c r="W2">
        <f>IF(W$1&gt;=VLOOKUP($A2,'Gate Parameters'!$A:$B,2,FALSE),1,0)</f>
        <v>1</v>
      </c>
      <c r="X2">
        <f>IF(X$1&gt;=VLOOKUP($A2,'Gate Parameters'!$A:$B,2,FALSE),1,0)</f>
        <v>1</v>
      </c>
      <c r="Y2">
        <f>IF(Y$1&gt;=VLOOKUP($A2,'Gate Parameters'!$A:$B,2,FALSE),1,0)</f>
        <v>1</v>
      </c>
      <c r="Z2">
        <f>IF(Z$1&gt;=VLOOKUP($A2,'Gate Parameters'!$A:$B,2,FALSE),1,0)</f>
        <v>1</v>
      </c>
      <c r="AA2">
        <f>IF(AA$1&gt;=VLOOKUP($A2,'Gate Parameters'!$A:$B,2,FALSE),1,0)</f>
        <v>1</v>
      </c>
      <c r="AB2">
        <f>IF(AB$1&gt;=VLOOKUP($A2,'Gate Parameters'!$A:$B,2,FALSE),1,0)</f>
        <v>1</v>
      </c>
      <c r="AC2">
        <f>IF(AC$1&gt;=VLOOKUP($A2,'Gate Parameters'!$A:$B,2,FALSE),1,0)</f>
        <v>1</v>
      </c>
      <c r="AD2">
        <f>IF(AD$1&gt;=VLOOKUP($A2,'Gate Parameters'!$A:$B,2,FALSE),1,0)</f>
        <v>1</v>
      </c>
      <c r="AE2">
        <f>IF(AE$1&gt;=VLOOKUP($A2,'Gate Parameters'!$A:$B,2,FALSE),1,0)</f>
        <v>1</v>
      </c>
    </row>
    <row r="3" spans="1:31" x14ac:dyDescent="0.25">
      <c r="A3" t="s">
        <v>13</v>
      </c>
      <c r="B3">
        <f>IF(B$1&gt;=VLOOKUP($A3,'Gate Parameters'!$A:$B,2,FALSE),1,0)</f>
        <v>0</v>
      </c>
      <c r="C3">
        <f>IF(C$1&gt;=VLOOKUP($A3,'Gate Parameters'!$A:$B,2,FALSE),1,0)</f>
        <v>0</v>
      </c>
      <c r="D3">
        <f>IF(D$1&gt;=VLOOKUP($A3,'Gate Parameters'!$A:$B,2,FALSE),1,0)</f>
        <v>0</v>
      </c>
      <c r="E3">
        <f>IF(E$1&gt;=VLOOKUP($A3,'Gate Parameters'!$A:$B,2,FALSE),1,0)</f>
        <v>0</v>
      </c>
      <c r="F3">
        <f>IF(F$1&gt;=VLOOKUP($A3,'Gate Parameters'!$A:$B,2,FALSE),1,0)</f>
        <v>0</v>
      </c>
      <c r="G3">
        <f>IF(G$1&gt;=VLOOKUP($A3,'Gate Parameters'!$A:$B,2,FALSE),1,0)</f>
        <v>0</v>
      </c>
      <c r="H3">
        <f>IF(H$1&gt;=VLOOKUP($A3,'Gate Parameters'!$A:$B,2,FALSE),1,0)</f>
        <v>0</v>
      </c>
      <c r="I3">
        <f>IF(I$1&gt;=VLOOKUP($A3,'Gate Parameters'!$A:$B,2,FALSE),1,0)</f>
        <v>0</v>
      </c>
      <c r="J3">
        <f>IF(J$1&gt;=VLOOKUP($A3,'Gate Parameters'!$A:$B,2,FALSE),1,0)</f>
        <v>0</v>
      </c>
      <c r="K3">
        <f>IF(K$1&gt;=VLOOKUP($A3,'Gate Parameters'!$A:$B,2,FALSE),1,0)</f>
        <v>1</v>
      </c>
      <c r="L3">
        <f>IF(L$1&gt;=VLOOKUP($A3,'Gate Parameters'!$A:$B,2,FALSE),1,0)</f>
        <v>1</v>
      </c>
      <c r="M3">
        <f>IF(M$1&gt;=VLOOKUP($A3,'Gate Parameters'!$A:$B,2,FALSE),1,0)</f>
        <v>1</v>
      </c>
      <c r="N3">
        <f>IF(N$1&gt;=VLOOKUP($A3,'Gate Parameters'!$A:$B,2,FALSE),1,0)</f>
        <v>1</v>
      </c>
      <c r="O3">
        <f>IF(O$1&gt;=VLOOKUP($A3,'Gate Parameters'!$A:$B,2,FALSE),1,0)</f>
        <v>1</v>
      </c>
      <c r="P3">
        <f>IF(P$1&gt;=VLOOKUP($A3,'Gate Parameters'!$A:$B,2,FALSE),1,0)</f>
        <v>1</v>
      </c>
      <c r="Q3">
        <f>IF(Q$1&gt;=VLOOKUP($A3,'Gate Parameters'!$A:$B,2,FALSE),1,0)</f>
        <v>1</v>
      </c>
      <c r="R3">
        <f>IF(R$1&gt;=VLOOKUP($A3,'Gate Parameters'!$A:$B,2,FALSE),1,0)</f>
        <v>1</v>
      </c>
      <c r="S3">
        <f>IF(S$1&gt;=VLOOKUP($A3,'Gate Parameters'!$A:$B,2,FALSE),1,0)</f>
        <v>1</v>
      </c>
      <c r="T3">
        <f>IF(T$1&gt;=VLOOKUP($A3,'Gate Parameters'!$A:$B,2,FALSE),1,0)</f>
        <v>1</v>
      </c>
      <c r="U3">
        <f>IF(U$1&gt;=VLOOKUP($A3,'Gate Parameters'!$A:$B,2,FALSE),1,0)</f>
        <v>1</v>
      </c>
      <c r="V3">
        <f>IF(V$1&gt;=VLOOKUP($A3,'Gate Parameters'!$A:$B,2,FALSE),1,0)</f>
        <v>1</v>
      </c>
      <c r="W3">
        <f>IF(W$1&gt;=VLOOKUP($A3,'Gate Parameters'!$A:$B,2,FALSE),1,0)</f>
        <v>1</v>
      </c>
      <c r="X3">
        <f>IF(X$1&gt;=VLOOKUP($A3,'Gate Parameters'!$A:$B,2,FALSE),1,0)</f>
        <v>1</v>
      </c>
      <c r="Y3">
        <f>IF(Y$1&gt;=VLOOKUP($A3,'Gate Parameters'!$A:$B,2,FALSE),1,0)</f>
        <v>1</v>
      </c>
      <c r="Z3">
        <f>IF(Z$1&gt;=VLOOKUP($A3,'Gate Parameters'!$A:$B,2,FALSE),1,0)</f>
        <v>1</v>
      </c>
      <c r="AA3">
        <f>IF(AA$1&gt;=VLOOKUP($A3,'Gate Parameters'!$A:$B,2,FALSE),1,0)</f>
        <v>1</v>
      </c>
      <c r="AB3">
        <f>IF(AB$1&gt;=VLOOKUP($A3,'Gate Parameters'!$A:$B,2,FALSE),1,0)</f>
        <v>1</v>
      </c>
      <c r="AC3">
        <f>IF(AC$1&gt;=VLOOKUP($A3,'Gate Parameters'!$A:$B,2,FALSE),1,0)</f>
        <v>1</v>
      </c>
      <c r="AD3">
        <f>IF(AD$1&gt;=VLOOKUP($A3,'Gate Parameters'!$A:$B,2,FALSE),1,0)</f>
        <v>1</v>
      </c>
      <c r="AE3">
        <f>IF(AE$1&gt;=VLOOKUP($A3,'Gate Parameters'!$A:$B,2,FALSE),1,0)</f>
        <v>1</v>
      </c>
    </row>
    <row r="4" spans="1:31" x14ac:dyDescent="0.25">
      <c r="A4" t="s">
        <v>14</v>
      </c>
      <c r="B4">
        <f>IF(B$1&gt;=VLOOKUP($A4,'Gate Parameters'!$A:$B,2,FALSE),1,0)</f>
        <v>0</v>
      </c>
      <c r="C4">
        <f>IF(C$1&gt;=VLOOKUP($A4,'Gate Parameters'!$A:$B,2,FALSE),1,0)</f>
        <v>0</v>
      </c>
      <c r="D4">
        <f>IF(D$1&gt;=VLOOKUP($A4,'Gate Parameters'!$A:$B,2,FALSE),1,0)</f>
        <v>0</v>
      </c>
      <c r="E4">
        <f>IF(E$1&gt;=VLOOKUP($A4,'Gate Parameters'!$A:$B,2,FALSE),1,0)</f>
        <v>0</v>
      </c>
      <c r="F4">
        <f>IF(F$1&gt;=VLOOKUP($A4,'Gate Parameters'!$A:$B,2,FALSE),1,0)</f>
        <v>0</v>
      </c>
      <c r="G4">
        <f>IF(G$1&gt;=VLOOKUP($A4,'Gate Parameters'!$A:$B,2,FALSE),1,0)</f>
        <v>0</v>
      </c>
      <c r="H4">
        <f>IF(H$1&gt;=VLOOKUP($A4,'Gate Parameters'!$A:$B,2,FALSE),1,0)</f>
        <v>0</v>
      </c>
      <c r="I4">
        <f>IF(I$1&gt;=VLOOKUP($A4,'Gate Parameters'!$A:$B,2,FALSE),1,0)</f>
        <v>0</v>
      </c>
      <c r="J4">
        <f>IF(J$1&gt;=VLOOKUP($A4,'Gate Parameters'!$A:$B,2,FALSE),1,0)</f>
        <v>0</v>
      </c>
      <c r="K4">
        <f>IF(K$1&gt;=VLOOKUP($A4,'Gate Parameters'!$A:$B,2,FALSE),1,0)</f>
        <v>0</v>
      </c>
      <c r="L4">
        <f>IF(L$1&gt;=VLOOKUP($A4,'Gate Parameters'!$A:$B,2,FALSE),1,0)</f>
        <v>0</v>
      </c>
      <c r="M4">
        <f>IF(M$1&gt;=VLOOKUP($A4,'Gate Parameters'!$A:$B,2,FALSE),1,0)</f>
        <v>0</v>
      </c>
      <c r="N4">
        <f>IF(N$1&gt;=VLOOKUP($A4,'Gate Parameters'!$A:$B,2,FALSE),1,0)</f>
        <v>0</v>
      </c>
      <c r="O4">
        <f>IF(O$1&gt;=VLOOKUP($A4,'Gate Parameters'!$A:$B,2,FALSE),1,0)</f>
        <v>0</v>
      </c>
      <c r="P4">
        <f>IF(P$1&gt;=VLOOKUP($A4,'Gate Parameters'!$A:$B,2,FALSE),1,0)</f>
        <v>1</v>
      </c>
      <c r="Q4">
        <f>IF(Q$1&gt;=VLOOKUP($A4,'Gate Parameters'!$A:$B,2,FALSE),1,0)</f>
        <v>1</v>
      </c>
      <c r="R4">
        <f>IF(R$1&gt;=VLOOKUP($A4,'Gate Parameters'!$A:$B,2,FALSE),1,0)</f>
        <v>1</v>
      </c>
      <c r="S4">
        <f>IF(S$1&gt;=VLOOKUP($A4,'Gate Parameters'!$A:$B,2,FALSE),1,0)</f>
        <v>1</v>
      </c>
      <c r="T4">
        <f>IF(T$1&gt;=VLOOKUP($A4,'Gate Parameters'!$A:$B,2,FALSE),1,0)</f>
        <v>1</v>
      </c>
      <c r="U4">
        <f>IF(U$1&gt;=VLOOKUP($A4,'Gate Parameters'!$A:$B,2,FALSE),1,0)</f>
        <v>1</v>
      </c>
      <c r="V4">
        <f>IF(V$1&gt;=VLOOKUP($A4,'Gate Parameters'!$A:$B,2,FALSE),1,0)</f>
        <v>1</v>
      </c>
      <c r="W4">
        <f>IF(W$1&gt;=VLOOKUP($A4,'Gate Parameters'!$A:$B,2,FALSE),1,0)</f>
        <v>1</v>
      </c>
      <c r="X4">
        <f>IF(X$1&gt;=VLOOKUP($A4,'Gate Parameters'!$A:$B,2,FALSE),1,0)</f>
        <v>1</v>
      </c>
      <c r="Y4">
        <f>IF(Y$1&gt;=VLOOKUP($A4,'Gate Parameters'!$A:$B,2,FALSE),1,0)</f>
        <v>1</v>
      </c>
      <c r="Z4">
        <f>IF(Z$1&gt;=VLOOKUP($A4,'Gate Parameters'!$A:$B,2,FALSE),1,0)</f>
        <v>1</v>
      </c>
      <c r="AA4">
        <f>IF(AA$1&gt;=VLOOKUP($A4,'Gate Parameters'!$A:$B,2,FALSE),1,0)</f>
        <v>1</v>
      </c>
      <c r="AB4">
        <f>IF(AB$1&gt;=VLOOKUP($A4,'Gate Parameters'!$A:$B,2,FALSE),1,0)</f>
        <v>1</v>
      </c>
      <c r="AC4">
        <f>IF(AC$1&gt;=VLOOKUP($A4,'Gate Parameters'!$A:$B,2,FALSE),1,0)</f>
        <v>1</v>
      </c>
      <c r="AD4">
        <f>IF(AD$1&gt;=VLOOKUP($A4,'Gate Parameters'!$A:$B,2,FALSE),1,0)</f>
        <v>1</v>
      </c>
      <c r="AE4">
        <f>IF(AE$1&gt;=VLOOKUP($A4,'Gate Parameters'!$A:$B,2,FALSE),1,0)</f>
        <v>1</v>
      </c>
    </row>
    <row r="5" spans="1:31" x14ac:dyDescent="0.25">
      <c r="A5" t="s">
        <v>15</v>
      </c>
      <c r="B5">
        <f>IF(B$1&gt;=VLOOKUP($A5,'Gate Parameters'!$A:$B,2,FALSE),1,0)</f>
        <v>0</v>
      </c>
      <c r="C5">
        <f>IF(C$1&gt;=VLOOKUP($A5,'Gate Parameters'!$A:$B,2,FALSE),1,0)</f>
        <v>0</v>
      </c>
      <c r="D5">
        <f>IF(D$1&gt;=VLOOKUP($A5,'Gate Parameters'!$A:$B,2,FALSE),1,0)</f>
        <v>0</v>
      </c>
      <c r="E5">
        <f>IF(E$1&gt;=VLOOKUP($A5,'Gate Parameters'!$A:$B,2,FALSE),1,0)</f>
        <v>0</v>
      </c>
      <c r="F5">
        <f>IF(F$1&gt;=VLOOKUP($A5,'Gate Parameters'!$A:$B,2,FALSE),1,0)</f>
        <v>0</v>
      </c>
      <c r="G5">
        <f>IF(G$1&gt;=VLOOKUP($A5,'Gate Parameters'!$A:$B,2,FALSE),1,0)</f>
        <v>0</v>
      </c>
      <c r="H5">
        <f>IF(H$1&gt;=VLOOKUP($A5,'Gate Parameters'!$A:$B,2,FALSE),1,0)</f>
        <v>0</v>
      </c>
      <c r="I5">
        <f>IF(I$1&gt;=VLOOKUP($A5,'Gate Parameters'!$A:$B,2,FALSE),1,0)</f>
        <v>0</v>
      </c>
      <c r="J5">
        <f>IF(J$1&gt;=VLOOKUP($A5,'Gate Parameters'!$A:$B,2,FALSE),1,0)</f>
        <v>0</v>
      </c>
      <c r="K5">
        <f>IF(K$1&gt;=VLOOKUP($A5,'Gate Parameters'!$A:$B,2,FALSE),1,0)</f>
        <v>0</v>
      </c>
      <c r="L5">
        <f>IF(L$1&gt;=VLOOKUP($A5,'Gate Parameters'!$A:$B,2,FALSE),1,0)</f>
        <v>0</v>
      </c>
      <c r="M5">
        <f>IF(M$1&gt;=VLOOKUP($A5,'Gate Parameters'!$A:$B,2,FALSE),1,0)</f>
        <v>0</v>
      </c>
      <c r="N5">
        <f>IF(N$1&gt;=VLOOKUP($A5,'Gate Parameters'!$A:$B,2,FALSE),1,0)</f>
        <v>1</v>
      </c>
      <c r="O5">
        <f>IF(O$1&gt;=VLOOKUP($A5,'Gate Parameters'!$A:$B,2,FALSE),1,0)</f>
        <v>1</v>
      </c>
      <c r="P5">
        <f>IF(P$1&gt;=VLOOKUP($A5,'Gate Parameters'!$A:$B,2,FALSE),1,0)</f>
        <v>1</v>
      </c>
      <c r="Q5">
        <f>IF(Q$1&gt;=VLOOKUP($A5,'Gate Parameters'!$A:$B,2,FALSE),1,0)</f>
        <v>1</v>
      </c>
      <c r="R5">
        <f>IF(R$1&gt;=VLOOKUP($A5,'Gate Parameters'!$A:$B,2,FALSE),1,0)</f>
        <v>1</v>
      </c>
      <c r="S5">
        <f>IF(S$1&gt;=VLOOKUP($A5,'Gate Parameters'!$A:$B,2,FALSE),1,0)</f>
        <v>1</v>
      </c>
      <c r="T5">
        <f>IF(T$1&gt;=VLOOKUP($A5,'Gate Parameters'!$A:$B,2,FALSE),1,0)</f>
        <v>1</v>
      </c>
      <c r="U5">
        <f>IF(U$1&gt;=VLOOKUP($A5,'Gate Parameters'!$A:$B,2,FALSE),1,0)</f>
        <v>1</v>
      </c>
      <c r="V5">
        <f>IF(V$1&gt;=VLOOKUP($A5,'Gate Parameters'!$A:$B,2,FALSE),1,0)</f>
        <v>1</v>
      </c>
      <c r="W5">
        <f>IF(W$1&gt;=VLOOKUP($A5,'Gate Parameters'!$A:$B,2,FALSE),1,0)</f>
        <v>1</v>
      </c>
      <c r="X5">
        <f>IF(X$1&gt;=VLOOKUP($A5,'Gate Parameters'!$A:$B,2,FALSE),1,0)</f>
        <v>1</v>
      </c>
      <c r="Y5">
        <f>IF(Y$1&gt;=VLOOKUP($A5,'Gate Parameters'!$A:$B,2,FALSE),1,0)</f>
        <v>1</v>
      </c>
      <c r="Z5">
        <f>IF(Z$1&gt;=VLOOKUP($A5,'Gate Parameters'!$A:$B,2,FALSE),1,0)</f>
        <v>1</v>
      </c>
      <c r="AA5">
        <f>IF(AA$1&gt;=VLOOKUP($A5,'Gate Parameters'!$A:$B,2,FALSE),1,0)</f>
        <v>1</v>
      </c>
      <c r="AB5">
        <f>IF(AB$1&gt;=VLOOKUP($A5,'Gate Parameters'!$A:$B,2,FALSE),1,0)</f>
        <v>1</v>
      </c>
      <c r="AC5">
        <f>IF(AC$1&gt;=VLOOKUP($A5,'Gate Parameters'!$A:$B,2,FALSE),1,0)</f>
        <v>1</v>
      </c>
      <c r="AD5">
        <f>IF(AD$1&gt;=VLOOKUP($A5,'Gate Parameters'!$A:$B,2,FALSE),1,0)</f>
        <v>1</v>
      </c>
      <c r="AE5">
        <f>IF(AE$1&gt;=VLOOKUP($A5,'Gate Parameters'!$A:$B,2,FALSE),1,0)</f>
        <v>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AE5"/>
  <sheetViews>
    <sheetView workbookViewId="0"/>
  </sheetViews>
  <sheetFormatPr defaultRowHeight="15" x14ac:dyDescent="0.25"/>
  <sheetData>
    <row r="1" spans="1:31" x14ac:dyDescent="0.25">
      <c r="A1" t="s">
        <v>36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11</v>
      </c>
      <c r="B2">
        <f>Calc!B2</f>
        <v>1</v>
      </c>
      <c r="C2">
        <f>Calc!C2</f>
        <v>1</v>
      </c>
      <c r="D2">
        <f>Calc!D2</f>
        <v>1</v>
      </c>
      <c r="E2">
        <f>Calc!E2</f>
        <v>1</v>
      </c>
      <c r="F2">
        <f>Calc!F2</f>
        <v>1</v>
      </c>
      <c r="G2">
        <f>Calc!G2</f>
        <v>1</v>
      </c>
      <c r="H2">
        <f>Calc!H2</f>
        <v>1</v>
      </c>
      <c r="I2">
        <f>Calc!I2</f>
        <v>1</v>
      </c>
      <c r="J2">
        <f>Calc!J2</f>
        <v>1</v>
      </c>
      <c r="K2">
        <f>Calc!K2</f>
        <v>1</v>
      </c>
      <c r="L2">
        <f>Calc!L2</f>
        <v>1</v>
      </c>
      <c r="M2">
        <f>Calc!M2</f>
        <v>1</v>
      </c>
      <c r="N2">
        <f>Calc!N2</f>
        <v>1</v>
      </c>
      <c r="O2">
        <f>Calc!O2</f>
        <v>1</v>
      </c>
      <c r="P2">
        <f>Calc!P2</f>
        <v>1</v>
      </c>
      <c r="Q2">
        <f>Calc!Q2</f>
        <v>1</v>
      </c>
      <c r="R2">
        <f>Calc!R2</f>
        <v>1</v>
      </c>
      <c r="S2">
        <f>Calc!S2</f>
        <v>1</v>
      </c>
      <c r="T2">
        <f>Calc!T2</f>
        <v>1</v>
      </c>
      <c r="U2">
        <f>Calc!U2</f>
        <v>1</v>
      </c>
      <c r="V2">
        <f>Calc!V2</f>
        <v>1</v>
      </c>
      <c r="W2">
        <f>Calc!W2</f>
        <v>1</v>
      </c>
      <c r="X2">
        <f>Calc!X2</f>
        <v>1</v>
      </c>
      <c r="Y2">
        <f>Calc!Y2</f>
        <v>1</v>
      </c>
      <c r="Z2">
        <f>Calc!Z2</f>
        <v>1</v>
      </c>
      <c r="AA2">
        <f>Calc!AA2</f>
        <v>1</v>
      </c>
      <c r="AB2">
        <f>Calc!AB2</f>
        <v>1</v>
      </c>
      <c r="AC2">
        <f>Calc!AC2</f>
        <v>1</v>
      </c>
      <c r="AD2">
        <f>Calc!AD2</f>
        <v>1</v>
      </c>
      <c r="AE2">
        <f>Calc!AE2</f>
        <v>1</v>
      </c>
    </row>
    <row r="3" spans="1:31" x14ac:dyDescent="0.25">
      <c r="A3" t="s">
        <v>13</v>
      </c>
      <c r="B3">
        <f>Calc!B3</f>
        <v>0</v>
      </c>
      <c r="C3">
        <f>Calc!C3</f>
        <v>0</v>
      </c>
      <c r="D3">
        <f>Calc!D3</f>
        <v>0</v>
      </c>
      <c r="E3">
        <f>Calc!E3</f>
        <v>0</v>
      </c>
      <c r="F3">
        <f>Calc!F3</f>
        <v>0</v>
      </c>
      <c r="G3">
        <f>Calc!G3</f>
        <v>0</v>
      </c>
      <c r="H3">
        <f>Calc!H3</f>
        <v>0</v>
      </c>
      <c r="I3">
        <f>Calc!I3</f>
        <v>0</v>
      </c>
      <c r="J3">
        <f>Calc!J3</f>
        <v>0</v>
      </c>
      <c r="K3">
        <f>Calc!K3</f>
        <v>1</v>
      </c>
      <c r="L3">
        <f>Calc!L3</f>
        <v>1</v>
      </c>
      <c r="M3">
        <f>Calc!M3</f>
        <v>1</v>
      </c>
      <c r="N3">
        <f>Calc!N3</f>
        <v>1</v>
      </c>
      <c r="O3">
        <f>Calc!O3</f>
        <v>1</v>
      </c>
      <c r="P3">
        <f>Calc!P3</f>
        <v>1</v>
      </c>
      <c r="Q3">
        <f>Calc!Q3</f>
        <v>1</v>
      </c>
      <c r="R3">
        <f>Calc!R3</f>
        <v>1</v>
      </c>
      <c r="S3">
        <f>Calc!S3</f>
        <v>1</v>
      </c>
      <c r="T3">
        <f>Calc!T3</f>
        <v>1</v>
      </c>
      <c r="U3">
        <f>Calc!U3</f>
        <v>1</v>
      </c>
      <c r="V3">
        <f>Calc!V3</f>
        <v>1</v>
      </c>
      <c r="W3">
        <f>Calc!W3</f>
        <v>1</v>
      </c>
      <c r="X3">
        <f>Calc!X3</f>
        <v>1</v>
      </c>
      <c r="Y3">
        <f>Calc!Y3</f>
        <v>1</v>
      </c>
      <c r="Z3">
        <f>Calc!Z3</f>
        <v>1</v>
      </c>
      <c r="AA3">
        <f>Calc!AA3</f>
        <v>1</v>
      </c>
      <c r="AB3">
        <f>Calc!AB3</f>
        <v>1</v>
      </c>
      <c r="AC3">
        <f>Calc!AC3</f>
        <v>1</v>
      </c>
      <c r="AD3">
        <f>Calc!AD3</f>
        <v>1</v>
      </c>
      <c r="AE3">
        <f>Calc!AE3</f>
        <v>1</v>
      </c>
    </row>
    <row r="4" spans="1:31" x14ac:dyDescent="0.25">
      <c r="A4" t="s">
        <v>14</v>
      </c>
      <c r="B4">
        <f>Calc!B4</f>
        <v>0</v>
      </c>
      <c r="C4">
        <f>Calc!C4</f>
        <v>0</v>
      </c>
      <c r="D4">
        <f>Calc!D4</f>
        <v>0</v>
      </c>
      <c r="E4">
        <f>Calc!E4</f>
        <v>0</v>
      </c>
      <c r="F4">
        <f>Calc!F4</f>
        <v>0</v>
      </c>
      <c r="G4">
        <f>Calc!G4</f>
        <v>0</v>
      </c>
      <c r="H4">
        <f>Calc!H4</f>
        <v>0</v>
      </c>
      <c r="I4">
        <f>Calc!I4</f>
        <v>0</v>
      </c>
      <c r="J4">
        <f>Calc!J4</f>
        <v>0</v>
      </c>
      <c r="K4">
        <f>Calc!K4</f>
        <v>0</v>
      </c>
      <c r="L4">
        <f>Calc!L4</f>
        <v>0</v>
      </c>
      <c r="M4">
        <f>Calc!M4</f>
        <v>0</v>
      </c>
      <c r="N4">
        <f>Calc!N4</f>
        <v>0</v>
      </c>
      <c r="O4">
        <f>Calc!O4</f>
        <v>0</v>
      </c>
      <c r="P4">
        <f>Calc!P4</f>
        <v>1</v>
      </c>
      <c r="Q4">
        <f>Calc!Q4</f>
        <v>1</v>
      </c>
      <c r="R4">
        <f>Calc!R4</f>
        <v>1</v>
      </c>
      <c r="S4">
        <f>Calc!S4</f>
        <v>1</v>
      </c>
      <c r="T4">
        <f>Calc!T4</f>
        <v>1</v>
      </c>
      <c r="U4">
        <f>Calc!U4</f>
        <v>1</v>
      </c>
      <c r="V4">
        <f>Calc!V4</f>
        <v>1</v>
      </c>
      <c r="W4">
        <f>Calc!W4</f>
        <v>1</v>
      </c>
      <c r="X4">
        <f>Calc!X4</f>
        <v>1</v>
      </c>
      <c r="Y4">
        <f>Calc!Y4</f>
        <v>1</v>
      </c>
      <c r="Z4">
        <f>Calc!Z4</f>
        <v>1</v>
      </c>
      <c r="AA4">
        <f>Calc!AA4</f>
        <v>1</v>
      </c>
      <c r="AB4">
        <f>Calc!AB4</f>
        <v>1</v>
      </c>
      <c r="AC4">
        <f>Calc!AC4</f>
        <v>1</v>
      </c>
      <c r="AD4">
        <f>Calc!AD4</f>
        <v>1</v>
      </c>
      <c r="AE4">
        <f>Calc!AE4</f>
        <v>1</v>
      </c>
    </row>
    <row r="5" spans="1:31" x14ac:dyDescent="0.25">
      <c r="A5" t="s">
        <v>15</v>
      </c>
      <c r="B5">
        <f>Calc!B5</f>
        <v>0</v>
      </c>
      <c r="C5">
        <f>Calc!C5</f>
        <v>0</v>
      </c>
      <c r="D5">
        <f>Calc!D5</f>
        <v>0</v>
      </c>
      <c r="E5">
        <f>Calc!E5</f>
        <v>0</v>
      </c>
      <c r="F5">
        <f>Calc!F5</f>
        <v>0</v>
      </c>
      <c r="G5">
        <f>Calc!G5</f>
        <v>0</v>
      </c>
      <c r="H5">
        <f>Calc!H5</f>
        <v>0</v>
      </c>
      <c r="I5">
        <f>Calc!I5</f>
        <v>0</v>
      </c>
      <c r="J5">
        <f>Calc!J5</f>
        <v>0</v>
      </c>
      <c r="K5">
        <f>Calc!K5</f>
        <v>0</v>
      </c>
      <c r="L5">
        <f>Calc!L5</f>
        <v>0</v>
      </c>
      <c r="M5">
        <f>Calc!M5</f>
        <v>0</v>
      </c>
      <c r="N5">
        <f>Calc!N5</f>
        <v>1</v>
      </c>
      <c r="O5">
        <f>Calc!O5</f>
        <v>1</v>
      </c>
      <c r="P5">
        <f>Calc!P5</f>
        <v>1</v>
      </c>
      <c r="Q5">
        <f>Calc!Q5</f>
        <v>1</v>
      </c>
      <c r="R5">
        <f>Calc!R5</f>
        <v>1</v>
      </c>
      <c r="S5">
        <f>Calc!S5</f>
        <v>1</v>
      </c>
      <c r="T5">
        <f>Calc!T5</f>
        <v>1</v>
      </c>
      <c r="U5">
        <f>Calc!U5</f>
        <v>1</v>
      </c>
      <c r="V5">
        <f>Calc!V5</f>
        <v>1</v>
      </c>
      <c r="W5">
        <f>Calc!W5</f>
        <v>1</v>
      </c>
      <c r="X5">
        <f>Calc!X5</f>
        <v>1</v>
      </c>
      <c r="Y5">
        <f>Calc!Y5</f>
        <v>1</v>
      </c>
      <c r="Z5">
        <f>Calc!Z5</f>
        <v>1</v>
      </c>
      <c r="AA5">
        <f>Calc!AA5</f>
        <v>1</v>
      </c>
      <c r="AB5">
        <f>Calc!AB5</f>
        <v>1</v>
      </c>
      <c r="AC5">
        <f>Calc!AC5</f>
        <v>1</v>
      </c>
      <c r="AD5">
        <f>Calc!AD5</f>
        <v>1</v>
      </c>
      <c r="AE5">
        <f>Calc!AE5</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Gate Parameters</vt:lpstr>
      <vt:lpstr>Calc</vt:lpstr>
      <vt:lpstr>CPSW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2026-08-26T11:52:48Z</dcterms:created>
  <dcterms:modified xsi:type="dcterms:W3CDTF">2026-10-05T17:22:12Z</dcterms:modified>
</cp:coreProperties>
</file>