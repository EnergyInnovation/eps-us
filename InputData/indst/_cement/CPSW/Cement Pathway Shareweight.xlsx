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PSW\"/>
    </mc:Choice>
  </mc:AlternateContent>
  <xr:revisionPtr revIDLastSave="0" documentId="13_ncr:1_{A7BB352A-0166-4877-9E31-4013B10368F5}" xr6:coauthVersionLast="47" xr6:coauthVersionMax="47" xr10:uidLastSave="{00000000-0000-0000-0000-000000000000}"/>
  <bookViews>
    <workbookView xWindow="3510" yWindow="3510" windowWidth="21600" windowHeight="12525" xr2:uid="{00000000-000D-0000-FFFF-FFFF00000000}"/>
  </bookViews>
  <sheets>
    <sheet name="About" sheetId="1" r:id="rId1"/>
    <sheet name="Gate Parameters" sheetId="2" r:id="rId2"/>
    <sheet name="Calc" sheetId="3" r:id="rId3"/>
    <sheet name="CPSW"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5" i="3" l="1"/>
  <c r="AE5" i="5" s="1"/>
  <c r="AD5" i="3"/>
  <c r="AD5" i="5" s="1"/>
  <c r="AC5" i="3"/>
  <c r="AC5" i="5" s="1"/>
  <c r="AB5" i="3"/>
  <c r="AB5" i="5" s="1"/>
  <c r="AA5" i="3"/>
  <c r="AA5" i="5" s="1"/>
  <c r="Z5" i="3"/>
  <c r="Z5" i="5" s="1"/>
  <c r="Y5" i="3"/>
  <c r="Y5" i="5" s="1"/>
  <c r="X5" i="3"/>
  <c r="X5" i="5" s="1"/>
  <c r="W5" i="3"/>
  <c r="W5" i="5" s="1"/>
  <c r="V5" i="3"/>
  <c r="V5" i="5" s="1"/>
  <c r="U5" i="3"/>
  <c r="U5" i="5" s="1"/>
  <c r="T5" i="3"/>
  <c r="T5" i="5" s="1"/>
  <c r="S5" i="3"/>
  <c r="S5" i="5" s="1"/>
  <c r="R5" i="3"/>
  <c r="R5" i="5" s="1"/>
  <c r="Q5" i="3"/>
  <c r="Q5" i="5" s="1"/>
  <c r="P5" i="3"/>
  <c r="P5" i="5" s="1"/>
  <c r="O5" i="3"/>
  <c r="O5" i="5" s="1"/>
  <c r="N5" i="3"/>
  <c r="N5" i="5" s="1"/>
  <c r="M5" i="3"/>
  <c r="M5" i="5" s="1"/>
  <c r="L5" i="3"/>
  <c r="L5" i="5" s="1"/>
  <c r="K5" i="3"/>
  <c r="K5" i="5" s="1"/>
  <c r="J5" i="3"/>
  <c r="J5" i="5" s="1"/>
  <c r="I5" i="3"/>
  <c r="I5" i="5" s="1"/>
  <c r="H5" i="3"/>
  <c r="H5" i="5" s="1"/>
  <c r="G5" i="3"/>
  <c r="G5" i="5" s="1"/>
  <c r="F5" i="3"/>
  <c r="F5" i="5" s="1"/>
  <c r="E5" i="3"/>
  <c r="E5" i="5" s="1"/>
  <c r="D5" i="3"/>
  <c r="D5" i="5" s="1"/>
  <c r="C5" i="3"/>
  <c r="C5" i="5" s="1"/>
  <c r="B5" i="3"/>
  <c r="B5" i="5" s="1"/>
  <c r="AE6" i="3"/>
  <c r="AE6" i="5" s="1"/>
  <c r="AD6" i="3"/>
  <c r="AD6" i="5" s="1"/>
  <c r="AC6" i="3"/>
  <c r="AC6" i="5" s="1"/>
  <c r="AB6" i="3"/>
  <c r="AB6" i="5" s="1"/>
  <c r="AA6" i="3"/>
  <c r="AA6" i="5" s="1"/>
  <c r="Z6" i="3"/>
  <c r="Z6" i="5" s="1"/>
  <c r="Y6" i="3"/>
  <c r="Y6" i="5" s="1"/>
  <c r="X6" i="3"/>
  <c r="X6" i="5" s="1"/>
  <c r="W6" i="3"/>
  <c r="W6" i="5" s="1"/>
  <c r="V6" i="3"/>
  <c r="V6" i="5" s="1"/>
  <c r="U6" i="3"/>
  <c r="U6" i="5" s="1"/>
  <c r="T6" i="3"/>
  <c r="T6" i="5" s="1"/>
  <c r="S6" i="3"/>
  <c r="S6" i="5" s="1"/>
  <c r="R6" i="3"/>
  <c r="R6" i="5" s="1"/>
  <c r="Q6" i="3"/>
  <c r="Q6" i="5" s="1"/>
  <c r="P6" i="3"/>
  <c r="P6" i="5" s="1"/>
  <c r="O6" i="3"/>
  <c r="O6" i="5" s="1"/>
  <c r="N6" i="3"/>
  <c r="N6" i="5" s="1"/>
  <c r="M6" i="3"/>
  <c r="M6" i="5" s="1"/>
  <c r="L6" i="3"/>
  <c r="L6" i="5" s="1"/>
  <c r="K6" i="3"/>
  <c r="K6" i="5" s="1"/>
  <c r="J6" i="3"/>
  <c r="J6" i="5" s="1"/>
  <c r="I6" i="3"/>
  <c r="I6" i="5" s="1"/>
  <c r="H6" i="3"/>
  <c r="H6" i="5" s="1"/>
  <c r="G6" i="3"/>
  <c r="G6" i="5" s="1"/>
  <c r="F6" i="3"/>
  <c r="F6" i="5" s="1"/>
  <c r="E6" i="3"/>
  <c r="E6" i="5" s="1"/>
  <c r="D6" i="3"/>
  <c r="D6" i="5" s="1"/>
  <c r="C6" i="3"/>
  <c r="C6" i="5" s="1"/>
  <c r="B6" i="3"/>
  <c r="B6" i="5" s="1"/>
  <c r="AE4" i="3"/>
  <c r="AE4" i="5" s="1"/>
  <c r="AD4" i="3"/>
  <c r="AD4" i="5" s="1"/>
  <c r="AC4" i="3"/>
  <c r="AC4" i="5" s="1"/>
  <c r="AB4" i="3"/>
  <c r="AB4" i="5" s="1"/>
  <c r="AA4" i="3"/>
  <c r="AA4" i="5" s="1"/>
  <c r="Z4" i="3"/>
  <c r="Z4" i="5" s="1"/>
  <c r="Y4" i="3"/>
  <c r="Y4" i="5" s="1"/>
  <c r="X4" i="3"/>
  <c r="X4" i="5" s="1"/>
  <c r="W4" i="3"/>
  <c r="W4" i="5" s="1"/>
  <c r="V4" i="3"/>
  <c r="V4" i="5" s="1"/>
  <c r="U4" i="3"/>
  <c r="U4" i="5" s="1"/>
  <c r="T4" i="3"/>
  <c r="T4" i="5" s="1"/>
  <c r="S4" i="3"/>
  <c r="S4" i="5" s="1"/>
  <c r="R4" i="3"/>
  <c r="R4" i="5" s="1"/>
  <c r="Q4" i="3"/>
  <c r="Q4" i="5" s="1"/>
  <c r="P4" i="3"/>
  <c r="P4" i="5" s="1"/>
  <c r="O4" i="3"/>
  <c r="O4" i="5" s="1"/>
  <c r="N4" i="3"/>
  <c r="N4" i="5" s="1"/>
  <c r="M4" i="3"/>
  <c r="M4" i="5" s="1"/>
  <c r="L4" i="3"/>
  <c r="L4" i="5" s="1"/>
  <c r="K4" i="3"/>
  <c r="K4" i="5" s="1"/>
  <c r="J4" i="3"/>
  <c r="J4" i="5" s="1"/>
  <c r="I4" i="3"/>
  <c r="I4" i="5" s="1"/>
  <c r="H4" i="3"/>
  <c r="H4" i="5" s="1"/>
  <c r="G4" i="3"/>
  <c r="G4" i="5" s="1"/>
  <c r="F4" i="3"/>
  <c r="F4" i="5" s="1"/>
  <c r="E4" i="3"/>
  <c r="E4" i="5" s="1"/>
  <c r="D4" i="3"/>
  <c r="D4" i="5" s="1"/>
  <c r="C4" i="3"/>
  <c r="C4" i="5" s="1"/>
  <c r="B4" i="3"/>
  <c r="B4" i="5" s="1"/>
  <c r="AE3" i="3"/>
  <c r="AE3" i="5" s="1"/>
  <c r="AD3" i="3"/>
  <c r="AD3" i="5" s="1"/>
  <c r="AC3" i="3"/>
  <c r="AC3" i="5" s="1"/>
  <c r="AB3" i="3"/>
  <c r="AB3" i="5" s="1"/>
  <c r="AA3" i="3"/>
  <c r="AA3" i="5" s="1"/>
  <c r="Z3" i="3"/>
  <c r="Z3" i="5" s="1"/>
  <c r="Y3" i="3"/>
  <c r="Y3" i="5" s="1"/>
  <c r="X3" i="3"/>
  <c r="X3" i="5" s="1"/>
  <c r="W3" i="3"/>
  <c r="W3" i="5" s="1"/>
  <c r="V3" i="3"/>
  <c r="V3" i="5" s="1"/>
  <c r="U3" i="3"/>
  <c r="U3" i="5" s="1"/>
  <c r="T3" i="3"/>
  <c r="T3" i="5" s="1"/>
  <c r="S3" i="3"/>
  <c r="S3" i="5" s="1"/>
  <c r="R3" i="3"/>
  <c r="R3" i="5" s="1"/>
  <c r="Q3" i="3"/>
  <c r="Q3" i="5" s="1"/>
  <c r="P3" i="3"/>
  <c r="P3" i="5" s="1"/>
  <c r="O3" i="3"/>
  <c r="O3" i="5" s="1"/>
  <c r="N3" i="3"/>
  <c r="N3" i="5" s="1"/>
  <c r="M3" i="3"/>
  <c r="M3" i="5" s="1"/>
  <c r="L3" i="3"/>
  <c r="L3" i="5" s="1"/>
  <c r="K3" i="3"/>
  <c r="K3" i="5" s="1"/>
  <c r="J3" i="3"/>
  <c r="J3" i="5" s="1"/>
  <c r="I3" i="3"/>
  <c r="I3" i="5" s="1"/>
  <c r="H3" i="3"/>
  <c r="H3" i="5" s="1"/>
  <c r="G3" i="3"/>
  <c r="G3" i="5" s="1"/>
  <c r="F3" i="3"/>
  <c r="F3" i="5" s="1"/>
  <c r="E3" i="3"/>
  <c r="E3" i="5" s="1"/>
  <c r="D3" i="3"/>
  <c r="D3" i="5" s="1"/>
  <c r="C3" i="3"/>
  <c r="C3" i="5" s="1"/>
  <c r="B3" i="3"/>
  <c r="B3" i="5" s="1"/>
  <c r="AE2" i="3"/>
  <c r="AE2" i="5" s="1"/>
  <c r="AD2" i="3"/>
  <c r="AD2" i="5" s="1"/>
  <c r="AC2" i="3"/>
  <c r="AC2" i="5" s="1"/>
  <c r="AB2" i="3"/>
  <c r="AB2" i="5" s="1"/>
  <c r="AA2" i="3"/>
  <c r="AA2" i="5" s="1"/>
  <c r="Z2" i="3"/>
  <c r="Z2" i="5" s="1"/>
  <c r="Y2" i="3"/>
  <c r="Y2" i="5" s="1"/>
  <c r="X2" i="3"/>
  <c r="X2" i="5" s="1"/>
  <c r="W2" i="3"/>
  <c r="W2" i="5" s="1"/>
  <c r="V2" i="3"/>
  <c r="V2" i="5" s="1"/>
  <c r="U2" i="3"/>
  <c r="U2" i="5" s="1"/>
  <c r="T2" i="3"/>
  <c r="T2" i="5" s="1"/>
  <c r="S2" i="3"/>
  <c r="S2" i="5" s="1"/>
  <c r="R2" i="3"/>
  <c r="R2" i="5" s="1"/>
  <c r="Q2" i="3"/>
  <c r="Q2" i="5" s="1"/>
  <c r="P2" i="3"/>
  <c r="P2" i="5" s="1"/>
  <c r="O2" i="3"/>
  <c r="O2" i="5" s="1"/>
  <c r="N2" i="3"/>
  <c r="N2" i="5" s="1"/>
  <c r="M2" i="3"/>
  <c r="M2" i="5" s="1"/>
  <c r="L2" i="3"/>
  <c r="L2" i="5" s="1"/>
  <c r="K2" i="3"/>
  <c r="K2" i="5" s="1"/>
  <c r="J2" i="3"/>
  <c r="J2" i="5" s="1"/>
  <c r="I2" i="3"/>
  <c r="I2" i="5" s="1"/>
  <c r="H2" i="3"/>
  <c r="H2" i="5" s="1"/>
  <c r="G2" i="3"/>
  <c r="G2" i="5" s="1"/>
  <c r="F2" i="3"/>
  <c r="F2" i="5" s="1"/>
  <c r="E2" i="3"/>
  <c r="E2" i="5" s="1"/>
  <c r="D2" i="3"/>
  <c r="D2" i="5" s="1"/>
  <c r="C2" i="3"/>
  <c r="C2" i="5" s="1"/>
  <c r="B2" i="3"/>
  <c r="B2" i="5" s="1"/>
</calcChain>
</file>

<file path=xl/sharedStrings.xml><?xml version="1.0" encoding="utf-8"?>
<sst xmlns="http://schemas.openxmlformats.org/spreadsheetml/2006/main" count="67" uniqueCount="57">
  <si>
    <t>CPSW Cement Pathway Shareweight</t>
  </si>
  <si>
    <t>Sources:</t>
  </si>
  <si>
    <t>Notes:</t>
  </si>
  <si>
    <t>Pathway</t>
  </si>
  <si>
    <t>Gate year (first year eligible)</t>
  </si>
  <si>
    <t>Basis</t>
  </si>
  <si>
    <t>dry kiln with precalciner</t>
  </si>
  <si>
    <t>dry kiln with CCS</t>
  </si>
  <si>
    <t>electric kiln</t>
  </si>
  <si>
    <t>alternative chemistry cement</t>
  </si>
  <si>
    <t>Evidence that cement CCS works at scale</t>
  </si>
  <si>
    <t>Heidelberg Materials</t>
  </si>
  <si>
    <t>Electric kiln status</t>
  </si>
  <si>
    <t>Purpose and layout</t>
  </si>
  <si>
    <t>U.S. values</t>
  </si>
  <si>
    <t>Unit: dimensionless</t>
  </si>
  <si>
    <t>Ramp length (years to reach full weight)</t>
  </si>
  <si>
    <t>Incumbent - always eligible.</t>
  </si>
  <si>
    <t>No US cement CCS investment decision as of Oct 2026; ~4-4.5 years decision-to-operation (Brevik, Padeswood) plus Class VI permitting. DOE Liftoff TRL 6-7.5; IEA guide: commercial pre-2030.</t>
  </si>
  <si>
    <t>TRL 5-6 (DOE Liftoff; IEA guide). Heidelberg ELECTRA 300 kW test 2025, 1 MW unit 2026-27 vs ~170 MW per plant; Holcim/SaltX electric pilot targeted 2028.</t>
  </si>
  <si>
    <t>TRL 3-5 for alternative production methods (DOE Liftoff); IEA guide: commercial 2035. Brimstone demo expected 2028; Sublime Holyoke paused Dec 2025.</t>
  </si>
  <si>
    <t>Gate formula: 0 before the gate year, then rising in equal steps to 1 over the ramp length</t>
  </si>
  <si>
    <t>Technology readiness of each pathway</t>
  </si>
  <si>
    <t>U.S. Department of Energy</t>
  </si>
  <si>
    <t>Pathways to Commercial Liftoff: Low-Carbon Cement (updated February 2025)</t>
  </si>
  <si>
    <t>https://liftoff.energy.gov/wp-content/uploads/2023/12/LIFTOFF_Cement_Updated-2.6.25.pdf</t>
  </si>
  <si>
    <t>Readiness levels: carbon capture 6-7.5, with 3-5 U.S. demonstrations expected before 2030; kiln electrification 5-6 ('next horizon'); alternative production methods 3-5. We read the readiness table through DOE's March 2024 ITIAC briefing, because the Liftoff site did not load.</t>
  </si>
  <si>
    <t>Expected commercial availability</t>
  </si>
  <si>
    <t>World Economic Forum and Accenture, citing the IEA Clean Energy Technology Guide</t>
  </si>
  <si>
    <t>Net-Zero Industry Tracker 2024: Cement</t>
  </si>
  <si>
    <t>https://reports.weforum.org/docs/WEF_Net_Zero_Industry_Tracker_2024_Cement.pdf</t>
  </si>
  <si>
    <t>Post-combustion capture commercially available before 2030 (readiness 7-8); kiln electrification around 2030 (readiness 5, covering electrification generally, not full electric clinkering); alternative binders and production methods around 2035.</t>
  </si>
  <si>
    <t>Brevik CCS plant opening (Norway)</t>
  </si>
  <si>
    <t>https://www.heidelbergmaterials.com/en/pr-2025-06-18</t>
  </si>
  <si>
    <t>Brevik began capturing about 400,000 metric tons of CO2 a year in June 2025, and the Padeswood (UK) project reached its investment decision in September 2025, targeting 2029. Both took roughly 4-4.5 years from investment decision to operation.</t>
  </si>
  <si>
    <t>U.S. CCS project status</t>
  </si>
  <si>
    <t>Heidelberg Materials North America</t>
  </si>
  <si>
    <t>Mitchell, Indiana CCS project update</t>
  </si>
  <si>
    <t>https://www.heidelbergmaterials.us/home/news/news/2025/02/24/heidelberg-materials-north-america-announces-new-milestone-for-mitchell-ccs-project</t>
  </si>
  <si>
    <t>As of October 2026 we found no investment decision on a U.S. cement CCS project; DOE cancelled its Mitchell demonstration award in May 2025, and Heidelberg's Edmonton project was put on hold in August 2026. Class VI CO2 storage permits take about two to three years.</t>
  </si>
  <si>
    <t>Global Cement</t>
  </si>
  <si>
    <t>Heating up cement kilns</t>
  </si>
  <si>
    <t>https://globalcement.com/news/analysis/19853-heating-up-cement-kilns-september-2025</t>
  </si>
  <si>
    <t>Heidelberg's ELECTRA plasma kiln ran a 300 kW test for 54 hours in 2025, with a 1 MW unit planned for 2026-27; a full plant needs roughly 170 MW. Holcim and SaltX are aiming for a European electric pilot plant by 2028 (reported second-hand).</t>
  </si>
  <si>
    <t>Alternative chemistry status</t>
  </si>
  <si>
    <t>The Reminder (Holyoke, MA)</t>
  </si>
  <si>
    <t>Sublime Systems announces Holyoke project pause</t>
  </si>
  <si>
    <t>https://thereminder.com/local-news/hampden-county/holyoke/sublime-systems-announces-holyoke-project-pause/</t>
  </si>
  <si>
    <t>Sublime paused its Holyoke plant in December 2025 after losing its $87 million DOE award. Brimstone has not produced at commercial scale; its demonstration plant is expected in 2028 (MIT Technology Review, October 2026).</t>
  </si>
  <si>
    <t>This file tells the EPS cement module when each kiln pathway becomes available to be chosen for new kilns and for overhaul-or-replace decisions. It multiplies each pathway's weight in the model's cost-based choice: 0 means the pathway cannot be chosen, 1 means it competes on cost alone, and values in between let a newly available pathway enter gradually.
The 'Gate Parameters' tab holds a gate year and a ramp length for each pathway; these are the values to change. The 'Calc' tab sets each pathway-year to 0 before the gate year and then raises it in equal steps to 1 over the ramp length. The 'CPSW' tab reads from 'Calc' and is exported to CPSW.csv.</t>
  </si>
  <si>
    <t>The dry kiln with precalciner is available in every year. Dry kiln with CCS opens in 2031 and reaches full weight in 2033 (three-year ramp). Alternative chemistry cement opens in 2034 and reaches full weight in 2037. The electric kiln opens in 2035 and reaches full weight in 2039.
Because EPS adds capacity without a construction lag, the gate year is the first year a U.S. plant could plausibly be running: the first likely investment decision plus about four years to build (and, for CCS, the CO2 storage permit). The ramps reflect the time between the first plant and the technology being widely offered. The years are our judgment from the evidence under Sources; none is a date announced by a developer or agency.</t>
  </si>
  <si>
    <t>What would move the dates</t>
  </si>
  <si>
    <t>A U.S. cement CCS investment decision, or a faster Class VI permitting track, would pull the CCS gate earlier; the 45Q credit's construction-start deadline matters as well. A multi-megawatt electric kiln or calciner running at an existing plant would pull the electric kiln earlier; if the pathway is read as an electric calciner only, about 2032 would be defensible. Brimstone's 2028 demonstration and Sublime's restart are the signposts for alternative chemistry. For a non-U.S. region, review the gates against that region's project pipeline.</t>
  </si>
  <si>
    <t>electric kiln with CCS</t>
  </si>
  <si>
    <t>No electric kiln with integrated capture runs at industrial scale: Calix LEILAC-2 delayed with no timeline (June 2026), the ZETA electric calciner demo paused after pre-FEED, EU ELECTRA at pilot scale. Opens two years after the plain electric kiln and reaches full weight in 2042 (judgement; no source gives a commercial year).</t>
  </si>
  <si>
    <t>Electric kiln with CCS</t>
  </si>
  <si>
    <t>Opens in 2037 and reaches full weight in 2042 (Gate Parameters tab): two years after the plain electric kiln, because no electric kiln with integrated capture runs at industrial scale yet. Judgement, not a sourced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</si>
</sst>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4" fillId="0" borderId="0" xfId="1" applyFont="1" applyAlignment="1">
      <alignment horizontal="left" vertical="top" wrapText="1"/>
    </xf>
    <xf numFmtId="0" fontId="3" fillId="0" borderId="0" xfId="0" applyFont="1"/>
    <xf numFmtId="0" fontId="0" fillId="0" borderId="0" xfId="0" applyAlignment="1">
      <alignment horizontal="left" vertical="top" wrapText="1"/>
    </xf>
    <xf numFmtId="0" fontId="0" fillId="0" borderId="0" xfId="0"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eidelbergmaterials.com/en/pr-2025-06-18" TargetMode="External"/><Relationship Id="rId2" Type="http://schemas.openxmlformats.org/officeDocument/2006/relationships/hyperlink" Target="https://reports.weforum.org/docs/WEF_Net_Zero_Industry_Tracker_2024_Cement.pdf" TargetMode="External"/><Relationship Id="rId1" Type="http://schemas.openxmlformats.org/officeDocument/2006/relationships/hyperlink" Target="https://liftoff.energy.gov/wp-content/uploads/2023/12/LIFTOFF_Cement_Updated-2.6.25.pdf" TargetMode="External"/><Relationship Id="rId6" Type="http://schemas.openxmlformats.org/officeDocument/2006/relationships/hyperlink" Target="https://thereminder.com/local-news/hampden-county/holyoke/sublime-systems-announces-holyoke-project-pause/" TargetMode="External"/><Relationship Id="rId5" Type="http://schemas.openxmlformats.org/officeDocument/2006/relationships/hyperlink" Target="https://globalcement.com/news/analysis/19853-heating-up-cement-kilns-september-2025" TargetMode="External"/><Relationship Id="rId4" Type="http://schemas.openxmlformats.org/officeDocument/2006/relationships/hyperlink" Target="https://www.heidelbergmaterials.us/home/news/news/2025/02/24/heidelberg-materials-north-america-announces-new-milestone-for-mitchell-ccs-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heetViews>
  <sheetFormatPr defaultRowHeight="15" x14ac:dyDescent="0.25"/>
  <cols>
    <col min="1" max="1" width="14.5703125" customWidth="1"/>
    <col min="2" max="2" width="110.5703125" customWidth="1"/>
    <col min="3" max="3" width="3.5703125" customWidth="1"/>
    <col min="4" max="4" width="110.5703125" customWidth="1"/>
  </cols>
  <sheetData>
    <row r="1" spans="1:4" x14ac:dyDescent="0.25">
      <c r="A1" s="3" t="s">
        <v>0</v>
      </c>
    </row>
    <row r="3" spans="1:4" x14ac:dyDescent="0.25">
      <c r="A3" s="2" t="s">
        <v>1</v>
      </c>
      <c r="B3" s="4" t="s">
        <v>22</v>
      </c>
      <c r="D3" s="4" t="s">
        <v>35</v>
      </c>
    </row>
    <row r="4" spans="1:4" x14ac:dyDescent="0.25">
      <c r="B4" s="7" t="s">
        <v>23</v>
      </c>
      <c r="D4" s="7" t="s">
        <v>36</v>
      </c>
    </row>
    <row r="5" spans="1:4" x14ac:dyDescent="0.25">
      <c r="B5" s="7" t="s">
        <v>24</v>
      </c>
      <c r="D5" s="7" t="s">
        <v>37</v>
      </c>
    </row>
    <row r="6" spans="1:4" x14ac:dyDescent="0.25">
      <c r="B6" s="7">
        <v>2025</v>
      </c>
      <c r="D6" s="7">
        <v>2025</v>
      </c>
    </row>
    <row r="7" spans="1:4" ht="30" x14ac:dyDescent="0.25">
      <c r="B7" s="5" t="s">
        <v>25</v>
      </c>
      <c r="D7" s="5" t="s">
        <v>38</v>
      </c>
    </row>
    <row r="8" spans="1:4" ht="45" x14ac:dyDescent="0.25">
      <c r="B8" s="7" t="s">
        <v>26</v>
      </c>
      <c r="D8" s="7" t="s">
        <v>39</v>
      </c>
    </row>
    <row r="10" spans="1:4" x14ac:dyDescent="0.25">
      <c r="B10" s="4" t="s">
        <v>27</v>
      </c>
      <c r="D10" s="4" t="s">
        <v>12</v>
      </c>
    </row>
    <row r="11" spans="1:4" x14ac:dyDescent="0.25">
      <c r="B11" s="7" t="s">
        <v>28</v>
      </c>
      <c r="D11" s="7" t="s">
        <v>40</v>
      </c>
    </row>
    <row r="12" spans="1:4" x14ac:dyDescent="0.25">
      <c r="B12" s="7" t="s">
        <v>29</v>
      </c>
      <c r="D12" s="7" t="s">
        <v>41</v>
      </c>
    </row>
    <row r="13" spans="1:4" x14ac:dyDescent="0.25">
      <c r="B13" s="7">
        <v>2024</v>
      </c>
      <c r="D13" s="7">
        <v>2025</v>
      </c>
    </row>
    <row r="14" spans="1:4" x14ac:dyDescent="0.25">
      <c r="B14" s="5" t="s">
        <v>30</v>
      </c>
      <c r="D14" s="5" t="s">
        <v>42</v>
      </c>
    </row>
    <row r="15" spans="1:4" ht="45" x14ac:dyDescent="0.25">
      <c r="B15" s="7" t="s">
        <v>31</v>
      </c>
      <c r="D15" s="7" t="s">
        <v>43</v>
      </c>
    </row>
    <row r="17" spans="1:4" x14ac:dyDescent="0.25">
      <c r="B17" s="4" t="s">
        <v>10</v>
      </c>
      <c r="D17" s="4" t="s">
        <v>44</v>
      </c>
    </row>
    <row r="18" spans="1:4" x14ac:dyDescent="0.25">
      <c r="B18" s="7" t="s">
        <v>11</v>
      </c>
      <c r="D18" s="7" t="s">
        <v>45</v>
      </c>
    </row>
    <row r="19" spans="1:4" x14ac:dyDescent="0.25">
      <c r="B19" s="7" t="s">
        <v>32</v>
      </c>
      <c r="D19" s="7" t="s">
        <v>46</v>
      </c>
    </row>
    <row r="20" spans="1:4" x14ac:dyDescent="0.25">
      <c r="B20" s="7">
        <v>2025</v>
      </c>
      <c r="D20" s="7">
        <v>2025</v>
      </c>
    </row>
    <row r="21" spans="1:4" x14ac:dyDescent="0.25">
      <c r="B21" s="5" t="s">
        <v>33</v>
      </c>
      <c r="D21" s="5" t="s">
        <v>47</v>
      </c>
    </row>
    <row r="22" spans="1:4" ht="45" x14ac:dyDescent="0.25">
      <c r="B22" s="7" t="s">
        <v>34</v>
      </c>
      <c r="D22" s="7" t="s">
        <v>48</v>
      </c>
    </row>
    <row r="25" spans="1:4" x14ac:dyDescent="0.25">
      <c r="A25" s="2" t="s">
        <v>2</v>
      </c>
    </row>
    <row r="26" spans="1:4" ht="120" x14ac:dyDescent="0.25">
      <c r="A26" s="2" t="s">
        <v>13</v>
      </c>
      <c r="B26" s="7" t="s">
        <v>49</v>
      </c>
    </row>
    <row r="27" spans="1:4" ht="120" x14ac:dyDescent="0.25">
      <c r="A27" s="2" t="s">
        <v>14</v>
      </c>
      <c r="B27" s="7" t="s">
        <v>50</v>
      </c>
    </row>
    <row r="28" spans="1:4" ht="75" x14ac:dyDescent="0.25">
      <c r="A28" s="2" t="s">
        <v>51</v>
      </c>
      <c r="B28" s="7" t="s">
        <v>52</v>
      </c>
    </row>
    <row r="29" spans="1:4" ht="30" x14ac:dyDescent="0.25">
      <c r="A29" s="9" t="s">
        <v>55</v>
      </c>
      <c r="B29" s="8" t="s">
        <v>56</v>
      </c>
    </row>
  </sheetData>
  <hyperlinks>
    <hyperlink ref="B7" r:id="rId1" xr:uid="{D500685F-96EB-4E3D-9698-5004F35CA647}"/>
    <hyperlink ref="B14" r:id="rId2" xr:uid="{91688CC9-D65B-42E7-B6DC-C93D336E7FC1}"/>
    <hyperlink ref="B21" r:id="rId3" xr:uid="{4F94FEC0-6E81-490A-ABB3-43B9F5EC6F69}"/>
    <hyperlink ref="D7" r:id="rId4" xr:uid="{F4F36724-2628-4632-BEB2-E3A1F81DB5EB}"/>
    <hyperlink ref="D14" r:id="rId5" xr:uid="{706F1E53-C4B4-4C56-8BD7-0055307A8C40}"/>
    <hyperlink ref="D21" r:id="rId6" xr:uid="{96745595-30C1-4723-A0D5-6DC42EC519C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5" x14ac:dyDescent="0.25"/>
  <cols>
    <col min="1" max="1" width="32" customWidth="1"/>
    <col min="2" max="2" width="14" customWidth="1"/>
    <col min="3" max="3" width="60" customWidth="1"/>
    <col min="4" max="4" width="16.5703125" customWidth="1"/>
  </cols>
  <sheetData>
    <row r="1" spans="1:4" x14ac:dyDescent="0.25">
      <c r="A1" s="1" t="s">
        <v>3</v>
      </c>
      <c r="B1" s="1" t="s">
        <v>4</v>
      </c>
      <c r="C1" s="1" t="s">
        <v>5</v>
      </c>
      <c r="D1" s="6" t="s">
        <v>16</v>
      </c>
    </row>
    <row r="2" spans="1:4" x14ac:dyDescent="0.25">
      <c r="A2" t="s">
        <v>6</v>
      </c>
      <c r="B2">
        <v>2021</v>
      </c>
      <c r="C2" t="s">
        <v>17</v>
      </c>
      <c r="D2">
        <v>1</v>
      </c>
    </row>
    <row r="3" spans="1:4" x14ac:dyDescent="0.25">
      <c r="A3" t="s">
        <v>7</v>
      </c>
      <c r="B3">
        <v>2031</v>
      </c>
      <c r="C3" t="s">
        <v>18</v>
      </c>
      <c r="D3">
        <v>3</v>
      </c>
    </row>
    <row r="4" spans="1:4" x14ac:dyDescent="0.25">
      <c r="A4" t="s">
        <v>8</v>
      </c>
      <c r="B4">
        <v>2035</v>
      </c>
      <c r="C4" t="s">
        <v>19</v>
      </c>
      <c r="D4">
        <v>5</v>
      </c>
    </row>
    <row r="5" spans="1:4" x14ac:dyDescent="0.25">
      <c r="A5" t="s">
        <v>53</v>
      </c>
      <c r="B5">
        <v>2037</v>
      </c>
      <c r="C5" t="s">
        <v>54</v>
      </c>
      <c r="D5">
        <v>6</v>
      </c>
    </row>
    <row r="6" spans="1:4" x14ac:dyDescent="0.25">
      <c r="A6" t="s">
        <v>9</v>
      </c>
      <c r="B6">
        <v>2034</v>
      </c>
      <c r="C6" t="s">
        <v>20</v>
      </c>
      <c r="D6">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6"/>
  <sheetViews>
    <sheetView workbookViewId="0"/>
  </sheetViews>
  <sheetFormatPr defaultRowHeight="15" x14ac:dyDescent="0.25"/>
  <sheetData>
    <row r="1" spans="1:31" x14ac:dyDescent="0.25">
      <c r="A1" s="1" t="s">
        <v>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f>MIN(1,MAX(0,(B$1-VLOOKUP($A2,'Gate Parameters'!$A:$D,2,FALSE)+1)/VLOOKUP($A2,'Gate Parameters'!$A:$D,4,FALSE)))</f>
        <v>1</v>
      </c>
      <c r="C2">
        <f>MIN(1,MAX(0,(C$1-VLOOKUP($A2,'Gate Parameters'!$A:$D,2,FALSE)+1)/VLOOKUP($A2,'Gate Parameters'!$A:$D,4,FALSE)))</f>
        <v>1</v>
      </c>
      <c r="D2">
        <f>MIN(1,MAX(0,(D$1-VLOOKUP($A2,'Gate Parameters'!$A:$D,2,FALSE)+1)/VLOOKUP($A2,'Gate Parameters'!$A:$D,4,FALSE)))</f>
        <v>1</v>
      </c>
      <c r="E2">
        <f>MIN(1,MAX(0,(E$1-VLOOKUP($A2,'Gate Parameters'!$A:$D,2,FALSE)+1)/VLOOKUP($A2,'Gate Parameters'!$A:$D,4,FALSE)))</f>
        <v>1</v>
      </c>
      <c r="F2">
        <f>MIN(1,MAX(0,(F$1-VLOOKUP($A2,'Gate Parameters'!$A:$D,2,FALSE)+1)/VLOOKUP($A2,'Gate Parameters'!$A:$D,4,FALSE)))</f>
        <v>1</v>
      </c>
      <c r="G2">
        <f>MIN(1,MAX(0,(G$1-VLOOKUP($A2,'Gate Parameters'!$A:$D,2,FALSE)+1)/VLOOKUP($A2,'Gate Parameters'!$A:$D,4,FALSE)))</f>
        <v>1</v>
      </c>
      <c r="H2">
        <f>MIN(1,MAX(0,(H$1-VLOOKUP($A2,'Gate Parameters'!$A:$D,2,FALSE)+1)/VLOOKUP($A2,'Gate Parameters'!$A:$D,4,FALSE)))</f>
        <v>1</v>
      </c>
      <c r="I2">
        <f>MIN(1,MAX(0,(I$1-VLOOKUP($A2,'Gate Parameters'!$A:$D,2,FALSE)+1)/VLOOKUP($A2,'Gate Parameters'!$A:$D,4,FALSE)))</f>
        <v>1</v>
      </c>
      <c r="J2">
        <f>MIN(1,MAX(0,(J$1-VLOOKUP($A2,'Gate Parameters'!$A:$D,2,FALSE)+1)/VLOOKUP($A2,'Gate Parameters'!$A:$D,4,FALSE)))</f>
        <v>1</v>
      </c>
      <c r="K2">
        <f>MIN(1,MAX(0,(K$1-VLOOKUP($A2,'Gate Parameters'!$A:$D,2,FALSE)+1)/VLOOKUP($A2,'Gate Parameters'!$A:$D,4,FALSE)))</f>
        <v>1</v>
      </c>
      <c r="L2">
        <f>MIN(1,MAX(0,(L$1-VLOOKUP($A2,'Gate Parameters'!$A:$D,2,FALSE)+1)/VLOOKUP($A2,'Gate Parameters'!$A:$D,4,FALSE)))</f>
        <v>1</v>
      </c>
      <c r="M2">
        <f>MIN(1,MAX(0,(M$1-VLOOKUP($A2,'Gate Parameters'!$A:$D,2,FALSE)+1)/VLOOKUP($A2,'Gate Parameters'!$A:$D,4,FALSE)))</f>
        <v>1</v>
      </c>
      <c r="N2">
        <f>MIN(1,MAX(0,(N$1-VLOOKUP($A2,'Gate Parameters'!$A:$D,2,FALSE)+1)/VLOOKUP($A2,'Gate Parameters'!$A:$D,4,FALSE)))</f>
        <v>1</v>
      </c>
      <c r="O2">
        <f>MIN(1,MAX(0,(O$1-VLOOKUP($A2,'Gate Parameters'!$A:$D,2,FALSE)+1)/VLOOKUP($A2,'Gate Parameters'!$A:$D,4,FALSE)))</f>
        <v>1</v>
      </c>
      <c r="P2">
        <f>MIN(1,MAX(0,(P$1-VLOOKUP($A2,'Gate Parameters'!$A:$D,2,FALSE)+1)/VLOOKUP($A2,'Gate Parameters'!$A:$D,4,FALSE)))</f>
        <v>1</v>
      </c>
      <c r="Q2">
        <f>MIN(1,MAX(0,(Q$1-VLOOKUP($A2,'Gate Parameters'!$A:$D,2,FALSE)+1)/VLOOKUP($A2,'Gate Parameters'!$A:$D,4,FALSE)))</f>
        <v>1</v>
      </c>
      <c r="R2">
        <f>MIN(1,MAX(0,(R$1-VLOOKUP($A2,'Gate Parameters'!$A:$D,2,FALSE)+1)/VLOOKUP($A2,'Gate Parameters'!$A:$D,4,FALSE)))</f>
        <v>1</v>
      </c>
      <c r="S2">
        <f>MIN(1,MAX(0,(S$1-VLOOKUP($A2,'Gate Parameters'!$A:$D,2,FALSE)+1)/VLOOKUP($A2,'Gate Parameters'!$A:$D,4,FALSE)))</f>
        <v>1</v>
      </c>
      <c r="T2">
        <f>MIN(1,MAX(0,(T$1-VLOOKUP($A2,'Gate Parameters'!$A:$D,2,FALSE)+1)/VLOOKUP($A2,'Gate Parameters'!$A:$D,4,FALSE)))</f>
        <v>1</v>
      </c>
      <c r="U2">
        <f>MIN(1,MAX(0,(U$1-VLOOKUP($A2,'Gate Parameters'!$A:$D,2,FALSE)+1)/VLOOKUP($A2,'Gate Parameters'!$A:$D,4,FALSE)))</f>
        <v>1</v>
      </c>
      <c r="V2">
        <f>MIN(1,MAX(0,(V$1-VLOOKUP($A2,'Gate Parameters'!$A:$D,2,FALSE)+1)/VLOOKUP($A2,'Gate Parameters'!$A:$D,4,FALSE)))</f>
        <v>1</v>
      </c>
      <c r="W2">
        <f>MIN(1,MAX(0,(W$1-VLOOKUP($A2,'Gate Parameters'!$A:$D,2,FALSE)+1)/VLOOKUP($A2,'Gate Parameters'!$A:$D,4,FALSE)))</f>
        <v>1</v>
      </c>
      <c r="X2">
        <f>MIN(1,MAX(0,(X$1-VLOOKUP($A2,'Gate Parameters'!$A:$D,2,FALSE)+1)/VLOOKUP($A2,'Gate Parameters'!$A:$D,4,FALSE)))</f>
        <v>1</v>
      </c>
      <c r="Y2">
        <f>MIN(1,MAX(0,(Y$1-VLOOKUP($A2,'Gate Parameters'!$A:$D,2,FALSE)+1)/VLOOKUP($A2,'Gate Parameters'!$A:$D,4,FALSE)))</f>
        <v>1</v>
      </c>
      <c r="Z2">
        <f>MIN(1,MAX(0,(Z$1-VLOOKUP($A2,'Gate Parameters'!$A:$D,2,FALSE)+1)/VLOOKUP($A2,'Gate Parameters'!$A:$D,4,FALSE)))</f>
        <v>1</v>
      </c>
      <c r="AA2">
        <f>MIN(1,MAX(0,(AA$1-VLOOKUP($A2,'Gate Parameters'!$A:$D,2,FALSE)+1)/VLOOKUP($A2,'Gate Parameters'!$A:$D,4,FALSE)))</f>
        <v>1</v>
      </c>
      <c r="AB2">
        <f>MIN(1,MAX(0,(AB$1-VLOOKUP($A2,'Gate Parameters'!$A:$D,2,FALSE)+1)/VLOOKUP($A2,'Gate Parameters'!$A:$D,4,FALSE)))</f>
        <v>1</v>
      </c>
      <c r="AC2">
        <f>MIN(1,MAX(0,(AC$1-VLOOKUP($A2,'Gate Parameters'!$A:$D,2,FALSE)+1)/VLOOKUP($A2,'Gate Parameters'!$A:$D,4,FALSE)))</f>
        <v>1</v>
      </c>
      <c r="AD2">
        <f>MIN(1,MAX(0,(AD$1-VLOOKUP($A2,'Gate Parameters'!$A:$D,2,FALSE)+1)/VLOOKUP($A2,'Gate Parameters'!$A:$D,4,FALSE)))</f>
        <v>1</v>
      </c>
      <c r="AE2">
        <f>MIN(1,MAX(0,(AE$1-VLOOKUP($A2,'Gate Parameters'!$A:$D,2,FALSE)+1)/VLOOKUP($A2,'Gate Parameters'!$A:$D,4,FALSE)))</f>
        <v>1</v>
      </c>
    </row>
    <row r="3" spans="1:31" x14ac:dyDescent="0.25">
      <c r="A3" t="s">
        <v>7</v>
      </c>
      <c r="B3">
        <f>MIN(1,MAX(0,(B$1-VLOOKUP($A3,'Gate Parameters'!$A:$D,2,FALSE)+1)/VLOOKUP($A3,'Gate Parameters'!$A:$D,4,FALSE)))</f>
        <v>0</v>
      </c>
      <c r="C3">
        <f>MIN(1,MAX(0,(C$1-VLOOKUP($A3,'Gate Parameters'!$A:$D,2,FALSE)+1)/VLOOKUP($A3,'Gate Parameters'!$A:$D,4,FALSE)))</f>
        <v>0</v>
      </c>
      <c r="D3">
        <f>MIN(1,MAX(0,(D$1-VLOOKUP($A3,'Gate Parameters'!$A:$D,2,FALSE)+1)/VLOOKUP($A3,'Gate Parameters'!$A:$D,4,FALSE)))</f>
        <v>0</v>
      </c>
      <c r="E3">
        <f>MIN(1,MAX(0,(E$1-VLOOKUP($A3,'Gate Parameters'!$A:$D,2,FALSE)+1)/VLOOKUP($A3,'Gate Parameters'!$A:$D,4,FALSE)))</f>
        <v>0</v>
      </c>
      <c r="F3">
        <f>MIN(1,MAX(0,(F$1-VLOOKUP($A3,'Gate Parameters'!$A:$D,2,FALSE)+1)/VLOOKUP($A3,'Gate Parameters'!$A:$D,4,FALSE)))</f>
        <v>0</v>
      </c>
      <c r="G3">
        <f>MIN(1,MAX(0,(G$1-VLOOKUP($A3,'Gate Parameters'!$A:$D,2,FALSE)+1)/VLOOKUP($A3,'Gate Parameters'!$A:$D,4,FALSE)))</f>
        <v>0</v>
      </c>
      <c r="H3">
        <f>MIN(1,MAX(0,(H$1-VLOOKUP($A3,'Gate Parameters'!$A:$D,2,FALSE)+1)/VLOOKUP($A3,'Gate Parameters'!$A:$D,4,FALSE)))</f>
        <v>0</v>
      </c>
      <c r="I3">
        <f>MIN(1,MAX(0,(I$1-VLOOKUP($A3,'Gate Parameters'!$A:$D,2,FALSE)+1)/VLOOKUP($A3,'Gate Parameters'!$A:$D,4,FALSE)))</f>
        <v>0</v>
      </c>
      <c r="J3">
        <f>MIN(1,MAX(0,(J$1-VLOOKUP($A3,'Gate Parameters'!$A:$D,2,FALSE)+1)/VLOOKUP($A3,'Gate Parameters'!$A:$D,4,FALSE)))</f>
        <v>0</v>
      </c>
      <c r="K3">
        <f>MIN(1,MAX(0,(K$1-VLOOKUP($A3,'Gate Parameters'!$A:$D,2,FALSE)+1)/VLOOKUP($A3,'Gate Parameters'!$A:$D,4,FALSE)))</f>
        <v>0</v>
      </c>
      <c r="L3">
        <f>MIN(1,MAX(0,(L$1-VLOOKUP($A3,'Gate Parameters'!$A:$D,2,FALSE)+1)/VLOOKUP($A3,'Gate Parameters'!$A:$D,4,FALSE)))</f>
        <v>0.33333333333333331</v>
      </c>
      <c r="M3">
        <f>MIN(1,MAX(0,(M$1-VLOOKUP($A3,'Gate Parameters'!$A:$D,2,FALSE)+1)/VLOOKUP($A3,'Gate Parameters'!$A:$D,4,FALSE)))</f>
        <v>0.66666666666666663</v>
      </c>
      <c r="N3">
        <f>MIN(1,MAX(0,(N$1-VLOOKUP($A3,'Gate Parameters'!$A:$D,2,FALSE)+1)/VLOOKUP($A3,'Gate Parameters'!$A:$D,4,FALSE)))</f>
        <v>1</v>
      </c>
      <c r="O3">
        <f>MIN(1,MAX(0,(O$1-VLOOKUP($A3,'Gate Parameters'!$A:$D,2,FALSE)+1)/VLOOKUP($A3,'Gate Parameters'!$A:$D,4,FALSE)))</f>
        <v>1</v>
      </c>
      <c r="P3">
        <f>MIN(1,MAX(0,(P$1-VLOOKUP($A3,'Gate Parameters'!$A:$D,2,FALSE)+1)/VLOOKUP($A3,'Gate Parameters'!$A:$D,4,FALSE)))</f>
        <v>1</v>
      </c>
      <c r="Q3">
        <f>MIN(1,MAX(0,(Q$1-VLOOKUP($A3,'Gate Parameters'!$A:$D,2,FALSE)+1)/VLOOKUP($A3,'Gate Parameters'!$A:$D,4,FALSE)))</f>
        <v>1</v>
      </c>
      <c r="R3">
        <f>MIN(1,MAX(0,(R$1-VLOOKUP($A3,'Gate Parameters'!$A:$D,2,FALSE)+1)/VLOOKUP($A3,'Gate Parameters'!$A:$D,4,FALSE)))</f>
        <v>1</v>
      </c>
      <c r="S3">
        <f>MIN(1,MAX(0,(S$1-VLOOKUP($A3,'Gate Parameters'!$A:$D,2,FALSE)+1)/VLOOKUP($A3,'Gate Parameters'!$A:$D,4,FALSE)))</f>
        <v>1</v>
      </c>
      <c r="T3">
        <f>MIN(1,MAX(0,(T$1-VLOOKUP($A3,'Gate Parameters'!$A:$D,2,FALSE)+1)/VLOOKUP($A3,'Gate Parameters'!$A:$D,4,FALSE)))</f>
        <v>1</v>
      </c>
      <c r="U3">
        <f>MIN(1,MAX(0,(U$1-VLOOKUP($A3,'Gate Parameters'!$A:$D,2,FALSE)+1)/VLOOKUP($A3,'Gate Parameters'!$A:$D,4,FALSE)))</f>
        <v>1</v>
      </c>
      <c r="V3">
        <f>MIN(1,MAX(0,(V$1-VLOOKUP($A3,'Gate Parameters'!$A:$D,2,FALSE)+1)/VLOOKUP($A3,'Gate Parameters'!$A:$D,4,FALSE)))</f>
        <v>1</v>
      </c>
      <c r="W3">
        <f>MIN(1,MAX(0,(W$1-VLOOKUP($A3,'Gate Parameters'!$A:$D,2,FALSE)+1)/VLOOKUP($A3,'Gate Parameters'!$A:$D,4,FALSE)))</f>
        <v>1</v>
      </c>
      <c r="X3">
        <f>MIN(1,MAX(0,(X$1-VLOOKUP($A3,'Gate Parameters'!$A:$D,2,FALSE)+1)/VLOOKUP($A3,'Gate Parameters'!$A:$D,4,FALSE)))</f>
        <v>1</v>
      </c>
      <c r="Y3">
        <f>MIN(1,MAX(0,(Y$1-VLOOKUP($A3,'Gate Parameters'!$A:$D,2,FALSE)+1)/VLOOKUP($A3,'Gate Parameters'!$A:$D,4,FALSE)))</f>
        <v>1</v>
      </c>
      <c r="Z3">
        <f>MIN(1,MAX(0,(Z$1-VLOOKUP($A3,'Gate Parameters'!$A:$D,2,FALSE)+1)/VLOOKUP($A3,'Gate Parameters'!$A:$D,4,FALSE)))</f>
        <v>1</v>
      </c>
      <c r="AA3">
        <f>MIN(1,MAX(0,(AA$1-VLOOKUP($A3,'Gate Parameters'!$A:$D,2,FALSE)+1)/VLOOKUP($A3,'Gate Parameters'!$A:$D,4,FALSE)))</f>
        <v>1</v>
      </c>
      <c r="AB3">
        <f>MIN(1,MAX(0,(AB$1-VLOOKUP($A3,'Gate Parameters'!$A:$D,2,FALSE)+1)/VLOOKUP($A3,'Gate Parameters'!$A:$D,4,FALSE)))</f>
        <v>1</v>
      </c>
      <c r="AC3">
        <f>MIN(1,MAX(0,(AC$1-VLOOKUP($A3,'Gate Parameters'!$A:$D,2,FALSE)+1)/VLOOKUP($A3,'Gate Parameters'!$A:$D,4,FALSE)))</f>
        <v>1</v>
      </c>
      <c r="AD3">
        <f>MIN(1,MAX(0,(AD$1-VLOOKUP($A3,'Gate Parameters'!$A:$D,2,FALSE)+1)/VLOOKUP($A3,'Gate Parameters'!$A:$D,4,FALSE)))</f>
        <v>1</v>
      </c>
      <c r="AE3">
        <f>MIN(1,MAX(0,(AE$1-VLOOKUP($A3,'Gate Parameters'!$A:$D,2,FALSE)+1)/VLOOKUP($A3,'Gate Parameters'!$A:$D,4,FALSE)))</f>
        <v>1</v>
      </c>
    </row>
    <row r="4" spans="1:31" x14ac:dyDescent="0.25">
      <c r="A4" t="s">
        <v>8</v>
      </c>
      <c r="B4">
        <f>MIN(1,MAX(0,(B$1-VLOOKUP($A4,'Gate Parameters'!$A:$D,2,FALSE)+1)/VLOOKUP($A4,'Gate Parameters'!$A:$D,4,FALSE)))</f>
        <v>0</v>
      </c>
      <c r="C4">
        <f>MIN(1,MAX(0,(C$1-VLOOKUP($A4,'Gate Parameters'!$A:$D,2,FALSE)+1)/VLOOKUP($A4,'Gate Parameters'!$A:$D,4,FALSE)))</f>
        <v>0</v>
      </c>
      <c r="D4">
        <f>MIN(1,MAX(0,(D$1-VLOOKUP($A4,'Gate Parameters'!$A:$D,2,FALSE)+1)/VLOOKUP($A4,'Gate Parameters'!$A:$D,4,FALSE)))</f>
        <v>0</v>
      </c>
      <c r="E4">
        <f>MIN(1,MAX(0,(E$1-VLOOKUP($A4,'Gate Parameters'!$A:$D,2,FALSE)+1)/VLOOKUP($A4,'Gate Parameters'!$A:$D,4,FALSE)))</f>
        <v>0</v>
      </c>
      <c r="F4">
        <f>MIN(1,MAX(0,(F$1-VLOOKUP($A4,'Gate Parameters'!$A:$D,2,FALSE)+1)/VLOOKUP($A4,'Gate Parameters'!$A:$D,4,FALSE)))</f>
        <v>0</v>
      </c>
      <c r="G4">
        <f>MIN(1,MAX(0,(G$1-VLOOKUP($A4,'Gate Parameters'!$A:$D,2,FALSE)+1)/VLOOKUP($A4,'Gate Parameters'!$A:$D,4,FALSE)))</f>
        <v>0</v>
      </c>
      <c r="H4">
        <f>MIN(1,MAX(0,(H$1-VLOOKUP($A4,'Gate Parameters'!$A:$D,2,FALSE)+1)/VLOOKUP($A4,'Gate Parameters'!$A:$D,4,FALSE)))</f>
        <v>0</v>
      </c>
      <c r="I4">
        <f>MIN(1,MAX(0,(I$1-VLOOKUP($A4,'Gate Parameters'!$A:$D,2,FALSE)+1)/VLOOKUP($A4,'Gate Parameters'!$A:$D,4,FALSE)))</f>
        <v>0</v>
      </c>
      <c r="J4">
        <f>MIN(1,MAX(0,(J$1-VLOOKUP($A4,'Gate Parameters'!$A:$D,2,FALSE)+1)/VLOOKUP($A4,'Gate Parameters'!$A:$D,4,FALSE)))</f>
        <v>0</v>
      </c>
      <c r="K4">
        <f>MIN(1,MAX(0,(K$1-VLOOKUP($A4,'Gate Parameters'!$A:$D,2,FALSE)+1)/VLOOKUP($A4,'Gate Parameters'!$A:$D,4,FALSE)))</f>
        <v>0</v>
      </c>
      <c r="L4">
        <f>MIN(1,MAX(0,(L$1-VLOOKUP($A4,'Gate Parameters'!$A:$D,2,FALSE)+1)/VLOOKUP($A4,'Gate Parameters'!$A:$D,4,FALSE)))</f>
        <v>0</v>
      </c>
      <c r="M4">
        <f>MIN(1,MAX(0,(M$1-VLOOKUP($A4,'Gate Parameters'!$A:$D,2,FALSE)+1)/VLOOKUP($A4,'Gate Parameters'!$A:$D,4,FALSE)))</f>
        <v>0</v>
      </c>
      <c r="N4">
        <f>MIN(1,MAX(0,(N$1-VLOOKUP($A4,'Gate Parameters'!$A:$D,2,FALSE)+1)/VLOOKUP($A4,'Gate Parameters'!$A:$D,4,FALSE)))</f>
        <v>0</v>
      </c>
      <c r="O4">
        <f>MIN(1,MAX(0,(O$1-VLOOKUP($A4,'Gate Parameters'!$A:$D,2,FALSE)+1)/VLOOKUP($A4,'Gate Parameters'!$A:$D,4,FALSE)))</f>
        <v>0</v>
      </c>
      <c r="P4">
        <f>MIN(1,MAX(0,(P$1-VLOOKUP($A4,'Gate Parameters'!$A:$D,2,FALSE)+1)/VLOOKUP($A4,'Gate Parameters'!$A:$D,4,FALSE)))</f>
        <v>0.2</v>
      </c>
      <c r="Q4">
        <f>MIN(1,MAX(0,(Q$1-VLOOKUP($A4,'Gate Parameters'!$A:$D,2,FALSE)+1)/VLOOKUP($A4,'Gate Parameters'!$A:$D,4,FALSE)))</f>
        <v>0.4</v>
      </c>
      <c r="R4">
        <f>MIN(1,MAX(0,(R$1-VLOOKUP($A4,'Gate Parameters'!$A:$D,2,FALSE)+1)/VLOOKUP($A4,'Gate Parameters'!$A:$D,4,FALSE)))</f>
        <v>0.6</v>
      </c>
      <c r="S4">
        <f>MIN(1,MAX(0,(S$1-VLOOKUP($A4,'Gate Parameters'!$A:$D,2,FALSE)+1)/VLOOKUP($A4,'Gate Parameters'!$A:$D,4,FALSE)))</f>
        <v>0.8</v>
      </c>
      <c r="T4">
        <f>MIN(1,MAX(0,(T$1-VLOOKUP($A4,'Gate Parameters'!$A:$D,2,FALSE)+1)/VLOOKUP($A4,'Gate Parameters'!$A:$D,4,FALSE)))</f>
        <v>1</v>
      </c>
      <c r="U4">
        <f>MIN(1,MAX(0,(U$1-VLOOKUP($A4,'Gate Parameters'!$A:$D,2,FALSE)+1)/VLOOKUP($A4,'Gate Parameters'!$A:$D,4,FALSE)))</f>
        <v>1</v>
      </c>
      <c r="V4">
        <f>MIN(1,MAX(0,(V$1-VLOOKUP($A4,'Gate Parameters'!$A:$D,2,FALSE)+1)/VLOOKUP($A4,'Gate Parameters'!$A:$D,4,FALSE)))</f>
        <v>1</v>
      </c>
      <c r="W4">
        <f>MIN(1,MAX(0,(W$1-VLOOKUP($A4,'Gate Parameters'!$A:$D,2,FALSE)+1)/VLOOKUP($A4,'Gate Parameters'!$A:$D,4,FALSE)))</f>
        <v>1</v>
      </c>
      <c r="X4">
        <f>MIN(1,MAX(0,(X$1-VLOOKUP($A4,'Gate Parameters'!$A:$D,2,FALSE)+1)/VLOOKUP($A4,'Gate Parameters'!$A:$D,4,FALSE)))</f>
        <v>1</v>
      </c>
      <c r="Y4">
        <f>MIN(1,MAX(0,(Y$1-VLOOKUP($A4,'Gate Parameters'!$A:$D,2,FALSE)+1)/VLOOKUP($A4,'Gate Parameters'!$A:$D,4,FALSE)))</f>
        <v>1</v>
      </c>
      <c r="Z4">
        <f>MIN(1,MAX(0,(Z$1-VLOOKUP($A4,'Gate Parameters'!$A:$D,2,FALSE)+1)/VLOOKUP($A4,'Gate Parameters'!$A:$D,4,FALSE)))</f>
        <v>1</v>
      </c>
      <c r="AA4">
        <f>MIN(1,MAX(0,(AA$1-VLOOKUP($A4,'Gate Parameters'!$A:$D,2,FALSE)+1)/VLOOKUP($A4,'Gate Parameters'!$A:$D,4,FALSE)))</f>
        <v>1</v>
      </c>
      <c r="AB4">
        <f>MIN(1,MAX(0,(AB$1-VLOOKUP($A4,'Gate Parameters'!$A:$D,2,FALSE)+1)/VLOOKUP($A4,'Gate Parameters'!$A:$D,4,FALSE)))</f>
        <v>1</v>
      </c>
      <c r="AC4">
        <f>MIN(1,MAX(0,(AC$1-VLOOKUP($A4,'Gate Parameters'!$A:$D,2,FALSE)+1)/VLOOKUP($A4,'Gate Parameters'!$A:$D,4,FALSE)))</f>
        <v>1</v>
      </c>
      <c r="AD4">
        <f>MIN(1,MAX(0,(AD$1-VLOOKUP($A4,'Gate Parameters'!$A:$D,2,FALSE)+1)/VLOOKUP($A4,'Gate Parameters'!$A:$D,4,FALSE)))</f>
        <v>1</v>
      </c>
      <c r="AE4">
        <f>MIN(1,MAX(0,(AE$1-VLOOKUP($A4,'Gate Parameters'!$A:$D,2,FALSE)+1)/VLOOKUP($A4,'Gate Parameters'!$A:$D,4,FALSE)))</f>
        <v>1</v>
      </c>
    </row>
    <row r="5" spans="1:31" x14ac:dyDescent="0.25">
      <c r="A5" t="s">
        <v>53</v>
      </c>
      <c r="B5">
        <f>MIN(1,MAX(0,(B$1-VLOOKUP($A5,'Gate Parameters'!$A:$D,2,FALSE)+1)/VLOOKUP($A5,'Gate Parameters'!$A:$D,4,FALSE)))</f>
        <v>0</v>
      </c>
      <c r="C5">
        <f>MIN(1,MAX(0,(C$1-VLOOKUP($A5,'Gate Parameters'!$A:$D,2,FALSE)+1)/VLOOKUP($A5,'Gate Parameters'!$A:$D,4,FALSE)))</f>
        <v>0</v>
      </c>
      <c r="D5">
        <f>MIN(1,MAX(0,(D$1-VLOOKUP($A5,'Gate Parameters'!$A:$D,2,FALSE)+1)/VLOOKUP($A5,'Gate Parameters'!$A:$D,4,FALSE)))</f>
        <v>0</v>
      </c>
      <c r="E5">
        <f>MIN(1,MAX(0,(E$1-VLOOKUP($A5,'Gate Parameters'!$A:$D,2,FALSE)+1)/VLOOKUP($A5,'Gate Parameters'!$A:$D,4,FALSE)))</f>
        <v>0</v>
      </c>
      <c r="F5">
        <f>MIN(1,MAX(0,(F$1-VLOOKUP($A5,'Gate Parameters'!$A:$D,2,FALSE)+1)/VLOOKUP($A5,'Gate Parameters'!$A:$D,4,FALSE)))</f>
        <v>0</v>
      </c>
      <c r="G5">
        <f>MIN(1,MAX(0,(G$1-VLOOKUP($A5,'Gate Parameters'!$A:$D,2,FALSE)+1)/VLOOKUP($A5,'Gate Parameters'!$A:$D,4,FALSE)))</f>
        <v>0</v>
      </c>
      <c r="H5">
        <f>MIN(1,MAX(0,(H$1-VLOOKUP($A5,'Gate Parameters'!$A:$D,2,FALSE)+1)/VLOOKUP($A5,'Gate Parameters'!$A:$D,4,FALSE)))</f>
        <v>0</v>
      </c>
      <c r="I5">
        <f>MIN(1,MAX(0,(I$1-VLOOKUP($A5,'Gate Parameters'!$A:$D,2,FALSE)+1)/VLOOKUP($A5,'Gate Parameters'!$A:$D,4,FALSE)))</f>
        <v>0</v>
      </c>
      <c r="J5">
        <f>MIN(1,MAX(0,(J$1-VLOOKUP($A5,'Gate Parameters'!$A:$D,2,FALSE)+1)/VLOOKUP($A5,'Gate Parameters'!$A:$D,4,FALSE)))</f>
        <v>0</v>
      </c>
      <c r="K5">
        <f>MIN(1,MAX(0,(K$1-VLOOKUP($A5,'Gate Parameters'!$A:$D,2,FALSE)+1)/VLOOKUP($A5,'Gate Parameters'!$A:$D,4,FALSE)))</f>
        <v>0</v>
      </c>
      <c r="L5">
        <f>MIN(1,MAX(0,(L$1-VLOOKUP($A5,'Gate Parameters'!$A:$D,2,FALSE)+1)/VLOOKUP($A5,'Gate Parameters'!$A:$D,4,FALSE)))</f>
        <v>0</v>
      </c>
      <c r="M5">
        <f>MIN(1,MAX(0,(M$1-VLOOKUP($A5,'Gate Parameters'!$A:$D,2,FALSE)+1)/VLOOKUP($A5,'Gate Parameters'!$A:$D,4,FALSE)))</f>
        <v>0</v>
      </c>
      <c r="N5">
        <f>MIN(1,MAX(0,(N$1-VLOOKUP($A5,'Gate Parameters'!$A:$D,2,FALSE)+1)/VLOOKUP($A5,'Gate Parameters'!$A:$D,4,FALSE)))</f>
        <v>0</v>
      </c>
      <c r="O5">
        <f>MIN(1,MAX(0,(O$1-VLOOKUP($A5,'Gate Parameters'!$A:$D,2,FALSE)+1)/VLOOKUP($A5,'Gate Parameters'!$A:$D,4,FALSE)))</f>
        <v>0</v>
      </c>
      <c r="P5">
        <f>MIN(1,MAX(0,(P$1-VLOOKUP($A5,'Gate Parameters'!$A:$D,2,FALSE)+1)/VLOOKUP($A5,'Gate Parameters'!$A:$D,4,FALSE)))</f>
        <v>0</v>
      </c>
      <c r="Q5">
        <f>MIN(1,MAX(0,(Q$1-VLOOKUP($A5,'Gate Parameters'!$A:$D,2,FALSE)+1)/VLOOKUP($A5,'Gate Parameters'!$A:$D,4,FALSE)))</f>
        <v>0</v>
      </c>
      <c r="R5">
        <f>MIN(1,MAX(0,(R$1-VLOOKUP($A5,'Gate Parameters'!$A:$D,2,FALSE)+1)/VLOOKUP($A5,'Gate Parameters'!$A:$D,4,FALSE)))</f>
        <v>0.16666666666666666</v>
      </c>
      <c r="S5">
        <f>MIN(1,MAX(0,(S$1-VLOOKUP($A5,'Gate Parameters'!$A:$D,2,FALSE)+1)/VLOOKUP($A5,'Gate Parameters'!$A:$D,4,FALSE)))</f>
        <v>0.33333333333333331</v>
      </c>
      <c r="T5">
        <f>MIN(1,MAX(0,(T$1-VLOOKUP($A5,'Gate Parameters'!$A:$D,2,FALSE)+1)/VLOOKUP($A5,'Gate Parameters'!$A:$D,4,FALSE)))</f>
        <v>0.5</v>
      </c>
      <c r="U5">
        <f>MIN(1,MAX(0,(U$1-VLOOKUP($A5,'Gate Parameters'!$A:$D,2,FALSE)+1)/VLOOKUP($A5,'Gate Parameters'!$A:$D,4,FALSE)))</f>
        <v>0.66666666666666663</v>
      </c>
      <c r="V5">
        <f>MIN(1,MAX(0,(V$1-VLOOKUP($A5,'Gate Parameters'!$A:$D,2,FALSE)+1)/VLOOKUP($A5,'Gate Parameters'!$A:$D,4,FALSE)))</f>
        <v>0.83333333333333337</v>
      </c>
      <c r="W5">
        <f>MIN(1,MAX(0,(W$1-VLOOKUP($A5,'Gate Parameters'!$A:$D,2,FALSE)+1)/VLOOKUP($A5,'Gate Parameters'!$A:$D,4,FALSE)))</f>
        <v>1</v>
      </c>
      <c r="X5">
        <f>MIN(1,MAX(0,(X$1-VLOOKUP($A5,'Gate Parameters'!$A:$D,2,FALSE)+1)/VLOOKUP($A5,'Gate Parameters'!$A:$D,4,FALSE)))</f>
        <v>1</v>
      </c>
      <c r="Y5">
        <f>MIN(1,MAX(0,(Y$1-VLOOKUP($A5,'Gate Parameters'!$A:$D,2,FALSE)+1)/VLOOKUP($A5,'Gate Parameters'!$A:$D,4,FALSE)))</f>
        <v>1</v>
      </c>
      <c r="Z5">
        <f>MIN(1,MAX(0,(Z$1-VLOOKUP($A5,'Gate Parameters'!$A:$D,2,FALSE)+1)/VLOOKUP($A5,'Gate Parameters'!$A:$D,4,FALSE)))</f>
        <v>1</v>
      </c>
      <c r="AA5">
        <f>MIN(1,MAX(0,(AA$1-VLOOKUP($A5,'Gate Parameters'!$A:$D,2,FALSE)+1)/VLOOKUP($A5,'Gate Parameters'!$A:$D,4,FALSE)))</f>
        <v>1</v>
      </c>
      <c r="AB5">
        <f>MIN(1,MAX(0,(AB$1-VLOOKUP($A5,'Gate Parameters'!$A:$D,2,FALSE)+1)/VLOOKUP($A5,'Gate Parameters'!$A:$D,4,FALSE)))</f>
        <v>1</v>
      </c>
      <c r="AC5">
        <f>MIN(1,MAX(0,(AC$1-VLOOKUP($A5,'Gate Parameters'!$A:$D,2,FALSE)+1)/VLOOKUP($A5,'Gate Parameters'!$A:$D,4,FALSE)))</f>
        <v>1</v>
      </c>
      <c r="AD5">
        <f>MIN(1,MAX(0,(AD$1-VLOOKUP($A5,'Gate Parameters'!$A:$D,2,FALSE)+1)/VLOOKUP($A5,'Gate Parameters'!$A:$D,4,FALSE)))</f>
        <v>1</v>
      </c>
      <c r="AE5">
        <f>MIN(1,MAX(0,(AE$1-VLOOKUP($A5,'Gate Parameters'!$A:$D,2,FALSE)+1)/VLOOKUP($A5,'Gate Parameters'!$A:$D,4,FALSE)))</f>
        <v>1</v>
      </c>
    </row>
    <row r="6" spans="1:31" x14ac:dyDescent="0.25">
      <c r="A6" t="s">
        <v>9</v>
      </c>
      <c r="B6">
        <f>MIN(1,MAX(0,(B$1-VLOOKUP($A6,'Gate Parameters'!$A:$D,2,FALSE)+1)/VLOOKUP($A6,'Gate Parameters'!$A:$D,4,FALSE)))</f>
        <v>0</v>
      </c>
      <c r="C6">
        <f>MIN(1,MAX(0,(C$1-VLOOKUP($A6,'Gate Parameters'!$A:$D,2,FALSE)+1)/VLOOKUP($A6,'Gate Parameters'!$A:$D,4,FALSE)))</f>
        <v>0</v>
      </c>
      <c r="D6">
        <f>MIN(1,MAX(0,(D$1-VLOOKUP($A6,'Gate Parameters'!$A:$D,2,FALSE)+1)/VLOOKUP($A6,'Gate Parameters'!$A:$D,4,FALSE)))</f>
        <v>0</v>
      </c>
      <c r="E6">
        <f>MIN(1,MAX(0,(E$1-VLOOKUP($A6,'Gate Parameters'!$A:$D,2,FALSE)+1)/VLOOKUP($A6,'Gate Parameters'!$A:$D,4,FALSE)))</f>
        <v>0</v>
      </c>
      <c r="F6">
        <f>MIN(1,MAX(0,(F$1-VLOOKUP($A6,'Gate Parameters'!$A:$D,2,FALSE)+1)/VLOOKUP($A6,'Gate Parameters'!$A:$D,4,FALSE)))</f>
        <v>0</v>
      </c>
      <c r="G6">
        <f>MIN(1,MAX(0,(G$1-VLOOKUP($A6,'Gate Parameters'!$A:$D,2,FALSE)+1)/VLOOKUP($A6,'Gate Parameters'!$A:$D,4,FALSE)))</f>
        <v>0</v>
      </c>
      <c r="H6">
        <f>MIN(1,MAX(0,(H$1-VLOOKUP($A6,'Gate Parameters'!$A:$D,2,FALSE)+1)/VLOOKUP($A6,'Gate Parameters'!$A:$D,4,FALSE)))</f>
        <v>0</v>
      </c>
      <c r="I6">
        <f>MIN(1,MAX(0,(I$1-VLOOKUP($A6,'Gate Parameters'!$A:$D,2,FALSE)+1)/VLOOKUP($A6,'Gate Parameters'!$A:$D,4,FALSE)))</f>
        <v>0</v>
      </c>
      <c r="J6">
        <f>MIN(1,MAX(0,(J$1-VLOOKUP($A6,'Gate Parameters'!$A:$D,2,FALSE)+1)/VLOOKUP($A6,'Gate Parameters'!$A:$D,4,FALSE)))</f>
        <v>0</v>
      </c>
      <c r="K6">
        <f>MIN(1,MAX(0,(K$1-VLOOKUP($A6,'Gate Parameters'!$A:$D,2,FALSE)+1)/VLOOKUP($A6,'Gate Parameters'!$A:$D,4,FALSE)))</f>
        <v>0</v>
      </c>
      <c r="L6">
        <f>MIN(1,MAX(0,(L$1-VLOOKUP($A6,'Gate Parameters'!$A:$D,2,FALSE)+1)/VLOOKUP($A6,'Gate Parameters'!$A:$D,4,FALSE)))</f>
        <v>0</v>
      </c>
      <c r="M6">
        <f>MIN(1,MAX(0,(M$1-VLOOKUP($A6,'Gate Parameters'!$A:$D,2,FALSE)+1)/VLOOKUP($A6,'Gate Parameters'!$A:$D,4,FALSE)))</f>
        <v>0</v>
      </c>
      <c r="N6">
        <f>MIN(1,MAX(0,(N$1-VLOOKUP($A6,'Gate Parameters'!$A:$D,2,FALSE)+1)/VLOOKUP($A6,'Gate Parameters'!$A:$D,4,FALSE)))</f>
        <v>0</v>
      </c>
      <c r="O6">
        <f>MIN(1,MAX(0,(O$1-VLOOKUP($A6,'Gate Parameters'!$A:$D,2,FALSE)+1)/VLOOKUP($A6,'Gate Parameters'!$A:$D,4,FALSE)))</f>
        <v>0.25</v>
      </c>
      <c r="P6">
        <f>MIN(1,MAX(0,(P$1-VLOOKUP($A6,'Gate Parameters'!$A:$D,2,FALSE)+1)/VLOOKUP($A6,'Gate Parameters'!$A:$D,4,FALSE)))</f>
        <v>0.5</v>
      </c>
      <c r="Q6">
        <f>MIN(1,MAX(0,(Q$1-VLOOKUP($A6,'Gate Parameters'!$A:$D,2,FALSE)+1)/VLOOKUP($A6,'Gate Parameters'!$A:$D,4,FALSE)))</f>
        <v>0.75</v>
      </c>
      <c r="R6">
        <f>MIN(1,MAX(0,(R$1-VLOOKUP($A6,'Gate Parameters'!$A:$D,2,FALSE)+1)/VLOOKUP($A6,'Gate Parameters'!$A:$D,4,FALSE)))</f>
        <v>1</v>
      </c>
      <c r="S6">
        <f>MIN(1,MAX(0,(S$1-VLOOKUP($A6,'Gate Parameters'!$A:$D,2,FALSE)+1)/VLOOKUP($A6,'Gate Parameters'!$A:$D,4,FALSE)))</f>
        <v>1</v>
      </c>
      <c r="T6">
        <f>MIN(1,MAX(0,(T$1-VLOOKUP($A6,'Gate Parameters'!$A:$D,2,FALSE)+1)/VLOOKUP($A6,'Gate Parameters'!$A:$D,4,FALSE)))</f>
        <v>1</v>
      </c>
      <c r="U6">
        <f>MIN(1,MAX(0,(U$1-VLOOKUP($A6,'Gate Parameters'!$A:$D,2,FALSE)+1)/VLOOKUP($A6,'Gate Parameters'!$A:$D,4,FALSE)))</f>
        <v>1</v>
      </c>
      <c r="V6">
        <f>MIN(1,MAX(0,(V$1-VLOOKUP($A6,'Gate Parameters'!$A:$D,2,FALSE)+1)/VLOOKUP($A6,'Gate Parameters'!$A:$D,4,FALSE)))</f>
        <v>1</v>
      </c>
      <c r="W6">
        <f>MIN(1,MAX(0,(W$1-VLOOKUP($A6,'Gate Parameters'!$A:$D,2,FALSE)+1)/VLOOKUP($A6,'Gate Parameters'!$A:$D,4,FALSE)))</f>
        <v>1</v>
      </c>
      <c r="X6">
        <f>MIN(1,MAX(0,(X$1-VLOOKUP($A6,'Gate Parameters'!$A:$D,2,FALSE)+1)/VLOOKUP($A6,'Gate Parameters'!$A:$D,4,FALSE)))</f>
        <v>1</v>
      </c>
      <c r="Y6">
        <f>MIN(1,MAX(0,(Y$1-VLOOKUP($A6,'Gate Parameters'!$A:$D,2,FALSE)+1)/VLOOKUP($A6,'Gate Parameters'!$A:$D,4,FALSE)))</f>
        <v>1</v>
      </c>
      <c r="Z6">
        <f>MIN(1,MAX(0,(Z$1-VLOOKUP($A6,'Gate Parameters'!$A:$D,2,FALSE)+1)/VLOOKUP($A6,'Gate Parameters'!$A:$D,4,FALSE)))</f>
        <v>1</v>
      </c>
      <c r="AA6">
        <f>MIN(1,MAX(0,(AA$1-VLOOKUP($A6,'Gate Parameters'!$A:$D,2,FALSE)+1)/VLOOKUP($A6,'Gate Parameters'!$A:$D,4,FALSE)))</f>
        <v>1</v>
      </c>
      <c r="AB6">
        <f>MIN(1,MAX(0,(AB$1-VLOOKUP($A6,'Gate Parameters'!$A:$D,2,FALSE)+1)/VLOOKUP($A6,'Gate Parameters'!$A:$D,4,FALSE)))</f>
        <v>1</v>
      </c>
      <c r="AC6">
        <f>MIN(1,MAX(0,(AC$1-VLOOKUP($A6,'Gate Parameters'!$A:$D,2,FALSE)+1)/VLOOKUP($A6,'Gate Parameters'!$A:$D,4,FALSE)))</f>
        <v>1</v>
      </c>
      <c r="AD6">
        <f>MIN(1,MAX(0,(AD$1-VLOOKUP($A6,'Gate Parameters'!$A:$D,2,FALSE)+1)/VLOOKUP($A6,'Gate Parameters'!$A:$D,4,FALSE)))</f>
        <v>1</v>
      </c>
      <c r="AE6">
        <f>MIN(1,MAX(0,(AE$1-VLOOKUP($A6,'Gate Parameters'!$A:$D,2,FALSE)+1)/VLOOKUP($A6,'Gate Parameters'!$A:$D,4,FALSE)))</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E6"/>
  <sheetViews>
    <sheetView workbookViewId="0"/>
  </sheetViews>
  <sheetFormatPr defaultRowHeight="15" x14ac:dyDescent="0.25"/>
  <sheetData>
    <row r="1" spans="1:31" x14ac:dyDescent="0.25">
      <c r="A1" t="s">
        <v>15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f>Calc!B2</f>
        <v>1</v>
      </c>
      <c r="C2">
        <f>Calc!C2</f>
        <v>1</v>
      </c>
      <c r="D2">
        <f>Calc!D2</f>
        <v>1</v>
      </c>
      <c r="E2">
        <f>Calc!E2</f>
        <v>1</v>
      </c>
      <c r="F2">
        <f>Calc!F2</f>
        <v>1</v>
      </c>
      <c r="G2">
        <f>Calc!G2</f>
        <v>1</v>
      </c>
      <c r="H2">
        <f>Calc!H2</f>
        <v>1</v>
      </c>
      <c r="I2">
        <f>Calc!I2</f>
        <v>1</v>
      </c>
      <c r="J2">
        <f>Calc!J2</f>
        <v>1</v>
      </c>
      <c r="K2">
        <f>Calc!K2</f>
        <v>1</v>
      </c>
      <c r="L2">
        <f>Calc!L2</f>
        <v>1</v>
      </c>
      <c r="M2">
        <f>Calc!M2</f>
        <v>1</v>
      </c>
      <c r="N2">
        <f>Calc!N2</f>
        <v>1</v>
      </c>
      <c r="O2">
        <f>Calc!O2</f>
        <v>1</v>
      </c>
      <c r="P2">
        <f>Calc!P2</f>
        <v>1</v>
      </c>
      <c r="Q2">
        <f>Calc!Q2</f>
        <v>1</v>
      </c>
      <c r="R2">
        <f>Calc!R2</f>
        <v>1</v>
      </c>
      <c r="S2">
        <f>Calc!S2</f>
        <v>1</v>
      </c>
      <c r="T2">
        <f>Calc!T2</f>
        <v>1</v>
      </c>
      <c r="U2">
        <f>Calc!U2</f>
        <v>1</v>
      </c>
      <c r="V2">
        <f>Calc!V2</f>
        <v>1</v>
      </c>
      <c r="W2">
        <f>Calc!W2</f>
        <v>1</v>
      </c>
      <c r="X2">
        <f>Calc!X2</f>
        <v>1</v>
      </c>
      <c r="Y2">
        <f>Calc!Y2</f>
        <v>1</v>
      </c>
      <c r="Z2">
        <f>Calc!Z2</f>
        <v>1</v>
      </c>
      <c r="AA2">
        <f>Calc!AA2</f>
        <v>1</v>
      </c>
      <c r="AB2">
        <f>Calc!AB2</f>
        <v>1</v>
      </c>
      <c r="AC2">
        <f>Calc!AC2</f>
        <v>1</v>
      </c>
      <c r="AD2">
        <f>Calc!AD2</f>
        <v>1</v>
      </c>
      <c r="AE2">
        <f>Calc!AE2</f>
        <v>1</v>
      </c>
    </row>
    <row r="3" spans="1:31" x14ac:dyDescent="0.25">
      <c r="A3" t="s">
        <v>7</v>
      </c>
      <c r="B3">
        <f>Calc!B3</f>
        <v>0</v>
      </c>
      <c r="C3">
        <f>Calc!C3</f>
        <v>0</v>
      </c>
      <c r="D3">
        <f>Calc!D3</f>
        <v>0</v>
      </c>
      <c r="E3">
        <f>Calc!E3</f>
        <v>0</v>
      </c>
      <c r="F3">
        <f>Calc!F3</f>
        <v>0</v>
      </c>
      <c r="G3">
        <f>Calc!G3</f>
        <v>0</v>
      </c>
      <c r="H3">
        <f>Calc!H3</f>
        <v>0</v>
      </c>
      <c r="I3">
        <f>Calc!I3</f>
        <v>0</v>
      </c>
      <c r="J3">
        <f>Calc!J3</f>
        <v>0</v>
      </c>
      <c r="K3">
        <f>Calc!K3</f>
        <v>0</v>
      </c>
      <c r="L3">
        <f>Calc!L3</f>
        <v>0.33333333333333331</v>
      </c>
      <c r="M3">
        <f>Calc!M3</f>
        <v>0.66666666666666663</v>
      </c>
      <c r="N3">
        <f>Calc!N3</f>
        <v>1</v>
      </c>
      <c r="O3">
        <f>Calc!O3</f>
        <v>1</v>
      </c>
      <c r="P3">
        <f>Calc!P3</f>
        <v>1</v>
      </c>
      <c r="Q3">
        <f>Calc!Q3</f>
        <v>1</v>
      </c>
      <c r="R3">
        <f>Calc!R3</f>
        <v>1</v>
      </c>
      <c r="S3">
        <f>Calc!S3</f>
        <v>1</v>
      </c>
      <c r="T3">
        <f>Calc!T3</f>
        <v>1</v>
      </c>
      <c r="U3">
        <f>Calc!U3</f>
        <v>1</v>
      </c>
      <c r="V3">
        <f>Calc!V3</f>
        <v>1</v>
      </c>
      <c r="W3">
        <f>Calc!W3</f>
        <v>1</v>
      </c>
      <c r="X3">
        <f>Calc!X3</f>
        <v>1</v>
      </c>
      <c r="Y3">
        <f>Calc!Y3</f>
        <v>1</v>
      </c>
      <c r="Z3">
        <f>Calc!Z3</f>
        <v>1</v>
      </c>
      <c r="AA3">
        <f>Calc!AA3</f>
        <v>1</v>
      </c>
      <c r="AB3">
        <f>Calc!AB3</f>
        <v>1</v>
      </c>
      <c r="AC3">
        <f>Calc!AC3</f>
        <v>1</v>
      </c>
      <c r="AD3">
        <f>Calc!AD3</f>
        <v>1</v>
      </c>
      <c r="AE3">
        <f>Calc!AE3</f>
        <v>1</v>
      </c>
    </row>
    <row r="4" spans="1:31" x14ac:dyDescent="0.25">
      <c r="A4" t="s">
        <v>8</v>
      </c>
      <c r="B4">
        <f>Calc!B4</f>
        <v>0</v>
      </c>
      <c r="C4">
        <f>Calc!C4</f>
        <v>0</v>
      </c>
      <c r="D4">
        <f>Calc!D4</f>
        <v>0</v>
      </c>
      <c r="E4">
        <f>Calc!E4</f>
        <v>0</v>
      </c>
      <c r="F4">
        <f>Calc!F4</f>
        <v>0</v>
      </c>
      <c r="G4">
        <f>Calc!G4</f>
        <v>0</v>
      </c>
      <c r="H4">
        <f>Calc!H4</f>
        <v>0</v>
      </c>
      <c r="I4">
        <f>Calc!I4</f>
        <v>0</v>
      </c>
      <c r="J4">
        <f>Calc!J4</f>
        <v>0</v>
      </c>
      <c r="K4">
        <f>Calc!K4</f>
        <v>0</v>
      </c>
      <c r="L4">
        <f>Calc!L4</f>
        <v>0</v>
      </c>
      <c r="M4">
        <f>Calc!M4</f>
        <v>0</v>
      </c>
      <c r="N4">
        <f>Calc!N4</f>
        <v>0</v>
      </c>
      <c r="O4">
        <f>Calc!O4</f>
        <v>0</v>
      </c>
      <c r="P4">
        <f>Calc!P4</f>
        <v>0.2</v>
      </c>
      <c r="Q4">
        <f>Calc!Q4</f>
        <v>0.4</v>
      </c>
      <c r="R4">
        <f>Calc!R4</f>
        <v>0.6</v>
      </c>
      <c r="S4">
        <f>Calc!S4</f>
        <v>0.8</v>
      </c>
      <c r="T4">
        <f>Calc!T4</f>
        <v>1</v>
      </c>
      <c r="U4">
        <f>Calc!U4</f>
        <v>1</v>
      </c>
      <c r="V4">
        <f>Calc!V4</f>
        <v>1</v>
      </c>
      <c r="W4">
        <f>Calc!W4</f>
        <v>1</v>
      </c>
      <c r="X4">
        <f>Calc!X4</f>
        <v>1</v>
      </c>
      <c r="Y4">
        <f>Calc!Y4</f>
        <v>1</v>
      </c>
      <c r="Z4">
        <f>Calc!Z4</f>
        <v>1</v>
      </c>
      <c r="AA4">
        <f>Calc!AA4</f>
        <v>1</v>
      </c>
      <c r="AB4">
        <f>Calc!AB4</f>
        <v>1</v>
      </c>
      <c r="AC4">
        <f>Calc!AC4</f>
        <v>1</v>
      </c>
      <c r="AD4">
        <f>Calc!AD4</f>
        <v>1</v>
      </c>
      <c r="AE4">
        <f>Calc!AE4</f>
        <v>1</v>
      </c>
    </row>
    <row r="5" spans="1:31" x14ac:dyDescent="0.25">
      <c r="A5" t="s">
        <v>53</v>
      </c>
      <c r="B5">
        <f>Calc!B5</f>
        <v>0</v>
      </c>
      <c r="C5">
        <f>Calc!C5</f>
        <v>0</v>
      </c>
      <c r="D5">
        <f>Calc!D5</f>
        <v>0</v>
      </c>
      <c r="E5">
        <f>Calc!E5</f>
        <v>0</v>
      </c>
      <c r="F5">
        <f>Calc!F5</f>
        <v>0</v>
      </c>
      <c r="G5">
        <f>Calc!G5</f>
        <v>0</v>
      </c>
      <c r="H5">
        <f>Calc!H5</f>
        <v>0</v>
      </c>
      <c r="I5">
        <f>Calc!I5</f>
        <v>0</v>
      </c>
      <c r="J5">
        <f>Calc!J5</f>
        <v>0</v>
      </c>
      <c r="K5">
        <f>Calc!K5</f>
        <v>0</v>
      </c>
      <c r="L5">
        <f>Calc!L5</f>
        <v>0</v>
      </c>
      <c r="M5">
        <f>Calc!M5</f>
        <v>0</v>
      </c>
      <c r="N5">
        <f>Calc!N5</f>
        <v>0</v>
      </c>
      <c r="O5">
        <f>Calc!O5</f>
        <v>0</v>
      </c>
      <c r="P5">
        <f>Calc!P5</f>
        <v>0</v>
      </c>
      <c r="Q5">
        <f>Calc!Q5</f>
        <v>0</v>
      </c>
      <c r="R5">
        <f>Calc!R5</f>
        <v>0.16666666666666666</v>
      </c>
      <c r="S5">
        <f>Calc!S5</f>
        <v>0.33333333333333331</v>
      </c>
      <c r="T5">
        <f>Calc!T5</f>
        <v>0.5</v>
      </c>
      <c r="U5">
        <f>Calc!U5</f>
        <v>0.66666666666666663</v>
      </c>
      <c r="V5">
        <f>Calc!V5</f>
        <v>0.83333333333333337</v>
      </c>
      <c r="W5">
        <f>Calc!W5</f>
        <v>1</v>
      </c>
      <c r="X5">
        <f>Calc!X5</f>
        <v>1</v>
      </c>
      <c r="Y5">
        <f>Calc!Y5</f>
        <v>1</v>
      </c>
      <c r="Z5">
        <f>Calc!Z5</f>
        <v>1</v>
      </c>
      <c r="AA5">
        <f>Calc!AA5</f>
        <v>1</v>
      </c>
      <c r="AB5">
        <f>Calc!AB5</f>
        <v>1</v>
      </c>
      <c r="AC5">
        <f>Calc!AC5</f>
        <v>1</v>
      </c>
      <c r="AD5">
        <f>Calc!AD5</f>
        <v>1</v>
      </c>
      <c r="AE5">
        <f>Calc!AE5</f>
        <v>1</v>
      </c>
    </row>
    <row r="6" spans="1:31" x14ac:dyDescent="0.25">
      <c r="A6" t="s">
        <v>9</v>
      </c>
      <c r="B6">
        <f>Calc!B6</f>
        <v>0</v>
      </c>
      <c r="C6">
        <f>Calc!C6</f>
        <v>0</v>
      </c>
      <c r="D6">
        <f>Calc!D6</f>
        <v>0</v>
      </c>
      <c r="E6">
        <f>Calc!E6</f>
        <v>0</v>
      </c>
      <c r="F6">
        <f>Calc!F6</f>
        <v>0</v>
      </c>
      <c r="G6">
        <f>Calc!G6</f>
        <v>0</v>
      </c>
      <c r="H6">
        <f>Calc!H6</f>
        <v>0</v>
      </c>
      <c r="I6">
        <f>Calc!I6</f>
        <v>0</v>
      </c>
      <c r="J6">
        <f>Calc!J6</f>
        <v>0</v>
      </c>
      <c r="K6">
        <f>Calc!K6</f>
        <v>0</v>
      </c>
      <c r="L6">
        <f>Calc!L6</f>
        <v>0</v>
      </c>
      <c r="M6">
        <f>Calc!M6</f>
        <v>0</v>
      </c>
      <c r="N6">
        <f>Calc!N6</f>
        <v>0</v>
      </c>
      <c r="O6">
        <f>Calc!O6</f>
        <v>0.25</v>
      </c>
      <c r="P6">
        <f>Calc!P6</f>
        <v>0.5</v>
      </c>
      <c r="Q6">
        <f>Calc!Q6</f>
        <v>0.75</v>
      </c>
      <c r="R6">
        <f>Calc!R6</f>
        <v>1</v>
      </c>
      <c r="S6">
        <f>Calc!S6</f>
        <v>1</v>
      </c>
      <c r="T6">
        <f>Calc!T6</f>
        <v>1</v>
      </c>
      <c r="U6">
        <f>Calc!U6</f>
        <v>1</v>
      </c>
      <c r="V6">
        <f>Calc!V6</f>
        <v>1</v>
      </c>
      <c r="W6">
        <f>Calc!W6</f>
        <v>1</v>
      </c>
      <c r="X6">
        <f>Calc!X6</f>
        <v>1</v>
      </c>
      <c r="Y6">
        <f>Calc!Y6</f>
        <v>1</v>
      </c>
      <c r="Z6">
        <f>Calc!Z6</f>
        <v>1</v>
      </c>
      <c r="AA6">
        <f>Calc!AA6</f>
        <v>1</v>
      </c>
      <c r="AB6">
        <f>Calc!AB6</f>
        <v>1</v>
      </c>
      <c r="AC6">
        <f>Calc!AC6</f>
        <v>1</v>
      </c>
      <c r="AD6">
        <f>Calc!AD6</f>
        <v>1</v>
      </c>
      <c r="AE6">
        <f>Calc!AE6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Gate Parameters</vt:lpstr>
      <vt:lpstr>Calc</vt:lpstr>
      <vt:lpstr>CPSW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2026-08-26T11:52:48Z</dcterms:created>
  <dcterms:modified xsi:type="dcterms:W3CDTF">2026-10-19T18:20:51Z</dcterms:modified>
</cp:coreProperties>
</file>