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" sheetId="1" state="visible" r:id="rId1"/>
    <sheet name="Regions" sheetId="2" state="visible" r:id="rId2"/>
    <sheet name="USGS MCS 2026 Cement" sheetId="3" state="visible" r:id="rId3"/>
    <sheet name="Derivation" sheetId="4" state="visible" r:id="rId4"/>
    <sheet name="Checks" sheetId="5" state="visible" r:id="rId5"/>
    <sheet name="BFoCDMbNI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0563C1"/>
      <u val="single"/>
    </font>
    <font>
      <b val="1"/>
      <color rgb="00C00000"/>
    </font>
  </fonts>
  <fills count="3">
    <fill>
      <patternFill/>
    </fill>
    <fill>
      <patternFill patternType="gray125"/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pubs.usgs.gov/periodicals/mcs2026/mcs2026-cement.pdf" TargetMode="External" Id="rId1" /><Relationship Type="http://schemas.openxmlformats.org/officeDocument/2006/relationships/hyperlink" Target="https://comtrade.un.org/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14" customWidth="1" min="1" max="1"/>
    <col width="110" customWidth="1" min="2" max="2"/>
  </cols>
  <sheetData>
    <row r="1">
      <c r="A1" s="1" t="inlineStr">
        <is>
          <t>BFoCDMbNI BAU Fraction of Clinker Demand Met by Net Imports</t>
        </is>
      </c>
    </row>
    <row r="2"/>
    <row r="3">
      <c r="A3" s="1" t="inlineStr">
        <is>
          <t>Sources:</t>
        </is>
      </c>
      <c r="B3" s="2" t="inlineStr">
        <is>
          <t>US clinker production, apparent consumption, and trade, 2021-2025</t>
        </is>
      </c>
    </row>
    <row r="4">
      <c r="B4" s="3" t="inlineStr">
        <is>
          <t>USGS</t>
        </is>
      </c>
    </row>
    <row r="5">
      <c r="B5" s="3" t="inlineStr">
        <is>
          <t>Mineral Commodity Summaries 2026 - Cement</t>
        </is>
      </c>
    </row>
    <row r="6">
      <c r="B6" s="3" t="n">
        <v>2026</v>
      </c>
    </row>
    <row r="7">
      <c r="B7" s="4" t="inlineStr">
        <is>
          <t>https://pubs.usgs.gov/periodicals/mcs2026/mcs2026-cement.pdf</t>
        </is>
      </c>
    </row>
    <row r="8">
      <c r="B8" s="3" t="inlineStr">
        <is>
          <t>Share (clinker basis) = 1 - domestic clinker production / (apparent consumption x blend ratio). 2025e: 1 - 69.0 / (110.0 x 0.8293) = 0.2436. This closes the start-year balance so the model's 2025 domestic clinker equals USGS's 69.0 Mt exactly. Trade-flow cross-check: (cement imports x ratio + clinker imports - exports x ratio) / (consumption x ratio) = 0.207; the gap is USGS rounding of apparent consumption to two significant figures plus the 2025 stock drawdown (9.7 -&gt; 8.2 Mt). Net import reliance reported by USGS: 19-22% of apparent consumption.</t>
        </is>
      </c>
    </row>
    <row r="9"/>
    <row r="10">
      <c r="B10" s="2" t="inlineStr">
        <is>
          <t>Other regions' net trade positions (draft, staff research 2026-09-28)</t>
        </is>
      </c>
    </row>
    <row r="11">
      <c r="B11" s="3" t="inlineStr">
        <is>
          <t>Trade press / association summaries</t>
        </is>
      </c>
    </row>
    <row r="12">
      <c r="B12" s="3" t="inlineStr">
        <is>
          <t>see Regions tab flags</t>
        </is>
      </c>
    </row>
    <row r="13">
      <c r="B13" s="3" t="n">
        <v>2024</v>
      </c>
    </row>
    <row r="14">
      <c r="B14" s="4" t="inlineStr">
        <is>
          <t>https://comtrade.un.org/</t>
        </is>
      </c>
    </row>
    <row r="15">
      <c r="B15" s="3" t="inlineStr">
        <is>
          <t>JUDGMENT-level placeholders only (India ~0, Mexico ~+0.05, Indonesia ~-0.16). Blank = TO FILL; a blank region is treated as 0 (self-sufficient) by the Derivation and flagged on Checks. Derive properly from UN Comtrade HS 2523 (cement and clinker) plus national production and consumption.</t>
        </is>
      </c>
    </row>
    <row r="16"/>
    <row r="17"/>
    <row r="18">
      <c r="A18" s="1" t="inlineStr">
        <is>
          <t>Notes:</t>
        </is>
      </c>
    </row>
    <row r="19">
      <c r="A19" s="1" t="inlineStr">
        <is>
          <t>DRAFT status</t>
        </is>
      </c>
      <c r="B19" s="3" t="inlineStr">
        <is>
          <t>This is an input for staff review, not a finished or approved EI position; treat as a starting point pending team sign-off. Verify all cited figures against the primary sources before use.</t>
        </is>
      </c>
    </row>
    <row r="20">
      <c r="A20" s="1" t="inlineStr">
        <is>
          <t>Definition</t>
        </is>
      </c>
      <c r="B20" s="3" t="inlineStr">
        <is>
          <t>Share of the clinker embodied in cement consumption that is supplied by net imports of cement and clinker, on a clinker basis (imported cement counts at the blend ratio; exports subtract). Negative = net exporter (the region produces more clinker than it consumes). New input 2026-09-28; pairs with the consumption-basis BCD and blend-basis BCtCR.</t>
        </is>
      </c>
    </row>
    <row r="21">
      <c r="A21" s="1" t="inlineStr">
        <is>
          <t>Trajectory</t>
        </is>
      </c>
      <c r="B21" s="3" t="inlineStr">
        <is>
          <t>2021-2025 from the identity above (0.196 rising to 0.244 - consistent with USGS's rising net import reliance). Held flat at the 2025 value after (judgment; no leakage or import-response modeled). Team review item: an import-share trend or a policy lever.</t>
        </is>
      </c>
    </row>
    <row r="22">
      <c r="A22" s="1" t="inlineStr">
        <is>
          <t>Region selector</t>
        </is>
      </c>
      <c r="B22" s="3" t="inlineStr">
        <is>
          <t>Regions!B1 picks the anchor share; the US row derives from the USGS tab, other rows are entered values. Export literals are US; re-export after switching.</t>
        </is>
      </c>
    </row>
    <row r="23">
      <c r="A23" s="1" t="inlineStr">
        <is>
          <t>Provenance</t>
        </is>
      </c>
      <c r="B23" s="3" t="inlineStr">
        <is>
          <t>Built by Claude Code (Fable 5.1 session), cement section-1 demand restructure, worktree cement-calculation-flow-89da5b, 2026-09-28. Reviewed by: (pending).</t>
        </is>
      </c>
    </row>
    <row r="24">
      <c r="A24" s="1" t="inlineStr">
        <is>
          <t>Regional rows loaded 2026-10-01</t>
        </is>
      </c>
      <c r="B24" s="3" t="inlineStr">
        <is>
          <t>Non-US rows of the Regions tab loaded from Cement_Regional_Data_Draft.md (cement-calculation-flow-89da5b worktree root), passes 1 and 2; pass 2 (primary sources) wins on conflict and the conflict is kept in the row note. Flags: DIRECT = read in the primary document; SNIPPET = secondary/trade-press summary or an unopened primary; JUDGMENT = own arithmetic or estimate (written as a visible formula where computed); blank = TO FILL. Supersedes any placeholder description in the Sources block above. The US row, Derivation and export tab are unchanged. Verify every non-US value against its cited primary source before use. Loader: Cement_Regional_Rows_Loading/load_regional_rows.py.</t>
        </is>
      </c>
    </row>
  </sheetData>
  <hyperlinks>
    <hyperlink xmlns:r="http://schemas.openxmlformats.org/officeDocument/2006/relationships" ref="B7" r:id="rId1"/>
    <hyperlink xmlns:r="http://schemas.openxmlformats.org/officeDocument/2006/relationships" ref="B14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26" customWidth="1" min="3" max="3"/>
    <col width="10" customWidth="1" min="4" max="4"/>
    <col width="80" customWidth="1" min="5" max="5"/>
  </cols>
  <sheetData>
    <row r="1">
      <c r="A1" s="1" t="inlineStr">
        <is>
          <t>Selected region (drop-down):</t>
        </is>
      </c>
      <c r="B1" s="5" t="inlineStr">
        <is>
          <t>United States</t>
        </is>
      </c>
    </row>
    <row r="2">
      <c r="A2" s="3" t="inlineStr">
        <is>
          <t>Change B1 to switch the Derivation to another region's row; the export tab holds literal values, so re-export the CSV (CSV Export Tool) after switching. Blank cells = TO FILL (no sourced value yet).</t>
        </is>
      </c>
    </row>
    <row r="4">
      <c r="A4" s="6" t="inlineStr">
        <is>
          <t>Region</t>
        </is>
      </c>
      <c r="B4" s="6" t="inlineStr">
        <is>
          <t>Anchor year</t>
        </is>
      </c>
      <c r="C4" s="6" t="inlineStr">
        <is>
          <t>Net import share of clinker demand (fraction; blank = 0)</t>
        </is>
      </c>
      <c r="D4" s="6" t="inlineStr">
        <is>
          <t>Flag</t>
        </is>
      </c>
      <c r="E4" s="6" t="inlineStr">
        <is>
          <t>Source / note</t>
        </is>
      </c>
    </row>
    <row r="5">
      <c r="A5" t="inlineStr">
        <is>
          <t>United States</t>
        </is>
      </c>
      <c r="B5" t="n">
        <v>2025</v>
      </c>
      <c r="C5">
        <f>Derivation!G10</f>
        <v/>
      </c>
      <c r="D5" t="inlineStr">
        <is>
          <t>DIRECT</t>
        </is>
      </c>
      <c r="E5" t="inlineStr">
        <is>
          <t>identity on USGS MCS 2026 (Derivation tab)</t>
        </is>
      </c>
    </row>
    <row r="6">
      <c r="A6" t="inlineStr">
        <is>
          <t>China</t>
        </is>
      </c>
      <c r="B6" t="n">
        <v>2024</v>
      </c>
      <c r="C6">
        <f>ROUND(((0.06-5.02)+(0.28-0.34))/1858.9,3)</f>
        <v/>
      </c>
      <c r="D6" t="inlineStr">
        <is>
          <t>JUDGMENT</t>
        </is>
      </c>
      <c r="E6" t="inlineStr">
        <is>
          <t>Comtrade 2024: cement M 0.06 / X 5.02, clinker M 0.28 / X 0.34 Mt (DIRECT) over consumption 1,858.9. Tonnage basis because the China ratio is TO FILL; the clinker-basis value differs by &lt;0.001 for any ratio 0.5-0.9. 2025 clinker exports not reported.</t>
        </is>
      </c>
    </row>
    <row r="7">
      <c r="A7" t="inlineStr">
        <is>
          <t>India</t>
        </is>
      </c>
      <c r="B7" t="n">
        <v>2024</v>
      </c>
      <c r="C7">
        <f>ROUND(((0.74-0.98)*0.73+(1.55-0.02))/(435*0.73),3)</f>
        <v/>
      </c>
      <c r="D7" t="inlineStr">
        <is>
          <t>JUDGMENT</t>
        </is>
      </c>
      <c r="E7" t="inlineStr">
        <is>
          <t>Comtrade 2024: cement M 0.74 / X 0.98, clinker M 1.55 / X 0.02 Mt (DIRECT); ratio 0.73, consumption 435. Clinker basis (+0.003 on tonnage basis, pass 2). Replaces the pass 1 placeholder 0.</t>
        </is>
      </c>
    </row>
    <row r="8">
      <c r="A8" t="inlineStr">
        <is>
          <t>EU-27</t>
        </is>
      </c>
      <c r="B8" t="n">
        <v>2024</v>
      </c>
      <c r="C8">
        <f>ROUND((11.3-11.2)/148.1,3)</f>
        <v/>
      </c>
      <c r="D8" t="inlineStr">
        <is>
          <t>JUDGMENT</t>
        </is>
      </c>
      <c r="E8" t="inlineStr">
        <is>
          <t>Eurostat via Cement Europe 2024: imports 11.3 / exports 11.2 Mt cement+clinker combined (DIRECT) - tonnage basis, no cement/clinker split. 2025: imports 14.2 / exports 9.1 = +0.034 of 2024 consumption. Conflicts with the +12.7 Mt production-consumption gap (see BCD note).</t>
        </is>
      </c>
    </row>
    <row r="9">
      <c r="A9" t="inlineStr">
        <is>
          <t>Japan</t>
        </is>
      </c>
      <c r="B9" t="n">
        <v>2024</v>
      </c>
      <c r="E9" t="inlineStr">
        <is>
          <t>TO FILL - net exporter (clinker exports ~3.9 Mt 2024)</t>
        </is>
      </c>
    </row>
    <row r="10">
      <c r="A10" t="inlineStr">
        <is>
          <t>Brazil</t>
        </is>
      </c>
      <c r="B10" t="n">
        <v>2024</v>
      </c>
      <c r="C10">
        <f>ROUND(((0.14-0.07)*0.71+0.92)/(64.8*0.71),3)</f>
        <v/>
      </c>
      <c r="D10" t="inlineStr">
        <is>
          <t>JUDGMENT</t>
        </is>
      </c>
      <c r="E10" t="inlineStr">
        <is>
          <t>Comtrade 2024: clinker M 0.92, cement M 0.14 / X 0.07 Mt (DIRECT); ratio 0.71, 2024 consumption 64.8 (SNIPPET). Clinker basis; tonnage basis +0.015 (2024), +0.012 (2023). Staff plan quoted +0.013.</t>
        </is>
      </c>
    </row>
    <row r="11">
      <c r="A11" t="inlineStr">
        <is>
          <t>Mexico</t>
        </is>
      </c>
      <c r="B11" t="n">
        <v>2024</v>
      </c>
      <c r="C11">
        <f>ROUND(((0.10-1.38)*0.75+0)/(42*0.75),3)</f>
        <v/>
      </c>
      <c r="D11" t="inlineStr">
        <is>
          <t>JUDGMENT</t>
        </is>
      </c>
      <c r="E11" t="inlineStr">
        <is>
          <t>Comtrade 2024: cement M 0.10 / X 1.38 Mt, clinker ~0 (DIRECT; zero may mean not reported); ratio 0.75, consumption 42. CONFLICT: pass 1 had +0.05 (net importer) from CANACEM 46.4 vs USGS 44 - pass 2 trade data says net exporter (~1.5 Mt to US, SNIPPET).</t>
        </is>
      </c>
    </row>
    <row r="12">
      <c r="A12" t="inlineStr">
        <is>
          <t>Canada</t>
        </is>
      </c>
      <c r="B12" t="n">
        <v>2024</v>
      </c>
      <c r="C12">
        <f>ROUND(((1.2-4.39)*0.89-0.47)/((12.7+1.2-(4.39+0.47))*0.89),3)</f>
        <v/>
      </c>
      <c r="D12" t="inlineStr">
        <is>
          <t>JUDGMENT</t>
        </is>
      </c>
      <c r="E12" t="inlineStr">
        <is>
          <t>LOW CONFIDENCE. Comtrade 2024: cement X 4.39, clinker X 0.47, imports 1.20 Mt (DIRECT; imports treated as cement) over the ~9.0 Mt JUDGMENT consumption, ratio 0.89. Tonnage basis -0.40; pass 2 text said 'about -35%' (range -30 to -40%) but its own -3.65/9 = -0.41. ISED: ~6 Mt/yr to the US.</t>
        </is>
      </c>
    </row>
    <row r="13">
      <c r="A13" t="inlineStr">
        <is>
          <t>Indonesia</t>
        </is>
      </c>
      <c r="B13" t="n">
        <v>2025</v>
      </c>
      <c r="C13">
        <f>ROUND(-(12.34+1.32*0.68)/(57.301-12.34),3)</f>
        <v/>
      </c>
      <c r="D13" t="inlineStr">
        <is>
          <t>JUDGMENT</t>
        </is>
      </c>
      <c r="E13" t="inlineStr">
        <is>
          <t>ASI 2025: clinker exports 12.34, cement exports 1.32 Mt (DIRECT; Comtrade matches) at ratio 0.68 over domestic clinker use 44.96 - clinker basis. Tonnage basis -0.21. Replaces pass 1 -0.16 (mixed cement and clinker volumes).</t>
        </is>
      </c>
    </row>
    <row r="14">
      <c r="A14" t="inlineStr">
        <is>
          <t>Australia</t>
        </is>
      </c>
      <c r="E14" t="inlineStr">
        <is>
          <t>TO FILL - large net importer (~40% of consumption imported per CIF)</t>
        </is>
      </c>
    </row>
  </sheetData>
  <dataValidations count="1">
    <dataValidation sqref="B1" showDropDown="0" showInputMessage="0" showErrorMessage="0" allowBlank="0" type="list">
      <formula1>=$A$5:$A$14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USGS Mineral Commodity Summaries 2026 - Cement (Ashley K. Hatfield). Pasted from the PDF text; 'e' = estimated. Data in thousand metric tons unless otherwise specified.</t>
        </is>
      </c>
    </row>
    <row r="3">
      <c r="A3" t="inlineStr">
        <is>
          <t>Salient Statistics - United States (thousand metric tons unless noted)</t>
        </is>
      </c>
      <c r="B3" t="n">
        <v>2021</v>
      </c>
      <c r="C3" t="n">
        <v>2022</v>
      </c>
      <c r="D3" t="n">
        <v>2023</v>
      </c>
      <c r="E3" t="n">
        <v>2024</v>
      </c>
      <c r="F3" t="inlineStr">
        <is>
          <t>2025e</t>
        </is>
      </c>
    </row>
    <row r="4">
      <c r="A4" t="inlineStr">
        <is>
          <t>Production: Portland, blended, and masonry cement (includes cement made from imported clinker)</t>
        </is>
      </c>
      <c r="B4" t="n">
        <v>91000</v>
      </c>
      <c r="C4" t="n">
        <v>91200</v>
      </c>
      <c r="D4" t="n">
        <v>89700</v>
      </c>
      <c r="E4" t="n">
        <v>85000</v>
      </c>
      <c r="F4" t="n">
        <v>84000</v>
      </c>
    </row>
    <row r="5">
      <c r="A5" t="inlineStr">
        <is>
          <t>Production: Clinker</t>
        </is>
      </c>
      <c r="B5" t="n">
        <v>79616</v>
      </c>
      <c r="C5" t="n">
        <v>79489</v>
      </c>
      <c r="D5" t="n">
        <v>76789</v>
      </c>
      <c r="E5" t="n">
        <v>72000</v>
      </c>
      <c r="F5" t="n">
        <v>69000</v>
      </c>
    </row>
    <row r="6">
      <c r="A6" t="inlineStr">
        <is>
          <t>Shipments to final customers, includes exports</t>
        </is>
      </c>
      <c r="B6" t="n">
        <v>108969</v>
      </c>
      <c r="C6" t="n">
        <v>111092</v>
      </c>
      <c r="D6" t="n">
        <v>110290</v>
      </c>
      <c r="E6" t="n">
        <v>100000</v>
      </c>
      <c r="F6" t="n">
        <v>100000</v>
      </c>
    </row>
    <row r="7">
      <c r="A7" t="inlineStr">
        <is>
          <t>Imports for consumption: Hydraulic cement</t>
        </is>
      </c>
      <c r="B7" t="n">
        <v>19937</v>
      </c>
      <c r="C7" t="n">
        <v>24985</v>
      </c>
      <c r="D7" t="n">
        <v>24986</v>
      </c>
      <c r="E7" t="n">
        <v>23675</v>
      </c>
      <c r="F7" t="n">
        <v>23000</v>
      </c>
    </row>
    <row r="8">
      <c r="A8" t="inlineStr">
        <is>
          <t>Imports for consumption: Clinker</t>
        </is>
      </c>
      <c r="B8" t="n">
        <v>1563</v>
      </c>
      <c r="C8" t="n">
        <v>1021</v>
      </c>
      <c r="D8" t="n">
        <v>921</v>
      </c>
      <c r="E8" t="n">
        <v>685</v>
      </c>
      <c r="F8" t="n">
        <v>660</v>
      </c>
    </row>
    <row r="9">
      <c r="A9" t="inlineStr">
        <is>
          <t>Exports, hydraulic cement and clinker</t>
        </is>
      </c>
      <c r="B9" t="n">
        <v>939</v>
      </c>
      <c r="C9" t="n">
        <v>904</v>
      </c>
      <c r="D9" t="n">
        <v>889</v>
      </c>
      <c r="E9" t="n">
        <v>932</v>
      </c>
      <c r="F9" t="n">
        <v>1000</v>
      </c>
    </row>
    <row r="10">
      <c r="A10" t="inlineStr">
        <is>
          <t>Consumption, apparent (production incl. from imported clinker + imports excl. clinker - exports - stock changes)</t>
        </is>
      </c>
      <c r="B10" t="n">
        <v>111000</v>
      </c>
      <c r="C10" t="n">
        <v>114000</v>
      </c>
      <c r="D10" t="n">
        <v>113000</v>
      </c>
      <c r="E10" t="n">
        <v>110000</v>
      </c>
      <c r="F10" t="n">
        <v>110000</v>
      </c>
    </row>
    <row r="11">
      <c r="A11" t="inlineStr">
        <is>
          <t>Price, average mill unit value, dollars per metric ton</t>
        </is>
      </c>
      <c r="B11" t="n">
        <v>127</v>
      </c>
      <c r="C11" t="n">
        <v>139</v>
      </c>
      <c r="D11" t="n">
        <v>152</v>
      </c>
      <c r="E11" t="n">
        <v>160</v>
      </c>
      <c r="F11" t="n">
        <v>160</v>
      </c>
    </row>
    <row r="12">
      <c r="A12" t="inlineStr">
        <is>
          <t>Stocks, cement, yearend</t>
        </is>
      </c>
      <c r="B12" t="n">
        <v>6280</v>
      </c>
      <c r="C12" t="n">
        <v>8010</v>
      </c>
      <c r="D12" t="n">
        <v>8830</v>
      </c>
      <c r="E12" t="n">
        <v>9700</v>
      </c>
      <c r="F12" t="n">
        <v>8200</v>
      </c>
    </row>
    <row r="13">
      <c r="A13" t="inlineStr">
        <is>
          <t>Net import reliance as a percentage of apparent consumption</t>
        </is>
      </c>
      <c r="B13" t="n">
        <v>19</v>
      </c>
      <c r="C13" t="n">
        <v>22</v>
      </c>
      <c r="D13" t="n">
        <v>22</v>
      </c>
      <c r="E13" t="n">
        <v>22</v>
      </c>
      <c r="F13" t="n">
        <v>21</v>
      </c>
    </row>
    <row r="15">
      <c r="A15" t="inlineStr">
        <is>
          <t>World Production and Capacity (thousand metric tons)</t>
        </is>
      </c>
      <c r="B15" t="inlineStr">
        <is>
          <t>Cement production 2024</t>
        </is>
      </c>
      <c r="C15" t="inlineStr">
        <is>
          <t>Cement production 2025e</t>
        </is>
      </c>
      <c r="D15" t="inlineStr">
        <is>
          <t>Clinker capacity 2024</t>
        </is>
      </c>
      <c r="E15" t="inlineStr">
        <is>
          <t>Clinker capacity 2025e</t>
        </is>
      </c>
    </row>
    <row r="16">
      <c r="A16" t="inlineStr">
        <is>
          <t>United States (includes Puerto Rico)</t>
        </is>
      </c>
      <c r="B16" t="n">
        <v>85000</v>
      </c>
      <c r="C16" t="n">
        <v>84000</v>
      </c>
      <c r="D16" t="n">
        <v>100000</v>
      </c>
      <c r="E16" t="n">
        <v>100000</v>
      </c>
    </row>
    <row r="17">
      <c r="A17" t="inlineStr">
        <is>
          <t>Brazil</t>
        </is>
      </c>
      <c r="B17" t="n">
        <v>65000</v>
      </c>
      <c r="C17" t="n">
        <v>67000</v>
      </c>
      <c r="D17" t="n">
        <v>60000</v>
      </c>
      <c r="E17" t="n">
        <v>61000</v>
      </c>
    </row>
    <row r="18">
      <c r="A18" t="inlineStr">
        <is>
          <t>China</t>
        </is>
      </c>
      <c r="B18" t="n">
        <v>1800000</v>
      </c>
      <c r="C18" t="n">
        <v>1700000</v>
      </c>
      <c r="D18" t="n">
        <v>1900000</v>
      </c>
      <c r="E18" t="n">
        <v>1800000</v>
      </c>
    </row>
    <row r="19">
      <c r="A19" t="inlineStr">
        <is>
          <t>Egypt</t>
        </is>
      </c>
      <c r="B19" t="n">
        <v>53000</v>
      </c>
      <c r="C19" t="n">
        <v>64000</v>
      </c>
      <c r="D19" t="n">
        <v>60000</v>
      </c>
      <c r="E19" t="n">
        <v>75000</v>
      </c>
    </row>
    <row r="20">
      <c r="A20" t="inlineStr">
        <is>
          <t>India</t>
        </is>
      </c>
      <c r="B20" t="n">
        <v>440000</v>
      </c>
      <c r="C20" t="n">
        <v>470000</v>
      </c>
      <c r="D20" t="n">
        <v>380000</v>
      </c>
      <c r="E20" t="n">
        <v>400000</v>
      </c>
    </row>
    <row r="21">
      <c r="A21" t="inlineStr">
        <is>
          <t>Indonesia</t>
        </is>
      </c>
      <c r="B21" t="n">
        <v>68000</v>
      </c>
      <c r="C21" t="n">
        <v>64000</v>
      </c>
      <c r="D21" t="n">
        <v>79000</v>
      </c>
      <c r="E21" t="n">
        <v>83000</v>
      </c>
    </row>
    <row r="22">
      <c r="A22" t="inlineStr">
        <is>
          <t>Iran</t>
        </is>
      </c>
      <c r="B22" t="n">
        <v>71000</v>
      </c>
      <c r="C22" t="n">
        <v>68000</v>
      </c>
      <c r="D22" t="n">
        <v>85000</v>
      </c>
      <c r="E22" t="n">
        <v>85000</v>
      </c>
    </row>
    <row r="23">
      <c r="A23" t="inlineStr">
        <is>
          <t>Japan</t>
        </is>
      </c>
      <c r="B23" t="n">
        <v>46000</v>
      </c>
      <c r="C23" t="n">
        <v>44000</v>
      </c>
      <c r="D23" t="n">
        <v>50000</v>
      </c>
      <c r="E23" t="n">
        <v>50000</v>
      </c>
    </row>
    <row r="24">
      <c r="A24" t="inlineStr">
        <is>
          <t>Korea, Republic of</t>
        </is>
      </c>
      <c r="B24" t="n">
        <v>44000</v>
      </c>
      <c r="C24" t="n">
        <v>37000</v>
      </c>
      <c r="D24" t="n">
        <v>62000</v>
      </c>
      <c r="E24" t="n">
        <v>62000</v>
      </c>
    </row>
    <row r="25">
      <c r="A25" t="inlineStr">
        <is>
          <t>Mexico</t>
        </is>
      </c>
      <c r="B25" t="n">
        <v>44000</v>
      </c>
      <c r="C25" t="n">
        <v>42000</v>
      </c>
      <c r="D25" t="n">
        <v>42000</v>
      </c>
      <c r="E25" t="n">
        <v>42000</v>
      </c>
    </row>
    <row r="26">
      <c r="A26" t="inlineStr">
        <is>
          <t>Russia</t>
        </is>
      </c>
      <c r="B26" t="n">
        <v>67000</v>
      </c>
      <c r="C26" t="n">
        <v>59000</v>
      </c>
      <c r="D26" t="n">
        <v>80000</v>
      </c>
      <c r="E26" t="n">
        <v>80000</v>
      </c>
    </row>
    <row r="27">
      <c r="A27" t="inlineStr">
        <is>
          <t>Saudi Arabia</t>
        </is>
      </c>
      <c r="B27" t="n">
        <v>51000</v>
      </c>
      <c r="C27" t="n">
        <v>54000</v>
      </c>
      <c r="D27" t="n">
        <v>75000</v>
      </c>
      <c r="E27" t="n">
        <v>75000</v>
      </c>
    </row>
    <row r="28">
      <c r="A28" t="inlineStr">
        <is>
          <t>Turkey</t>
        </is>
      </c>
      <c r="B28" t="n">
        <v>85000</v>
      </c>
      <c r="C28" t="n">
        <v>89000</v>
      </c>
      <c r="D28" t="n">
        <v>100000</v>
      </c>
      <c r="E28" t="n">
        <v>100000</v>
      </c>
    </row>
    <row r="29">
      <c r="A29" t="inlineStr">
        <is>
          <t>Vietnam</t>
        </is>
      </c>
      <c r="B29" t="n">
        <v>91000</v>
      </c>
      <c r="C29" t="n">
        <v>100000</v>
      </c>
      <c r="D29" t="n">
        <v>110000</v>
      </c>
      <c r="E29" t="n">
        <v>110000</v>
      </c>
    </row>
    <row r="30">
      <c r="A30" t="inlineStr">
        <is>
          <t>Other countries (rounded)</t>
        </is>
      </c>
      <c r="B30" t="n">
        <v>860000</v>
      </c>
      <c r="C30" t="n">
        <v>860000</v>
      </c>
      <c r="D30" t="n">
        <v>650000</v>
      </c>
      <c r="E30" t="n">
        <v>650000</v>
      </c>
    </row>
    <row r="31">
      <c r="A31" t="inlineStr">
        <is>
          <t>World total (rounded)</t>
        </is>
      </c>
      <c r="B31" t="n">
        <v>3900000</v>
      </c>
      <c r="C31" t="n">
        <v>3800000</v>
      </c>
      <c r="D31" t="n">
        <v>3800000</v>
      </c>
      <c r="E31" t="n">
        <v>3800000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14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t="inlineStr">
        <is>
          <t>Selected region</t>
        </is>
      </c>
      <c r="B1">
        <f>Regions!B1</f>
        <v/>
      </c>
    </row>
    <row r="2">
      <c r="A2" t="inlineStr">
        <is>
          <t>Anchor share (blank region = 0)</t>
        </is>
      </c>
      <c r="B2">
        <f>IF(ISNUMBER(INDEX(Regions!$C$5:$C$14,MATCH(Regions!$B$1,Regions!$A$5:$A$14,0))),INDEX(Regions!$C$5:$C$14,MATCH(Regions!$B$1,Regions!$A$5:$A$14,0)),0)</f>
        <v/>
      </c>
    </row>
    <row r="3">
      <c r="A3" t="inlineStr">
        <is>
          <t>Is US? (history from USGS tab)</t>
        </is>
      </c>
      <c r="B3">
        <f>IF(B1="United States",1,0)</f>
        <v/>
      </c>
    </row>
    <row r="5">
      <c r="A5" t="inlineStr">
        <is>
          <t>US identity: 1 - clinker production / (apparent consumption x blend ratio)</t>
        </is>
      </c>
    </row>
    <row r="6">
      <c r="A6" t="inlineStr">
        <is>
          <t>Year</t>
        </is>
      </c>
      <c r="B6" t="n">
        <v>2021</v>
      </c>
      <c r="C6" t="n">
        <v>2022</v>
      </c>
      <c r="D6" t="n">
        <v>2023</v>
      </c>
      <c r="E6" t="n">
        <v>2024</v>
      </c>
      <c r="F6" t="n">
        <v>2025</v>
      </c>
    </row>
    <row r="7">
      <c r="A7" t="inlineStr">
        <is>
          <t>Blend ratio (as BCtCR)</t>
        </is>
      </c>
      <c r="B7">
        <f>ROUND(('USGS MCS 2026 Cement'!B5+'USGS MCS 2026 Cement'!B8)/'USGS MCS 2026 Cement'!B4,4)</f>
        <v/>
      </c>
      <c r="C7">
        <f>ROUND(('USGS MCS 2026 Cement'!C5+'USGS MCS 2026 Cement'!C8)/'USGS MCS 2026 Cement'!C4,4)</f>
        <v/>
      </c>
      <c r="D7">
        <f>ROUND(('USGS MCS 2026 Cement'!D5+'USGS MCS 2026 Cement'!D8)/'USGS MCS 2026 Cement'!D4,4)</f>
        <v/>
      </c>
      <c r="E7">
        <f>ROUND(('USGS MCS 2026 Cement'!E5+'USGS MCS 2026 Cement'!E8)/'USGS MCS 2026 Cement'!E4,4)</f>
        <v/>
      </c>
      <c r="F7">
        <f>ROUND(('USGS MCS 2026 Cement'!F5+'USGS MCS 2026 Cement'!F8)/'USGS MCS 2026 Cement'!F4,4)</f>
        <v/>
      </c>
    </row>
    <row r="8">
      <c r="A8" t="inlineStr">
        <is>
          <t>Apparent consumption x ratio (clinker demand, kt)</t>
        </is>
      </c>
      <c r="B8">
        <f>'USGS MCS 2026 Cement'!B10*B7</f>
        <v/>
      </c>
      <c r="C8">
        <f>'USGS MCS 2026 Cement'!C10*C7</f>
        <v/>
      </c>
      <c r="D8">
        <f>'USGS MCS 2026 Cement'!D10*D7</f>
        <v/>
      </c>
      <c r="E8">
        <f>'USGS MCS 2026 Cement'!E10*E7</f>
        <v/>
      </c>
      <c r="F8">
        <f>'USGS MCS 2026 Cement'!F10*F7</f>
        <v/>
      </c>
    </row>
    <row r="9">
      <c r="A9" t="inlineStr">
        <is>
          <t>Domestic clinker production (kt)</t>
        </is>
      </c>
      <c r="B9">
        <f>'USGS MCS 2026 Cement'!B5</f>
        <v/>
      </c>
      <c r="C9">
        <f>'USGS MCS 2026 Cement'!C5</f>
        <v/>
      </c>
      <c r="D9">
        <f>'USGS MCS 2026 Cement'!D5</f>
        <v/>
      </c>
      <c r="E9">
        <f>'USGS MCS 2026 Cement'!E5</f>
        <v/>
      </c>
      <c r="F9">
        <f>'USGS MCS 2026 Cement'!F5</f>
        <v/>
      </c>
    </row>
    <row r="10">
      <c r="A10" t="inlineStr">
        <is>
          <t>Net import share (rounded to 4 decimals)</t>
        </is>
      </c>
      <c r="B10">
        <f>ROUND(1-B9/B8,4)</f>
        <v/>
      </c>
      <c r="C10">
        <f>ROUND(1-C9/C8,4)</f>
        <v/>
      </c>
      <c r="D10">
        <f>ROUND(1-D9/D8,4)</f>
        <v/>
      </c>
      <c r="E10">
        <f>ROUND(1-E9/E8,4)</f>
        <v/>
      </c>
      <c r="F10">
        <f>ROUND(1-F9/F8,4)</f>
        <v/>
      </c>
      <c r="G10">
        <f>F10</f>
        <v/>
      </c>
      <c r="H10" t="inlineStr">
        <is>
          <t>&lt;- 2025 anchor, used by the Regions US row</t>
        </is>
      </c>
    </row>
    <row r="11">
      <c r="A11" t="inlineStr">
        <is>
          <t>Trade-flow cross-check: (cement imports x ratio + clinker imports - exports x ratio) / clinker demand</t>
        </is>
      </c>
      <c r="B11">
        <f>('USGS MCS 2026 Cement'!B7*B7+'USGS MCS 2026 Cement'!B8-'USGS MCS 2026 Cement'!B9*B7)/B8</f>
        <v/>
      </c>
      <c r="C11">
        <f>('USGS MCS 2026 Cement'!C7*C7+'USGS MCS 2026 Cement'!C8-'USGS MCS 2026 Cement'!C9*C7)/C8</f>
        <v/>
      </c>
      <c r="D11">
        <f>('USGS MCS 2026 Cement'!D7*D7+'USGS MCS 2026 Cement'!D8-'USGS MCS 2026 Cement'!D9*D7)/D8</f>
        <v/>
      </c>
      <c r="E11">
        <f>('USGS MCS 2026 Cement'!E7*E7+'USGS MCS 2026 Cement'!E8-'USGS MCS 2026 Cement'!E9*E7)/E8</f>
        <v/>
      </c>
      <c r="F11">
        <f>('USGS MCS 2026 Cement'!F7*F7+'USGS MCS 2026 Cement'!F8-'USGS MCS 2026 Cement'!F9*F7)/F8</f>
        <v/>
      </c>
    </row>
    <row r="13">
      <c r="A13" t="inlineStr">
        <is>
          <t>Year</t>
        </is>
      </c>
      <c r="B13" t="n">
        <v>2021</v>
      </c>
      <c r="C13" t="n">
        <v>2022</v>
      </c>
      <c r="D13" t="n">
        <v>2023</v>
      </c>
      <c r="E13" t="n">
        <v>2024</v>
      </c>
      <c r="F13" t="n">
        <v>2025</v>
      </c>
      <c r="G13" t="n">
        <v>2026</v>
      </c>
      <c r="H13" t="n">
        <v>2027</v>
      </c>
      <c r="I13" t="n">
        <v>2028</v>
      </c>
      <c r="J13" t="n">
        <v>2029</v>
      </c>
      <c r="K13" t="n">
        <v>2030</v>
      </c>
      <c r="L13" t="n">
        <v>2031</v>
      </c>
      <c r="M13" t="n">
        <v>2032</v>
      </c>
      <c r="N13" t="n">
        <v>2033</v>
      </c>
      <c r="O13" t="n">
        <v>2034</v>
      </c>
      <c r="P13" t="n">
        <v>2035</v>
      </c>
      <c r="Q13" t="n">
        <v>2036</v>
      </c>
      <c r="R13" t="n">
        <v>2037</v>
      </c>
      <c r="S13" t="n">
        <v>2038</v>
      </c>
      <c r="T13" t="n">
        <v>2039</v>
      </c>
      <c r="U13" t="n">
        <v>2040</v>
      </c>
      <c r="V13" t="n">
        <v>2041</v>
      </c>
      <c r="W13" t="n">
        <v>2042</v>
      </c>
      <c r="X13" t="n">
        <v>2043</v>
      </c>
      <c r="Y13" t="n">
        <v>2044</v>
      </c>
      <c r="Z13" t="n">
        <v>2045</v>
      </c>
      <c r="AA13" t="n">
        <v>2046</v>
      </c>
      <c r="AB13" t="n">
        <v>2047</v>
      </c>
      <c r="AC13" t="n">
        <v>2048</v>
      </c>
      <c r="AD13" t="n">
        <v>2049</v>
      </c>
      <c r="AE13" t="n">
        <v>2050</v>
      </c>
    </row>
    <row r="14">
      <c r="A14" t="inlineStr">
        <is>
          <t>BAU Fraction of Clinker Demand Met by Net Imports</t>
        </is>
      </c>
      <c r="B14">
        <f>IF($B$3=1,B10,$B$2)</f>
        <v/>
      </c>
      <c r="C14">
        <f>IF($B$3=1,C10,$B$2)</f>
        <v/>
      </c>
      <c r="D14">
        <f>IF($B$3=1,D10,$B$2)</f>
        <v/>
      </c>
      <c r="E14">
        <f>IF($B$3=1,E10,$B$2)</f>
        <v/>
      </c>
      <c r="F14">
        <f>IF($B$3=1,F10,$B$2)</f>
        <v/>
      </c>
      <c r="G14">
        <f>$B$2</f>
        <v/>
      </c>
      <c r="H14">
        <f>$B$2</f>
        <v/>
      </c>
      <c r="I14">
        <f>$B$2</f>
        <v/>
      </c>
      <c r="J14">
        <f>$B$2</f>
        <v/>
      </c>
      <c r="K14">
        <f>$B$2</f>
        <v/>
      </c>
      <c r="L14">
        <f>$B$2</f>
        <v/>
      </c>
      <c r="M14">
        <f>$B$2</f>
        <v/>
      </c>
      <c r="N14">
        <f>$B$2</f>
        <v/>
      </c>
      <c r="O14">
        <f>$B$2</f>
        <v/>
      </c>
      <c r="P14">
        <f>$B$2</f>
        <v/>
      </c>
      <c r="Q14">
        <f>$B$2</f>
        <v/>
      </c>
      <c r="R14">
        <f>$B$2</f>
        <v/>
      </c>
      <c r="S14">
        <f>$B$2</f>
        <v/>
      </c>
      <c r="T14">
        <f>$B$2</f>
        <v/>
      </c>
      <c r="U14">
        <f>$B$2</f>
        <v/>
      </c>
      <c r="V14">
        <f>$B$2</f>
        <v/>
      </c>
      <c r="W14">
        <f>$B$2</f>
        <v/>
      </c>
      <c r="X14">
        <f>$B$2</f>
        <v/>
      </c>
      <c r="Y14">
        <f>$B$2</f>
        <v/>
      </c>
      <c r="Z14">
        <f>$B$2</f>
        <v/>
      </c>
      <c r="AA14">
        <f>$B$2</f>
        <v/>
      </c>
      <c r="AB14">
        <f>$B$2</f>
        <v/>
      </c>
      <c r="AC14">
        <f>$B$2</f>
        <v/>
      </c>
      <c r="AD14">
        <f>$B$2</f>
        <v/>
      </c>
      <c r="AE14">
        <f>$B$2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14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t="inlineStr">
        <is>
          <t>Cross-check: 'BFoCDMbNI' export-tab literal values vs. Derivation formulas (PASS once opened and recalculated in Excel).</t>
        </is>
      </c>
    </row>
    <row r="3">
      <c r="B3" t="n">
        <v>2021</v>
      </c>
      <c r="C3" t="n">
        <v>2022</v>
      </c>
      <c r="D3" t="n">
        <v>2023</v>
      </c>
      <c r="E3" t="n">
        <v>2024</v>
      </c>
      <c r="F3" t="n">
        <v>2025</v>
      </c>
      <c r="G3" t="n">
        <v>2026</v>
      </c>
      <c r="H3" t="n">
        <v>2027</v>
      </c>
      <c r="I3" t="n">
        <v>2028</v>
      </c>
      <c r="J3" t="n">
        <v>2029</v>
      </c>
      <c r="K3" t="n">
        <v>2030</v>
      </c>
      <c r="L3" t="n">
        <v>2031</v>
      </c>
      <c r="M3" t="n">
        <v>2032</v>
      </c>
      <c r="N3" t="n">
        <v>2033</v>
      </c>
      <c r="O3" t="n">
        <v>2034</v>
      </c>
      <c r="P3" t="n">
        <v>2035</v>
      </c>
      <c r="Q3" t="n">
        <v>2036</v>
      </c>
      <c r="R3" t="n">
        <v>2037</v>
      </c>
      <c r="S3" t="n">
        <v>2038</v>
      </c>
      <c r="T3" t="n">
        <v>2039</v>
      </c>
      <c r="U3" t="n">
        <v>2040</v>
      </c>
      <c r="V3" t="n">
        <v>2041</v>
      </c>
      <c r="W3" t="n">
        <v>2042</v>
      </c>
      <c r="X3" t="n">
        <v>2043</v>
      </c>
      <c r="Y3" t="n">
        <v>2044</v>
      </c>
      <c r="Z3" t="n">
        <v>2045</v>
      </c>
      <c r="AA3" t="n">
        <v>2046</v>
      </c>
      <c r="AB3" t="n">
        <v>2047</v>
      </c>
      <c r="AC3" t="n">
        <v>2048</v>
      </c>
      <c r="AD3" t="n">
        <v>2049</v>
      </c>
      <c r="AE3" t="n">
        <v>2050</v>
      </c>
    </row>
    <row r="4">
      <c r="A4" t="inlineStr">
        <is>
          <t>Export literal</t>
        </is>
      </c>
      <c r="B4" t="n">
        <v>0.196</v>
      </c>
      <c r="C4" t="n">
        <v>0.2102</v>
      </c>
      <c r="D4" t="n">
        <v>0.2156</v>
      </c>
      <c r="E4" t="n">
        <v>0.2345</v>
      </c>
      <c r="F4" t="n">
        <v>0.2436</v>
      </c>
      <c r="G4" t="n">
        <v>0.2436</v>
      </c>
      <c r="H4" t="n">
        <v>0.2436</v>
      </c>
      <c r="I4" t="n">
        <v>0.2436</v>
      </c>
      <c r="J4" t="n">
        <v>0.2436</v>
      </c>
      <c r="K4" t="n">
        <v>0.2436</v>
      </c>
      <c r="L4" t="n">
        <v>0.2436</v>
      </c>
      <c r="M4" t="n">
        <v>0.2436</v>
      </c>
      <c r="N4" t="n">
        <v>0.2436</v>
      </c>
      <c r="O4" t="n">
        <v>0.2436</v>
      </c>
      <c r="P4" t="n">
        <v>0.2436</v>
      </c>
      <c r="Q4" t="n">
        <v>0.2436</v>
      </c>
      <c r="R4" t="n">
        <v>0.2436</v>
      </c>
      <c r="S4" t="n">
        <v>0.2436</v>
      </c>
      <c r="T4" t="n">
        <v>0.2436</v>
      </c>
      <c r="U4" t="n">
        <v>0.2436</v>
      </c>
      <c r="V4" t="n">
        <v>0.2436</v>
      </c>
      <c r="W4" t="n">
        <v>0.2436</v>
      </c>
      <c r="X4" t="n">
        <v>0.2436</v>
      </c>
      <c r="Y4" t="n">
        <v>0.2436</v>
      </c>
      <c r="Z4" t="n">
        <v>0.2436</v>
      </c>
      <c r="AA4" t="n">
        <v>0.2436</v>
      </c>
      <c r="AB4" t="n">
        <v>0.2436</v>
      </c>
      <c r="AC4" t="n">
        <v>0.2436</v>
      </c>
      <c r="AD4" t="n">
        <v>0.2436</v>
      </c>
      <c r="AE4" t="n">
        <v>0.2436</v>
      </c>
    </row>
    <row r="5">
      <c r="A5" t="inlineStr">
        <is>
          <t>Derivation formula</t>
        </is>
      </c>
      <c r="B5">
        <f>Derivation!B14</f>
        <v/>
      </c>
      <c r="C5">
        <f>Derivation!C14</f>
        <v/>
      </c>
      <c r="D5">
        <f>Derivation!D14</f>
        <v/>
      </c>
      <c r="E5">
        <f>Derivation!E14</f>
        <v/>
      </c>
      <c r="F5">
        <f>Derivation!F14</f>
        <v/>
      </c>
      <c r="G5">
        <f>Derivation!G14</f>
        <v/>
      </c>
      <c r="H5">
        <f>Derivation!H14</f>
        <v/>
      </c>
      <c r="I5">
        <f>Derivation!I14</f>
        <v/>
      </c>
      <c r="J5">
        <f>Derivation!J14</f>
        <v/>
      </c>
      <c r="K5">
        <f>Derivation!K14</f>
        <v/>
      </c>
      <c r="L5">
        <f>Derivation!L14</f>
        <v/>
      </c>
      <c r="M5">
        <f>Derivation!M14</f>
        <v/>
      </c>
      <c r="N5">
        <f>Derivation!N14</f>
        <v/>
      </c>
      <c r="O5">
        <f>Derivation!O14</f>
        <v/>
      </c>
      <c r="P5">
        <f>Derivation!P14</f>
        <v/>
      </c>
      <c r="Q5">
        <f>Derivation!Q14</f>
        <v/>
      </c>
      <c r="R5">
        <f>Derivation!R14</f>
        <v/>
      </c>
      <c r="S5">
        <f>Derivation!S14</f>
        <v/>
      </c>
      <c r="T5">
        <f>Derivation!T14</f>
        <v/>
      </c>
      <c r="U5">
        <f>Derivation!U14</f>
        <v/>
      </c>
      <c r="V5">
        <f>Derivation!V14</f>
        <v/>
      </c>
      <c r="W5">
        <f>Derivation!W14</f>
        <v/>
      </c>
      <c r="X5">
        <f>Derivation!X14</f>
        <v/>
      </c>
      <c r="Y5">
        <f>Derivation!Y14</f>
        <v/>
      </c>
      <c r="Z5">
        <f>Derivation!Z14</f>
        <v/>
      </c>
      <c r="AA5">
        <f>Derivation!AA14</f>
        <v/>
      </c>
      <c r="AB5">
        <f>Derivation!AB14</f>
        <v/>
      </c>
      <c r="AC5">
        <f>Derivation!AC14</f>
        <v/>
      </c>
      <c r="AD5">
        <f>Derivation!AD14</f>
        <v/>
      </c>
      <c r="AE5">
        <f>Derivation!AE14</f>
        <v/>
      </c>
    </row>
    <row r="6">
      <c r="A6" t="inlineStr">
        <is>
          <t>ABS(Export - Derivation)</t>
        </is>
      </c>
      <c r="B6">
        <f>ABS(B4-B5)</f>
        <v/>
      </c>
      <c r="C6">
        <f>ABS(C4-C5)</f>
        <v/>
      </c>
      <c r="D6">
        <f>ABS(D4-D5)</f>
        <v/>
      </c>
      <c r="E6">
        <f>ABS(E4-E5)</f>
        <v/>
      </c>
      <c r="F6">
        <f>ABS(F4-F5)</f>
        <v/>
      </c>
      <c r="G6">
        <f>ABS(G4-G5)</f>
        <v/>
      </c>
      <c r="H6">
        <f>ABS(H4-H5)</f>
        <v/>
      </c>
      <c r="I6">
        <f>ABS(I4-I5)</f>
        <v/>
      </c>
      <c r="J6">
        <f>ABS(J4-J5)</f>
        <v/>
      </c>
      <c r="K6">
        <f>ABS(K4-K5)</f>
        <v/>
      </c>
      <c r="L6">
        <f>ABS(L4-L5)</f>
        <v/>
      </c>
      <c r="M6">
        <f>ABS(M4-M5)</f>
        <v/>
      </c>
      <c r="N6">
        <f>ABS(N4-N5)</f>
        <v/>
      </c>
      <c r="O6">
        <f>ABS(O4-O5)</f>
        <v/>
      </c>
      <c r="P6">
        <f>ABS(P4-P5)</f>
        <v/>
      </c>
      <c r="Q6">
        <f>ABS(Q4-Q5)</f>
        <v/>
      </c>
      <c r="R6">
        <f>ABS(R4-R5)</f>
        <v/>
      </c>
      <c r="S6">
        <f>ABS(S4-S5)</f>
        <v/>
      </c>
      <c r="T6">
        <f>ABS(T4-T5)</f>
        <v/>
      </c>
      <c r="U6">
        <f>ABS(U4-U5)</f>
        <v/>
      </c>
      <c r="V6">
        <f>ABS(V4-V5)</f>
        <v/>
      </c>
      <c r="W6">
        <f>ABS(W4-W5)</f>
        <v/>
      </c>
      <c r="X6">
        <f>ABS(X4-X5)</f>
        <v/>
      </c>
      <c r="Y6">
        <f>ABS(Y4-Y5)</f>
        <v/>
      </c>
      <c r="Z6">
        <f>ABS(Z4-Z5)</f>
        <v/>
      </c>
      <c r="AA6">
        <f>ABS(AA4-AA5)</f>
        <v/>
      </c>
      <c r="AB6">
        <f>ABS(AB4-AB5)</f>
        <v/>
      </c>
      <c r="AC6">
        <f>ABS(AC4-AC5)</f>
        <v/>
      </c>
      <c r="AD6">
        <f>ABS(AD4-AD5)</f>
        <v/>
      </c>
      <c r="AE6">
        <f>ABS(AE4-AE5)</f>
        <v/>
      </c>
    </row>
    <row r="8">
      <c r="A8" t="inlineStr">
        <is>
          <t>Max abs diff</t>
        </is>
      </c>
      <c r="B8">
        <f>MAX(B6:AE6)</f>
        <v/>
      </c>
    </row>
    <row r="9">
      <c r="A9" t="inlineStr">
        <is>
          <t>Result</t>
        </is>
      </c>
      <c r="B9">
        <f>IF(B8&lt;1e-06,"PASS","FAIL")</f>
        <v/>
      </c>
    </row>
    <row r="10">
      <c r="A10" t="inlineStr">
        <is>
          <t>Selected region</t>
        </is>
      </c>
      <c r="B10">
        <f>Regions!B1</f>
        <v/>
      </c>
    </row>
    <row r="11">
      <c r="A11" t="inlineStr">
        <is>
          <t>Region-matches-export?</t>
        </is>
      </c>
      <c r="B11">
        <f>IF(B10="United States","PASS - literals were exported for the US","WARN - export tab literals are US values; re-export after switching")</f>
        <v/>
      </c>
    </row>
    <row r="13">
      <c r="A13" t="inlineStr">
        <is>
          <t>2025 balance: consumption x ratio x (1 - share), kt (should be 69,000)</t>
        </is>
      </c>
      <c r="B13">
        <f>'USGS MCS 2026 Cement'!F10*Derivation!F7*(1-Derivation!F10)</f>
        <v/>
      </c>
    </row>
    <row r="14">
      <c r="A14" t="inlineStr">
        <is>
          <t>Selected region has a sourced value?</t>
        </is>
      </c>
      <c r="B14">
        <f>IF(ISNUMBER(INDEX(Regions!$C$5:$C$14,MATCH(Regions!$B$1,Regions!$A$5:$A$14,0))),"PASS","WARN - blank row treated as 0 (self-sufficient)")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A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Unit: dimensionless (clinker basis; 2021-25 = 1 - USGS domestic clinker / (apparent consumption x blend ratio); held flat at 2025 after - judgment; negative = net exporter; see workbook)</t>
        </is>
      </c>
      <c r="B1" t="n">
        <v>2021</v>
      </c>
      <c r="C1" t="n">
        <v>2022</v>
      </c>
      <c r="D1" t="n">
        <v>2023</v>
      </c>
      <c r="E1" t="n">
        <v>2024</v>
      </c>
      <c r="F1" t="n">
        <v>2025</v>
      </c>
      <c r="G1" t="n">
        <v>2026</v>
      </c>
      <c r="H1" t="n">
        <v>2027</v>
      </c>
      <c r="I1" t="n">
        <v>2028</v>
      </c>
      <c r="J1" t="n">
        <v>2029</v>
      </c>
      <c r="K1" t="n">
        <v>2030</v>
      </c>
      <c r="L1" t="n">
        <v>2031</v>
      </c>
      <c r="M1" t="n">
        <v>2032</v>
      </c>
      <c r="N1" t="n">
        <v>2033</v>
      </c>
      <c r="O1" t="n">
        <v>2034</v>
      </c>
      <c r="P1" t="n">
        <v>2035</v>
      </c>
      <c r="Q1" t="n">
        <v>2036</v>
      </c>
      <c r="R1" t="n">
        <v>2037</v>
      </c>
      <c r="S1" t="n">
        <v>2038</v>
      </c>
      <c r="T1" t="n">
        <v>2039</v>
      </c>
      <c r="U1" t="n">
        <v>2040</v>
      </c>
      <c r="V1" t="n">
        <v>2041</v>
      </c>
      <c r="W1" t="n">
        <v>2042</v>
      </c>
      <c r="X1" t="n">
        <v>2043</v>
      </c>
      <c r="Y1" t="n">
        <v>2044</v>
      </c>
      <c r="Z1" t="n">
        <v>2045</v>
      </c>
      <c r="AA1" t="n">
        <v>2046</v>
      </c>
      <c r="AB1" t="n">
        <v>2047</v>
      </c>
      <c r="AC1" t="n">
        <v>2048</v>
      </c>
      <c r="AD1" t="n">
        <v>2049</v>
      </c>
      <c r="AE1" t="n">
        <v>2050</v>
      </c>
    </row>
    <row r="2">
      <c r="A2" t="inlineStr">
        <is>
          <t>BAU Fraction of Clinker Demand Met by Net Imports</t>
        </is>
      </c>
      <c r="B2" t="n">
        <v>0.196</v>
      </c>
      <c r="C2" t="n">
        <v>0.2102</v>
      </c>
      <c r="D2" t="n">
        <v>0.2156</v>
      </c>
      <c r="E2" t="n">
        <v>0.2345</v>
      </c>
      <c r="F2" t="n">
        <v>0.2436</v>
      </c>
      <c r="G2" t="n">
        <v>0.2436</v>
      </c>
      <c r="H2" t="n">
        <v>0.2436</v>
      </c>
      <c r="I2" t="n">
        <v>0.2436</v>
      </c>
      <c r="J2" t="n">
        <v>0.2436</v>
      </c>
      <c r="K2" t="n">
        <v>0.2436</v>
      </c>
      <c r="L2" t="n">
        <v>0.2436</v>
      </c>
      <c r="M2" t="n">
        <v>0.2436</v>
      </c>
      <c r="N2" t="n">
        <v>0.2436</v>
      </c>
      <c r="O2" t="n">
        <v>0.2436</v>
      </c>
      <c r="P2" t="n">
        <v>0.2436</v>
      </c>
      <c r="Q2" t="n">
        <v>0.2436</v>
      </c>
      <c r="R2" t="n">
        <v>0.2436</v>
      </c>
      <c r="S2" t="n">
        <v>0.2436</v>
      </c>
      <c r="T2" t="n">
        <v>0.2436</v>
      </c>
      <c r="U2" t="n">
        <v>0.2436</v>
      </c>
      <c r="V2" t="n">
        <v>0.2436</v>
      </c>
      <c r="W2" t="n">
        <v>0.2436</v>
      </c>
      <c r="X2" t="n">
        <v>0.2436</v>
      </c>
      <c r="Y2" t="n">
        <v>0.2436</v>
      </c>
      <c r="Z2" t="n">
        <v>0.2436</v>
      </c>
      <c r="AA2" t="n">
        <v>0.2436</v>
      </c>
      <c r="AB2" t="n">
        <v>0.2436</v>
      </c>
      <c r="AC2" t="n">
        <v>0.2436</v>
      </c>
      <c r="AD2" t="n">
        <v>0.2436</v>
      </c>
      <c r="AE2" t="n">
        <v>0.2436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2026-09-28T13:54:44Z</dcterms:created>
  <dcterms:modified xsi:type="dcterms:W3CDTF">2026-10-01T20:23:34Z</dcterms:modified>
</cp:coreProperties>
</file>