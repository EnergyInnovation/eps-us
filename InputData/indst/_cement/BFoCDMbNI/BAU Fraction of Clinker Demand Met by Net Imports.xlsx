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DanOBrien\Models\EPS\US\eps-us\InputData\indst\_cement\BFoCDMbNI\"/>
    </mc:Choice>
  </mc:AlternateContent>
  <xr:revisionPtr revIDLastSave="0" documentId="13_ncr:1_{BC6E8272-B97C-46F5-9DD5-5EE6FA5F7942}" xr6:coauthVersionLast="47" xr6:coauthVersionMax="47" xr10:uidLastSave="{00000000-0000-0000-0000-000000000000}"/>
  <bookViews>
    <workbookView xWindow="-110" yWindow="-110" windowWidth="19420" windowHeight="11500" xr2:uid="{00000000-000D-0000-FFFF-FFFF00000000}"/>
  </bookViews>
  <sheets>
    <sheet name="About" sheetId="1" r:id="rId1"/>
    <sheet name="Regions" sheetId="2" r:id="rId2"/>
    <sheet name="USGS MCS 2026 Cement" sheetId="3" r:id="rId3"/>
    <sheet name="Derivation" sheetId="4" r:id="rId4"/>
    <sheet name="Checks" sheetId="5" r:id="rId5"/>
    <sheet name="BFoCDMbNI"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 i="4" l="1"/>
  <c r="E7" i="4"/>
  <c r="E8" i="4" s="1"/>
  <c r="E11" i="4" s="1"/>
  <c r="D7" i="4"/>
  <c r="D8" i="4" s="1"/>
  <c r="D11" i="4" s="1"/>
  <c r="C7" i="4"/>
  <c r="C8" i="4" s="1"/>
  <c r="C11" i="4" s="1"/>
  <c r="B7" i="4"/>
  <c r="B8" i="4" s="1"/>
  <c r="B11" i="4" s="1"/>
  <c r="C13" i="2"/>
  <c r="C12" i="2"/>
  <c r="C11" i="2"/>
  <c r="C10" i="2"/>
  <c r="C8" i="2"/>
  <c r="C7" i="2"/>
  <c r="C6" i="2"/>
  <c r="F9" i="4"/>
  <c r="E9" i="4"/>
  <c r="E10" i="4" s="1"/>
  <c r="D9" i="4"/>
  <c r="D10" i="4" s="1"/>
  <c r="C9" i="4"/>
  <c r="B9" i="4"/>
  <c r="B10" i="4" s="1"/>
  <c r="B1" i="4"/>
  <c r="B3" i="4" s="1"/>
  <c r="C10" i="4" l="1"/>
  <c r="E14" i="4"/>
  <c r="F8" i="4"/>
  <c r="F10" i="4" s="1"/>
  <c r="D14" i="4"/>
  <c r="B14" i="4"/>
  <c r="C14" i="4"/>
  <c r="B3" i="5" l="1"/>
  <c r="F11" i="4"/>
  <c r="C2" i="6"/>
  <c r="B2" i="6"/>
  <c r="G10" i="4"/>
  <c r="C5" i="2" s="1"/>
  <c r="B4" i="5" s="1"/>
  <c r="F14" i="4"/>
  <c r="E2" i="6"/>
  <c r="D2" i="6"/>
  <c r="F2" i="6" l="1"/>
  <c r="B2" i="4"/>
  <c r="T14" i="4" l="1"/>
  <c r="S14" i="4"/>
  <c r="R14" i="4"/>
  <c r="Q14" i="4"/>
  <c r="P14" i="4"/>
  <c r="O14" i="4"/>
  <c r="N14" i="4"/>
  <c r="M14" i="4"/>
  <c r="L14" i="4"/>
  <c r="J14" i="4"/>
  <c r="I14" i="4"/>
  <c r="Z14" i="4"/>
  <c r="AD14" i="4"/>
  <c r="H14" i="4"/>
  <c r="AC14" i="4"/>
  <c r="AB14" i="4"/>
  <c r="W14" i="4"/>
  <c r="V14" i="4"/>
  <c r="K14" i="4"/>
  <c r="G14" i="4"/>
  <c r="AA14" i="4"/>
  <c r="X14" i="4"/>
  <c r="AE14" i="4"/>
  <c r="Y14" i="4"/>
  <c r="U14" i="4"/>
  <c r="AA2" i="6" l="1"/>
  <c r="V2" i="6"/>
  <c r="AB2" i="6"/>
  <c r="H2" i="6"/>
  <c r="Z2" i="6"/>
  <c r="I2" i="6"/>
  <c r="R2" i="6"/>
  <c r="AE2" i="6"/>
  <c r="X2" i="6"/>
  <c r="G2" i="6"/>
  <c r="K2" i="6"/>
  <c r="W2" i="6"/>
  <c r="AC2" i="6"/>
  <c r="AD2" i="6"/>
  <c r="J2" i="6"/>
  <c r="L2" i="6"/>
  <c r="M2" i="6"/>
  <c r="N2" i="6"/>
  <c r="O2" i="6"/>
  <c r="P2" i="6"/>
  <c r="Q2" i="6"/>
  <c r="U2" i="6"/>
  <c r="Y2" i="6"/>
  <c r="S2" i="6"/>
  <c r="T2" i="6"/>
</calcChain>
</file>

<file path=xl/sharedStrings.xml><?xml version="1.0" encoding="utf-8"?>
<sst xmlns="http://schemas.openxmlformats.org/spreadsheetml/2006/main" count="179" uniqueCount="162">
  <si>
    <t>BFoCDMbNI BAU Fraction of Clinker Demand Met by Net Imports</t>
  </si>
  <si>
    <t>Sources:</t>
  </si>
  <si>
    <t>https://pubs.usgs.gov/periodicals/mcs2026/mcs2026-cement.pdf</t>
  </si>
  <si>
    <t>Notes:</t>
  </si>
  <si>
    <t>Selected region (drop-down):</t>
  </si>
  <si>
    <t>United States</t>
  </si>
  <si>
    <t>Region</t>
  </si>
  <si>
    <t>Anchor year</t>
  </si>
  <si>
    <t>Net import share of clinker demand (fraction; blank = 0)</t>
  </si>
  <si>
    <t>Flag</t>
  </si>
  <si>
    <t>Source / note</t>
  </si>
  <si>
    <t>DIRECT</t>
  </si>
  <si>
    <t>identity on USGS MCS 2026 (Derivation tab)</t>
  </si>
  <si>
    <t>China</t>
  </si>
  <si>
    <t>JUDGMENT</t>
  </si>
  <si>
    <t>Comtrade 2024: cement M 0.06 / X 5.02, clinker M 0.28 / X 0.34 Mt (DIRECT) over consumption 1,858.9. Tonnage basis because the China ratio is TO FILL; the clinker-basis value differs by &lt;0.001 for any ratio 0.5-0.9. 2025 clinker exports not reported.</t>
  </si>
  <si>
    <t>India</t>
  </si>
  <si>
    <t>EU-27</t>
  </si>
  <si>
    <t>Eurostat via Cement Europe 2024: imports 11.3 / exports 11.2 Mt cement+clinker combined (DIRECT) - tonnage basis, no cement/clinker split. 2025: imports 14.2 / exports 9.1 = +0.034 of 2024 consumption. Conflicts with the +12.7 Mt production-consumption gap (see BCD note).</t>
  </si>
  <si>
    <t>Japan</t>
  </si>
  <si>
    <t>TO FILL - net exporter (clinker exports ~3.9 Mt 2024)</t>
  </si>
  <si>
    <t>Brazil</t>
  </si>
  <si>
    <t>Comtrade 2024: clinker M 0.92, cement M 0.14 / X 0.07 Mt (DIRECT); ratio 0.71, 2024 consumption 64.8 (SNIPPET). Clinker basis; tonnage basis +0.015 (2024), +0.012 (2023). Staff plan quoted +0.013.</t>
  </si>
  <si>
    <t>Mexico</t>
  </si>
  <si>
    <t>Canada</t>
  </si>
  <si>
    <t>Indonesia</t>
  </si>
  <si>
    <t>Australia</t>
  </si>
  <si>
    <t>TO FILL - large net importer (~40% of consumption imported per CIF)</t>
  </si>
  <si>
    <t>USGS Mineral Commodity Summaries 2026 - Cement (Ashley K. Hatfield). Pasted from the PDF text; 'e' = estimated. Data in thousand metric tons unless otherwise specified.</t>
  </si>
  <si>
    <t>Salient Statistics - United States (thousand metric tons unless noted)</t>
  </si>
  <si>
    <t>2025e</t>
  </si>
  <si>
    <t>Production: Portland, blended, and masonry cement (includes cement made from imported clinker)</t>
  </si>
  <si>
    <t>Production: Clinker</t>
  </si>
  <si>
    <t>Shipments to final customers, includes exports</t>
  </si>
  <si>
    <t>Imports for consumption: Hydraulic cement</t>
  </si>
  <si>
    <t>Imports for consumption: Clinker</t>
  </si>
  <si>
    <t>Exports, hydraulic cement and clinker</t>
  </si>
  <si>
    <t>Consumption, apparent (production incl. from imported clinker + imports excl. clinker - exports - stock changes)</t>
  </si>
  <si>
    <t>Price, average mill unit value, dollars per metric ton</t>
  </si>
  <si>
    <t>Stocks, cement, yearend</t>
  </si>
  <si>
    <t>Net import reliance as a percentage of apparent consumption</t>
  </si>
  <si>
    <t>World Production and Capacity (thousand metric tons)</t>
  </si>
  <si>
    <t>Cement production 2024</t>
  </si>
  <si>
    <t>Cement production 2025e</t>
  </si>
  <si>
    <t>Clinker capacity 2024</t>
  </si>
  <si>
    <t>Clinker capacity 2025e</t>
  </si>
  <si>
    <t>United States (includes Puerto Rico)</t>
  </si>
  <si>
    <t>Egypt</t>
  </si>
  <si>
    <t>Iran</t>
  </si>
  <si>
    <t>Korea, Republic of</t>
  </si>
  <si>
    <t>Russia</t>
  </si>
  <si>
    <t>Saudi Arabia</t>
  </si>
  <si>
    <t>Turkey</t>
  </si>
  <si>
    <t>Vietnam</t>
  </si>
  <si>
    <t>Other countries (rounded)</t>
  </si>
  <si>
    <t>World total (rounded)</t>
  </si>
  <si>
    <t>Selected region</t>
  </si>
  <si>
    <t>Anchor share (blank region = 0)</t>
  </si>
  <si>
    <t>Is US? (history from USGS tab)</t>
  </si>
  <si>
    <t>US identity: 1 - clinker production / (apparent consumption x blend ratio)</t>
  </si>
  <si>
    <t>Year</t>
  </si>
  <si>
    <t>Blend ratio (as BCtCR)</t>
  </si>
  <si>
    <t>Apparent consumption x ratio (clinker demand, kt)</t>
  </si>
  <si>
    <t>Domestic clinker production (kt)</t>
  </si>
  <si>
    <t>&lt;- 2025 anchor, used by the Regions US row</t>
  </si>
  <si>
    <t>Trade-flow cross-check: (cement imports x ratio + clinker imports - exports x ratio) / clinker demand</t>
  </si>
  <si>
    <t>BAU Fraction of Clinker Demand Met by Net Imports</t>
  </si>
  <si>
    <t>2025 balance: consumption x ratio x (1 - share), kt (should be 69,000)</t>
  </si>
  <si>
    <t>Selected region has a sourced value?</t>
  </si>
  <si>
    <t>Checks</t>
  </si>
  <si>
    <t>U.S. clinker production, consumption, and trade, 2021-2025</t>
  </si>
  <si>
    <t>U.S. Geological Survey</t>
  </si>
  <si>
    <t>Mineral Commodity Summaries 2026: Cement</t>
  </si>
  <si>
    <t>Clinker production (69.0 million metric tons in 2025, an estimate), apparent consumption (110.0), cement and clinker imports, and exports, pasted as published on the 'USGS MCS 2026 Cement' tab. USGS rounds apparent consumption to two significant figures, and it reports net import reliance of 19-22% of apparent consumption. The same table has 2024 clinker capacity and production figures for other countries, which are not used here.</t>
  </si>
  <si>
    <t>Trade flows for China, India, Brazil, Mexico, and Canada</t>
  </si>
  <si>
    <t>United Nations</t>
  </si>
  <si>
    <t>UN Comtrade Database, HS 2523 (cement and clinker), 2023-2025</t>
  </si>
  <si>
    <t>https://comtradeplus.un.org/</t>
  </si>
  <si>
    <t>2024 imports and exports of cement and clinker in million tons. China: cement 0.06 imported, 5.02 exported; clinker 0.28 imported, 0.34 exported. India: cement 0.74 imported, 0.98 exported; clinker 1.55 imported, 0.02 exported. Brazil: cement 0.14 imported, 0.07 exported; clinker 0.92 imported. Mexico: cement 0.10 imported, 1.38 exported; clinker reported as about zero, which may mean not reported. Canada: imports 1.20 (treated as cement); exports 4.39 of cement and 0.47 of clinker. Comtrade's public preview shows zeros for flows that countries did not report, so the full series should be re-pulled before relying on these. Accessed 2026.</t>
  </si>
  <si>
    <t>China consumption (denominator)</t>
  </si>
  <si>
    <t>CemNet (International Cement Review)</t>
  </si>
  <si>
    <t>Chinese cement dropped sharply in 2024, and will continue to fall</t>
  </si>
  <si>
    <t>https://www.cemnet.com/News/story/178600/chinese-cement-dropped-sharply-in-2024-and-will-continue-to-fall.html</t>
  </si>
  <si>
    <t>2024 demand of 1,858.9 million tons (SNIPPET), the denominator for China's net import share.</t>
  </si>
  <si>
    <t>India consumption (denominator)</t>
  </si>
  <si>
    <t>American Council for an Energy-Efficient Economy (ACEEE)</t>
  </si>
  <si>
    <t>Decarbonisation in the Indian Cement Industry</t>
  </si>
  <si>
    <t>https://www.aceee.org/wp-content/uploads/2026/07/ACEEE_Decarbonisation_in_Cement_Industry.pdf</t>
  </si>
  <si>
    <t>Consumption of 435 million tons in fiscal year 2024-25 (SNIPPET), treated as 2024. The clinker-to-cement ratio of 0.73 used with the trade flows comes from the same report; see BCtCR.</t>
  </si>
  <si>
    <t>EU-27 consumption (denominator)</t>
  </si>
  <si>
    <t>Cement Europe</t>
  </si>
  <si>
    <t>Cement Europe Statistics Report 2025</t>
  </si>
  <si>
    <t>https://www.cementeurope.eu/media/ncylewmn/cement-europe-statistics-report-2025.pdf</t>
  </si>
  <si>
    <t>EU-27 consumption of 148.1 million tons in 2024. The same report's EU-27 production (160.8 million tons) is 12.7 million tons above consumption, far more than the near-zero net trade below would explain. We have not resolved this.</t>
  </si>
  <si>
    <t>EU-27 net trade, 2024</t>
  </si>
  <si>
    <t>Cement Europe (from Eurostat)</t>
  </si>
  <si>
    <t>EU cement industry trade statistics, full year 2024</t>
  </si>
  <si>
    <t>https://www.cementeurope.eu/media/d05l4xzp/eu-cement-industry-trade-statistics-full-year-2024-published-may25.pdf</t>
  </si>
  <si>
    <t>Imports of 11.3 and exports of 11.2 million tons, cement and clinker combined, so the EU value is on a tonnage basis with no clinker split.</t>
  </si>
  <si>
    <t>EU-27 net trade, 2025 (comparison)</t>
  </si>
  <si>
    <t>Cement Europe trade report, full year 2025</t>
  </si>
  <si>
    <t>https://www.cementeurope.eu/media/bw4j1sxx/cement-europe-trade-report-full-year-2025-april-2026.pdf</t>
  </si>
  <si>
    <t>2025 imports of 14.2 and exports of 9.1 million tons, a net import of 5.1 million tons, or +0.034 of 2024 consumption. Shown in the row note for comparison; the 2024 value is the one used.</t>
  </si>
  <si>
    <t>Brazil consumption (denominator)</t>
  </si>
  <si>
    <t>Grandes Construcoes (reporting SNIC data)</t>
  </si>
  <si>
    <t>SNIC divulga relatorio anual da industria do cimento</t>
  </si>
  <si>
    <t>https://grandesconstrucoes.com.br/Noticias/Exibir/snic-divulga-relatorio-anual-da-industria-do-cimento</t>
  </si>
  <si>
    <t>2024 consumption of 64.8 million tons (SNIPPET).</t>
  </si>
  <si>
    <t>Mexico consumption (denominator)</t>
  </si>
  <si>
    <t>Global Cement</t>
  </si>
  <si>
    <t>Mexican cement consumption falls in first half of 2025</t>
  </si>
  <si>
    <t>https://www.globalcement.com/news/19770-mexican-cement-consumption-falls-in-first-half-of-2025</t>
  </si>
  <si>
    <t>About 42 million tons of 2024 sales (SNIPPET). Another press report puts 2024 at 46.4 million tons, which would turn Mexico into a small net importer; CANACEM's own statistics should settle it. The Mexico row note also says about 1.5 million tons went to the U.S. in 2024 (SNIPPET); we did not trace which article gives that figure.</t>
  </si>
  <si>
    <t>Canada consumption (denominator)</t>
  </si>
  <si>
    <t>Cement Association of Canada</t>
  </si>
  <si>
    <t>Concrete Zero: Action Plan</t>
  </si>
  <si>
    <t>https://cement.ca/wp-content/uploads/ConcreteZero-Report-FINAL-reduced.pdf</t>
  </si>
  <si>
    <t>Production of 12.7 million tons in 2020. Combined with 2024 trade, this gives an estimated consumption of about 9 million tons (12.7 + 1.2 - 4.86), which mixes two years and is low confidence.</t>
  </si>
  <si>
    <t>Canada exports to the U.S.</t>
  </si>
  <si>
    <t>Innovation, Science and Economic Development Canada / Natural Resources Canada</t>
  </si>
  <si>
    <t>Roadmap to Net-Zero Carbon Concrete by 2050</t>
  </si>
  <si>
    <t>https://ised-isde.canada.ca/site/clean-growth-hub/sites/default/files/documents/2022-11/roadmap-net-zero-carbon-concrete-2050_0.pdf</t>
  </si>
  <si>
    <t>Says the U.S. imports about 6 million tons a year from Canada, 35% of its cement imports. Consistent with Canada being a large net exporter.</t>
  </si>
  <si>
    <t>Indonesia clinker and cement exports</t>
  </si>
  <si>
    <t>Asosiasi Pengusaha Semen Indonesia (Asperssi)</t>
  </si>
  <si>
    <t>Asperssi ungkap volume produksi &amp; penjualan semen di 2025 dan proyeksi untuk 2026</t>
  </si>
  <si>
    <t>https://asperssi.id/asperssi-ungkap-volume-produksi-penjualan-semen-di-2025-dan-proyeksi-untuk-2026/</t>
  </si>
  <si>
    <t>2025 clinker exports of 12.34 million tons and cement exports of 1.32 million tons (DIRECT); Comtrade matches. Domestic clinker use is 57.301 - 12.34 = 44.96 million tons.</t>
  </si>
  <si>
    <t>Japan clinker exports</t>
  </si>
  <si>
    <t>World Bank, World Integrated Trade Solution (WITS)</t>
  </si>
  <si>
    <t>Japan cement clinker (HS 252310) exports, 2024</t>
  </si>
  <si>
    <t>https://wits.worldbank.org/trade/comtrade/en/country/JPN/year/2024/tradeflow/Exports/partner/ALL/product/252310</t>
  </si>
  <si>
    <t>Clinker exports of about 3.9 million tons in 2024, which makes Japan a net exporter. The row is blank because we have not built a full estimate.</t>
  </si>
  <si>
    <t>Australia import share</t>
  </si>
  <si>
    <t>Cement Industry Federation (CIF)</t>
  </si>
  <si>
    <t>Industry report</t>
  </si>
  <si>
    <t>https://cement.org.au/australias-cement-industry/industry-report/</t>
  </si>
  <si>
    <t>The row note says roughly 40% of Australian consumption is imported. We did not open the report's PDF; the row is blank.</t>
  </si>
  <si>
    <t>Purpose and layout</t>
  </si>
  <si>
    <t>This file gives the share of the region's clinker demand that is met by net imports of cement and clinker, on a clinker basis. EPS first works out all the clinker embodied in the cement the region consumes (cement demand from BCD times the ratio in BCtCR), then multiplies by one minus this share to get the clinker actually made in the region. Only clinker made in the region uses fuel and produces emissions in the cement module. Imported cement counts at the clinker ratio and exports subtract, so a negative value means the region is a net exporter and makes more clinker than it consumes.
The tabs run from inputs to output. 'Regions' holds the region selector and each region's share. 'USGS MCS 2026 Cement' holds the U.S. source data as published. 'Derivation' builds the 2021-2050 series. 'Checks' confirms that the U.S. 2025 balance reproduces USGS's 69.0 million tons of clinker, and warns if the selected region has no value. The last tab, 'BFoCDMbNI', reads the Derivation directly and is what gets exported to BFoCDMbNI.csv.</t>
  </si>
  <si>
    <t>Using it for other regions</t>
  </si>
  <si>
    <t>We set this file up to be adaptable to each of the main EPS regions. If you are working on a non-US region, use the drop-down selector at the top of the 'Regions' tab to choose a different country. The Derivation then uses that country's share for every year, and the 'BFoCDMbNI' tab updates on its own; just re-export the CSV. A blank row is treated as zero (the region is self-sufficient in clinker), and the 'Checks' tab shows a warning. If your region is not listed, you will have to work out the share on your own, for example from UN Comtrade trade data for cement and clinker (HS 2523) alongside national production and consumption.</t>
  </si>
  <si>
    <t>U.S. values</t>
  </si>
  <si>
    <t>Other regions' values</t>
  </si>
  <si>
    <t>For the other regions, each share is worked out from 2024 trade data (2025 for Indonesia) divided by the region's consumption, on a clinker basis where we had the clinker ratio from BCtCR and on a tonnage basis where we did not (China, and the EU, whose trade data does not split cement from clinker). The arithmetic is in each cell, so every value is JUDGMENT even where the trade data are DIRECT. Each non-US value on the 'Regions' tab carries a tag showing how far to trust it: DIRECT means we read the number in the original document; SNIPPET means it came from a secondary summary, such as a trade-press article, and should be checked against the original; JUDGMENT means it is our own estimate or arithmetic, shown as a formula where possible. A blank means we have not found a good value yet. Canada is low confidence because its consumption is itself an estimate, and Mexico's zero for clinker imports may mean 'not reported'. The EU's near-zero net trade conflicts with its 12.7 million ton production-over-consumption gap, which we have not resolved. Japan (a net exporter) and Australia (a large net importer) are blank.</t>
  </si>
  <si>
    <t>Pick a region from the drop-down in B1. The Derivation and the export tab update on their own; re-export the CSV afterward. A blank cell means no sourced value yet.</t>
  </si>
  <si>
    <t>Comtrade 2024: cement M 0.74 / X 0.98, clinker M 1.55 / X 0.02 Mt (DIRECT); ratio 0.73, consumption 435. Clinker basis (+0.003 on tonnage basis).</t>
  </si>
  <si>
    <t>Comtrade 2024: cement M 0.10 / X 1.38 Mt, clinker ~0 (DIRECT; zero may mean not reported); ratio 0.75, consumption 42. Net exporter (~1.5 Mt to the US in 2024, SNIPPET). A CANACEM consumption forecast of 46.4 against USGS production of 44 would instead imply a net importer - resolve against CANACEM statistics.</t>
  </si>
  <si>
    <t>LOW CONFIDENCE. Comtrade 2024: cement X 4.39, clinker X 0.47, imports 1.20 Mt (DIRECT; imports treated as cement) over the ~9.0 Mt JUDGMENT consumption, ratio 0.89. Clinker basis -3.65/9 = -0.41; tonnage basis -0.40. ISED: ~6 Mt/yr to the US.</t>
  </si>
  <si>
    <t>ASI 2025: clinker exports 12.34, cement exports 1.32 Mt (DIRECT; Comtrade matches) at ratio 0.68 over domestic clinker use 44.96 - clinker basis. Tonnage basis -0.21.</t>
  </si>
  <si>
    <t>Unit: dimensionless</t>
  </si>
  <si>
    <t>Net import share</t>
  </si>
  <si>
    <t>Longer import history and the outlook</t>
  </si>
  <si>
    <t>Argus Media</t>
  </si>
  <si>
    <t>US cement market 2026 outlook shaky (Intercem Americas)</t>
  </si>
  <si>
    <t>https://www.argusmedia.com/news-and-insights/latest-market-news/2758546-us-cement-market-2026-outlook-shaky</t>
  </si>
  <si>
    <t>Industry forecasters expected consumption to bottom near 100 million tons in 2026 with plants running at about 76% and import terminal additions continuing. Combined with USGS data for 2001-2025, the share on this file's basis was 0.26 at the 2006 peak, 0.06-0.08 in 2009-2014, and back to 0.20-0.24 in 2021-2025.</t>
  </si>
  <si>
    <t>Recent import trends and trade policy</t>
  </si>
  <si>
    <t>Tariffs in July 2026</t>
  </si>
  <si>
    <t>https://www.globalcement.com/news/analysis/21057-tariffs-in-july-2026</t>
  </si>
  <si>
    <t>Imports grew from 13.5 million tons (2017) to 25.4 million tons (2025). Emergency tariffs were struck down in February 2026; first-half 2026 imports were 11.9 million tons, about flat on 2025 (Argus, August 2026).</t>
  </si>
  <si>
    <t>For 2021-2025 the share is one minus domestic clinker production divided by apparent consumption times the blend ratio, all from USGS. It rises from 0.196 in 2021 to 0.244 in 2025, in line with USGS's rising net import reliance, and this closes the start-year balance so the model's 2025 domestic clinker equals USGS's 69.0 million tons.
From 2026 the share is held at the 2025 value. Nothing points clearly up or down: announced U.S. kiln additions through 2027 are roughly offset by closures, domestic plants would run at about 66% in 2029 and 78% by 2050 at a flat share (near past peaks of about 80%), and tariffs and new import terminals push in opposite directions. No source publishes a forward projection, so a reasonable range is 0.18-0.30 by 2050, which moves 2050 domestic clinker by about +/-8%. No import response to prices or policy is modeled. As a cross-check, building the 2025 share up from reported imports and exports gives 0.207; the gap comes from USGS rounding apparent consumption to two significant figures and from the 2025 drawdown in cement stocks (9.7 to 8.2 million tons).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</si>
</sst>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name val="Calibri"/>
      <family val="2"/>
    </font>
    <font>
      <b/>
      <sz val="11"/>
      <color rgb="FFC00000"/>
      <name val="Calibri"/>
      <family val="2"/>
    </font>
    <font>
      <b/>
      <sz val="11"/>
      <color theme="1"/>
      <name val="Calibri"/>
      <family val="2"/>
      <scheme val="minor"/>
    </font>
    <font>
      <u/>
      <sz val="11"/>
      <color theme="10"/>
      <name val="Calibri"/>
      <family val="2"/>
      <scheme val="minor"/>
    </font>
    <font>
      <u/>
      <sz val="11"/>
      <color rgb="FF0563C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11">
    <xf numFmtId="0" fontId="0" fillId="0" borderId="0" xfId="0"/>
    <xf numFmtId="0" fontId="1" fillId="0" borderId="0" xfId="0" applyFont="1"/>
    <xf numFmtId="0" fontId="0" fillId="0" borderId="0" xfId="0" applyAlignment="1">
      <alignment horizontal="left" vertical="top" wrapText="1"/>
    </xf>
    <xf numFmtId="0" fontId="2" fillId="0" borderId="0" xfId="0" applyFont="1"/>
    <xf numFmtId="0" fontId="1" fillId="0" borderId="0" xfId="0" applyFont="1" applyAlignment="1">
      <alignment horizontal="left" vertical="top" wrapText="1"/>
    </xf>
    <xf numFmtId="0" fontId="3" fillId="0" borderId="0" xfId="0" applyFont="1"/>
    <xf numFmtId="0" fontId="3" fillId="0" borderId="0" xfId="0" applyFont="1" applyAlignment="1">
      <alignment horizontal="left" vertical="top" wrapText="1"/>
    </xf>
    <xf numFmtId="0" fontId="3" fillId="0" borderId="0" xfId="0" applyFont="1" applyAlignment="1">
      <alignment horizontal="left" vertical="top"/>
    </xf>
    <xf numFmtId="0" fontId="3" fillId="2" borderId="0" xfId="0" applyFont="1" applyFill="1" applyAlignment="1">
      <alignment horizontal="left" vertical="top" wrapText="1"/>
    </xf>
    <xf numFmtId="0" fontId="5" fillId="0" borderId="0" xfId="1" applyFont="1" applyAlignment="1">
      <alignment horizontal="left" vertical="top" wrapText="1"/>
    </xf>
    <xf numFmtId="0" fontId="0" fillId="0" borderId="0" xfId="0" applyFont="1" applyAlignment="1">
      <alignment horizontal="lef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cementeurope.eu/media/d05l4xzp/eu-cement-industry-trade-statistics-full-year-2024-published-may25.pdf" TargetMode="External"/><Relationship Id="rId13" Type="http://schemas.openxmlformats.org/officeDocument/2006/relationships/hyperlink" Target="https://ised-isde.canada.ca/site/clean-growth-hub/sites/default/files/documents/2022-11/roadmap-net-zero-carbon-concrete-2050_0.pdf" TargetMode="External"/><Relationship Id="rId3" Type="http://schemas.openxmlformats.org/officeDocument/2006/relationships/hyperlink" Target="https://www.globalcement.com/news/analysis/21057-tariffs-in-july-2026" TargetMode="External"/><Relationship Id="rId7" Type="http://schemas.openxmlformats.org/officeDocument/2006/relationships/hyperlink" Target="https://www.cementeurope.eu/media/ncylewmn/cement-europe-statistics-report-2025.pdf" TargetMode="External"/><Relationship Id="rId12" Type="http://schemas.openxmlformats.org/officeDocument/2006/relationships/hyperlink" Target="https://cement.ca/wp-content/uploads/ConcreteZero-Report-FINAL-reduced.pdf" TargetMode="External"/><Relationship Id="rId2" Type="http://schemas.openxmlformats.org/officeDocument/2006/relationships/hyperlink" Target="https://www.argusmedia.com/news-and-insights/latest-market-news/2758546-us-cement-market-2026-outlook-shaky" TargetMode="External"/><Relationship Id="rId16" Type="http://schemas.openxmlformats.org/officeDocument/2006/relationships/hyperlink" Target="https://cement.org.au/australias-cement-industry/industry-report/" TargetMode="External"/><Relationship Id="rId1" Type="http://schemas.openxmlformats.org/officeDocument/2006/relationships/hyperlink" Target="https://pubs.usgs.gov/periodicals/mcs2026/mcs2026-cement.pdf" TargetMode="External"/><Relationship Id="rId6" Type="http://schemas.openxmlformats.org/officeDocument/2006/relationships/hyperlink" Target="https://www.aceee.org/wp-content/uploads/2026/07/ACEEE_Decarbonisation_in_Cement_Industry.pdf" TargetMode="External"/><Relationship Id="rId11" Type="http://schemas.openxmlformats.org/officeDocument/2006/relationships/hyperlink" Target="https://www.globalcement.com/news/19770-mexican-cement-consumption-falls-in-first-half-of-2025" TargetMode="External"/><Relationship Id="rId5" Type="http://schemas.openxmlformats.org/officeDocument/2006/relationships/hyperlink" Target="https://www.cemnet.com/News/story/178600/chinese-cement-dropped-sharply-in-2024-and-will-continue-to-fall.html" TargetMode="External"/><Relationship Id="rId15" Type="http://schemas.openxmlformats.org/officeDocument/2006/relationships/hyperlink" Target="https://wits.worldbank.org/trade/comtrade/en/country/JPN/year/2024/tradeflow/Exports/partner/ALL/product/252310" TargetMode="External"/><Relationship Id="rId10" Type="http://schemas.openxmlformats.org/officeDocument/2006/relationships/hyperlink" Target="https://grandesconstrucoes.com.br/Noticias/Exibir/snic-divulga-relatorio-anual-da-industria-do-cimento" TargetMode="External"/><Relationship Id="rId4" Type="http://schemas.openxmlformats.org/officeDocument/2006/relationships/hyperlink" Target="https://comtradeplus.un.org/" TargetMode="External"/><Relationship Id="rId9" Type="http://schemas.openxmlformats.org/officeDocument/2006/relationships/hyperlink" Target="https://www.cementeurope.eu/media/bw4j1sxx/cement-europe-trade-report-full-year-2025-april-2026.pdf" TargetMode="External"/><Relationship Id="rId14" Type="http://schemas.openxmlformats.org/officeDocument/2006/relationships/hyperlink" Target="https://asperssi.id/asperssi-ungkap-volume-produksi-penjualan-semen-di-2025-dan-proyeksi-untuk-202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4"/>
  <sheetViews>
    <sheetView tabSelected="1" workbookViewId="0"/>
  </sheetViews>
  <sheetFormatPr defaultRowHeight="14.5" x14ac:dyDescent="0.35"/>
  <cols>
    <col min="1" max="1" width="14.6328125" customWidth="1"/>
    <col min="2" max="2" width="110.6328125" customWidth="1"/>
    <col min="3" max="3" width="3.6328125" customWidth="1"/>
    <col min="4" max="4" width="110.6328125" customWidth="1"/>
  </cols>
  <sheetData>
    <row r="1" spans="1:4" x14ac:dyDescent="0.35">
      <c r="A1" s="7" t="s">
        <v>0</v>
      </c>
    </row>
    <row r="3" spans="1:4" x14ac:dyDescent="0.35">
      <c r="A3" s="6" t="s">
        <v>1</v>
      </c>
      <c r="B3" s="8" t="s">
        <v>70</v>
      </c>
      <c r="D3" s="8" t="s">
        <v>99</v>
      </c>
    </row>
    <row r="4" spans="1:4" x14ac:dyDescent="0.35">
      <c r="B4" s="10" t="s">
        <v>71</v>
      </c>
      <c r="D4" s="10" t="s">
        <v>95</v>
      </c>
    </row>
    <row r="5" spans="1:4" x14ac:dyDescent="0.35">
      <c r="B5" s="10" t="s">
        <v>72</v>
      </c>
      <c r="D5" s="10" t="s">
        <v>100</v>
      </c>
    </row>
    <row r="6" spans="1:4" x14ac:dyDescent="0.35">
      <c r="B6" s="10">
        <v>2026</v>
      </c>
      <c r="D6" s="10">
        <v>2026</v>
      </c>
    </row>
    <row r="7" spans="1:4" x14ac:dyDescent="0.35">
      <c r="B7" s="9" t="s">
        <v>2</v>
      </c>
      <c r="D7" s="9" t="s">
        <v>101</v>
      </c>
    </row>
    <row r="8" spans="1:4" ht="58" x14ac:dyDescent="0.35">
      <c r="B8" s="10" t="s">
        <v>73</v>
      </c>
      <c r="D8" s="10" t="s">
        <v>102</v>
      </c>
    </row>
    <row r="10" spans="1:4" x14ac:dyDescent="0.35">
      <c r="B10" s="8" t="s">
        <v>152</v>
      </c>
      <c r="D10" s="8" t="s">
        <v>103</v>
      </c>
    </row>
    <row r="11" spans="1:4" x14ac:dyDescent="0.35">
      <c r="B11" s="10" t="s">
        <v>153</v>
      </c>
      <c r="D11" s="10" t="s">
        <v>104</v>
      </c>
    </row>
    <row r="12" spans="1:4" x14ac:dyDescent="0.35">
      <c r="B12" s="10" t="s">
        <v>154</v>
      </c>
      <c r="D12" s="10" t="s">
        <v>105</v>
      </c>
    </row>
    <row r="13" spans="1:4" x14ac:dyDescent="0.35">
      <c r="B13" s="10">
        <v>2025</v>
      </c>
      <c r="D13" s="10"/>
    </row>
    <row r="14" spans="1:4" x14ac:dyDescent="0.35">
      <c r="B14" s="9" t="s">
        <v>155</v>
      </c>
      <c r="D14" s="9" t="s">
        <v>106</v>
      </c>
    </row>
    <row r="15" spans="1:4" ht="43.5" x14ac:dyDescent="0.35">
      <c r="B15" s="10" t="s">
        <v>156</v>
      </c>
      <c r="D15" s="10" t="s">
        <v>107</v>
      </c>
    </row>
    <row r="17" spans="2:4" x14ac:dyDescent="0.35">
      <c r="B17" s="8" t="s">
        <v>157</v>
      </c>
      <c r="D17" s="8" t="s">
        <v>108</v>
      </c>
    </row>
    <row r="18" spans="2:4" x14ac:dyDescent="0.35">
      <c r="B18" s="10" t="s">
        <v>109</v>
      </c>
      <c r="D18" s="10" t="s">
        <v>109</v>
      </c>
    </row>
    <row r="19" spans="2:4" x14ac:dyDescent="0.35">
      <c r="B19" s="10" t="s">
        <v>158</v>
      </c>
      <c r="D19" s="10" t="s">
        <v>110</v>
      </c>
    </row>
    <row r="20" spans="2:4" x14ac:dyDescent="0.35">
      <c r="B20" s="10">
        <v>2026</v>
      </c>
      <c r="D20" s="10">
        <v>2025</v>
      </c>
    </row>
    <row r="21" spans="2:4" x14ac:dyDescent="0.35">
      <c r="B21" s="9" t="s">
        <v>159</v>
      </c>
      <c r="D21" s="9" t="s">
        <v>111</v>
      </c>
    </row>
    <row r="22" spans="2:4" ht="43.5" x14ac:dyDescent="0.35">
      <c r="B22" s="10" t="s">
        <v>160</v>
      </c>
      <c r="D22" s="10" t="s">
        <v>112</v>
      </c>
    </row>
    <row r="24" spans="2:4" x14ac:dyDescent="0.35">
      <c r="B24" s="8" t="s">
        <v>74</v>
      </c>
      <c r="D24" s="8" t="s">
        <v>113</v>
      </c>
    </row>
    <row r="25" spans="2:4" x14ac:dyDescent="0.35">
      <c r="B25" s="10" t="s">
        <v>75</v>
      </c>
      <c r="D25" s="10" t="s">
        <v>114</v>
      </c>
    </row>
    <row r="26" spans="2:4" x14ac:dyDescent="0.35">
      <c r="B26" s="10" t="s">
        <v>76</v>
      </c>
      <c r="D26" s="10" t="s">
        <v>115</v>
      </c>
    </row>
    <row r="27" spans="2:4" x14ac:dyDescent="0.35">
      <c r="B27" s="10">
        <v>2026</v>
      </c>
      <c r="D27" s="10">
        <v>2023</v>
      </c>
    </row>
    <row r="28" spans="2:4" x14ac:dyDescent="0.35">
      <c r="B28" s="9" t="s">
        <v>77</v>
      </c>
      <c r="D28" s="9" t="s">
        <v>116</v>
      </c>
    </row>
    <row r="29" spans="2:4" ht="87" x14ac:dyDescent="0.35">
      <c r="B29" s="10" t="s">
        <v>78</v>
      </c>
      <c r="D29" s="10" t="s">
        <v>117</v>
      </c>
    </row>
    <row r="31" spans="2:4" x14ac:dyDescent="0.35">
      <c r="B31" s="8" t="s">
        <v>79</v>
      </c>
      <c r="D31" s="8" t="s">
        <v>118</v>
      </c>
    </row>
    <row r="32" spans="2:4" x14ac:dyDescent="0.35">
      <c r="B32" s="10" t="s">
        <v>80</v>
      </c>
      <c r="D32" s="10" t="s">
        <v>119</v>
      </c>
    </row>
    <row r="33" spans="2:4" x14ac:dyDescent="0.35">
      <c r="B33" s="10" t="s">
        <v>81</v>
      </c>
      <c r="D33" s="10" t="s">
        <v>120</v>
      </c>
    </row>
    <row r="34" spans="2:4" x14ac:dyDescent="0.35">
      <c r="B34" s="10">
        <v>2025</v>
      </c>
      <c r="D34" s="10">
        <v>2022</v>
      </c>
    </row>
    <row r="35" spans="2:4" ht="29" x14ac:dyDescent="0.35">
      <c r="B35" s="9" t="s">
        <v>82</v>
      </c>
      <c r="D35" s="9" t="s">
        <v>121</v>
      </c>
    </row>
    <row r="36" spans="2:4" ht="29" x14ac:dyDescent="0.35">
      <c r="B36" s="10" t="s">
        <v>83</v>
      </c>
      <c r="D36" s="10" t="s">
        <v>122</v>
      </c>
    </row>
    <row r="38" spans="2:4" x14ac:dyDescent="0.35">
      <c r="B38" s="8" t="s">
        <v>84</v>
      </c>
      <c r="D38" s="8" t="s">
        <v>123</v>
      </c>
    </row>
    <row r="39" spans="2:4" x14ac:dyDescent="0.35">
      <c r="B39" s="10" t="s">
        <v>85</v>
      </c>
      <c r="D39" s="10" t="s">
        <v>124</v>
      </c>
    </row>
    <row r="40" spans="2:4" x14ac:dyDescent="0.35">
      <c r="B40" s="10" t="s">
        <v>86</v>
      </c>
      <c r="D40" s="10" t="s">
        <v>125</v>
      </c>
    </row>
    <row r="41" spans="2:4" x14ac:dyDescent="0.35">
      <c r="B41" s="10">
        <v>2026</v>
      </c>
      <c r="D41" s="10">
        <v>2026</v>
      </c>
    </row>
    <row r="42" spans="2:4" x14ac:dyDescent="0.35">
      <c r="B42" s="9" t="s">
        <v>87</v>
      </c>
      <c r="D42" s="9" t="s">
        <v>126</v>
      </c>
    </row>
    <row r="43" spans="2:4" ht="29" x14ac:dyDescent="0.35">
      <c r="B43" s="10" t="s">
        <v>88</v>
      </c>
      <c r="D43" s="10" t="s">
        <v>127</v>
      </c>
    </row>
    <row r="45" spans="2:4" x14ac:dyDescent="0.35">
      <c r="B45" s="8" t="s">
        <v>89</v>
      </c>
      <c r="D45" s="8" t="s">
        <v>128</v>
      </c>
    </row>
    <row r="46" spans="2:4" x14ac:dyDescent="0.35">
      <c r="B46" s="10" t="s">
        <v>90</v>
      </c>
      <c r="D46" s="10" t="s">
        <v>129</v>
      </c>
    </row>
    <row r="47" spans="2:4" x14ac:dyDescent="0.35">
      <c r="B47" s="10" t="s">
        <v>91</v>
      </c>
      <c r="D47" s="10" t="s">
        <v>130</v>
      </c>
    </row>
    <row r="48" spans="2:4" x14ac:dyDescent="0.35">
      <c r="B48" s="10">
        <v>2025</v>
      </c>
      <c r="D48" s="10">
        <v>2024</v>
      </c>
    </row>
    <row r="49" spans="1:4" x14ac:dyDescent="0.35">
      <c r="B49" s="9" t="s">
        <v>92</v>
      </c>
      <c r="D49" s="9" t="s">
        <v>131</v>
      </c>
    </row>
    <row r="50" spans="1:4" ht="29" x14ac:dyDescent="0.35">
      <c r="B50" s="10" t="s">
        <v>93</v>
      </c>
      <c r="D50" s="10" t="s">
        <v>132</v>
      </c>
    </row>
    <row r="52" spans="1:4" x14ac:dyDescent="0.35">
      <c r="B52" s="8" t="s">
        <v>94</v>
      </c>
      <c r="D52" s="8" t="s">
        <v>133</v>
      </c>
    </row>
    <row r="53" spans="1:4" x14ac:dyDescent="0.35">
      <c r="B53" s="10" t="s">
        <v>95</v>
      </c>
      <c r="D53" s="10" t="s">
        <v>134</v>
      </c>
    </row>
    <row r="54" spans="1:4" x14ac:dyDescent="0.35">
      <c r="B54" s="10" t="s">
        <v>96</v>
      </c>
      <c r="D54" s="10" t="s">
        <v>135</v>
      </c>
    </row>
    <row r="55" spans="1:4" x14ac:dyDescent="0.35">
      <c r="B55" s="10">
        <v>2025</v>
      </c>
      <c r="D55" s="10"/>
    </row>
    <row r="56" spans="1:4" x14ac:dyDescent="0.35">
      <c r="B56" s="9" t="s">
        <v>97</v>
      </c>
      <c r="D56" s="9" t="s">
        <v>136</v>
      </c>
    </row>
    <row r="57" spans="1:4" ht="29" x14ac:dyDescent="0.35">
      <c r="B57" s="10" t="s">
        <v>98</v>
      </c>
      <c r="D57" s="10" t="s">
        <v>137</v>
      </c>
    </row>
    <row r="60" spans="1:4" x14ac:dyDescent="0.35">
      <c r="A60" s="6" t="s">
        <v>3</v>
      </c>
    </row>
    <row r="61" spans="1:4" ht="145" x14ac:dyDescent="0.35">
      <c r="A61" s="6" t="s">
        <v>138</v>
      </c>
      <c r="B61" s="10" t="s">
        <v>139</v>
      </c>
    </row>
    <row r="62" spans="1:4" ht="72.5" x14ac:dyDescent="0.35">
      <c r="A62" s="6" t="s">
        <v>140</v>
      </c>
      <c r="B62" s="10" t="s">
        <v>141</v>
      </c>
    </row>
    <row r="63" spans="1:4" ht="159.5" x14ac:dyDescent="0.35">
      <c r="A63" s="6" t="s">
        <v>142</v>
      </c>
      <c r="B63" s="10" t="s">
        <v>161</v>
      </c>
    </row>
    <row r="64" spans="1:4" ht="130.5" x14ac:dyDescent="0.35">
      <c r="A64" s="6" t="s">
        <v>143</v>
      </c>
      <c r="B64" s="10" t="s">
        <v>144</v>
      </c>
    </row>
  </sheetData>
  <hyperlinks>
    <hyperlink ref="B7" r:id="rId1" xr:uid="{09D04C90-C30D-4F68-9107-281CC66D53FF}"/>
    <hyperlink ref="B14" r:id="rId2" xr:uid="{E04CDC8D-FE42-41CE-8965-FB94886F80BA}"/>
    <hyperlink ref="B21" r:id="rId3" xr:uid="{0D16EFB0-BDBD-42B5-90C8-8D618F9A43AC}"/>
    <hyperlink ref="B28" r:id="rId4" xr:uid="{AE52B43A-379C-43B7-B2BD-36118D5EF70A}"/>
    <hyperlink ref="B35" r:id="rId5" xr:uid="{DD266204-B249-4430-82AA-AAAFCDB12B8D}"/>
    <hyperlink ref="B42" r:id="rId6" xr:uid="{E1DA003A-6578-4F3B-AE62-0E50E47EE57E}"/>
    <hyperlink ref="B49" r:id="rId7" xr:uid="{E49CFE4B-1F40-4783-BC0A-989EEBBC3450}"/>
    <hyperlink ref="B56" r:id="rId8" xr:uid="{2E15D8B5-9021-4A25-AD32-6D4E39B3E55B}"/>
    <hyperlink ref="D7" r:id="rId9" xr:uid="{1800B7C6-448B-4A4D-A2C5-BFF3354F871E}"/>
    <hyperlink ref="D14" r:id="rId10" xr:uid="{0B416381-BD8C-4E6D-AB5E-7BF79C105E4E}"/>
    <hyperlink ref="D21" r:id="rId11" xr:uid="{890FADC6-6F2B-4F48-B983-80BEC7CB4E2F}"/>
    <hyperlink ref="D28" r:id="rId12" xr:uid="{A68171BC-DB91-48B3-A4AB-DF5B4D1453CD}"/>
    <hyperlink ref="D35" r:id="rId13" xr:uid="{87D23A45-14AD-4936-B2DA-36AC43228921}"/>
    <hyperlink ref="D42" r:id="rId14" xr:uid="{C626E993-7AED-4FD5-8282-9DD1CBB086B6}"/>
    <hyperlink ref="D49" r:id="rId15" xr:uid="{70E4295D-7D54-4482-AE1F-E5B6C363FD1D}"/>
    <hyperlink ref="D56" r:id="rId16" xr:uid="{65723EBE-84DF-48DF-8574-F044EB66DEA1}"/>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4"/>
  <sheetViews>
    <sheetView workbookViewId="0">
      <pane xSplit="1" ySplit="4" topLeftCell="B5" activePane="bottomRight" state="frozen"/>
      <selection pane="topRight"/>
      <selection pane="bottomLeft"/>
      <selection pane="bottomRight"/>
    </sheetView>
  </sheetViews>
  <sheetFormatPr defaultRowHeight="14.5" x14ac:dyDescent="0.35"/>
  <cols>
    <col min="1" max="1" width="18" customWidth="1"/>
    <col min="2" max="2" width="12" customWidth="1"/>
    <col min="3" max="3" width="26" customWidth="1"/>
    <col min="4" max="4" width="10" customWidth="1"/>
    <col min="5" max="5" width="80" customWidth="1"/>
  </cols>
  <sheetData>
    <row r="1" spans="1:5" x14ac:dyDescent="0.35">
      <c r="A1" s="1" t="s">
        <v>4</v>
      </c>
      <c r="B1" s="3" t="s">
        <v>5</v>
      </c>
    </row>
    <row r="2" spans="1:5" ht="130.5" x14ac:dyDescent="0.35">
      <c r="A2" s="2" t="s">
        <v>145</v>
      </c>
    </row>
    <row r="4" spans="1:5" ht="29" x14ac:dyDescent="0.35">
      <c r="A4" s="4" t="s">
        <v>6</v>
      </c>
      <c r="B4" s="4" t="s">
        <v>7</v>
      </c>
      <c r="C4" s="4" t="s">
        <v>8</v>
      </c>
      <c r="D4" s="4" t="s">
        <v>9</v>
      </c>
      <c r="E4" s="4" t="s">
        <v>10</v>
      </c>
    </row>
    <row r="5" spans="1:5" x14ac:dyDescent="0.35">
      <c r="A5" t="s">
        <v>5</v>
      </c>
      <c r="B5">
        <v>2025</v>
      </c>
      <c r="C5">
        <f>Derivation!G10</f>
        <v>0.24359877848249933</v>
      </c>
      <c r="D5" t="s">
        <v>11</v>
      </c>
      <c r="E5" t="s">
        <v>12</v>
      </c>
    </row>
    <row r="6" spans="1:5" x14ac:dyDescent="0.35">
      <c r="A6" t="s">
        <v>13</v>
      </c>
      <c r="B6">
        <v>2024</v>
      </c>
      <c r="C6">
        <f>(((0.06-5.02)+(0.28-0.34))/1858.9)</f>
        <v>-2.7005218139760068E-3</v>
      </c>
      <c r="D6" t="s">
        <v>14</v>
      </c>
      <c r="E6" t="s">
        <v>15</v>
      </c>
    </row>
    <row r="7" spans="1:5" x14ac:dyDescent="0.35">
      <c r="A7" t="s">
        <v>16</v>
      </c>
      <c r="B7">
        <v>2024</v>
      </c>
      <c r="C7">
        <f>(((0.74-0.98)*0.73+(1.55-0.02))/(435*0.73))</f>
        <v>4.2664147378365614E-3</v>
      </c>
      <c r="D7" t="s">
        <v>14</v>
      </c>
      <c r="E7" t="s">
        <v>146</v>
      </c>
    </row>
    <row r="8" spans="1:5" x14ac:dyDescent="0.35">
      <c r="A8" t="s">
        <v>17</v>
      </c>
      <c r="B8">
        <v>2024</v>
      </c>
      <c r="C8">
        <f>((11.3-11.2)/148.1)</f>
        <v>6.752194463200636E-4</v>
      </c>
      <c r="D8" t="s">
        <v>14</v>
      </c>
      <c r="E8" t="s">
        <v>18</v>
      </c>
    </row>
    <row r="9" spans="1:5" x14ac:dyDescent="0.35">
      <c r="A9" t="s">
        <v>19</v>
      </c>
      <c r="B9">
        <v>2024</v>
      </c>
      <c r="E9" t="s">
        <v>20</v>
      </c>
    </row>
    <row r="10" spans="1:5" x14ac:dyDescent="0.35">
      <c r="A10" t="s">
        <v>21</v>
      </c>
      <c r="B10">
        <v>2024</v>
      </c>
      <c r="C10">
        <f>(((0.14-0.07)*0.71+0.92)/(64.8*0.71))</f>
        <v>2.1076769257520434E-2</v>
      </c>
      <c r="D10" t="s">
        <v>14</v>
      </c>
      <c r="E10" t="s">
        <v>22</v>
      </c>
    </row>
    <row r="11" spans="1:5" x14ac:dyDescent="0.35">
      <c r="A11" t="s">
        <v>23</v>
      </c>
      <c r="B11">
        <v>2024</v>
      </c>
      <c r="C11">
        <f>(((0.1-1.38)*0.75+0)/(42*0.75))</f>
        <v>-3.0476190476190473E-2</v>
      </c>
      <c r="D11" t="s">
        <v>14</v>
      </c>
      <c r="E11" t="s">
        <v>147</v>
      </c>
    </row>
    <row r="12" spans="1:5" x14ac:dyDescent="0.35">
      <c r="A12" t="s">
        <v>24</v>
      </c>
      <c r="B12">
        <v>2024</v>
      </c>
      <c r="C12">
        <f>(((1.2-4.39)*0.89-0.47)/((12.7+1.2-(4.39+0.47))*0.89))</f>
        <v>-0.41129312916376659</v>
      </c>
      <c r="D12" t="s">
        <v>14</v>
      </c>
      <c r="E12" t="s">
        <v>148</v>
      </c>
    </row>
    <row r="13" spans="1:5" x14ac:dyDescent="0.35">
      <c r="A13" t="s">
        <v>25</v>
      </c>
      <c r="B13">
        <v>2025</v>
      </c>
      <c r="C13">
        <f>(-(12.34+1.32*0.68)/(57.301-12.34))</f>
        <v>-0.29442405640443942</v>
      </c>
      <c r="D13" t="s">
        <v>14</v>
      </c>
      <c r="E13" t="s">
        <v>149</v>
      </c>
    </row>
    <row r="14" spans="1:5" x14ac:dyDescent="0.35">
      <c r="A14" t="s">
        <v>26</v>
      </c>
      <c r="E14" t="s">
        <v>27</v>
      </c>
    </row>
  </sheetData>
  <dataValidations count="1">
    <dataValidation type="list" sqref="B1" xr:uid="{00000000-0002-0000-0100-000000000000}">
      <formula1>$A$5:$A$14</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1"/>
  <sheetViews>
    <sheetView workbookViewId="0">
      <pane ySplit="3" topLeftCell="A4" activePane="bottomLeft" state="frozen"/>
      <selection pane="bottomLeft"/>
    </sheetView>
  </sheetViews>
  <sheetFormatPr defaultRowHeight="14.5" x14ac:dyDescent="0.35"/>
  <cols>
    <col min="1" max="1" width="70" customWidth="1"/>
  </cols>
  <sheetData>
    <row r="1" spans="1:6" x14ac:dyDescent="0.35">
      <c r="A1" t="s">
        <v>28</v>
      </c>
    </row>
    <row r="3" spans="1:6" x14ac:dyDescent="0.35">
      <c r="A3" t="s">
        <v>29</v>
      </c>
      <c r="B3">
        <v>2021</v>
      </c>
      <c r="C3">
        <v>2022</v>
      </c>
      <c r="D3">
        <v>2023</v>
      </c>
      <c r="E3">
        <v>2024</v>
      </c>
      <c r="F3" t="s">
        <v>30</v>
      </c>
    </row>
    <row r="4" spans="1:6" x14ac:dyDescent="0.35">
      <c r="A4" t="s">
        <v>31</v>
      </c>
      <c r="B4">
        <v>91000</v>
      </c>
      <c r="C4">
        <v>91200</v>
      </c>
      <c r="D4">
        <v>89700</v>
      </c>
      <c r="E4">
        <v>85000</v>
      </c>
      <c r="F4">
        <v>84000</v>
      </c>
    </row>
    <row r="5" spans="1:6" x14ac:dyDescent="0.35">
      <c r="A5" t="s">
        <v>32</v>
      </c>
      <c r="B5">
        <v>79616</v>
      </c>
      <c r="C5">
        <v>79489</v>
      </c>
      <c r="D5">
        <v>76789</v>
      </c>
      <c r="E5">
        <v>72000</v>
      </c>
      <c r="F5">
        <v>69000</v>
      </c>
    </row>
    <row r="6" spans="1:6" x14ac:dyDescent="0.35">
      <c r="A6" t="s">
        <v>33</v>
      </c>
      <c r="B6">
        <v>108969</v>
      </c>
      <c r="C6">
        <v>111092</v>
      </c>
      <c r="D6">
        <v>110290</v>
      </c>
      <c r="E6">
        <v>100000</v>
      </c>
      <c r="F6">
        <v>100000</v>
      </c>
    </row>
    <row r="7" spans="1:6" x14ac:dyDescent="0.35">
      <c r="A7" t="s">
        <v>34</v>
      </c>
      <c r="B7">
        <v>19937</v>
      </c>
      <c r="C7">
        <v>24985</v>
      </c>
      <c r="D7">
        <v>24986</v>
      </c>
      <c r="E7">
        <v>23675</v>
      </c>
      <c r="F7">
        <v>23000</v>
      </c>
    </row>
    <row r="8" spans="1:6" x14ac:dyDescent="0.35">
      <c r="A8" t="s">
        <v>35</v>
      </c>
      <c r="B8">
        <v>1563</v>
      </c>
      <c r="C8">
        <v>1021</v>
      </c>
      <c r="D8">
        <v>921</v>
      </c>
      <c r="E8">
        <v>685</v>
      </c>
      <c r="F8">
        <v>660</v>
      </c>
    </row>
    <row r="9" spans="1:6" x14ac:dyDescent="0.35">
      <c r="A9" t="s">
        <v>36</v>
      </c>
      <c r="B9">
        <v>939</v>
      </c>
      <c r="C9">
        <v>904</v>
      </c>
      <c r="D9">
        <v>889</v>
      </c>
      <c r="E9">
        <v>932</v>
      </c>
      <c r="F9">
        <v>1000</v>
      </c>
    </row>
    <row r="10" spans="1:6" x14ac:dyDescent="0.35">
      <c r="A10" t="s">
        <v>37</v>
      </c>
      <c r="B10">
        <v>111000</v>
      </c>
      <c r="C10">
        <v>114000</v>
      </c>
      <c r="D10">
        <v>113000</v>
      </c>
      <c r="E10">
        <v>110000</v>
      </c>
      <c r="F10">
        <v>110000</v>
      </c>
    </row>
    <row r="11" spans="1:6" x14ac:dyDescent="0.35">
      <c r="A11" t="s">
        <v>38</v>
      </c>
      <c r="B11">
        <v>127</v>
      </c>
      <c r="C11">
        <v>139</v>
      </c>
      <c r="D11">
        <v>152</v>
      </c>
      <c r="E11">
        <v>160</v>
      </c>
      <c r="F11">
        <v>160</v>
      </c>
    </row>
    <row r="12" spans="1:6" x14ac:dyDescent="0.35">
      <c r="A12" t="s">
        <v>39</v>
      </c>
      <c r="B12">
        <v>6280</v>
      </c>
      <c r="C12">
        <v>8010</v>
      </c>
      <c r="D12">
        <v>8830</v>
      </c>
      <c r="E12">
        <v>9700</v>
      </c>
      <c r="F12">
        <v>8200</v>
      </c>
    </row>
    <row r="13" spans="1:6" x14ac:dyDescent="0.35">
      <c r="A13" t="s">
        <v>40</v>
      </c>
      <c r="B13">
        <v>19</v>
      </c>
      <c r="C13">
        <v>22</v>
      </c>
      <c r="D13">
        <v>22</v>
      </c>
      <c r="E13">
        <v>22</v>
      </c>
      <c r="F13">
        <v>21</v>
      </c>
    </row>
    <row r="15" spans="1:6" x14ac:dyDescent="0.35">
      <c r="A15" t="s">
        <v>41</v>
      </c>
      <c r="B15" t="s">
        <v>42</v>
      </c>
      <c r="C15" t="s">
        <v>43</v>
      </c>
      <c r="D15" t="s">
        <v>44</v>
      </c>
      <c r="E15" t="s">
        <v>45</v>
      </c>
    </row>
    <row r="16" spans="1:6" x14ac:dyDescent="0.35">
      <c r="A16" t="s">
        <v>46</v>
      </c>
      <c r="B16">
        <v>85000</v>
      </c>
      <c r="C16">
        <v>84000</v>
      </c>
      <c r="D16">
        <v>100000</v>
      </c>
      <c r="E16">
        <v>100000</v>
      </c>
    </row>
    <row r="17" spans="1:5" x14ac:dyDescent="0.35">
      <c r="A17" t="s">
        <v>21</v>
      </c>
      <c r="B17">
        <v>65000</v>
      </c>
      <c r="C17">
        <v>67000</v>
      </c>
      <c r="D17">
        <v>60000</v>
      </c>
      <c r="E17">
        <v>61000</v>
      </c>
    </row>
    <row r="18" spans="1:5" x14ac:dyDescent="0.35">
      <c r="A18" t="s">
        <v>13</v>
      </c>
      <c r="B18">
        <v>1800000</v>
      </c>
      <c r="C18">
        <v>1700000</v>
      </c>
      <c r="D18">
        <v>1900000</v>
      </c>
      <c r="E18">
        <v>1800000</v>
      </c>
    </row>
    <row r="19" spans="1:5" x14ac:dyDescent="0.35">
      <c r="A19" t="s">
        <v>47</v>
      </c>
      <c r="B19">
        <v>53000</v>
      </c>
      <c r="C19">
        <v>64000</v>
      </c>
      <c r="D19">
        <v>60000</v>
      </c>
      <c r="E19">
        <v>75000</v>
      </c>
    </row>
    <row r="20" spans="1:5" x14ac:dyDescent="0.35">
      <c r="A20" t="s">
        <v>16</v>
      </c>
      <c r="B20">
        <v>440000</v>
      </c>
      <c r="C20">
        <v>470000</v>
      </c>
      <c r="D20">
        <v>380000</v>
      </c>
      <c r="E20">
        <v>400000</v>
      </c>
    </row>
    <row r="21" spans="1:5" x14ac:dyDescent="0.35">
      <c r="A21" t="s">
        <v>25</v>
      </c>
      <c r="B21">
        <v>68000</v>
      </c>
      <c r="C21">
        <v>64000</v>
      </c>
      <c r="D21">
        <v>79000</v>
      </c>
      <c r="E21">
        <v>83000</v>
      </c>
    </row>
    <row r="22" spans="1:5" x14ac:dyDescent="0.35">
      <c r="A22" t="s">
        <v>48</v>
      </c>
      <c r="B22">
        <v>71000</v>
      </c>
      <c r="C22">
        <v>68000</v>
      </c>
      <c r="D22">
        <v>85000</v>
      </c>
      <c r="E22">
        <v>85000</v>
      </c>
    </row>
    <row r="23" spans="1:5" x14ac:dyDescent="0.35">
      <c r="A23" t="s">
        <v>19</v>
      </c>
      <c r="B23">
        <v>46000</v>
      </c>
      <c r="C23">
        <v>44000</v>
      </c>
      <c r="D23">
        <v>50000</v>
      </c>
      <c r="E23">
        <v>50000</v>
      </c>
    </row>
    <row r="24" spans="1:5" x14ac:dyDescent="0.35">
      <c r="A24" t="s">
        <v>49</v>
      </c>
      <c r="B24">
        <v>44000</v>
      </c>
      <c r="C24">
        <v>37000</v>
      </c>
      <c r="D24">
        <v>62000</v>
      </c>
      <c r="E24">
        <v>62000</v>
      </c>
    </row>
    <row r="25" spans="1:5" x14ac:dyDescent="0.35">
      <c r="A25" t="s">
        <v>23</v>
      </c>
      <c r="B25">
        <v>44000</v>
      </c>
      <c r="C25">
        <v>42000</v>
      </c>
      <c r="D25">
        <v>42000</v>
      </c>
      <c r="E25">
        <v>42000</v>
      </c>
    </row>
    <row r="26" spans="1:5" x14ac:dyDescent="0.35">
      <c r="A26" t="s">
        <v>50</v>
      </c>
      <c r="B26">
        <v>67000</v>
      </c>
      <c r="C26">
        <v>59000</v>
      </c>
      <c r="D26">
        <v>80000</v>
      </c>
      <c r="E26">
        <v>80000</v>
      </c>
    </row>
    <row r="27" spans="1:5" x14ac:dyDescent="0.35">
      <c r="A27" t="s">
        <v>51</v>
      </c>
      <c r="B27">
        <v>51000</v>
      </c>
      <c r="C27">
        <v>54000</v>
      </c>
      <c r="D27">
        <v>75000</v>
      </c>
      <c r="E27">
        <v>75000</v>
      </c>
    </row>
    <row r="28" spans="1:5" x14ac:dyDescent="0.35">
      <c r="A28" t="s">
        <v>52</v>
      </c>
      <c r="B28">
        <v>85000</v>
      </c>
      <c r="C28">
        <v>89000</v>
      </c>
      <c r="D28">
        <v>100000</v>
      </c>
      <c r="E28">
        <v>100000</v>
      </c>
    </row>
    <row r="29" spans="1:5" x14ac:dyDescent="0.35">
      <c r="A29" t="s">
        <v>53</v>
      </c>
      <c r="B29">
        <v>91000</v>
      </c>
      <c r="C29">
        <v>100000</v>
      </c>
      <c r="D29">
        <v>110000</v>
      </c>
      <c r="E29">
        <v>110000</v>
      </c>
    </row>
    <row r="30" spans="1:5" x14ac:dyDescent="0.35">
      <c r="A30" t="s">
        <v>54</v>
      </c>
      <c r="B30">
        <v>860000</v>
      </c>
      <c r="C30">
        <v>860000</v>
      </c>
      <c r="D30">
        <v>650000</v>
      </c>
      <c r="E30">
        <v>650000</v>
      </c>
    </row>
    <row r="31" spans="1:5" x14ac:dyDescent="0.35">
      <c r="A31" t="s">
        <v>55</v>
      </c>
      <c r="B31">
        <v>3900000</v>
      </c>
      <c r="C31">
        <v>3800000</v>
      </c>
      <c r="D31">
        <v>3800000</v>
      </c>
      <c r="E31">
        <v>3800000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E14"/>
  <sheetViews>
    <sheetView workbookViewId="0"/>
  </sheetViews>
  <sheetFormatPr defaultRowHeight="14.5" x14ac:dyDescent="0.35"/>
  <cols>
    <col min="1" max="1" width="60" customWidth="1"/>
  </cols>
  <sheetData>
    <row r="1" spans="1:31" x14ac:dyDescent="0.35">
      <c r="A1" t="s">
        <v>56</v>
      </c>
      <c r="B1" t="str">
        <f>Regions!B1</f>
        <v>United States</v>
      </c>
    </row>
    <row r="2" spans="1:31" x14ac:dyDescent="0.35">
      <c r="A2" t="s">
        <v>57</v>
      </c>
      <c r="B2">
        <f>IF(ISNUMBER(INDEX(Regions!$C$5:$C$14,MATCH(Regions!$B$1,Regions!$A$5:$A$14,0))),INDEX(Regions!$C$5:$C$14,MATCH(Regions!$B$1,Regions!$A$5:$A$14,0)),0)</f>
        <v>0.24359877848249933</v>
      </c>
    </row>
    <row r="3" spans="1:31" x14ac:dyDescent="0.35">
      <c r="A3" t="s">
        <v>58</v>
      </c>
      <c r="B3">
        <f>IF(B1="United States",1,0)</f>
        <v>1</v>
      </c>
    </row>
    <row r="5" spans="1:31" x14ac:dyDescent="0.35">
      <c r="A5" t="s">
        <v>59</v>
      </c>
    </row>
    <row r="6" spans="1:31" x14ac:dyDescent="0.35">
      <c r="A6" t="s">
        <v>60</v>
      </c>
      <c r="B6">
        <v>2021</v>
      </c>
      <c r="C6">
        <v>2022</v>
      </c>
      <c r="D6">
        <v>2023</v>
      </c>
      <c r="E6">
        <v>2024</v>
      </c>
      <c r="F6">
        <v>2025</v>
      </c>
    </row>
    <row r="7" spans="1:31" x14ac:dyDescent="0.35">
      <c r="A7" t="s">
        <v>61</v>
      </c>
      <c r="B7">
        <f>(('USGS MCS 2026 Cement'!B5+'USGS MCS 2026 Cement'!B8)/'USGS MCS 2026 Cement'!B4)</f>
        <v>0.8920769230769231</v>
      </c>
      <c r="C7">
        <f>(('USGS MCS 2026 Cement'!C5+'USGS MCS 2026 Cement'!C8)/'USGS MCS 2026 Cement'!C4)</f>
        <v>0.8827850877192982</v>
      </c>
      <c r="D7">
        <f>(('USGS MCS 2026 Cement'!D5+'USGS MCS 2026 Cement'!D8)/'USGS MCS 2026 Cement'!D4)</f>
        <v>0.86633221850613151</v>
      </c>
      <c r="E7">
        <f>(('USGS MCS 2026 Cement'!E5+'USGS MCS 2026 Cement'!E8)/'USGS MCS 2026 Cement'!E4)</f>
        <v>0.85511764705882354</v>
      </c>
      <c r="F7">
        <f>(('USGS MCS 2026 Cement'!F5+'USGS MCS 2026 Cement'!F8)/'USGS MCS 2026 Cement'!F4)</f>
        <v>0.82928571428571429</v>
      </c>
    </row>
    <row r="8" spans="1:31" x14ac:dyDescent="0.35">
      <c r="A8" t="s">
        <v>62</v>
      </c>
      <c r="B8">
        <f>'USGS MCS 2026 Cement'!B10*B7</f>
        <v>99020.538461538468</v>
      </c>
      <c r="C8">
        <f>'USGS MCS 2026 Cement'!C10*C7</f>
        <v>100637.5</v>
      </c>
      <c r="D8">
        <f>'USGS MCS 2026 Cement'!D10*D7</f>
        <v>97895.540691192859</v>
      </c>
      <c r="E8">
        <f>'USGS MCS 2026 Cement'!E10*E7</f>
        <v>94062.941176470587</v>
      </c>
      <c r="F8">
        <f>'USGS MCS 2026 Cement'!F10*F7</f>
        <v>91221.428571428565</v>
      </c>
    </row>
    <row r="9" spans="1:31" x14ac:dyDescent="0.35">
      <c r="A9" t="s">
        <v>63</v>
      </c>
      <c r="B9">
        <f>'USGS MCS 2026 Cement'!B5</f>
        <v>79616</v>
      </c>
      <c r="C9">
        <f>'USGS MCS 2026 Cement'!C5</f>
        <v>79489</v>
      </c>
      <c r="D9">
        <f>'USGS MCS 2026 Cement'!D5</f>
        <v>76789</v>
      </c>
      <c r="E9">
        <f>'USGS MCS 2026 Cement'!E5</f>
        <v>72000</v>
      </c>
      <c r="F9">
        <f>'USGS MCS 2026 Cement'!F5</f>
        <v>69000</v>
      </c>
    </row>
    <row r="10" spans="1:31" x14ac:dyDescent="0.35">
      <c r="A10" t="s">
        <v>151</v>
      </c>
      <c r="B10">
        <f>(1-B9/B8)</f>
        <v>0.19596478430659692</v>
      </c>
      <c r="C10">
        <f>(1-C9/C8)</f>
        <v>0.21014532356229043</v>
      </c>
      <c r="D10">
        <f>(1-D9/D8)</f>
        <v>0.2156026775292299</v>
      </c>
      <c r="E10">
        <f>(1-E9/E8)</f>
        <v>0.23455508514323953</v>
      </c>
      <c r="F10">
        <f>(1-F9/F8)</f>
        <v>0.24359877848249933</v>
      </c>
      <c r="G10">
        <f>F10</f>
        <v>0.24359877848249933</v>
      </c>
      <c r="H10" t="s">
        <v>64</v>
      </c>
    </row>
    <row r="11" spans="1:31" x14ac:dyDescent="0.35">
      <c r="A11" t="s">
        <v>65</v>
      </c>
      <c r="B11">
        <f>('USGS MCS 2026 Cement'!B7*B7+'USGS MCS 2026 Cement'!B8-'USGS MCS 2026 Cement'!B9*B7)/B8</f>
        <v>0.18693775727956979</v>
      </c>
      <c r="C11">
        <f>('USGS MCS 2026 Cement'!C7*C7+'USGS MCS 2026 Cement'!C8-'USGS MCS 2026 Cement'!C9*C7)/C8</f>
        <v>0.22138216566755353</v>
      </c>
      <c r="D11">
        <f>('USGS MCS 2026 Cement'!D7*D7+'USGS MCS 2026 Cement'!D8-'USGS MCS 2026 Cement'!D9*D7)/D8</f>
        <v>0.22265577487436275</v>
      </c>
      <c r="E11">
        <f>('USGS MCS 2026 Cement'!E7*E7+'USGS MCS 2026 Cement'!E8-'USGS MCS 2026 Cement'!E9*E7)/E8</f>
        <v>0.21403690332505768</v>
      </c>
      <c r="F11">
        <f>('USGS MCS 2026 Cement'!F7*F7+'USGS MCS 2026 Cement'!F8-'USGS MCS 2026 Cement'!F9*F7)/F8</f>
        <v>0.20723514211886307</v>
      </c>
    </row>
    <row r="13" spans="1:31" x14ac:dyDescent="0.35">
      <c r="A13" t="s">
        <v>60</v>
      </c>
      <c r="B13">
        <v>2021</v>
      </c>
      <c r="C13">
        <v>2022</v>
      </c>
      <c r="D13">
        <v>2023</v>
      </c>
      <c r="E13">
        <v>2024</v>
      </c>
      <c r="F13">
        <v>2025</v>
      </c>
      <c r="G13">
        <v>2026</v>
      </c>
      <c r="H13">
        <v>2027</v>
      </c>
      <c r="I13">
        <v>2028</v>
      </c>
      <c r="J13">
        <v>2029</v>
      </c>
      <c r="K13">
        <v>2030</v>
      </c>
      <c r="L13">
        <v>2031</v>
      </c>
      <c r="M13">
        <v>2032</v>
      </c>
      <c r="N13">
        <v>2033</v>
      </c>
      <c r="O13">
        <v>2034</v>
      </c>
      <c r="P13">
        <v>2035</v>
      </c>
      <c r="Q13">
        <v>2036</v>
      </c>
      <c r="R13">
        <v>2037</v>
      </c>
      <c r="S13">
        <v>2038</v>
      </c>
      <c r="T13">
        <v>2039</v>
      </c>
      <c r="U13">
        <v>2040</v>
      </c>
      <c r="V13">
        <v>2041</v>
      </c>
      <c r="W13">
        <v>2042</v>
      </c>
      <c r="X13">
        <v>2043</v>
      </c>
      <c r="Y13">
        <v>2044</v>
      </c>
      <c r="Z13">
        <v>2045</v>
      </c>
      <c r="AA13">
        <v>2046</v>
      </c>
      <c r="AB13">
        <v>2047</v>
      </c>
      <c r="AC13">
        <v>2048</v>
      </c>
      <c r="AD13">
        <v>2049</v>
      </c>
      <c r="AE13">
        <v>2050</v>
      </c>
    </row>
    <row r="14" spans="1:31" x14ac:dyDescent="0.35">
      <c r="A14" t="s">
        <v>66</v>
      </c>
      <c r="B14">
        <f>IF($B$3=1,B10,$B$2)</f>
        <v>0.19596478430659692</v>
      </c>
      <c r="C14">
        <f>IF($B$3=1,C10,$B$2)</f>
        <v>0.21014532356229043</v>
      </c>
      <c r="D14">
        <f>IF($B$3=1,D10,$B$2)</f>
        <v>0.2156026775292299</v>
      </c>
      <c r="E14">
        <f>IF($B$3=1,E10,$B$2)</f>
        <v>0.23455508514323953</v>
      </c>
      <c r="F14">
        <f>IF($B$3=1,F10,$B$2)</f>
        <v>0.24359877848249933</v>
      </c>
      <c r="G14">
        <f t="shared" ref="G14:AE14" si="0">$B$2</f>
        <v>0.24359877848249933</v>
      </c>
      <c r="H14">
        <f t="shared" si="0"/>
        <v>0.24359877848249933</v>
      </c>
      <c r="I14">
        <f t="shared" si="0"/>
        <v>0.24359877848249933</v>
      </c>
      <c r="J14">
        <f t="shared" si="0"/>
        <v>0.24359877848249933</v>
      </c>
      <c r="K14">
        <f t="shared" si="0"/>
        <v>0.24359877848249933</v>
      </c>
      <c r="L14">
        <f t="shared" si="0"/>
        <v>0.24359877848249933</v>
      </c>
      <c r="M14">
        <f t="shared" si="0"/>
        <v>0.24359877848249933</v>
      </c>
      <c r="N14">
        <f t="shared" si="0"/>
        <v>0.24359877848249933</v>
      </c>
      <c r="O14">
        <f t="shared" si="0"/>
        <v>0.24359877848249933</v>
      </c>
      <c r="P14">
        <f t="shared" si="0"/>
        <v>0.24359877848249933</v>
      </c>
      <c r="Q14">
        <f t="shared" si="0"/>
        <v>0.24359877848249933</v>
      </c>
      <c r="R14">
        <f t="shared" si="0"/>
        <v>0.24359877848249933</v>
      </c>
      <c r="S14">
        <f t="shared" si="0"/>
        <v>0.24359877848249933</v>
      </c>
      <c r="T14">
        <f t="shared" si="0"/>
        <v>0.24359877848249933</v>
      </c>
      <c r="U14">
        <f t="shared" si="0"/>
        <v>0.24359877848249933</v>
      </c>
      <c r="V14">
        <f t="shared" si="0"/>
        <v>0.24359877848249933</v>
      </c>
      <c r="W14">
        <f t="shared" si="0"/>
        <v>0.24359877848249933</v>
      </c>
      <c r="X14">
        <f t="shared" si="0"/>
        <v>0.24359877848249933</v>
      </c>
      <c r="Y14">
        <f t="shared" si="0"/>
        <v>0.24359877848249933</v>
      </c>
      <c r="Z14">
        <f t="shared" si="0"/>
        <v>0.24359877848249933</v>
      </c>
      <c r="AA14">
        <f t="shared" si="0"/>
        <v>0.24359877848249933</v>
      </c>
      <c r="AB14">
        <f t="shared" si="0"/>
        <v>0.24359877848249933</v>
      </c>
      <c r="AC14">
        <f t="shared" si="0"/>
        <v>0.24359877848249933</v>
      </c>
      <c r="AD14">
        <f t="shared" si="0"/>
        <v>0.24359877848249933</v>
      </c>
      <c r="AE14">
        <f t="shared" si="0"/>
        <v>0.24359877848249933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4"/>
  <sheetViews>
    <sheetView workbookViewId="0"/>
  </sheetViews>
  <sheetFormatPr defaultRowHeight="14.5" x14ac:dyDescent="0.35"/>
  <cols>
    <col min="1" max="1" width="70.7265625" customWidth="1"/>
    <col min="2" max="2" width="12.7265625" customWidth="1"/>
  </cols>
  <sheetData>
    <row r="1" spans="1:2" x14ac:dyDescent="0.35">
      <c r="A1" s="5" t="s">
        <v>69</v>
      </c>
    </row>
    <row r="3" spans="1:2" x14ac:dyDescent="0.35">
      <c r="A3" t="s">
        <v>67</v>
      </c>
      <c r="B3">
        <f>'USGS MCS 2026 Cement'!F10*Derivation!F7*(1-Derivation!F10)</f>
        <v>69000</v>
      </c>
    </row>
    <row r="4" spans="1:2" x14ac:dyDescent="0.35">
      <c r="A4" t="s">
        <v>68</v>
      </c>
      <c r="B4" t="str">
        <f>IF(ISNUMBER(INDEX(Regions!$C$5:$C$14,MATCH(Regions!$B$1,Regions!$A$5:$A$14,0))),"PASS","WARN - blank row treated as 0 (self-sufficient)")</f>
        <v>PASS</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3864"/>
  </sheetPr>
  <dimension ref="A1:AE2"/>
  <sheetViews>
    <sheetView workbookViewId="0"/>
  </sheetViews>
  <sheetFormatPr defaultRowHeight="14.5" x14ac:dyDescent="0.35"/>
  <sheetData>
    <row r="1" spans="1:31" x14ac:dyDescent="0.35">
      <c r="A1" t="s">
        <v>150</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35">
      <c r="A2" t="s">
        <v>66</v>
      </c>
      <c r="B2">
        <f>Derivation!B14</f>
        <v>0.19596478430659692</v>
      </c>
      <c r="C2">
        <f>Derivation!C14</f>
        <v>0.21014532356229043</v>
      </c>
      <c r="D2">
        <f>Derivation!D14</f>
        <v>0.2156026775292299</v>
      </c>
      <c r="E2">
        <f>Derivation!E14</f>
        <v>0.23455508514323953</v>
      </c>
      <c r="F2">
        <f>Derivation!F14</f>
        <v>0.24359877848249933</v>
      </c>
      <c r="G2">
        <f>Derivation!G14</f>
        <v>0.24359877848249933</v>
      </c>
      <c r="H2">
        <f>Derivation!H14</f>
        <v>0.24359877848249933</v>
      </c>
      <c r="I2">
        <f>Derivation!I14</f>
        <v>0.24359877848249933</v>
      </c>
      <c r="J2">
        <f>Derivation!J14</f>
        <v>0.24359877848249933</v>
      </c>
      <c r="K2">
        <f>Derivation!K14</f>
        <v>0.24359877848249933</v>
      </c>
      <c r="L2">
        <f>Derivation!L14</f>
        <v>0.24359877848249933</v>
      </c>
      <c r="M2">
        <f>Derivation!M14</f>
        <v>0.24359877848249933</v>
      </c>
      <c r="N2">
        <f>Derivation!N14</f>
        <v>0.24359877848249933</v>
      </c>
      <c r="O2">
        <f>Derivation!O14</f>
        <v>0.24359877848249933</v>
      </c>
      <c r="P2">
        <f>Derivation!P14</f>
        <v>0.24359877848249933</v>
      </c>
      <c r="Q2">
        <f>Derivation!Q14</f>
        <v>0.24359877848249933</v>
      </c>
      <c r="R2">
        <f>Derivation!R14</f>
        <v>0.24359877848249933</v>
      </c>
      <c r="S2">
        <f>Derivation!S14</f>
        <v>0.24359877848249933</v>
      </c>
      <c r="T2">
        <f>Derivation!T14</f>
        <v>0.24359877848249933</v>
      </c>
      <c r="U2">
        <f>Derivation!U14</f>
        <v>0.24359877848249933</v>
      </c>
      <c r="V2">
        <f>Derivation!V14</f>
        <v>0.24359877848249933</v>
      </c>
      <c r="W2">
        <f>Derivation!W14</f>
        <v>0.24359877848249933</v>
      </c>
      <c r="X2">
        <f>Derivation!X14</f>
        <v>0.24359877848249933</v>
      </c>
      <c r="Y2">
        <f>Derivation!Y14</f>
        <v>0.24359877848249933</v>
      </c>
      <c r="Z2">
        <f>Derivation!Z14</f>
        <v>0.24359877848249933</v>
      </c>
      <c r="AA2">
        <f>Derivation!AA14</f>
        <v>0.24359877848249933</v>
      </c>
      <c r="AB2">
        <f>Derivation!AB14</f>
        <v>0.24359877848249933</v>
      </c>
      <c r="AC2">
        <f>Derivation!AC14</f>
        <v>0.24359877848249933</v>
      </c>
      <c r="AD2">
        <f>Derivation!AD14</f>
        <v>0.24359877848249933</v>
      </c>
      <c r="AE2">
        <f>Derivation!AE14</f>
        <v>0.24359877848249933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Regions</vt:lpstr>
      <vt:lpstr>USGS MCS 2026 Cement</vt:lpstr>
      <vt:lpstr>Derivation</vt:lpstr>
      <vt:lpstr>Checks</vt:lpstr>
      <vt:lpstr>BFoCDMbNI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 O'Brien</cp:lastModifiedBy>
  <dcterms:created xsi:type="dcterms:W3CDTF">2026-09-28T13:54:44Z</dcterms:created>
  <dcterms:modified xsi:type="dcterms:W3CDTF">2026-10-09T18:11:24Z</dcterms:modified>
</cp:coreProperties>
</file>