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BCtCR\"/>
    </mc:Choice>
  </mc:AlternateContent>
  <xr:revisionPtr revIDLastSave="0" documentId="13_ncr:1_{530DC399-ECB4-4C89-ABBD-12D84FB0B4B9}" xr6:coauthVersionLast="47" xr6:coauthVersionMax="47" xr10:uidLastSave="{00000000-0000-0000-0000-000000000000}"/>
  <bookViews>
    <workbookView xWindow="-110" yWindow="-110" windowWidth="19420" windowHeight="11500" xr2:uid="{00000000-000D-0000-FFFF-FFFF00000000}"/>
  </bookViews>
  <sheets>
    <sheet name="About" sheetId="1" r:id="rId1"/>
    <sheet name="Regions" sheetId="2" r:id="rId2"/>
    <sheet name="USGS MCS 2026 Cement" sheetId="3" r:id="rId3"/>
    <sheet name="US Product Mix" sheetId="7" r:id="rId4"/>
    <sheet name="Derivation" sheetId="4" r:id="rId5"/>
    <sheet name="BCtC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7" i="7" l="1"/>
  <c r="AA24" i="7"/>
  <c r="AA23" i="7"/>
  <c r="AA26" i="7" s="1"/>
  <c r="Z27" i="7"/>
  <c r="Z24" i="7"/>
  <c r="Z23" i="7"/>
  <c r="Z26" i="7" s="1"/>
  <c r="Y27" i="7"/>
  <c r="Y24" i="7"/>
  <c r="Y23" i="7"/>
  <c r="Y26" i="7" s="1"/>
  <c r="X27" i="7"/>
  <c r="X24" i="7"/>
  <c r="X23" i="7"/>
  <c r="X26" i="7" s="1"/>
  <c r="W27" i="7"/>
  <c r="W24" i="7"/>
  <c r="W23" i="7"/>
  <c r="W26" i="7" s="1"/>
  <c r="V27" i="7"/>
  <c r="V24" i="7"/>
  <c r="V23" i="7"/>
  <c r="V26" i="7" s="1"/>
  <c r="U27" i="7"/>
  <c r="U24" i="7"/>
  <c r="U23" i="7"/>
  <c r="U25" i="7" s="1"/>
  <c r="T27" i="7"/>
  <c r="T24" i="7"/>
  <c r="T23" i="7"/>
  <c r="T26" i="7" s="1"/>
  <c r="S27" i="7"/>
  <c r="S24" i="7"/>
  <c r="S23" i="7"/>
  <c r="S26" i="7" s="1"/>
  <c r="R27" i="7"/>
  <c r="R24" i="7"/>
  <c r="R23" i="7"/>
  <c r="R25" i="7" s="1"/>
  <c r="Q27" i="7"/>
  <c r="Q24" i="7"/>
  <c r="Q23" i="7"/>
  <c r="Q26" i="7" s="1"/>
  <c r="P27" i="7"/>
  <c r="P24" i="7"/>
  <c r="P23" i="7"/>
  <c r="P26" i="7" s="1"/>
  <c r="O27" i="7"/>
  <c r="O24" i="7"/>
  <c r="O23" i="7"/>
  <c r="O26" i="7" s="1"/>
  <c r="N27" i="7"/>
  <c r="N24" i="7"/>
  <c r="N23" i="7"/>
  <c r="N26" i="7" s="1"/>
  <c r="M27" i="7"/>
  <c r="M24" i="7"/>
  <c r="M23" i="7"/>
  <c r="M25" i="7" s="1"/>
  <c r="L27" i="7"/>
  <c r="L24" i="7"/>
  <c r="L23" i="7"/>
  <c r="L26" i="7" s="1"/>
  <c r="K27" i="7"/>
  <c r="K24" i="7"/>
  <c r="K23" i="7"/>
  <c r="K25" i="7" s="1"/>
  <c r="J27" i="7"/>
  <c r="J24" i="7"/>
  <c r="J23" i="7"/>
  <c r="J26" i="7" s="1"/>
  <c r="I27" i="7"/>
  <c r="I24" i="7"/>
  <c r="I23" i="7"/>
  <c r="I25" i="7" s="1"/>
  <c r="H27" i="7"/>
  <c r="H24" i="7"/>
  <c r="H23" i="7"/>
  <c r="H26" i="7" s="1"/>
  <c r="G27" i="7"/>
  <c r="F27" i="7"/>
  <c r="E27" i="7"/>
  <c r="D27" i="7"/>
  <c r="C27" i="7"/>
  <c r="B27" i="7"/>
  <c r="H7" i="7"/>
  <c r="B18" i="7" s="1"/>
  <c r="G7" i="7"/>
  <c r="F7" i="7"/>
  <c r="E7" i="7"/>
  <c r="D7" i="7"/>
  <c r="C7" i="7"/>
  <c r="B7" i="7"/>
  <c r="F10" i="4"/>
  <c r="E10" i="4"/>
  <c r="D10" i="4"/>
  <c r="C10" i="4"/>
  <c r="B10" i="4"/>
  <c r="C13" i="2"/>
  <c r="B5" i="4"/>
  <c r="B4" i="4"/>
  <c r="B3" i="4"/>
  <c r="B2" i="4"/>
  <c r="B1" i="4"/>
  <c r="B6" i="4" s="1"/>
  <c r="J25" i="7" l="1"/>
  <c r="J28" i="7" s="1"/>
  <c r="S25" i="7"/>
  <c r="S28" i="7" s="1"/>
  <c r="M26" i="7"/>
  <c r="G24" i="7"/>
  <c r="F24" i="7"/>
  <c r="C24" i="7"/>
  <c r="E24" i="7"/>
  <c r="D24" i="7"/>
  <c r="B24" i="7"/>
  <c r="AA28" i="7"/>
  <c r="N28" i="7"/>
  <c r="X28" i="7"/>
  <c r="M28" i="7"/>
  <c r="Z25" i="7"/>
  <c r="Z28" i="7" s="1"/>
  <c r="Q25" i="7"/>
  <c r="Q28" i="7" s="1"/>
  <c r="B17" i="7"/>
  <c r="N25" i="7"/>
  <c r="K26" i="7"/>
  <c r="K28" i="7" s="1"/>
  <c r="AA25" i="7"/>
  <c r="O25" i="7"/>
  <c r="O28" i="7" s="1"/>
  <c r="W25" i="7"/>
  <c r="W28" i="7" s="1"/>
  <c r="I26" i="7"/>
  <c r="I28" i="7" s="1"/>
  <c r="D13" i="4"/>
  <c r="D2" i="6" s="1"/>
  <c r="H25" i="7"/>
  <c r="H28" i="7" s="1"/>
  <c r="U26" i="7"/>
  <c r="U28" i="7" s="1"/>
  <c r="R26" i="7"/>
  <c r="R28" i="7" s="1"/>
  <c r="Y25" i="7"/>
  <c r="Y28" i="7" s="1"/>
  <c r="E13" i="4"/>
  <c r="T25" i="7"/>
  <c r="T28" i="7" s="1"/>
  <c r="X25" i="7"/>
  <c r="V25" i="7"/>
  <c r="V28" i="7" s="1"/>
  <c r="F13" i="4"/>
  <c r="F2" i="6" s="1"/>
  <c r="L25" i="7"/>
  <c r="L28" i="7" s="1"/>
  <c r="B13" i="4"/>
  <c r="B2" i="6" s="1"/>
  <c r="P25" i="7"/>
  <c r="P28" i="7" s="1"/>
  <c r="C13" i="4"/>
  <c r="C2" i="6" s="1"/>
  <c r="E2" i="6"/>
  <c r="G23" i="7" l="1"/>
  <c r="C23" i="7"/>
  <c r="F23" i="7"/>
  <c r="B23" i="7"/>
  <c r="E23" i="7"/>
  <c r="D23" i="7"/>
  <c r="F26" i="7" l="1"/>
  <c r="F25" i="7"/>
  <c r="D25" i="7"/>
  <c r="D26" i="7"/>
  <c r="D28" i="7" s="1"/>
  <c r="E26" i="7"/>
  <c r="E25" i="7"/>
  <c r="B26" i="7"/>
  <c r="B25" i="7"/>
  <c r="C26" i="7"/>
  <c r="C25" i="7"/>
  <c r="G25" i="7"/>
  <c r="G26" i="7"/>
  <c r="G28" i="7" s="1"/>
  <c r="B28" i="7" l="1"/>
  <c r="B31" i="7"/>
  <c r="B29" i="7" s="1"/>
  <c r="D29" i="7"/>
  <c r="H13" i="4" s="1"/>
  <c r="H2" i="6" s="1"/>
  <c r="C28" i="7"/>
  <c r="C29" i="7" s="1"/>
  <c r="G13" i="4" s="1"/>
  <c r="G2" i="6" s="1"/>
  <c r="E28" i="7"/>
  <c r="E29" i="7" s="1"/>
  <c r="I13" i="4" s="1"/>
  <c r="I2" i="6" s="1"/>
  <c r="F28" i="7"/>
  <c r="F29" i="7" s="1"/>
  <c r="J13" i="4" s="1"/>
  <c r="J2" i="6" s="1"/>
  <c r="AA29" i="7" l="1"/>
  <c r="AE13" i="4" s="1"/>
  <c r="AE2" i="6" s="1"/>
  <c r="S29" i="7"/>
  <c r="W13" i="4" s="1"/>
  <c r="W2" i="6" s="1"/>
  <c r="J29" i="7"/>
  <c r="N13" i="4" s="1"/>
  <c r="N2" i="6" s="1"/>
  <c r="V29" i="7"/>
  <c r="Z13" i="4" s="1"/>
  <c r="Z2" i="6" s="1"/>
  <c r="M29" i="7"/>
  <c r="Q13" i="4" s="1"/>
  <c r="Q2" i="6" s="1"/>
  <c r="Y29" i="7"/>
  <c r="AC13" i="4" s="1"/>
  <c r="AC2" i="6" s="1"/>
  <c r="P29" i="7"/>
  <c r="T13" i="4" s="1"/>
  <c r="T2" i="6" s="1"/>
  <c r="W29" i="7"/>
  <c r="AA13" i="4" s="1"/>
  <c r="AA2" i="6" s="1"/>
  <c r="X29" i="7"/>
  <c r="AB13" i="4" s="1"/>
  <c r="AB2" i="6" s="1"/>
  <c r="T29" i="7"/>
  <c r="X13" i="4" s="1"/>
  <c r="X2" i="6" s="1"/>
  <c r="L29" i="7"/>
  <c r="P13" i="4" s="1"/>
  <c r="P2" i="6" s="1"/>
  <c r="Q29" i="7"/>
  <c r="U13" i="4" s="1"/>
  <c r="U2" i="6" s="1"/>
  <c r="U29" i="7"/>
  <c r="Y13" i="4" s="1"/>
  <c r="Y2" i="6" s="1"/>
  <c r="R29" i="7"/>
  <c r="V13" i="4" s="1"/>
  <c r="V2" i="6" s="1"/>
  <c r="K29" i="7"/>
  <c r="O13" i="4" s="1"/>
  <c r="O2" i="6" s="1"/>
  <c r="H29" i="7"/>
  <c r="L13" i="4" s="1"/>
  <c r="L2" i="6" s="1"/>
  <c r="I29" i="7"/>
  <c r="M13" i="4" s="1"/>
  <c r="M2" i="6" s="1"/>
  <c r="Z29" i="7"/>
  <c r="AD13" i="4" s="1"/>
  <c r="AD2" i="6" s="1"/>
  <c r="O29" i="7"/>
  <c r="S13" i="4" s="1"/>
  <c r="S2" i="6" s="1"/>
  <c r="N29" i="7"/>
  <c r="R13" i="4" s="1"/>
  <c r="R2" i="6" s="1"/>
  <c r="G29" i="7"/>
  <c r="K13" i="4" s="1"/>
  <c r="K2" i="6" s="1"/>
</calcChain>
</file>

<file path=xl/sharedStrings.xml><?xml version="1.0" encoding="utf-8"?>
<sst xmlns="http://schemas.openxmlformats.org/spreadsheetml/2006/main" count="187" uniqueCount="163">
  <si>
    <t>BCtCR BAU Clinker to Cement Ratio</t>
  </si>
  <si>
    <t>Sources:</t>
  </si>
  <si>
    <t>https://pubs.usgs.gov/periodicals/mcs2026/mcs2026-cement.pdf</t>
  </si>
  <si>
    <t>How Blended Cements Can Reduce Emissions and Improve Resilience</t>
  </si>
  <si>
    <t>https://www.wri.org/insights/lower-carbon-blended-cement</t>
  </si>
  <si>
    <t>Notes:</t>
  </si>
  <si>
    <t>Selected region (drop-down):</t>
  </si>
  <si>
    <t>United States</t>
  </si>
  <si>
    <t>Region</t>
  </si>
  <si>
    <t>Anchor year</t>
  </si>
  <si>
    <t>Anchor blend ratio</t>
  </si>
  <si>
    <t>Flag</t>
  </si>
  <si>
    <t>BAU target ratio (blank = flat)</t>
  </si>
  <si>
    <t>Target year</t>
  </si>
  <si>
    <t>Source / note</t>
  </si>
  <si>
    <t>DIRECT</t>
  </si>
  <si>
    <t>JUDGMENT</t>
  </si>
  <si>
    <t>China</t>
  </si>
  <si>
    <t>India</t>
  </si>
  <si>
    <t>SNIPPET</t>
  </si>
  <si>
    <t>ACEEE Jul-2026 citing Indian Cement Review (SNIPPET). NITI Aayog baseline 0.675 (SNIPPET); GCCA India/TERI 0.75 in 2020 (SNIPPET) - sources disagree. Production basis, not consumption blend basis (trade ~0, so close). | BAU target blank = flat at anchor (no BAU trajectory sourced; roadmap targets are policy, see MACtCR).</t>
  </si>
  <si>
    <t>EU-27</t>
  </si>
  <si>
    <t>CEMBUREAU Net Zero Roadmap text: 77% for 'Europe' in 2021 (DIRECT); Cement Europe says the ratio fell ~2% over the last 3 years. Scope is Europe, not strictly EU-27. | BAU target blank = flat at anchor (no BAU trajectory sourced; roadmap targets are policy, see MACtCR).</t>
  </si>
  <si>
    <t>Japan</t>
  </si>
  <si>
    <t>TO FILL</t>
  </si>
  <si>
    <t>Brazil</t>
  </si>
  <si>
    <t>GCCA figure in SNIC Annual Report 2023 (DIRECT); 0.84 in 1990. A snippet clinker figure (77.5 Mt 2024) exceeds cement output - unreliable. | BAU target blank = flat at anchor (no BAU trajectory sourced; roadmap targets are policy, see MACtCR).</t>
  </si>
  <si>
    <t>Mexico</t>
  </si>
  <si>
    <t>FICEM/CANACEM roadmap, PwC-verified GNR data, 2016 (DIRECT). Stale anchor year - newer CANACEM/GNR figure needed. | BAU target blank = flat at anchor (no BAU trajectory sourced; roadmap targets are policy, see MACtCR).</t>
  </si>
  <si>
    <t>Canada</t>
  </si>
  <si>
    <t>CAC Concrete Zero 2020 baseline 89% (DIRECT; 11.4 clinker / 12.7 cement = 0.90). Production basis; Canada is a net exporter. | BAU target blank = flat at anchor (no BAU trajectory sourced; roadmap targets are policy, see MACtCR).</t>
  </si>
  <si>
    <t>Indonesia</t>
  </si>
  <si>
    <t>Domestic clinker use (ASI clinker production 57.301 - clinker exports 12.34, DIRECT) / domestic sales 63.912 (DIRECT) - domestic basis. Do not use 57.3/64.7 = 0.89 (includes exported clinker). ACEEE: 0.68 in 2026 (SNIPPET). | BAU target blank = flat at anchor (no BAU trajectory sourced; roadmap targets are policy, see MACtCR).</t>
  </si>
  <si>
    <t>Australia</t>
  </si>
  <si>
    <t>USGS Mineral Commodity Summaries 2026 - Cement (Ashley K. Hatfield). Pasted from the PDF text; 'e' = estimated. Data in thousand metric tons unless otherwise specified.</t>
  </si>
  <si>
    <t>Salient Statistics - United States (thousand metric tons unless noted)</t>
  </si>
  <si>
    <t>2025e</t>
  </si>
  <si>
    <t>Production: Portland, blended, and masonry cement (includes cement made from imported clinker)</t>
  </si>
  <si>
    <t>Production: Clinker</t>
  </si>
  <si>
    <t>Shipments to final customers, includes exports</t>
  </si>
  <si>
    <t>Imports for consumption: Hydraulic cement</t>
  </si>
  <si>
    <t>Imports for consumption: Clinker</t>
  </si>
  <si>
    <t>Exports, hydraulic cement and clinker</t>
  </si>
  <si>
    <t>Consumption, apparent (production incl. from imported clinker + imports excl. clinker - exports - stock changes)</t>
  </si>
  <si>
    <t>Price, average mill unit value, dollars per metric ton</t>
  </si>
  <si>
    <t>Stocks, cement, yearend</t>
  </si>
  <si>
    <t>Net import reliance as a percentage of apparent consumption</t>
  </si>
  <si>
    <t>World Production and Capacity (thousand metric tons)</t>
  </si>
  <si>
    <t>Cement production 2024</t>
  </si>
  <si>
    <t>Cement production 2025e</t>
  </si>
  <si>
    <t>Clinker capacity 2024</t>
  </si>
  <si>
    <t>Clinker capacity 2025e</t>
  </si>
  <si>
    <t>United States (includes Puerto Rico)</t>
  </si>
  <si>
    <t>Egypt</t>
  </si>
  <si>
    <t>Iran</t>
  </si>
  <si>
    <t>Korea, Republic of</t>
  </si>
  <si>
    <t>Russia</t>
  </si>
  <si>
    <t>Saudi Arabia</t>
  </si>
  <si>
    <t>Turkey</t>
  </si>
  <si>
    <t>Vietnam</t>
  </si>
  <si>
    <t>Other countries (rounded)</t>
  </si>
  <si>
    <t>World total (rounded)</t>
  </si>
  <si>
    <t>Selected region</t>
  </si>
  <si>
    <t>Target ratio (blank = anchor)</t>
  </si>
  <si>
    <t>Target year (blank = anchor year)</t>
  </si>
  <si>
    <t>Is US? (history from USGS tab)</t>
  </si>
  <si>
    <t>US historical blend ratio = (clinker production + clinker imports) / cement production</t>
  </si>
  <si>
    <t>Year</t>
  </si>
  <si>
    <t>BAU Clinker to Cement Ratio</t>
  </si>
  <si>
    <t>U.S. clinker and cement production, 2021-2025</t>
  </si>
  <si>
    <t>U.S. Geological Survey</t>
  </si>
  <si>
    <t>Mineral Commodity Summaries 2026: Cement</t>
  </si>
  <si>
    <t>Cement production (84.0 million metric tons in 2025, an estimate), clinker production (69.0) and clinker imports (0.66), pasted as published on the 'USGS MCS 2026 Cement' tab. Blend ratio = (clinker production + clinker imports) / cement production, which gives 0.8921, 0.8828, 0.8663, 0.8551, and 0.8293 for 2021-2025. The report also says blended cement was 63% of 2025 shipments and 95% of that was Type IL (portland-limestone) cement; that sentence is in the report text, not on the pasted tab.</t>
  </si>
  <si>
    <t>Cross-check on the U.S. ratio</t>
  </si>
  <si>
    <t>World Resources Institute</t>
  </si>
  <si>
    <t>Cites a U.S. ratio of about 0.88, consistent with our 2021-2022 values. We use it only as a check, not as an input.</t>
  </si>
  <si>
    <t>India ratio, and Indonesia cross-check</t>
  </si>
  <si>
    <t>American Council for an Energy-Efficient Economy (ACEEE)</t>
  </si>
  <si>
    <t>Decarbonisation in the Indian Cement Industry</t>
  </si>
  <si>
    <t>https://www.aceee.org/wp-content/uploads/2026/07/ACEEE_Decarbonisation_in_Cement_Industry.pdf</t>
  </si>
  <si>
    <t>India: a clinker-to-cement ratio of 0.73 for fiscal year 2024-25, which ACEEE attributes to Indian Cement Review (SNIPPET). It is a production-basis figure, close to the consumption-blend basis because India's net trade is near zero. Indonesia: the same report gives about 0.68 for 2026, which we use only as a cross-check (SNIPPET).</t>
  </si>
  <si>
    <t>India ratio, disagreeing estimate</t>
  </si>
  <si>
    <t>Indian Cement Review</t>
  </si>
  <si>
    <t>NITI Aayog unveils decarbonisation roadmaps</t>
  </si>
  <si>
    <t>https://indiancementreview.com/2026/01/28/niti-aayog-unveils-decarbonisation-roadmaps/</t>
  </si>
  <si>
    <t>NITI Aayog's roadmap baseline is 0.675 (SNIPPET, from a search summary of the article). It disagrees with ACEEE's 0.73, and we have not resolved the difference.</t>
  </si>
  <si>
    <t>Global Cement and Concrete Association (GCCA), with TERI</t>
  </si>
  <si>
    <t>Indian roadmap aims for net zero by 2070</t>
  </si>
  <si>
    <t>https://www.cemnet.com/News/story/178891/indian-roadmap-aims-for-net-zero-by-2070.html</t>
  </si>
  <si>
    <t>The GCCA India / TERI roadmap puts the ratio at 0.75 in 2020 (SNIPPET). We did not open the CemNet page itself; the figure comes from a search summary.</t>
  </si>
  <si>
    <t>EU-27 ratio</t>
  </si>
  <si>
    <t>CEMBUREAU (now Cement Europe)</t>
  </si>
  <si>
    <t>Net Zero Roadmap: From Ambition to Deployment</t>
  </si>
  <si>
    <t>https://www.cementeurope.eu/media/g44cvp5a/cembureau-net-zero-roadmap.pdf</t>
  </si>
  <si>
    <t>The roadmap text gives a clinker-to-cement ratio of 77% for Europe in 2021 (DIRECT). The scope is Europe, not strictly EU-27. Cement Europe also says the ratio fell by about 2% over the last three years.</t>
  </si>
  <si>
    <t>Brazil ratio</t>
  </si>
  <si>
    <t>Sindicato Nacional da Industria do Cimento (SNIC)</t>
  </si>
  <si>
    <t>SNIC Annual Report 2023</t>
  </si>
  <si>
    <t>http://snic.org.br/assets/pdf/relatorio_anual/1732731328.pdf</t>
  </si>
  <si>
    <t>A GCCA figure printed in the report: 71% in 2022, down from 84% in 1990. A search summary elsewhere gave 2024 clinker production of 77.5 million tons, which is more than Brazil's cement output, so we treated it as unreliable and did not use it.</t>
  </si>
  <si>
    <t>Mexico ratio</t>
  </si>
  <si>
    <t>FICEM / CANACEM (Mexican cement chamber)</t>
  </si>
  <si>
    <t>Hoja de Ruta: Industria del Cemento Mexico</t>
  </si>
  <si>
    <t>https://canacem.org.mx/site/wp-content/uploads/2023/03/Hoja-de-Ruta-Mexico-FICEM.pdf</t>
  </si>
  <si>
    <t>A clinker factor of 75% for 2016, from GNR data verified by PwC (DIRECT). It is an old anchor year; a newer CANACEM or GNR figure would be better.</t>
  </si>
  <si>
    <t>Canada ratio</t>
  </si>
  <si>
    <t>Cement Association of Canada</t>
  </si>
  <si>
    <t>Concrete Zero: Action Plan</t>
  </si>
  <si>
    <t>https://cement.ca/wp-content/uploads/ConcreteZero-Report-FINAL-reduced.pdf</t>
  </si>
  <si>
    <t>A 2020 baseline of 89% (DIRECT). Clinker of 11.4 million tons over cement of 12.7 million tons gives 0.90, a little higher. These are production figures for the association's member companies, and Canada is a net exporter of cement.</t>
  </si>
  <si>
    <t>Indonesia ratio</t>
  </si>
  <si>
    <t>Asosiasi Pengusaha Semen Indonesia (Asperssi)</t>
  </si>
  <si>
    <t>Asperssi ungkap volume produksi &amp; penjualan semen di 2025 dan proyeksi untuk 2026</t>
  </si>
  <si>
    <t>https://asperssi.id/asperssi-ungkap-volume-produksi-penjualan-semen-di-2025-dan-proyeksi-untuk-2026/</t>
  </si>
  <si>
    <t>2025 clinker production of 57.301 million tons, clinker exports of 12.34 million tons, and domestic cement sales of 63.912 million tons (DIRECT). Our ratio is domestic clinker use over domestic sales: (57.301 - 12.34) / 63.912 = 0.70. Do not use 57.3 / 64.7 = 0.89, which counts exported clinker.</t>
  </si>
  <si>
    <t>Purpose and layout</t>
  </si>
  <si>
    <t>Using it for other regions</t>
  </si>
  <si>
    <t>We set this file up to be adaptable to each of the main EPS regions. If you are working on a non-US region, use the drop-down selector at the top of the 'Regions' tab to choose a different country. The Derivation then holds that country's starting ratio flat across 2021-2050, unless the Regions tab also gives a target ratio and target year, in which case the ratio moves in a straight line to the target and stays there. The 'BCtCR' tab updates on its own; just re-export the CSV. If your region is blank, or not listed, you will have to build the ratio on your own.</t>
  </si>
  <si>
    <t>U.S. values</t>
  </si>
  <si>
    <t>Other regions' values</t>
  </si>
  <si>
    <t>Starting values for the other regions come from national cement associations, roadmaps, and press, listed under Sources. Each non-US value on the 'Regions' tab carries a tag showing how far to trust it: DIRECT means we read the number in the original document; SNIPPET means it came from a secondary summary, such as a trade-press article, and should be checked against the original; JUDGMENT means it is our own estimate or arithmetic, shown as a formula where possible. A blank means we have not found a good value yet. None of the non-US rows has a business-as-usual trend, so those ratios are held flat; the roadmap targets we found are policy goals and live in MACtCR instead. China is blank because the published figures conflict (roughly 0.66 against 0.74, with the China Cement Association disputing the rise), and Japan and Australia are blank because we have not found a value. The GCCA's GNR database holds regional detail but sits behind a login, so most values here come from association reports and trade press instead. Several rows are on a production basis rather than the consumption-blend basis used for the U.S.; that is close where net trade is small. The Mexico value is from 2016 and the EU value is for Europe in 2021, so both are due for updates.</t>
  </si>
  <si>
    <t>Pick a region from the drop-down in B1. The Derivation and the export tab update on their own; re-export the CSV afterward. A blank cell means no sourced value yet.</t>
  </si>
  <si>
    <t>TO FILL - conflicting snippets (0.657 vs 0.735, CCA disputes the rise); 53% utilization x 1.81 Bt capacity implies ~0.52, which also conflicts. Next: NBS clinker output + CCA annual report.</t>
  </si>
  <si>
    <t>Unit: dimensionless</t>
  </si>
  <si>
    <t>Blend ratio</t>
  </si>
  <si>
    <t>U.S. business-as-usual clinker ratio from the cement product mix</t>
  </si>
  <si>
    <t>USGS Mineral Industry Surveys, Cement (December issues): shipments including imports, million metric tons</t>
  </si>
  <si>
    <t>Portland cement (ASTM C150)</t>
  </si>
  <si>
    <t>Blended cement (ASTM C595)</t>
  </si>
  <si>
    <t>Blended share of shipments</t>
  </si>
  <si>
    <t>Type IL share of blended</t>
  </si>
  <si>
    <t>Clinker content per metric ton of cement (PCA industry-average EPDs, 2019 data)</t>
  </si>
  <si>
    <t>Portland cement, Type I/II</t>
  </si>
  <si>
    <t>Type IL: clinker plus limestone (the rest is gypsum and minor additions)</t>
  </si>
  <si>
    <t>Other blended cements (slag, pozzolan, ternary; EI estimate)</t>
  </si>
  <si>
    <t>Business-as-usual assumptions at milestone years (EI judgment from the shipment trend; 2025 from data)</t>
  </si>
  <si>
    <t>Other blended share of all cement</t>
  </si>
  <si>
    <t>Limestone fraction of Type IL</t>
  </si>
  <si>
    <t>Annual path (straight lines between milestone years)</t>
  </si>
  <si>
    <t>Blended share</t>
  </si>
  <si>
    <t>Other blended share</t>
  </si>
  <si>
    <t>Type IL share of all cement</t>
  </si>
  <si>
    <t>Portland (Type I/II) share</t>
  </si>
  <si>
    <t>Unscaled clinker ratio</t>
  </si>
  <si>
    <t>Clinker ratio (scaled to the 2025 USGS value)</t>
  </si>
  <si>
    <t>Scale factor = 2025 USGS blend ratio / 2025 unscaled ratio (covers masonry cement, stock changes, and USGS estimation)</t>
  </si>
  <si>
    <t>USGS MCS 2026 history; 2026-2050 from the 'US Product Mix' tab (product shares x PCA clinker contents)</t>
  </si>
  <si>
    <t>U.S. cement product mix, 2019-2025</t>
  </si>
  <si>
    <t>Mineral Industry Surveys: Cement (monthly; December issues 2019-2025 and May 2026)</t>
  </si>
  <si>
    <t>https://www.usgs.gov/centers/national-minerals-information-center/cement-statistics-and-information</t>
  </si>
  <si>
    <t>Shipments of portland cement (ASTM C150) and blended cement (ASTM C595), including imports, on the 'US Product Mix' tab. Blended cement rose from 2.4% of shipments in 2019 and 5.6% in 2021 to 24.2% (2022), 49.8% (2023), 59.5% (2024) and 64.6% (2025); about 96% of blended cement is Type IL. January-May 2026 was 63.1%, only 0.9 points above the same months of 2025, so the switch to Type IL has largely run its course. All 50 states had accepted Type IL by April 2024 (USGS Mineral Commodity Summaries 2025).</t>
  </si>
  <si>
    <t>Clinker content of each cement type</t>
  </si>
  <si>
    <t>Portland Cement Association (PCA)</t>
  </si>
  <si>
    <t>Industry-average environmental product declarations for portland cement and portland-limestone cement (2019 data, revised July 2026)</t>
  </si>
  <si>
    <t>https://www.cement.org/wp-content/uploads/2026/07/PCA_EPD_PLC_Athena_Final_revised_Jul2026.pdf</t>
  </si>
  <si>
    <t>Type IL averages 82.7% clinker and 10.8% limestone; Type I/II averages 91.4% clinker. PCA's 2024 limestone cement report confirms the 10.8% average and the 15% limestone cap.</t>
  </si>
  <si>
    <t>Official projections for comparison</t>
  </si>
  <si>
    <t>U.S. Energy Information Administration</t>
  </si>
  <si>
    <t>Industrial Demand Module of NEMS, AEO2025 documentation</t>
  </si>
  <si>
    <t>https://www.eia.gov/outlooks/aeo/nems/documentation/industrial/pdf/IDM_AEO2025.pdf</t>
  </si>
  <si>
    <t>AEO2025 holds cement additives constant (an implied clinker ratio of about 0.90), already above the recent data. DOE's Liftoff report (2023, updated 2025) uses a 0.89 baseline and treats 0.65 by the early 2030s as an aggressive scenario; PCA's roadmap aims for 0.85 by 2030, 0.80 by 2040 and 0.75 by 2050 as industry goals, not business as usual.</t>
  </si>
  <si>
    <t>This file gives the business-as-usual clinker-to-cement ratio: the metric tons of clinker in each metric ton of cement the region consumes. Clinker is the kiln product that causes nearly all of the cement industry's fuel use and process emissions, so this ratio is what turns cement demand (the BCD file) into clinker demand. It is a blend ratio: clinker used in the cement the region consumes, including clinker that is imported, divided by cement produced, with imported finished cement assumed to carry the same ratio. How much of that clinker is made inside the region is handled separately (BFoCDMbNI). In the policy case, the clinker-substitution lever lowers the ratio below this path, down toward the floor in MACtCR.
The tabs run from inputs to output. 'Regions' holds the region selector and each region's starting ratio and optional target. 'USGS MCS 2026 Cement' holds the U.S. production data as published. 'US Product Mix' projects the U.S. ratio from the mix of cement types and their clinker content. 'Derivation' builds the 2021-2050 series, and the last tab, 'BCtCR', reads it directly. That 'BCtCR' tab is what gets exported to BCtCR.csv.</t>
  </si>
  <si>
    <t>For 2021-2025 (2025 estimated) the ratio comes from USGS production and import data: 0.892, 0.883, 0.866, 0.855 and 0.829. The decline is the shift to portland-limestone (Type IL) cement, which went from about 5% to 65% of shipments over those years.
From 2026 the 'US Product Mix' tab projects the ratio from the share of each cement type times its clinker content (PCA's product declarations), scaled so 2025 matches USGS. That shift is now mostly complete, so the remaining business-as-usual decline is slow: a little more blended cement (68% of shipments by 2030, 72% by 2050), a little more slag and pozzolan cement (2.8% of all cement now, 5% by 2050), and Type IL limestone content drifting from 11% to 12.5% by 2035. The result is 0.820 in 2030, 0.813 in 2035, 0.811 in 2040 and 0.809 in 2050. The milestone shares are our judgment from the shipment trend; a reasonable range is 0.80-0.83 in 2035 and 0.79-0.83 in 2050. Deeper cuts are the job of the clinker-substitution lever and the MACtCR floor.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</si>
</sst>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1"/>
      <color rgb="FFC00000"/>
      <name val="Calibri"/>
    </font>
    <font>
      <u/>
      <sz val="11"/>
      <color theme="10"/>
      <name val="Calibri"/>
      <family val="2"/>
      <scheme val="minor"/>
    </font>
    <font>
      <b/>
      <sz val="11"/>
      <color theme="1"/>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0" borderId="0" xfId="0" applyFont="1"/>
    <xf numFmtId="0" fontId="0" fillId="0" borderId="0" xfId="0" applyAlignment="1">
      <alignment horizontal="left" vertical="top" wrapText="1"/>
    </xf>
    <xf numFmtId="0" fontId="2" fillId="0" borderId="0" xfId="0" applyFont="1"/>
    <xf numFmtId="0" fontId="1"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4" fillId="2" borderId="0" xfId="0" applyFont="1" applyFill="1" applyAlignment="1">
      <alignment horizontal="left" vertical="top" wrapText="1"/>
    </xf>
    <xf numFmtId="0" fontId="5" fillId="0" borderId="0" xfId="1" applyFont="1" applyAlignment="1">
      <alignment horizontal="left" vertical="top" wrapText="1"/>
    </xf>
    <xf numFmtId="0" fontId="4" fillId="0" borderId="0" xfId="0" applyFont="1"/>
    <xf numFmtId="0" fontId="0"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emnet.com/News/story/178891/indian-roadmap-aims-for-net-zero-by-2070.html" TargetMode="External"/><Relationship Id="rId13" Type="http://schemas.openxmlformats.org/officeDocument/2006/relationships/hyperlink" Target="https://asperssi.id/asperssi-ungkap-volume-produksi-penjualan-semen-di-2025-dan-proyeksi-untuk-2026/" TargetMode="External"/><Relationship Id="rId3" Type="http://schemas.openxmlformats.org/officeDocument/2006/relationships/hyperlink" Target="https://www.usgs.gov/centers/national-minerals-information-center/cement-statistics-and-information" TargetMode="External"/><Relationship Id="rId7" Type="http://schemas.openxmlformats.org/officeDocument/2006/relationships/hyperlink" Target="https://indiancementreview.com/2026/01/28/niti-aayog-unveils-decarbonisation-roadmaps/" TargetMode="External"/><Relationship Id="rId12" Type="http://schemas.openxmlformats.org/officeDocument/2006/relationships/hyperlink" Target="https://cement.ca/wp-content/uploads/ConcreteZero-Report-FINAL-reduced.pdf" TargetMode="External"/><Relationship Id="rId2" Type="http://schemas.openxmlformats.org/officeDocument/2006/relationships/hyperlink" Target="https://www.wri.org/insights/lower-carbon-blended-cement" TargetMode="External"/><Relationship Id="rId1" Type="http://schemas.openxmlformats.org/officeDocument/2006/relationships/hyperlink" Target="https://pubs.usgs.gov/periodicals/mcs2026/mcs2026-cement.pdf" TargetMode="External"/><Relationship Id="rId6" Type="http://schemas.openxmlformats.org/officeDocument/2006/relationships/hyperlink" Target="https://www.aceee.org/wp-content/uploads/2026/07/ACEEE_Decarbonisation_in_Cement_Industry.pdf" TargetMode="External"/><Relationship Id="rId11" Type="http://schemas.openxmlformats.org/officeDocument/2006/relationships/hyperlink" Target="https://canacem.org.mx/site/wp-content/uploads/2023/03/Hoja-de-Ruta-Mexico-FICEM.pdf" TargetMode="External"/><Relationship Id="rId5" Type="http://schemas.openxmlformats.org/officeDocument/2006/relationships/hyperlink" Target="https://www.eia.gov/outlooks/aeo/nems/documentation/industrial/pdf/IDM_AEO2025.pdf" TargetMode="External"/><Relationship Id="rId10" Type="http://schemas.openxmlformats.org/officeDocument/2006/relationships/hyperlink" Target="http://snic.org.br/assets/pdf/relatorio_anual/1732731328.pdf" TargetMode="External"/><Relationship Id="rId4" Type="http://schemas.openxmlformats.org/officeDocument/2006/relationships/hyperlink" Target="https://www.cement.org/wp-content/uploads/2026/07/PCA_EPD_PLC_Athena_Final_revised_Jul2026.pdf" TargetMode="External"/><Relationship Id="rId9" Type="http://schemas.openxmlformats.org/officeDocument/2006/relationships/hyperlink" Target="https://www.cementeurope.eu/media/g44cvp5a/cembureau-net-zero-roadmap.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7"/>
  <sheetViews>
    <sheetView tabSelected="1" workbookViewId="0"/>
  </sheetViews>
  <sheetFormatPr defaultRowHeight="14.5" x14ac:dyDescent="0.35"/>
  <cols>
    <col min="1" max="1" width="14.6328125" customWidth="1"/>
    <col min="2" max="2" width="110.6328125" customWidth="1"/>
    <col min="3" max="3" width="3.6328125" customWidth="1"/>
    <col min="4" max="4" width="110.6328125" customWidth="1"/>
  </cols>
  <sheetData>
    <row r="1" spans="1:4" x14ac:dyDescent="0.35">
      <c r="A1" s="6" t="s">
        <v>0</v>
      </c>
    </row>
    <row r="3" spans="1:4" x14ac:dyDescent="0.35">
      <c r="A3" s="5" t="s">
        <v>1</v>
      </c>
      <c r="B3" s="7" t="s">
        <v>69</v>
      </c>
      <c r="D3" s="7" t="s">
        <v>81</v>
      </c>
    </row>
    <row r="4" spans="1:4" x14ac:dyDescent="0.35">
      <c r="B4" s="10" t="s">
        <v>70</v>
      </c>
      <c r="D4" s="10" t="s">
        <v>86</v>
      </c>
    </row>
    <row r="5" spans="1:4" x14ac:dyDescent="0.35">
      <c r="B5" s="10" t="s">
        <v>71</v>
      </c>
      <c r="D5" s="10" t="s">
        <v>87</v>
      </c>
    </row>
    <row r="6" spans="1:4" x14ac:dyDescent="0.35">
      <c r="B6" s="10">
        <v>2026</v>
      </c>
      <c r="D6" s="10"/>
    </row>
    <row r="7" spans="1:4" x14ac:dyDescent="0.35">
      <c r="B7" s="8" t="s">
        <v>2</v>
      </c>
      <c r="D7" s="8" t="s">
        <v>88</v>
      </c>
    </row>
    <row r="8" spans="1:4" ht="58" x14ac:dyDescent="0.35">
      <c r="B8" s="10" t="s">
        <v>72</v>
      </c>
      <c r="D8" s="10" t="s">
        <v>89</v>
      </c>
    </row>
    <row r="10" spans="1:4" x14ac:dyDescent="0.35">
      <c r="B10" s="7" t="s">
        <v>73</v>
      </c>
      <c r="D10" s="7" t="s">
        <v>90</v>
      </c>
    </row>
    <row r="11" spans="1:4" x14ac:dyDescent="0.35">
      <c r="B11" s="10" t="s">
        <v>74</v>
      </c>
      <c r="D11" s="10" t="s">
        <v>91</v>
      </c>
    </row>
    <row r="12" spans="1:4" x14ac:dyDescent="0.35">
      <c r="B12" s="10" t="s">
        <v>3</v>
      </c>
      <c r="D12" s="10" t="s">
        <v>92</v>
      </c>
    </row>
    <row r="13" spans="1:4" x14ac:dyDescent="0.35">
      <c r="B13" s="10">
        <v>2023</v>
      </c>
      <c r="D13" s="10"/>
    </row>
    <row r="14" spans="1:4" x14ac:dyDescent="0.35">
      <c r="B14" s="8" t="s">
        <v>4</v>
      </c>
      <c r="D14" s="8" t="s">
        <v>93</v>
      </c>
    </row>
    <row r="15" spans="1:4" ht="29" x14ac:dyDescent="0.35">
      <c r="B15" s="10" t="s">
        <v>75</v>
      </c>
      <c r="D15" s="10" t="s">
        <v>94</v>
      </c>
    </row>
    <row r="17" spans="2:4" x14ac:dyDescent="0.35">
      <c r="B17" s="7" t="s">
        <v>147</v>
      </c>
      <c r="D17" s="7" t="s">
        <v>95</v>
      </c>
    </row>
    <row r="18" spans="2:4" x14ac:dyDescent="0.35">
      <c r="B18" s="10" t="s">
        <v>70</v>
      </c>
      <c r="D18" s="10" t="s">
        <v>96</v>
      </c>
    </row>
    <row r="19" spans="2:4" x14ac:dyDescent="0.35">
      <c r="B19" s="10" t="s">
        <v>148</v>
      </c>
      <c r="D19" s="10" t="s">
        <v>97</v>
      </c>
    </row>
    <row r="20" spans="2:4" x14ac:dyDescent="0.35">
      <c r="B20" s="10">
        <v>2026</v>
      </c>
      <c r="D20" s="10">
        <v>2024</v>
      </c>
    </row>
    <row r="21" spans="2:4" x14ac:dyDescent="0.35">
      <c r="B21" s="8" t="s">
        <v>149</v>
      </c>
      <c r="D21" s="8" t="s">
        <v>98</v>
      </c>
    </row>
    <row r="22" spans="2:4" ht="72.5" x14ac:dyDescent="0.35">
      <c r="B22" s="10" t="s">
        <v>150</v>
      </c>
      <c r="D22" s="10" t="s">
        <v>99</v>
      </c>
    </row>
    <row r="24" spans="2:4" x14ac:dyDescent="0.35">
      <c r="B24" s="7" t="s">
        <v>151</v>
      </c>
      <c r="D24" s="7" t="s">
        <v>100</v>
      </c>
    </row>
    <row r="25" spans="2:4" x14ac:dyDescent="0.35">
      <c r="B25" s="10" t="s">
        <v>152</v>
      </c>
      <c r="D25" s="10" t="s">
        <v>101</v>
      </c>
    </row>
    <row r="26" spans="2:4" ht="29" x14ac:dyDescent="0.35">
      <c r="B26" s="10" t="s">
        <v>153</v>
      </c>
      <c r="D26" s="10" t="s">
        <v>102</v>
      </c>
    </row>
    <row r="27" spans="2:4" x14ac:dyDescent="0.35">
      <c r="B27" s="10">
        <v>2026</v>
      </c>
      <c r="D27" s="10"/>
    </row>
    <row r="28" spans="2:4" x14ac:dyDescent="0.35">
      <c r="B28" s="8" t="s">
        <v>154</v>
      </c>
      <c r="D28" s="8" t="s">
        <v>103</v>
      </c>
    </row>
    <row r="29" spans="2:4" ht="29" x14ac:dyDescent="0.35">
      <c r="B29" s="10" t="s">
        <v>155</v>
      </c>
      <c r="D29" s="10" t="s">
        <v>104</v>
      </c>
    </row>
    <row r="31" spans="2:4" x14ac:dyDescent="0.35">
      <c r="B31" s="7" t="s">
        <v>156</v>
      </c>
      <c r="D31" s="7" t="s">
        <v>105</v>
      </c>
    </row>
    <row r="32" spans="2:4" x14ac:dyDescent="0.35">
      <c r="B32" s="10" t="s">
        <v>157</v>
      </c>
      <c r="D32" s="10" t="s">
        <v>106</v>
      </c>
    </row>
    <row r="33" spans="2:4" x14ac:dyDescent="0.35">
      <c r="B33" s="10" t="s">
        <v>158</v>
      </c>
      <c r="D33" s="10" t="s">
        <v>107</v>
      </c>
    </row>
    <row r="34" spans="2:4" x14ac:dyDescent="0.35">
      <c r="B34" s="10">
        <v>2025</v>
      </c>
      <c r="D34" s="10">
        <v>2023</v>
      </c>
    </row>
    <row r="35" spans="2:4" x14ac:dyDescent="0.35">
      <c r="B35" s="8" t="s">
        <v>159</v>
      </c>
      <c r="D35" s="8" t="s">
        <v>108</v>
      </c>
    </row>
    <row r="36" spans="2:4" ht="43.5" x14ac:dyDescent="0.35">
      <c r="B36" s="10" t="s">
        <v>160</v>
      </c>
      <c r="D36" s="10" t="s">
        <v>109</v>
      </c>
    </row>
    <row r="38" spans="2:4" x14ac:dyDescent="0.35">
      <c r="B38" s="7" t="s">
        <v>76</v>
      </c>
      <c r="D38" s="7" t="s">
        <v>110</v>
      </c>
    </row>
    <row r="39" spans="2:4" x14ac:dyDescent="0.35">
      <c r="B39" s="10" t="s">
        <v>77</v>
      </c>
      <c r="D39" s="10" t="s">
        <v>111</v>
      </c>
    </row>
    <row r="40" spans="2:4" x14ac:dyDescent="0.35">
      <c r="B40" s="10" t="s">
        <v>78</v>
      </c>
      <c r="D40" s="10" t="s">
        <v>112</v>
      </c>
    </row>
    <row r="41" spans="2:4" x14ac:dyDescent="0.35">
      <c r="B41" s="10">
        <v>2026</v>
      </c>
      <c r="D41" s="10">
        <v>2026</v>
      </c>
    </row>
    <row r="42" spans="2:4" x14ac:dyDescent="0.35">
      <c r="B42" s="8" t="s">
        <v>79</v>
      </c>
      <c r="D42" s="8" t="s">
        <v>113</v>
      </c>
    </row>
    <row r="43" spans="2:4" ht="43.5" x14ac:dyDescent="0.35">
      <c r="B43" s="10" t="s">
        <v>80</v>
      </c>
      <c r="D43" s="10" t="s">
        <v>114</v>
      </c>
    </row>
    <row r="45" spans="2:4" x14ac:dyDescent="0.35">
      <c r="B45" s="7" t="s">
        <v>81</v>
      </c>
    </row>
    <row r="46" spans="2:4" x14ac:dyDescent="0.35">
      <c r="B46" s="10" t="s">
        <v>82</v>
      </c>
    </row>
    <row r="47" spans="2:4" x14ac:dyDescent="0.35">
      <c r="B47" s="10" t="s">
        <v>83</v>
      </c>
    </row>
    <row r="48" spans="2:4" x14ac:dyDescent="0.35">
      <c r="B48" s="10">
        <v>2026</v>
      </c>
    </row>
    <row r="49" spans="1:2" x14ac:dyDescent="0.35">
      <c r="B49" s="8" t="s">
        <v>84</v>
      </c>
    </row>
    <row r="50" spans="1:2" ht="29" x14ac:dyDescent="0.35">
      <c r="B50" s="10" t="s">
        <v>85</v>
      </c>
    </row>
    <row r="53" spans="1:2" x14ac:dyDescent="0.35">
      <c r="A53" s="5" t="s">
        <v>5</v>
      </c>
    </row>
    <row r="54" spans="1:2" ht="159.5" x14ac:dyDescent="0.35">
      <c r="A54" s="5" t="s">
        <v>115</v>
      </c>
      <c r="B54" s="10" t="s">
        <v>161</v>
      </c>
    </row>
    <row r="55" spans="1:2" ht="72.5" x14ac:dyDescent="0.35">
      <c r="A55" s="5" t="s">
        <v>116</v>
      </c>
      <c r="B55" s="10" t="s">
        <v>117</v>
      </c>
    </row>
    <row r="56" spans="1:2" ht="130.5" x14ac:dyDescent="0.35">
      <c r="A56" s="5" t="s">
        <v>118</v>
      </c>
      <c r="B56" s="10" t="s">
        <v>162</v>
      </c>
    </row>
    <row r="57" spans="1:2" ht="145" x14ac:dyDescent="0.35">
      <c r="A57" s="5" t="s">
        <v>119</v>
      </c>
      <c r="B57" s="10" t="s">
        <v>120</v>
      </c>
    </row>
  </sheetData>
  <hyperlinks>
    <hyperlink ref="B7" r:id="rId1" xr:uid="{C700D560-08E7-4773-A6AD-C4F6EB1881D8}"/>
    <hyperlink ref="B14" r:id="rId2" xr:uid="{FE79DDC8-56CB-44E8-90CB-609A2174C5B3}"/>
    <hyperlink ref="B21" r:id="rId3" xr:uid="{9C20D4DC-B105-48EB-8069-2BF89B91329A}"/>
    <hyperlink ref="B28" r:id="rId4" xr:uid="{5B8B1715-2EF4-4986-B66A-910AE5E320EE}"/>
    <hyperlink ref="B35" r:id="rId5" xr:uid="{69D609EB-E3A6-4675-B74C-C167ACFB6E0C}"/>
    <hyperlink ref="B42" r:id="rId6" xr:uid="{BB3E74BF-7C74-4E5B-8EC5-50B70C1DA8A5}"/>
    <hyperlink ref="B49" r:id="rId7" xr:uid="{EE69548F-FDDD-42D8-90E5-DA63709DD7E8}"/>
    <hyperlink ref="D7" r:id="rId8" xr:uid="{E2A76FEA-C423-4807-A784-B258CC17768D}"/>
    <hyperlink ref="D14" r:id="rId9" xr:uid="{8BFFD94F-83E9-452A-A252-2A80E15C71A1}"/>
    <hyperlink ref="D21" r:id="rId10" xr:uid="{D33E374F-51A6-438D-A4E0-5FEC645047C9}"/>
    <hyperlink ref="D28" r:id="rId11" xr:uid="{E9A40516-7A66-488D-8F96-BC8D68425EB7}"/>
    <hyperlink ref="D35" r:id="rId12" xr:uid="{AA212CB0-DEE9-49FB-A501-F73A34940C64}"/>
    <hyperlink ref="D42" r:id="rId13" xr:uid="{43BD38AB-CB14-4259-A71E-31B443FDA1F4}"/>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workbookViewId="0">
      <pane xSplit="1" ySplit="4" topLeftCell="B5" activePane="bottomRight" state="frozen"/>
      <selection pane="topRight"/>
      <selection pane="bottomLeft"/>
      <selection pane="bottomRight"/>
    </sheetView>
  </sheetViews>
  <sheetFormatPr defaultRowHeight="14.5" x14ac:dyDescent="0.35"/>
  <cols>
    <col min="1" max="1" width="18" customWidth="1"/>
    <col min="2" max="2" width="12" customWidth="1"/>
    <col min="3" max="3" width="16" customWidth="1"/>
    <col min="4" max="4" width="10" customWidth="1"/>
    <col min="5" max="5" width="18" customWidth="1"/>
    <col min="6" max="6" width="12" customWidth="1"/>
    <col min="7" max="7" width="10" customWidth="1"/>
    <col min="8" max="8" width="70" customWidth="1"/>
  </cols>
  <sheetData>
    <row r="1" spans="1:8" x14ac:dyDescent="0.35">
      <c r="A1" s="1" t="s">
        <v>6</v>
      </c>
      <c r="B1" s="3" t="s">
        <v>7</v>
      </c>
    </row>
    <row r="2" spans="1:8" ht="130.5" x14ac:dyDescent="0.35">
      <c r="A2" s="2" t="s">
        <v>121</v>
      </c>
    </row>
    <row r="4" spans="1:8" ht="29" x14ac:dyDescent="0.35">
      <c r="A4" s="4" t="s">
        <v>8</v>
      </c>
      <c r="B4" s="4" t="s">
        <v>9</v>
      </c>
      <c r="C4" s="4" t="s">
        <v>10</v>
      </c>
      <c r="D4" s="4" t="s">
        <v>11</v>
      </c>
      <c r="E4" s="4" t="s">
        <v>12</v>
      </c>
      <c r="F4" s="4" t="s">
        <v>13</v>
      </c>
      <c r="G4" s="4" t="s">
        <v>11</v>
      </c>
      <c r="H4" s="4" t="s">
        <v>14</v>
      </c>
    </row>
    <row r="5" spans="1:8" x14ac:dyDescent="0.35">
      <c r="A5" t="s">
        <v>7</v>
      </c>
      <c r="B5">
        <v>2025</v>
      </c>
      <c r="C5">
        <v>0.82930000000000004</v>
      </c>
      <c r="D5" t="s">
        <v>15</v>
      </c>
      <c r="H5" t="s">
        <v>146</v>
      </c>
    </row>
    <row r="6" spans="1:8" x14ac:dyDescent="0.35">
      <c r="A6" t="s">
        <v>17</v>
      </c>
      <c r="H6" t="s">
        <v>122</v>
      </c>
    </row>
    <row r="7" spans="1:8" x14ac:dyDescent="0.35">
      <c r="A7" t="s">
        <v>18</v>
      </c>
      <c r="B7">
        <v>2025</v>
      </c>
      <c r="C7">
        <v>0.73</v>
      </c>
      <c r="D7" t="s">
        <v>19</v>
      </c>
      <c r="H7" t="s">
        <v>20</v>
      </c>
    </row>
    <row r="8" spans="1:8" x14ac:dyDescent="0.35">
      <c r="A8" t="s">
        <v>21</v>
      </c>
      <c r="B8">
        <v>2021</v>
      </c>
      <c r="C8">
        <v>0.77</v>
      </c>
      <c r="D8" t="s">
        <v>15</v>
      </c>
      <c r="H8" t="s">
        <v>22</v>
      </c>
    </row>
    <row r="9" spans="1:8" x14ac:dyDescent="0.35">
      <c r="A9" t="s">
        <v>23</v>
      </c>
      <c r="H9" t="s">
        <v>24</v>
      </c>
    </row>
    <row r="10" spans="1:8" x14ac:dyDescent="0.35">
      <c r="A10" t="s">
        <v>25</v>
      </c>
      <c r="B10">
        <v>2022</v>
      </c>
      <c r="C10">
        <v>0.71</v>
      </c>
      <c r="D10" t="s">
        <v>15</v>
      </c>
      <c r="H10" t="s">
        <v>26</v>
      </c>
    </row>
    <row r="11" spans="1:8" x14ac:dyDescent="0.35">
      <c r="A11" t="s">
        <v>27</v>
      </c>
      <c r="B11">
        <v>2016</v>
      </c>
      <c r="C11">
        <v>0.75</v>
      </c>
      <c r="D11" t="s">
        <v>15</v>
      </c>
      <c r="H11" t="s">
        <v>28</v>
      </c>
    </row>
    <row r="12" spans="1:8" x14ac:dyDescent="0.35">
      <c r="A12" t="s">
        <v>29</v>
      </c>
      <c r="B12">
        <v>2020</v>
      </c>
      <c r="C12">
        <v>0.89</v>
      </c>
      <c r="D12" t="s">
        <v>15</v>
      </c>
      <c r="H12" t="s">
        <v>30</v>
      </c>
    </row>
    <row r="13" spans="1:8" x14ac:dyDescent="0.35">
      <c r="A13" t="s">
        <v>31</v>
      </c>
      <c r="B13">
        <v>2025</v>
      </c>
      <c r="C13">
        <f>((57.301-12.34)/63.912)</f>
        <v>0.70348291400675933</v>
      </c>
      <c r="D13" t="s">
        <v>16</v>
      </c>
      <c r="H13" t="s">
        <v>32</v>
      </c>
    </row>
    <row r="14" spans="1:8" x14ac:dyDescent="0.35">
      <c r="A14" t="s">
        <v>33</v>
      </c>
      <c r="H14" t="s">
        <v>24</v>
      </c>
    </row>
  </sheetData>
  <dataValidations count="1">
    <dataValidation type="list" sqref="B1" xr:uid="{00000000-0002-0000-0100-000000000000}">
      <formula1>$A$5:$A$14</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1"/>
  <sheetViews>
    <sheetView workbookViewId="0">
      <pane ySplit="3" topLeftCell="A4" activePane="bottomLeft" state="frozen"/>
      <selection pane="bottomLeft"/>
    </sheetView>
  </sheetViews>
  <sheetFormatPr defaultRowHeight="14.5" x14ac:dyDescent="0.35"/>
  <cols>
    <col min="1" max="1" width="70" customWidth="1"/>
  </cols>
  <sheetData>
    <row r="1" spans="1:6" x14ac:dyDescent="0.35">
      <c r="A1" t="s">
        <v>34</v>
      </c>
    </row>
    <row r="3" spans="1:6" x14ac:dyDescent="0.35">
      <c r="A3" t="s">
        <v>35</v>
      </c>
      <c r="B3">
        <v>2021</v>
      </c>
      <c r="C3">
        <v>2022</v>
      </c>
      <c r="D3">
        <v>2023</v>
      </c>
      <c r="E3">
        <v>2024</v>
      </c>
      <c r="F3" t="s">
        <v>36</v>
      </c>
    </row>
    <row r="4" spans="1:6" x14ac:dyDescent="0.35">
      <c r="A4" t="s">
        <v>37</v>
      </c>
      <c r="B4">
        <v>91000</v>
      </c>
      <c r="C4">
        <v>91200</v>
      </c>
      <c r="D4">
        <v>89700</v>
      </c>
      <c r="E4">
        <v>85000</v>
      </c>
      <c r="F4">
        <v>84000</v>
      </c>
    </row>
    <row r="5" spans="1:6" x14ac:dyDescent="0.35">
      <c r="A5" t="s">
        <v>38</v>
      </c>
      <c r="B5">
        <v>79616</v>
      </c>
      <c r="C5">
        <v>79489</v>
      </c>
      <c r="D5">
        <v>76789</v>
      </c>
      <c r="E5">
        <v>72000</v>
      </c>
      <c r="F5">
        <v>69000</v>
      </c>
    </row>
    <row r="6" spans="1:6" x14ac:dyDescent="0.35">
      <c r="A6" t="s">
        <v>39</v>
      </c>
      <c r="B6">
        <v>108969</v>
      </c>
      <c r="C6">
        <v>111092</v>
      </c>
      <c r="D6">
        <v>110290</v>
      </c>
      <c r="E6">
        <v>100000</v>
      </c>
      <c r="F6">
        <v>100000</v>
      </c>
    </row>
    <row r="7" spans="1:6" x14ac:dyDescent="0.35">
      <c r="A7" t="s">
        <v>40</v>
      </c>
      <c r="B7">
        <v>19937</v>
      </c>
      <c r="C7">
        <v>24985</v>
      </c>
      <c r="D7">
        <v>24986</v>
      </c>
      <c r="E7">
        <v>23675</v>
      </c>
      <c r="F7">
        <v>23000</v>
      </c>
    </row>
    <row r="8" spans="1:6" x14ac:dyDescent="0.35">
      <c r="A8" t="s">
        <v>41</v>
      </c>
      <c r="B8">
        <v>1563</v>
      </c>
      <c r="C8">
        <v>1021</v>
      </c>
      <c r="D8">
        <v>921</v>
      </c>
      <c r="E8">
        <v>685</v>
      </c>
      <c r="F8">
        <v>660</v>
      </c>
    </row>
    <row r="9" spans="1:6" x14ac:dyDescent="0.35">
      <c r="A9" t="s">
        <v>42</v>
      </c>
      <c r="B9">
        <v>939</v>
      </c>
      <c r="C9">
        <v>904</v>
      </c>
      <c r="D9">
        <v>889</v>
      </c>
      <c r="E9">
        <v>932</v>
      </c>
      <c r="F9">
        <v>1000</v>
      </c>
    </row>
    <row r="10" spans="1:6" x14ac:dyDescent="0.35">
      <c r="A10" t="s">
        <v>43</v>
      </c>
      <c r="B10">
        <v>111000</v>
      </c>
      <c r="C10">
        <v>114000</v>
      </c>
      <c r="D10">
        <v>113000</v>
      </c>
      <c r="E10">
        <v>110000</v>
      </c>
      <c r="F10">
        <v>110000</v>
      </c>
    </row>
    <row r="11" spans="1:6" x14ac:dyDescent="0.35">
      <c r="A11" t="s">
        <v>44</v>
      </c>
      <c r="B11">
        <v>127</v>
      </c>
      <c r="C11">
        <v>139</v>
      </c>
      <c r="D11">
        <v>152</v>
      </c>
      <c r="E11">
        <v>160</v>
      </c>
      <c r="F11">
        <v>160</v>
      </c>
    </row>
    <row r="12" spans="1:6" x14ac:dyDescent="0.35">
      <c r="A12" t="s">
        <v>45</v>
      </c>
      <c r="B12">
        <v>6280</v>
      </c>
      <c r="C12">
        <v>8010</v>
      </c>
      <c r="D12">
        <v>8830</v>
      </c>
      <c r="E12">
        <v>9700</v>
      </c>
      <c r="F12">
        <v>8200</v>
      </c>
    </row>
    <row r="13" spans="1:6" x14ac:dyDescent="0.35">
      <c r="A13" t="s">
        <v>46</v>
      </c>
      <c r="B13">
        <v>19</v>
      </c>
      <c r="C13">
        <v>22</v>
      </c>
      <c r="D13">
        <v>22</v>
      </c>
      <c r="E13">
        <v>22</v>
      </c>
      <c r="F13">
        <v>21</v>
      </c>
    </row>
    <row r="15" spans="1:6" x14ac:dyDescent="0.35">
      <c r="A15" t="s">
        <v>47</v>
      </c>
      <c r="B15" t="s">
        <v>48</v>
      </c>
      <c r="C15" t="s">
        <v>49</v>
      </c>
      <c r="D15" t="s">
        <v>50</v>
      </c>
      <c r="E15" t="s">
        <v>51</v>
      </c>
    </row>
    <row r="16" spans="1:6" x14ac:dyDescent="0.35">
      <c r="A16" t="s">
        <v>52</v>
      </c>
      <c r="B16">
        <v>85000</v>
      </c>
      <c r="C16">
        <v>84000</v>
      </c>
      <c r="D16">
        <v>100000</v>
      </c>
      <c r="E16">
        <v>100000</v>
      </c>
    </row>
    <row r="17" spans="1:5" x14ac:dyDescent="0.35">
      <c r="A17" t="s">
        <v>25</v>
      </c>
      <c r="B17">
        <v>65000</v>
      </c>
      <c r="C17">
        <v>67000</v>
      </c>
      <c r="D17">
        <v>60000</v>
      </c>
      <c r="E17">
        <v>61000</v>
      </c>
    </row>
    <row r="18" spans="1:5" x14ac:dyDescent="0.35">
      <c r="A18" t="s">
        <v>17</v>
      </c>
      <c r="B18">
        <v>1800000</v>
      </c>
      <c r="C18">
        <v>1700000</v>
      </c>
      <c r="D18">
        <v>1900000</v>
      </c>
      <c r="E18">
        <v>1800000</v>
      </c>
    </row>
    <row r="19" spans="1:5" x14ac:dyDescent="0.35">
      <c r="A19" t="s">
        <v>53</v>
      </c>
      <c r="B19">
        <v>53000</v>
      </c>
      <c r="C19">
        <v>64000</v>
      </c>
      <c r="D19">
        <v>60000</v>
      </c>
      <c r="E19">
        <v>75000</v>
      </c>
    </row>
    <row r="20" spans="1:5" x14ac:dyDescent="0.35">
      <c r="A20" t="s">
        <v>18</v>
      </c>
      <c r="B20">
        <v>440000</v>
      </c>
      <c r="C20">
        <v>470000</v>
      </c>
      <c r="D20">
        <v>380000</v>
      </c>
      <c r="E20">
        <v>400000</v>
      </c>
    </row>
    <row r="21" spans="1:5" x14ac:dyDescent="0.35">
      <c r="A21" t="s">
        <v>31</v>
      </c>
      <c r="B21">
        <v>68000</v>
      </c>
      <c r="C21">
        <v>64000</v>
      </c>
      <c r="D21">
        <v>79000</v>
      </c>
      <c r="E21">
        <v>83000</v>
      </c>
    </row>
    <row r="22" spans="1:5" x14ac:dyDescent="0.35">
      <c r="A22" t="s">
        <v>54</v>
      </c>
      <c r="B22">
        <v>71000</v>
      </c>
      <c r="C22">
        <v>68000</v>
      </c>
      <c r="D22">
        <v>85000</v>
      </c>
      <c r="E22">
        <v>85000</v>
      </c>
    </row>
    <row r="23" spans="1:5" x14ac:dyDescent="0.35">
      <c r="A23" t="s">
        <v>23</v>
      </c>
      <c r="B23">
        <v>46000</v>
      </c>
      <c r="C23">
        <v>44000</v>
      </c>
      <c r="D23">
        <v>50000</v>
      </c>
      <c r="E23">
        <v>50000</v>
      </c>
    </row>
    <row r="24" spans="1:5" x14ac:dyDescent="0.35">
      <c r="A24" t="s">
        <v>55</v>
      </c>
      <c r="B24">
        <v>44000</v>
      </c>
      <c r="C24">
        <v>37000</v>
      </c>
      <c r="D24">
        <v>62000</v>
      </c>
      <c r="E24">
        <v>62000</v>
      </c>
    </row>
    <row r="25" spans="1:5" x14ac:dyDescent="0.35">
      <c r="A25" t="s">
        <v>27</v>
      </c>
      <c r="B25">
        <v>44000</v>
      </c>
      <c r="C25">
        <v>42000</v>
      </c>
      <c r="D25">
        <v>42000</v>
      </c>
      <c r="E25">
        <v>42000</v>
      </c>
    </row>
    <row r="26" spans="1:5" x14ac:dyDescent="0.35">
      <c r="A26" t="s">
        <v>56</v>
      </c>
      <c r="B26">
        <v>67000</v>
      </c>
      <c r="C26">
        <v>59000</v>
      </c>
      <c r="D26">
        <v>80000</v>
      </c>
      <c r="E26">
        <v>80000</v>
      </c>
    </row>
    <row r="27" spans="1:5" x14ac:dyDescent="0.35">
      <c r="A27" t="s">
        <v>57</v>
      </c>
      <c r="B27">
        <v>51000</v>
      </c>
      <c r="C27">
        <v>54000</v>
      </c>
      <c r="D27">
        <v>75000</v>
      </c>
      <c r="E27">
        <v>75000</v>
      </c>
    </row>
    <row r="28" spans="1:5" x14ac:dyDescent="0.35">
      <c r="A28" t="s">
        <v>58</v>
      </c>
      <c r="B28">
        <v>85000</v>
      </c>
      <c r="C28">
        <v>89000</v>
      </c>
      <c r="D28">
        <v>100000</v>
      </c>
      <c r="E28">
        <v>100000</v>
      </c>
    </row>
    <row r="29" spans="1:5" x14ac:dyDescent="0.35">
      <c r="A29" t="s">
        <v>59</v>
      </c>
      <c r="B29">
        <v>91000</v>
      </c>
      <c r="C29">
        <v>100000</v>
      </c>
      <c r="D29">
        <v>110000</v>
      </c>
      <c r="E29">
        <v>110000</v>
      </c>
    </row>
    <row r="30" spans="1:5" x14ac:dyDescent="0.35">
      <c r="A30" t="s">
        <v>60</v>
      </c>
      <c r="B30">
        <v>860000</v>
      </c>
      <c r="C30">
        <v>860000</v>
      </c>
      <c r="D30">
        <v>650000</v>
      </c>
      <c r="E30">
        <v>650000</v>
      </c>
    </row>
    <row r="31" spans="1:5" x14ac:dyDescent="0.35">
      <c r="A31" t="s">
        <v>61</v>
      </c>
      <c r="B31">
        <v>3900000</v>
      </c>
      <c r="C31">
        <v>3800000</v>
      </c>
      <c r="D31">
        <v>3800000</v>
      </c>
      <c r="E31">
        <v>3800000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6F18-732D-484F-A28B-9FC1C5B536EF}">
  <dimension ref="A1:AA31"/>
  <sheetViews>
    <sheetView workbookViewId="0"/>
  </sheetViews>
  <sheetFormatPr defaultRowHeight="14.5" x14ac:dyDescent="0.35"/>
  <cols>
    <col min="1" max="1" width="62.6328125" customWidth="1"/>
  </cols>
  <sheetData>
    <row r="1" spans="1:8" x14ac:dyDescent="0.35">
      <c r="A1" s="9" t="s">
        <v>125</v>
      </c>
    </row>
    <row r="3" spans="1:8" x14ac:dyDescent="0.35">
      <c r="A3" s="9" t="s">
        <v>126</v>
      </c>
    </row>
    <row r="4" spans="1:8" x14ac:dyDescent="0.35">
      <c r="A4" t="s">
        <v>67</v>
      </c>
      <c r="B4">
        <v>2019</v>
      </c>
      <c r="C4">
        <v>2020</v>
      </c>
      <c r="D4">
        <v>2021</v>
      </c>
      <c r="E4">
        <v>2022</v>
      </c>
      <c r="F4">
        <v>2023</v>
      </c>
      <c r="G4">
        <v>2024</v>
      </c>
      <c r="H4">
        <v>2025</v>
      </c>
    </row>
    <row r="5" spans="1:8" x14ac:dyDescent="0.35">
      <c r="A5" t="s">
        <v>127</v>
      </c>
      <c r="B5">
        <v>98.59</v>
      </c>
      <c r="C5">
        <v>99.55</v>
      </c>
      <c r="D5">
        <v>101.21</v>
      </c>
      <c r="E5">
        <v>82.87</v>
      </c>
      <c r="F5">
        <v>54.66</v>
      </c>
      <c r="G5">
        <v>41.78</v>
      </c>
      <c r="H5">
        <v>36.020000000000003</v>
      </c>
    </row>
    <row r="6" spans="1:8" x14ac:dyDescent="0.35">
      <c r="A6" t="s">
        <v>128</v>
      </c>
      <c r="B6">
        <v>2.4300000000000002</v>
      </c>
      <c r="C6">
        <v>3.28</v>
      </c>
      <c r="D6">
        <v>6.04</v>
      </c>
      <c r="E6">
        <v>26.39</v>
      </c>
      <c r="F6">
        <v>54.21</v>
      </c>
      <c r="G6">
        <v>61.41</v>
      </c>
      <c r="H6">
        <v>65.599999999999994</v>
      </c>
    </row>
    <row r="7" spans="1:8" x14ac:dyDescent="0.35">
      <c r="A7" t="s">
        <v>129</v>
      </c>
      <c r="B7">
        <f t="shared" ref="B7:H7" si="0">B6/(B5+B6)</f>
        <v>2.4054642645020788E-2</v>
      </c>
      <c r="C7">
        <f t="shared" si="0"/>
        <v>3.1897306233589419E-2</v>
      </c>
      <c r="D7">
        <f t="shared" si="0"/>
        <v>5.631701631701632E-2</v>
      </c>
      <c r="E7">
        <f t="shared" si="0"/>
        <v>0.24153395570199523</v>
      </c>
      <c r="F7">
        <f t="shared" si="0"/>
        <v>0.49793331496279963</v>
      </c>
      <c r="G7">
        <f t="shared" si="0"/>
        <v>0.59511580579513512</v>
      </c>
      <c r="H7">
        <f t="shared" si="0"/>
        <v>0.64554221609919293</v>
      </c>
    </row>
    <row r="8" spans="1:8" x14ac:dyDescent="0.35">
      <c r="A8" t="s">
        <v>130</v>
      </c>
      <c r="G8">
        <v>0.96599999999999997</v>
      </c>
      <c r="H8">
        <v>0.95599999999999996</v>
      </c>
    </row>
    <row r="10" spans="1:8" x14ac:dyDescent="0.35">
      <c r="A10" s="9" t="s">
        <v>131</v>
      </c>
    </row>
    <row r="11" spans="1:8" x14ac:dyDescent="0.35">
      <c r="A11" t="s">
        <v>132</v>
      </c>
      <c r="B11">
        <v>0.91400000000000003</v>
      </c>
    </row>
    <row r="12" spans="1:8" x14ac:dyDescent="0.35">
      <c r="A12" t="s">
        <v>133</v>
      </c>
      <c r="B12">
        <v>0.93500000000000005</v>
      </c>
    </row>
    <row r="13" spans="1:8" x14ac:dyDescent="0.35">
      <c r="A13" t="s">
        <v>134</v>
      </c>
      <c r="B13">
        <v>0.65</v>
      </c>
    </row>
    <row r="15" spans="1:8" x14ac:dyDescent="0.35">
      <c r="A15" s="9" t="s">
        <v>135</v>
      </c>
    </row>
    <row r="16" spans="1:8" x14ac:dyDescent="0.35">
      <c r="A16" t="s">
        <v>67</v>
      </c>
      <c r="B16">
        <v>2025</v>
      </c>
      <c r="C16">
        <v>2030</v>
      </c>
      <c r="D16">
        <v>2035</v>
      </c>
      <c r="E16">
        <v>2040</v>
      </c>
      <c r="F16">
        <v>2050</v>
      </c>
    </row>
    <row r="17" spans="1:27" x14ac:dyDescent="0.35">
      <c r="A17" t="s">
        <v>129</v>
      </c>
      <c r="B17">
        <f>H7</f>
        <v>0.64554221609919293</v>
      </c>
      <c r="C17">
        <v>0.68</v>
      </c>
      <c r="D17">
        <v>0.7</v>
      </c>
      <c r="E17">
        <v>0.71</v>
      </c>
      <c r="F17">
        <v>0.72</v>
      </c>
    </row>
    <row r="18" spans="1:27" x14ac:dyDescent="0.35">
      <c r="A18" t="s">
        <v>136</v>
      </c>
      <c r="B18">
        <f>H7*(1-H8)</f>
        <v>2.8403857508364515E-2</v>
      </c>
      <c r="C18">
        <v>3.4000000000000002E-2</v>
      </c>
      <c r="D18">
        <v>0.04</v>
      </c>
      <c r="E18">
        <v>4.2999999999999997E-2</v>
      </c>
      <c r="F18">
        <v>0.05</v>
      </c>
    </row>
    <row r="19" spans="1:27" x14ac:dyDescent="0.35">
      <c r="A19" t="s">
        <v>137</v>
      </c>
      <c r="B19">
        <v>0.11</v>
      </c>
      <c r="C19">
        <v>0.11799999999999999</v>
      </c>
      <c r="D19">
        <v>0.125</v>
      </c>
      <c r="E19">
        <v>0.125</v>
      </c>
      <c r="F19">
        <v>0.125</v>
      </c>
    </row>
    <row r="21" spans="1:27" x14ac:dyDescent="0.35">
      <c r="A21" s="9" t="s">
        <v>138</v>
      </c>
    </row>
    <row r="22" spans="1:27" x14ac:dyDescent="0.35">
      <c r="A22" t="s">
        <v>67</v>
      </c>
      <c r="B22">
        <v>2025</v>
      </c>
      <c r="C22">
        <v>2026</v>
      </c>
      <c r="D22">
        <v>2027</v>
      </c>
      <c r="E22">
        <v>2028</v>
      </c>
      <c r="F22">
        <v>2029</v>
      </c>
      <c r="G22">
        <v>2030</v>
      </c>
      <c r="H22">
        <v>2031</v>
      </c>
      <c r="I22">
        <v>2032</v>
      </c>
      <c r="J22">
        <v>2033</v>
      </c>
      <c r="K22">
        <v>2034</v>
      </c>
      <c r="L22">
        <v>2035</v>
      </c>
      <c r="M22">
        <v>2036</v>
      </c>
      <c r="N22">
        <v>2037</v>
      </c>
      <c r="O22">
        <v>2038</v>
      </c>
      <c r="P22">
        <v>2039</v>
      </c>
      <c r="Q22">
        <v>2040</v>
      </c>
      <c r="R22">
        <v>2041</v>
      </c>
      <c r="S22">
        <v>2042</v>
      </c>
      <c r="T22">
        <v>2043</v>
      </c>
      <c r="U22">
        <v>2044</v>
      </c>
      <c r="V22">
        <v>2045</v>
      </c>
      <c r="W22">
        <v>2046</v>
      </c>
      <c r="X22">
        <v>2047</v>
      </c>
      <c r="Y22">
        <v>2048</v>
      </c>
      <c r="Z22">
        <v>2049</v>
      </c>
      <c r="AA22">
        <v>2050</v>
      </c>
    </row>
    <row r="23" spans="1:27" x14ac:dyDescent="0.35">
      <c r="A23" t="s">
        <v>139</v>
      </c>
      <c r="B23">
        <f t="shared" ref="B23:AA23" si="1">IF(B$22&lt;=2030,$B$17+($C$17-$B$17)*(B$22-2025)/5,IF(B$22&lt;=2035,$C$17+($D$17-$C$17)*(B$22-2030)/5,IF(B$22&lt;=2040,$D$17+($E$17-$D$17)*(B$22-2035)/5,$E$17+($F$17-$E$17)*(B$22-2040)/10)))</f>
        <v>0.64554221609919293</v>
      </c>
      <c r="C23">
        <f t="shared" si="1"/>
        <v>0.65243377287935433</v>
      </c>
      <c r="D23">
        <f t="shared" si="1"/>
        <v>0.65932532965951574</v>
      </c>
      <c r="E23">
        <f t="shared" si="1"/>
        <v>0.66621688643967725</v>
      </c>
      <c r="F23">
        <f t="shared" si="1"/>
        <v>0.67310844321983865</v>
      </c>
      <c r="G23">
        <f t="shared" si="1"/>
        <v>0.68</v>
      </c>
      <c r="H23">
        <f t="shared" si="1"/>
        <v>0.68400000000000005</v>
      </c>
      <c r="I23">
        <f t="shared" si="1"/>
        <v>0.68800000000000006</v>
      </c>
      <c r="J23">
        <f t="shared" si="1"/>
        <v>0.69199999999999995</v>
      </c>
      <c r="K23">
        <f t="shared" si="1"/>
        <v>0.69599999999999995</v>
      </c>
      <c r="L23">
        <f t="shared" si="1"/>
        <v>0.7</v>
      </c>
      <c r="M23">
        <f t="shared" si="1"/>
        <v>0.70199999999999996</v>
      </c>
      <c r="N23">
        <f t="shared" si="1"/>
        <v>0.70399999999999996</v>
      </c>
      <c r="O23">
        <f t="shared" si="1"/>
        <v>0.70599999999999996</v>
      </c>
      <c r="P23">
        <f t="shared" si="1"/>
        <v>0.70799999999999996</v>
      </c>
      <c r="Q23">
        <f t="shared" si="1"/>
        <v>0.71</v>
      </c>
      <c r="R23">
        <f t="shared" si="1"/>
        <v>0.71099999999999997</v>
      </c>
      <c r="S23">
        <f t="shared" si="1"/>
        <v>0.71199999999999997</v>
      </c>
      <c r="T23">
        <f t="shared" si="1"/>
        <v>0.71299999999999997</v>
      </c>
      <c r="U23">
        <f t="shared" si="1"/>
        <v>0.71399999999999997</v>
      </c>
      <c r="V23">
        <f t="shared" si="1"/>
        <v>0.71499999999999997</v>
      </c>
      <c r="W23">
        <f t="shared" si="1"/>
        <v>0.71599999999999997</v>
      </c>
      <c r="X23">
        <f t="shared" si="1"/>
        <v>0.71699999999999997</v>
      </c>
      <c r="Y23">
        <f t="shared" si="1"/>
        <v>0.71799999999999997</v>
      </c>
      <c r="Z23">
        <f t="shared" si="1"/>
        <v>0.71899999999999997</v>
      </c>
      <c r="AA23">
        <f t="shared" si="1"/>
        <v>0.72</v>
      </c>
    </row>
    <row r="24" spans="1:27" x14ac:dyDescent="0.35">
      <c r="A24" t="s">
        <v>140</v>
      </c>
      <c r="B24">
        <f t="shared" ref="B24:AA24" si="2">IF(B$22&lt;=2030,$B$18+($C$18-$B$18)*(B$22-2025)/5,IF(B$22&lt;=2035,$C$18+($D$18-$C$18)*(B$22-2030)/5,IF(B$22&lt;=2040,$D$18+($E$18-$D$18)*(B$22-2035)/5,$E$18+($F$18-$E$18)*(B$22-2040)/10)))</f>
        <v>2.8403857508364515E-2</v>
      </c>
      <c r="C24">
        <f t="shared" si="2"/>
        <v>2.9523086006691613E-2</v>
      </c>
      <c r="D24">
        <f t="shared" si="2"/>
        <v>3.0642314505018711E-2</v>
      </c>
      <c r="E24">
        <f t="shared" si="2"/>
        <v>3.1761543003345806E-2</v>
      </c>
      <c r="F24">
        <f t="shared" si="2"/>
        <v>3.2880771501672908E-2</v>
      </c>
      <c r="G24">
        <f t="shared" si="2"/>
        <v>3.4000000000000002E-2</v>
      </c>
      <c r="H24">
        <f t="shared" si="2"/>
        <v>3.5200000000000002E-2</v>
      </c>
      <c r="I24">
        <f t="shared" si="2"/>
        <v>3.6400000000000002E-2</v>
      </c>
      <c r="J24">
        <f t="shared" si="2"/>
        <v>3.7600000000000001E-2</v>
      </c>
      <c r="K24">
        <f t="shared" si="2"/>
        <v>3.8800000000000001E-2</v>
      </c>
      <c r="L24">
        <f t="shared" si="2"/>
        <v>0.04</v>
      </c>
      <c r="M24">
        <f t="shared" si="2"/>
        <v>4.0599999999999997E-2</v>
      </c>
      <c r="N24">
        <f t="shared" si="2"/>
        <v>4.1200000000000001E-2</v>
      </c>
      <c r="O24">
        <f t="shared" si="2"/>
        <v>4.1799999999999997E-2</v>
      </c>
      <c r="P24">
        <f t="shared" si="2"/>
        <v>4.24E-2</v>
      </c>
      <c r="Q24">
        <f t="shared" si="2"/>
        <v>4.2999999999999997E-2</v>
      </c>
      <c r="R24">
        <f t="shared" si="2"/>
        <v>4.3699999999999996E-2</v>
      </c>
      <c r="S24">
        <f t="shared" si="2"/>
        <v>4.4399999999999995E-2</v>
      </c>
      <c r="T24">
        <f t="shared" si="2"/>
        <v>4.5100000000000001E-2</v>
      </c>
      <c r="U24">
        <f t="shared" si="2"/>
        <v>4.58E-2</v>
      </c>
      <c r="V24">
        <f t="shared" si="2"/>
        <v>4.65E-2</v>
      </c>
      <c r="W24">
        <f t="shared" si="2"/>
        <v>4.7199999999999999E-2</v>
      </c>
      <c r="X24">
        <f t="shared" si="2"/>
        <v>4.7899999999999998E-2</v>
      </c>
      <c r="Y24">
        <f t="shared" si="2"/>
        <v>4.8600000000000004E-2</v>
      </c>
      <c r="Z24">
        <f t="shared" si="2"/>
        <v>4.9300000000000004E-2</v>
      </c>
      <c r="AA24">
        <f t="shared" si="2"/>
        <v>0.05</v>
      </c>
    </row>
    <row r="25" spans="1:27" x14ac:dyDescent="0.35">
      <c r="A25" t="s">
        <v>141</v>
      </c>
      <c r="B25">
        <f t="shared" ref="B25:AA25" si="3">B23-B24</f>
        <v>0.61713835859082844</v>
      </c>
      <c r="C25">
        <f t="shared" si="3"/>
        <v>0.62291068687266271</v>
      </c>
      <c r="D25">
        <f t="shared" si="3"/>
        <v>0.62868301515449698</v>
      </c>
      <c r="E25">
        <f t="shared" si="3"/>
        <v>0.63445534343633148</v>
      </c>
      <c r="F25">
        <f t="shared" si="3"/>
        <v>0.64022767171816575</v>
      </c>
      <c r="G25">
        <f t="shared" si="3"/>
        <v>0.64600000000000002</v>
      </c>
      <c r="H25">
        <f t="shared" si="3"/>
        <v>0.64880000000000004</v>
      </c>
      <c r="I25">
        <f t="shared" si="3"/>
        <v>0.65160000000000007</v>
      </c>
      <c r="J25">
        <f t="shared" si="3"/>
        <v>0.65439999999999998</v>
      </c>
      <c r="K25">
        <f t="shared" si="3"/>
        <v>0.65720000000000001</v>
      </c>
      <c r="L25">
        <f t="shared" si="3"/>
        <v>0.65999999999999992</v>
      </c>
      <c r="M25">
        <f t="shared" si="3"/>
        <v>0.66139999999999999</v>
      </c>
      <c r="N25">
        <f t="shared" si="3"/>
        <v>0.66279999999999994</v>
      </c>
      <c r="O25">
        <f t="shared" si="3"/>
        <v>0.66420000000000001</v>
      </c>
      <c r="P25">
        <f t="shared" si="3"/>
        <v>0.66559999999999997</v>
      </c>
      <c r="Q25">
        <f t="shared" si="3"/>
        <v>0.66699999999999993</v>
      </c>
      <c r="R25">
        <f t="shared" si="3"/>
        <v>0.6673</v>
      </c>
      <c r="S25">
        <f t="shared" si="3"/>
        <v>0.66759999999999997</v>
      </c>
      <c r="T25">
        <f t="shared" si="3"/>
        <v>0.66789999999999994</v>
      </c>
      <c r="U25">
        <f t="shared" si="3"/>
        <v>0.66820000000000002</v>
      </c>
      <c r="V25">
        <f t="shared" si="3"/>
        <v>0.66849999999999998</v>
      </c>
      <c r="W25">
        <f t="shared" si="3"/>
        <v>0.66879999999999995</v>
      </c>
      <c r="X25">
        <f t="shared" si="3"/>
        <v>0.66910000000000003</v>
      </c>
      <c r="Y25">
        <f t="shared" si="3"/>
        <v>0.6694</v>
      </c>
      <c r="Z25">
        <f t="shared" si="3"/>
        <v>0.66969999999999996</v>
      </c>
      <c r="AA25">
        <f t="shared" si="3"/>
        <v>0.66999999999999993</v>
      </c>
    </row>
    <row r="26" spans="1:27" x14ac:dyDescent="0.35">
      <c r="A26" t="s">
        <v>142</v>
      </c>
      <c r="B26">
        <f t="shared" ref="B26:AA26" si="4">1-B23</f>
        <v>0.35445778390080707</v>
      </c>
      <c r="C26">
        <f t="shared" si="4"/>
        <v>0.34756622712064567</v>
      </c>
      <c r="D26">
        <f t="shared" si="4"/>
        <v>0.34067467034048426</v>
      </c>
      <c r="E26">
        <f t="shared" si="4"/>
        <v>0.33378311356032275</v>
      </c>
      <c r="F26">
        <f t="shared" si="4"/>
        <v>0.32689155678016135</v>
      </c>
      <c r="G26">
        <f t="shared" si="4"/>
        <v>0.31999999999999995</v>
      </c>
      <c r="H26">
        <f t="shared" si="4"/>
        <v>0.31599999999999995</v>
      </c>
      <c r="I26">
        <f t="shared" si="4"/>
        <v>0.31199999999999994</v>
      </c>
      <c r="J26">
        <f t="shared" si="4"/>
        <v>0.30800000000000005</v>
      </c>
      <c r="K26">
        <f t="shared" si="4"/>
        <v>0.30400000000000005</v>
      </c>
      <c r="L26">
        <f t="shared" si="4"/>
        <v>0.30000000000000004</v>
      </c>
      <c r="M26">
        <f t="shared" si="4"/>
        <v>0.29800000000000004</v>
      </c>
      <c r="N26">
        <f t="shared" si="4"/>
        <v>0.29600000000000004</v>
      </c>
      <c r="O26">
        <f t="shared" si="4"/>
        <v>0.29400000000000004</v>
      </c>
      <c r="P26">
        <f t="shared" si="4"/>
        <v>0.29200000000000004</v>
      </c>
      <c r="Q26">
        <f t="shared" si="4"/>
        <v>0.29000000000000004</v>
      </c>
      <c r="R26">
        <f t="shared" si="4"/>
        <v>0.28900000000000003</v>
      </c>
      <c r="S26">
        <f t="shared" si="4"/>
        <v>0.28800000000000003</v>
      </c>
      <c r="T26">
        <f t="shared" si="4"/>
        <v>0.28700000000000003</v>
      </c>
      <c r="U26">
        <f t="shared" si="4"/>
        <v>0.28600000000000003</v>
      </c>
      <c r="V26">
        <f t="shared" si="4"/>
        <v>0.28500000000000003</v>
      </c>
      <c r="W26">
        <f t="shared" si="4"/>
        <v>0.28400000000000003</v>
      </c>
      <c r="X26">
        <f t="shared" si="4"/>
        <v>0.28300000000000003</v>
      </c>
      <c r="Y26">
        <f t="shared" si="4"/>
        <v>0.28200000000000003</v>
      </c>
      <c r="Z26">
        <f t="shared" si="4"/>
        <v>0.28100000000000003</v>
      </c>
      <c r="AA26">
        <f t="shared" si="4"/>
        <v>0.28000000000000003</v>
      </c>
    </row>
    <row r="27" spans="1:27" x14ac:dyDescent="0.35">
      <c r="A27" t="s">
        <v>137</v>
      </c>
      <c r="B27">
        <f t="shared" ref="B27:AA27" si="5">IF(B$22&lt;=2030,$B$19+($C$19-$B$19)*(B$22-2025)/5,IF(B$22&lt;=2035,$C$19+($D$19-$C$19)*(B$22-2030)/5,IF(B$22&lt;=2040,$D$19+($E$19-$D$19)*(B$22-2035)/5,$E$19+($F$19-$E$19)*(B$22-2040)/10)))</f>
        <v>0.11</v>
      </c>
      <c r="C27">
        <f t="shared" si="5"/>
        <v>0.1116</v>
      </c>
      <c r="D27">
        <f t="shared" si="5"/>
        <v>0.1132</v>
      </c>
      <c r="E27">
        <f t="shared" si="5"/>
        <v>0.1148</v>
      </c>
      <c r="F27">
        <f t="shared" si="5"/>
        <v>0.11639999999999999</v>
      </c>
      <c r="G27">
        <f t="shared" si="5"/>
        <v>0.11799999999999999</v>
      </c>
      <c r="H27">
        <f t="shared" si="5"/>
        <v>0.11939999999999999</v>
      </c>
      <c r="I27">
        <f t="shared" si="5"/>
        <v>0.12079999999999999</v>
      </c>
      <c r="J27">
        <f t="shared" si="5"/>
        <v>0.1222</v>
      </c>
      <c r="K27">
        <f t="shared" si="5"/>
        <v>0.1236</v>
      </c>
      <c r="L27">
        <f t="shared" si="5"/>
        <v>0.125</v>
      </c>
      <c r="M27">
        <f t="shared" si="5"/>
        <v>0.125</v>
      </c>
      <c r="N27">
        <f t="shared" si="5"/>
        <v>0.125</v>
      </c>
      <c r="O27">
        <f t="shared" si="5"/>
        <v>0.125</v>
      </c>
      <c r="P27">
        <f t="shared" si="5"/>
        <v>0.125</v>
      </c>
      <c r="Q27">
        <f t="shared" si="5"/>
        <v>0.125</v>
      </c>
      <c r="R27">
        <f t="shared" si="5"/>
        <v>0.125</v>
      </c>
      <c r="S27">
        <f t="shared" si="5"/>
        <v>0.125</v>
      </c>
      <c r="T27">
        <f t="shared" si="5"/>
        <v>0.125</v>
      </c>
      <c r="U27">
        <f t="shared" si="5"/>
        <v>0.125</v>
      </c>
      <c r="V27">
        <f t="shared" si="5"/>
        <v>0.125</v>
      </c>
      <c r="W27">
        <f t="shared" si="5"/>
        <v>0.125</v>
      </c>
      <c r="X27">
        <f t="shared" si="5"/>
        <v>0.125</v>
      </c>
      <c r="Y27">
        <f t="shared" si="5"/>
        <v>0.125</v>
      </c>
      <c r="Z27">
        <f t="shared" si="5"/>
        <v>0.125</v>
      </c>
      <c r="AA27">
        <f t="shared" si="5"/>
        <v>0.125</v>
      </c>
    </row>
    <row r="28" spans="1:27" x14ac:dyDescent="0.35">
      <c r="A28" t="s">
        <v>143</v>
      </c>
      <c r="B28">
        <f t="shared" ref="B28:AA28" si="6">B26*$B$11+B25*($B$12-B27)+B24*$B$13</f>
        <v>0.85157606770320804</v>
      </c>
      <c r="C28">
        <f t="shared" si="6"/>
        <v>0.84977019706357004</v>
      </c>
      <c r="D28">
        <f t="shared" si="6"/>
        <v>0.84794585497343045</v>
      </c>
      <c r="E28">
        <f t="shared" si="6"/>
        <v>0.8461030414327888</v>
      </c>
      <c r="F28">
        <f t="shared" si="6"/>
        <v>0.84424175644164545</v>
      </c>
      <c r="G28">
        <f t="shared" si="6"/>
        <v>0.84236200000000006</v>
      </c>
      <c r="H28">
        <f t="shared" si="6"/>
        <v>0.84086528000000005</v>
      </c>
      <c r="I28">
        <f t="shared" si="6"/>
        <v>0.83936072000000006</v>
      </c>
      <c r="J28">
        <f t="shared" si="6"/>
        <v>0.8378483200000002</v>
      </c>
      <c r="K28">
        <f t="shared" si="6"/>
        <v>0.83632808000000014</v>
      </c>
      <c r="L28">
        <f t="shared" si="6"/>
        <v>0.83479999999999999</v>
      </c>
      <c r="M28">
        <f t="shared" si="6"/>
        <v>0.83449600000000013</v>
      </c>
      <c r="N28">
        <f t="shared" si="6"/>
        <v>0.83419200000000004</v>
      </c>
      <c r="O28">
        <f t="shared" si="6"/>
        <v>0.83388800000000018</v>
      </c>
      <c r="P28">
        <f t="shared" si="6"/>
        <v>0.8335840000000001</v>
      </c>
      <c r="Q28">
        <f t="shared" si="6"/>
        <v>0.83328000000000013</v>
      </c>
      <c r="R28">
        <f t="shared" si="6"/>
        <v>0.83306400000000003</v>
      </c>
      <c r="S28">
        <f t="shared" si="6"/>
        <v>0.83284800000000003</v>
      </c>
      <c r="T28">
        <f t="shared" si="6"/>
        <v>0.83263200000000004</v>
      </c>
      <c r="U28">
        <f t="shared" si="6"/>
        <v>0.83241599999999993</v>
      </c>
      <c r="V28">
        <f t="shared" si="6"/>
        <v>0.83220000000000005</v>
      </c>
      <c r="W28">
        <f t="shared" si="6"/>
        <v>0.83198400000000006</v>
      </c>
      <c r="X28">
        <f t="shared" si="6"/>
        <v>0.83176800000000017</v>
      </c>
      <c r="Y28">
        <f t="shared" si="6"/>
        <v>0.83155200000000007</v>
      </c>
      <c r="Z28">
        <f t="shared" si="6"/>
        <v>0.83133599999999996</v>
      </c>
      <c r="AA28">
        <f t="shared" si="6"/>
        <v>0.83111999999999997</v>
      </c>
    </row>
    <row r="29" spans="1:27" x14ac:dyDescent="0.35">
      <c r="A29" t="s">
        <v>144</v>
      </c>
      <c r="B29">
        <f t="shared" ref="B29:AA29" si="7">B28*$B$31</f>
        <v>0.82928571428571429</v>
      </c>
      <c r="C29">
        <f t="shared" si="7"/>
        <v>0.82752711305195847</v>
      </c>
      <c r="D29">
        <f t="shared" si="7"/>
        <v>0.8257505238655064</v>
      </c>
      <c r="E29">
        <f t="shared" si="7"/>
        <v>0.82395594672635764</v>
      </c>
      <c r="F29">
        <f t="shared" si="7"/>
        <v>0.82214338163451239</v>
      </c>
      <c r="G29">
        <f t="shared" si="7"/>
        <v>0.82031282858997057</v>
      </c>
      <c r="H29">
        <f t="shared" si="7"/>
        <v>0.81885528585085465</v>
      </c>
      <c r="I29">
        <f t="shared" si="7"/>
        <v>0.81739010832695957</v>
      </c>
      <c r="J29">
        <f t="shared" si="7"/>
        <v>0.81591729601828544</v>
      </c>
      <c r="K29">
        <f t="shared" si="7"/>
        <v>0.81443684892483192</v>
      </c>
      <c r="L29">
        <f t="shared" si="7"/>
        <v>0.81294876704659924</v>
      </c>
      <c r="M29">
        <f t="shared" si="7"/>
        <v>0.81265272437148894</v>
      </c>
      <c r="N29">
        <f t="shared" si="7"/>
        <v>0.81235668169637842</v>
      </c>
      <c r="O29">
        <f t="shared" si="7"/>
        <v>0.81206063902126813</v>
      </c>
      <c r="P29">
        <f t="shared" si="7"/>
        <v>0.81176459634615772</v>
      </c>
      <c r="Q29">
        <f t="shared" si="7"/>
        <v>0.81146855367104731</v>
      </c>
      <c r="R29">
        <f t="shared" si="7"/>
        <v>0.81125820755978462</v>
      </c>
      <c r="S29">
        <f t="shared" si="7"/>
        <v>0.81104786144852192</v>
      </c>
      <c r="T29">
        <f t="shared" si="7"/>
        <v>0.81083751533725923</v>
      </c>
      <c r="U29">
        <f t="shared" si="7"/>
        <v>0.81062716922599654</v>
      </c>
      <c r="V29">
        <f t="shared" si="7"/>
        <v>0.81041682311473395</v>
      </c>
      <c r="W29">
        <f t="shared" si="7"/>
        <v>0.81020647700347126</v>
      </c>
      <c r="X29">
        <f t="shared" si="7"/>
        <v>0.80999613089220879</v>
      </c>
      <c r="Y29">
        <f t="shared" si="7"/>
        <v>0.80978578478094598</v>
      </c>
      <c r="Z29">
        <f t="shared" si="7"/>
        <v>0.80957543866968329</v>
      </c>
      <c r="AA29">
        <f t="shared" si="7"/>
        <v>0.8093650925584206</v>
      </c>
    </row>
    <row r="31" spans="1:27" x14ac:dyDescent="0.35">
      <c r="A31" t="s">
        <v>145</v>
      </c>
      <c r="B31">
        <f>Derivation!F10/B28</f>
        <v>0.97382458917896408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3"/>
  <sheetViews>
    <sheetView workbookViewId="0"/>
  </sheetViews>
  <sheetFormatPr defaultRowHeight="14.5" x14ac:dyDescent="0.35"/>
  <cols>
    <col min="1" max="1" width="58" customWidth="1"/>
  </cols>
  <sheetData>
    <row r="1" spans="1:31" x14ac:dyDescent="0.35">
      <c r="A1" t="s">
        <v>62</v>
      </c>
      <c r="B1" t="str">
        <f>Regions!B1</f>
        <v>United States</v>
      </c>
    </row>
    <row r="2" spans="1:31" x14ac:dyDescent="0.35">
      <c r="A2" t="s">
        <v>9</v>
      </c>
      <c r="B2">
        <f>INDEX(Regions!$B$5:$B$14,MATCH(Regions!$B$1,Regions!$A$5:$A$14,0))</f>
        <v>2025</v>
      </c>
    </row>
    <row r="3" spans="1:31" x14ac:dyDescent="0.35">
      <c r="A3" t="s">
        <v>10</v>
      </c>
      <c r="B3">
        <f>INDEX(Regions!$C$5:$C$14,MATCH(Regions!$B$1,Regions!$A$5:$A$14,0))</f>
        <v>0.82930000000000004</v>
      </c>
    </row>
    <row r="4" spans="1:31" x14ac:dyDescent="0.35">
      <c r="A4" t="s">
        <v>63</v>
      </c>
      <c r="B4">
        <f>IF(ISNUMBER(INDEX(Regions!$E$5:$E$14,MATCH(Regions!$B$1,Regions!$A$5:$A$14,0))),INDEX(Regions!$E$5:$E$14,MATCH(Regions!$B$1,Regions!$A$5:$A$14,0)),B3)</f>
        <v>0.82930000000000004</v>
      </c>
    </row>
    <row r="5" spans="1:31" x14ac:dyDescent="0.35">
      <c r="A5" t="s">
        <v>64</v>
      </c>
      <c r="B5">
        <f>IF(ISNUMBER(INDEX(Regions!$F$5:$F$14,MATCH(Regions!$B$1,Regions!$A$5:$A$14,0))),INDEX(Regions!$F$5:$F$14,MATCH(Regions!$B$1,Regions!$A$5:$A$14,0)),B2)</f>
        <v>2025</v>
      </c>
    </row>
    <row r="6" spans="1:31" x14ac:dyDescent="0.35">
      <c r="A6" t="s">
        <v>65</v>
      </c>
      <c r="B6">
        <f>IF(B1="United States",1,0)</f>
        <v>1</v>
      </c>
    </row>
    <row r="8" spans="1:31" x14ac:dyDescent="0.35">
      <c r="A8" t="s">
        <v>66</v>
      </c>
    </row>
    <row r="9" spans="1:31" x14ac:dyDescent="0.35">
      <c r="A9" t="s">
        <v>67</v>
      </c>
      <c r="B9">
        <v>2021</v>
      </c>
      <c r="C9">
        <v>2022</v>
      </c>
      <c r="D9">
        <v>2023</v>
      </c>
      <c r="E9">
        <v>2024</v>
      </c>
      <c r="F9">
        <v>2025</v>
      </c>
    </row>
    <row r="10" spans="1:31" x14ac:dyDescent="0.35">
      <c r="A10" t="s">
        <v>124</v>
      </c>
      <c r="B10">
        <f>(('USGS MCS 2026 Cement'!B5+'USGS MCS 2026 Cement'!B8)/'USGS MCS 2026 Cement'!B4)</f>
        <v>0.8920769230769231</v>
      </c>
      <c r="C10">
        <f>(('USGS MCS 2026 Cement'!C5+'USGS MCS 2026 Cement'!C8)/'USGS MCS 2026 Cement'!C4)</f>
        <v>0.8827850877192982</v>
      </c>
      <c r="D10">
        <f>(('USGS MCS 2026 Cement'!D5+'USGS MCS 2026 Cement'!D8)/'USGS MCS 2026 Cement'!D4)</f>
        <v>0.86633221850613151</v>
      </c>
      <c r="E10">
        <f>(('USGS MCS 2026 Cement'!E5+'USGS MCS 2026 Cement'!E8)/'USGS MCS 2026 Cement'!E4)</f>
        <v>0.85511764705882354</v>
      </c>
      <c r="F10">
        <f>(('USGS MCS 2026 Cement'!F5+'USGS MCS 2026 Cement'!F8)/'USGS MCS 2026 Cement'!F4)</f>
        <v>0.82928571428571429</v>
      </c>
    </row>
    <row r="12" spans="1:31" x14ac:dyDescent="0.35">
      <c r="A12" t="s">
        <v>67</v>
      </c>
      <c r="B12">
        <v>2021</v>
      </c>
      <c r="C12">
        <v>2022</v>
      </c>
      <c r="D12">
        <v>2023</v>
      </c>
      <c r="E12">
        <v>2024</v>
      </c>
      <c r="F12">
        <v>2025</v>
      </c>
      <c r="G12">
        <v>2026</v>
      </c>
      <c r="H12">
        <v>2027</v>
      </c>
      <c r="I12">
        <v>2028</v>
      </c>
      <c r="J12">
        <v>2029</v>
      </c>
      <c r="K12">
        <v>2030</v>
      </c>
      <c r="L12">
        <v>2031</v>
      </c>
      <c r="M12">
        <v>2032</v>
      </c>
      <c r="N12">
        <v>2033</v>
      </c>
      <c r="O12">
        <v>2034</v>
      </c>
      <c r="P12">
        <v>2035</v>
      </c>
      <c r="Q12">
        <v>2036</v>
      </c>
      <c r="R12">
        <v>2037</v>
      </c>
      <c r="S12">
        <v>2038</v>
      </c>
      <c r="T12">
        <v>2039</v>
      </c>
      <c r="U12">
        <v>2040</v>
      </c>
      <c r="V12">
        <v>2041</v>
      </c>
      <c r="W12">
        <v>2042</v>
      </c>
      <c r="X12">
        <v>2043</v>
      </c>
      <c r="Y12">
        <v>2044</v>
      </c>
      <c r="Z12">
        <v>2045</v>
      </c>
      <c r="AA12">
        <v>2046</v>
      </c>
      <c r="AB12">
        <v>2047</v>
      </c>
      <c r="AC12">
        <v>2048</v>
      </c>
      <c r="AD12">
        <v>2049</v>
      </c>
      <c r="AE12">
        <v>2050</v>
      </c>
    </row>
    <row r="13" spans="1:31" x14ac:dyDescent="0.35">
      <c r="A13" t="s">
        <v>68</v>
      </c>
      <c r="B13">
        <f>IF(AND($B$6=1,B12&gt;2025),INDEX('US Product Mix'!$B$29:$AA$29,MATCH(B12,'US Product Mix'!$B$22:$AA$22,0)),IF(AND($B$6=1,B12&lt;=2025),B10,($B$3+($B$4-$B$3)*MAX(0,MIN(1,IF($B$5=$B$2,1,(B12-$B$2)/($B$5-$B$2)))))))</f>
        <v>0.8920769230769231</v>
      </c>
      <c r="C13">
        <f>IF(AND($B$6=1,C12&gt;2025),INDEX('US Product Mix'!$B$29:$AA$29,MATCH(C12,'US Product Mix'!$B$22:$AA$22,0)),IF(AND($B$6=1,C12&lt;=2025),C10,($B$3+($B$4-$B$3)*MAX(0,MIN(1,IF($B$5=$B$2,1,(C12-$B$2)/($B$5-$B$2)))))))</f>
        <v>0.8827850877192982</v>
      </c>
      <c r="D13">
        <f>IF(AND($B$6=1,D12&gt;2025),INDEX('US Product Mix'!$B$29:$AA$29,MATCH(D12,'US Product Mix'!$B$22:$AA$22,0)),IF(AND($B$6=1,D12&lt;=2025),D10,($B$3+($B$4-$B$3)*MAX(0,MIN(1,IF($B$5=$B$2,1,(D12-$B$2)/($B$5-$B$2)))))))</f>
        <v>0.86633221850613151</v>
      </c>
      <c r="E13">
        <f>IF(AND($B$6=1,E12&gt;2025),INDEX('US Product Mix'!$B$29:$AA$29,MATCH(E12,'US Product Mix'!$B$22:$AA$22,0)),IF(AND($B$6=1,E12&lt;=2025),E10,($B$3+($B$4-$B$3)*MAX(0,MIN(1,IF($B$5=$B$2,1,(E12-$B$2)/($B$5-$B$2)))))))</f>
        <v>0.85511764705882354</v>
      </c>
      <c r="F13">
        <f>IF(AND($B$6=1,F12&gt;2025),INDEX('US Product Mix'!$B$29:$AA$29,MATCH(F12,'US Product Mix'!$B$22:$AA$22,0)),IF(AND($B$6=1,F12&lt;=2025),F10,($B$3+($B$4-$B$3)*MAX(0,MIN(1,IF($B$5=$B$2,1,(F12-$B$2)/($B$5-$B$2)))))))</f>
        <v>0.82928571428571429</v>
      </c>
      <c r="G13">
        <f>IF(AND($B$6=1,G12&gt;2025),INDEX('US Product Mix'!$B$29:$AA$29,MATCH(G12,'US Product Mix'!$B$22:$AA$22,0)),($B$3+($B$4-$B$3)*MAX(0,MIN(1,IF($B$5=$B$2,1,(G12-$B$2)/($B$5-$B$2))))))</f>
        <v>0.82752711305195847</v>
      </c>
      <c r="H13">
        <f>IF(AND($B$6=1,H12&gt;2025),INDEX('US Product Mix'!$B$29:$AA$29,MATCH(H12,'US Product Mix'!$B$22:$AA$22,0)),($B$3+($B$4-$B$3)*MAX(0,MIN(1,IF($B$5=$B$2,1,(H12-$B$2)/($B$5-$B$2))))))</f>
        <v>0.8257505238655064</v>
      </c>
      <c r="I13">
        <f>IF(AND($B$6=1,I12&gt;2025),INDEX('US Product Mix'!$B$29:$AA$29,MATCH(I12,'US Product Mix'!$B$22:$AA$22,0)),($B$3+($B$4-$B$3)*MAX(0,MIN(1,IF($B$5=$B$2,1,(I12-$B$2)/($B$5-$B$2))))))</f>
        <v>0.82395594672635764</v>
      </c>
      <c r="J13">
        <f>IF(AND($B$6=1,J12&gt;2025),INDEX('US Product Mix'!$B$29:$AA$29,MATCH(J12,'US Product Mix'!$B$22:$AA$22,0)),($B$3+($B$4-$B$3)*MAX(0,MIN(1,IF($B$5=$B$2,1,(J12-$B$2)/($B$5-$B$2))))))</f>
        <v>0.82214338163451239</v>
      </c>
      <c r="K13">
        <f>IF(AND($B$6=1,K12&gt;2025),INDEX('US Product Mix'!$B$29:$AA$29,MATCH(K12,'US Product Mix'!$B$22:$AA$22,0)),($B$3+($B$4-$B$3)*MAX(0,MIN(1,IF($B$5=$B$2,1,(K12-$B$2)/($B$5-$B$2))))))</f>
        <v>0.82031282858997057</v>
      </c>
      <c r="L13">
        <f>IF(AND($B$6=1,L12&gt;2025),INDEX('US Product Mix'!$B$29:$AA$29,MATCH(L12,'US Product Mix'!$B$22:$AA$22,0)),($B$3+($B$4-$B$3)*MAX(0,MIN(1,IF($B$5=$B$2,1,(L12-$B$2)/($B$5-$B$2))))))</f>
        <v>0.81885528585085465</v>
      </c>
      <c r="M13">
        <f>IF(AND($B$6=1,M12&gt;2025),INDEX('US Product Mix'!$B$29:$AA$29,MATCH(M12,'US Product Mix'!$B$22:$AA$22,0)),($B$3+($B$4-$B$3)*MAX(0,MIN(1,IF($B$5=$B$2,1,(M12-$B$2)/($B$5-$B$2))))))</f>
        <v>0.81739010832695957</v>
      </c>
      <c r="N13">
        <f>IF(AND($B$6=1,N12&gt;2025),INDEX('US Product Mix'!$B$29:$AA$29,MATCH(N12,'US Product Mix'!$B$22:$AA$22,0)),($B$3+($B$4-$B$3)*MAX(0,MIN(1,IF($B$5=$B$2,1,(N12-$B$2)/($B$5-$B$2))))))</f>
        <v>0.81591729601828544</v>
      </c>
      <c r="O13">
        <f>IF(AND($B$6=1,O12&gt;2025),INDEX('US Product Mix'!$B$29:$AA$29,MATCH(O12,'US Product Mix'!$B$22:$AA$22,0)),($B$3+($B$4-$B$3)*MAX(0,MIN(1,IF($B$5=$B$2,1,(O12-$B$2)/($B$5-$B$2))))))</f>
        <v>0.81443684892483192</v>
      </c>
      <c r="P13">
        <f>IF(AND($B$6=1,P12&gt;2025),INDEX('US Product Mix'!$B$29:$AA$29,MATCH(P12,'US Product Mix'!$B$22:$AA$22,0)),($B$3+($B$4-$B$3)*MAX(0,MIN(1,IF($B$5=$B$2,1,(P12-$B$2)/($B$5-$B$2))))))</f>
        <v>0.81294876704659924</v>
      </c>
      <c r="Q13">
        <f>IF(AND($B$6=1,Q12&gt;2025),INDEX('US Product Mix'!$B$29:$AA$29,MATCH(Q12,'US Product Mix'!$B$22:$AA$22,0)),($B$3+($B$4-$B$3)*MAX(0,MIN(1,IF($B$5=$B$2,1,(Q12-$B$2)/($B$5-$B$2))))))</f>
        <v>0.81265272437148894</v>
      </c>
      <c r="R13">
        <f>IF(AND($B$6=1,R12&gt;2025),INDEX('US Product Mix'!$B$29:$AA$29,MATCH(R12,'US Product Mix'!$B$22:$AA$22,0)),($B$3+($B$4-$B$3)*MAX(0,MIN(1,IF($B$5=$B$2,1,(R12-$B$2)/($B$5-$B$2))))))</f>
        <v>0.81235668169637842</v>
      </c>
      <c r="S13">
        <f>IF(AND($B$6=1,S12&gt;2025),INDEX('US Product Mix'!$B$29:$AA$29,MATCH(S12,'US Product Mix'!$B$22:$AA$22,0)),($B$3+($B$4-$B$3)*MAX(0,MIN(1,IF($B$5=$B$2,1,(S12-$B$2)/($B$5-$B$2))))))</f>
        <v>0.81206063902126813</v>
      </c>
      <c r="T13">
        <f>IF(AND($B$6=1,T12&gt;2025),INDEX('US Product Mix'!$B$29:$AA$29,MATCH(T12,'US Product Mix'!$B$22:$AA$22,0)),($B$3+($B$4-$B$3)*MAX(0,MIN(1,IF($B$5=$B$2,1,(T12-$B$2)/($B$5-$B$2))))))</f>
        <v>0.81176459634615772</v>
      </c>
      <c r="U13">
        <f>IF(AND($B$6=1,U12&gt;2025),INDEX('US Product Mix'!$B$29:$AA$29,MATCH(U12,'US Product Mix'!$B$22:$AA$22,0)),($B$3+($B$4-$B$3)*MAX(0,MIN(1,IF($B$5=$B$2,1,(U12-$B$2)/($B$5-$B$2))))))</f>
        <v>0.81146855367104731</v>
      </c>
      <c r="V13">
        <f>IF(AND($B$6=1,V12&gt;2025),INDEX('US Product Mix'!$B$29:$AA$29,MATCH(V12,'US Product Mix'!$B$22:$AA$22,0)),($B$3+($B$4-$B$3)*MAX(0,MIN(1,IF($B$5=$B$2,1,(V12-$B$2)/($B$5-$B$2))))))</f>
        <v>0.81125820755978462</v>
      </c>
      <c r="W13">
        <f>IF(AND($B$6=1,W12&gt;2025),INDEX('US Product Mix'!$B$29:$AA$29,MATCH(W12,'US Product Mix'!$B$22:$AA$22,0)),($B$3+($B$4-$B$3)*MAX(0,MIN(1,IF($B$5=$B$2,1,(W12-$B$2)/($B$5-$B$2))))))</f>
        <v>0.81104786144852192</v>
      </c>
      <c r="X13">
        <f>IF(AND($B$6=1,X12&gt;2025),INDEX('US Product Mix'!$B$29:$AA$29,MATCH(X12,'US Product Mix'!$B$22:$AA$22,0)),($B$3+($B$4-$B$3)*MAX(0,MIN(1,IF($B$5=$B$2,1,(X12-$B$2)/($B$5-$B$2))))))</f>
        <v>0.81083751533725923</v>
      </c>
      <c r="Y13">
        <f>IF(AND($B$6=1,Y12&gt;2025),INDEX('US Product Mix'!$B$29:$AA$29,MATCH(Y12,'US Product Mix'!$B$22:$AA$22,0)),($B$3+($B$4-$B$3)*MAX(0,MIN(1,IF($B$5=$B$2,1,(Y12-$B$2)/($B$5-$B$2))))))</f>
        <v>0.81062716922599654</v>
      </c>
      <c r="Z13">
        <f>IF(AND($B$6=1,Z12&gt;2025),INDEX('US Product Mix'!$B$29:$AA$29,MATCH(Z12,'US Product Mix'!$B$22:$AA$22,0)),($B$3+($B$4-$B$3)*MAX(0,MIN(1,IF($B$5=$B$2,1,(Z12-$B$2)/($B$5-$B$2))))))</f>
        <v>0.81041682311473395</v>
      </c>
      <c r="AA13">
        <f>IF(AND($B$6=1,AA12&gt;2025),INDEX('US Product Mix'!$B$29:$AA$29,MATCH(AA12,'US Product Mix'!$B$22:$AA$22,0)),($B$3+($B$4-$B$3)*MAX(0,MIN(1,IF($B$5=$B$2,1,(AA12-$B$2)/($B$5-$B$2))))))</f>
        <v>0.81020647700347126</v>
      </c>
      <c r="AB13">
        <f>IF(AND($B$6=1,AB12&gt;2025),INDEX('US Product Mix'!$B$29:$AA$29,MATCH(AB12,'US Product Mix'!$B$22:$AA$22,0)),($B$3+($B$4-$B$3)*MAX(0,MIN(1,IF($B$5=$B$2,1,(AB12-$B$2)/($B$5-$B$2))))))</f>
        <v>0.80999613089220879</v>
      </c>
      <c r="AC13">
        <f>IF(AND($B$6=1,AC12&gt;2025),INDEX('US Product Mix'!$B$29:$AA$29,MATCH(AC12,'US Product Mix'!$B$22:$AA$22,0)),($B$3+($B$4-$B$3)*MAX(0,MIN(1,IF($B$5=$B$2,1,(AC12-$B$2)/($B$5-$B$2))))))</f>
        <v>0.80978578478094598</v>
      </c>
      <c r="AD13">
        <f>IF(AND($B$6=1,AD12&gt;2025),INDEX('US Product Mix'!$B$29:$AA$29,MATCH(AD12,'US Product Mix'!$B$22:$AA$22,0)),($B$3+($B$4-$B$3)*MAX(0,MIN(1,IF($B$5=$B$2,1,(AD12-$B$2)/($B$5-$B$2))))))</f>
        <v>0.80957543866968329</v>
      </c>
      <c r="AE13">
        <f>IF(AND($B$6=1,AE12&gt;2025),INDEX('US Product Mix'!$B$29:$AA$29,MATCH(AE12,'US Product Mix'!$B$22:$AA$22,0)),($B$3+($B$4-$B$3)*MAX(0,MIN(1,IF($B$5=$B$2,1,(AE12-$B$2)/($B$5-$B$2))))))</f>
        <v>0.8093650925584206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AE2"/>
  <sheetViews>
    <sheetView workbookViewId="0"/>
  </sheetViews>
  <sheetFormatPr defaultRowHeight="14.5" x14ac:dyDescent="0.35"/>
  <sheetData>
    <row r="1" spans="1:31" x14ac:dyDescent="0.35">
      <c r="A1" t="s">
        <v>123</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35">
      <c r="A2" t="s">
        <v>68</v>
      </c>
      <c r="B2">
        <f>Derivation!B13</f>
        <v>0.8920769230769231</v>
      </c>
      <c r="C2">
        <f>Derivation!C13</f>
        <v>0.8827850877192982</v>
      </c>
      <c r="D2">
        <f>Derivation!D13</f>
        <v>0.86633221850613151</v>
      </c>
      <c r="E2">
        <f>Derivation!E13</f>
        <v>0.85511764705882354</v>
      </c>
      <c r="F2">
        <f>Derivation!F13</f>
        <v>0.82928571428571429</v>
      </c>
      <c r="G2">
        <f>Derivation!G13</f>
        <v>0.82752711305195847</v>
      </c>
      <c r="H2">
        <f>Derivation!H13</f>
        <v>0.8257505238655064</v>
      </c>
      <c r="I2">
        <f>Derivation!I13</f>
        <v>0.82395594672635764</v>
      </c>
      <c r="J2">
        <f>Derivation!J13</f>
        <v>0.82214338163451239</v>
      </c>
      <c r="K2">
        <f>Derivation!K13</f>
        <v>0.82031282858997057</v>
      </c>
      <c r="L2">
        <f>Derivation!L13</f>
        <v>0.81885528585085465</v>
      </c>
      <c r="M2">
        <f>Derivation!M13</f>
        <v>0.81739010832695957</v>
      </c>
      <c r="N2">
        <f>Derivation!N13</f>
        <v>0.81591729601828544</v>
      </c>
      <c r="O2">
        <f>Derivation!O13</f>
        <v>0.81443684892483192</v>
      </c>
      <c r="P2">
        <f>Derivation!P13</f>
        <v>0.81294876704659924</v>
      </c>
      <c r="Q2">
        <f>Derivation!Q13</f>
        <v>0.81265272437148894</v>
      </c>
      <c r="R2">
        <f>Derivation!R13</f>
        <v>0.81235668169637842</v>
      </c>
      <c r="S2">
        <f>Derivation!S13</f>
        <v>0.81206063902126813</v>
      </c>
      <c r="T2">
        <f>Derivation!T13</f>
        <v>0.81176459634615772</v>
      </c>
      <c r="U2">
        <f>Derivation!U13</f>
        <v>0.81146855367104731</v>
      </c>
      <c r="V2">
        <f>Derivation!V13</f>
        <v>0.81125820755978462</v>
      </c>
      <c r="W2">
        <f>Derivation!W13</f>
        <v>0.81104786144852192</v>
      </c>
      <c r="X2">
        <f>Derivation!X13</f>
        <v>0.81083751533725923</v>
      </c>
      <c r="Y2">
        <f>Derivation!Y13</f>
        <v>0.81062716922599654</v>
      </c>
      <c r="Z2">
        <f>Derivation!Z13</f>
        <v>0.81041682311473395</v>
      </c>
      <c r="AA2">
        <f>Derivation!AA13</f>
        <v>0.81020647700347126</v>
      </c>
      <c r="AB2">
        <f>Derivation!AB13</f>
        <v>0.80999613089220879</v>
      </c>
      <c r="AC2">
        <f>Derivation!AC13</f>
        <v>0.80978578478094598</v>
      </c>
      <c r="AD2">
        <f>Derivation!AD13</f>
        <v>0.80957543866968329</v>
      </c>
      <c r="AE2">
        <f>Derivation!AE13</f>
        <v>0.8093650925584206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Regions</vt:lpstr>
      <vt:lpstr>USGS MCS 2026 Cement</vt:lpstr>
      <vt:lpstr>US Product Mix</vt:lpstr>
      <vt:lpstr>Derivation</vt:lpstr>
      <vt:lpstr>BCtCR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2026-09-28T13:54:44Z</dcterms:created>
  <dcterms:modified xsi:type="dcterms:W3CDTF">2026-10-09T18:11:22Z</dcterms:modified>
</cp:coreProperties>
</file>