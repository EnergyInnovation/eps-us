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Regions" sheetId="2" state="visible" r:id="rId2"/>
    <sheet name="USGS MCS 2026 Cement" sheetId="3" state="visible" r:id="rId3"/>
    <sheet name="Derivation" sheetId="4" state="visible" r:id="rId4"/>
    <sheet name="Checks" sheetId="5" state="visible" r:id="rId5"/>
    <sheet name="BCtC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ubs.usgs.gov/periodicals/mcs2026/mcs2026-cement.pdf" TargetMode="External" Id="rId1" /><Relationship Type="http://schemas.openxmlformats.org/officeDocument/2006/relationships/hyperlink" Target="https://www.wri.org/insights/lower-carbon-blended-cement" TargetMode="External" Id="rId2" /><Relationship Type="http://schemas.openxmlformats.org/officeDocument/2006/relationships/hyperlink" Target="https://gccassociation.org/sustainability-innovation/gnr-gcca-in-numbers/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BCtCR BAU Clinker to Cement Ratio</t>
        </is>
      </c>
    </row>
    <row r="2"/>
    <row r="3">
      <c r="A3" s="1" t="inlineStr">
        <is>
          <t>Sources:</t>
        </is>
      </c>
      <c r="B3" s="2" t="inlineStr">
        <is>
          <t>US clinker production, clinker imports, and cement production, 2021-2025 (blend ratio)</t>
        </is>
      </c>
    </row>
    <row r="4">
      <c r="B4" s="3" t="inlineStr">
        <is>
          <t>USGS</t>
        </is>
      </c>
    </row>
    <row r="5">
      <c r="B5" s="3" t="inlineStr">
        <is>
          <t>Mineral Commodity Summaries 2026 - Cement</t>
        </is>
      </c>
    </row>
    <row r="6">
      <c r="B6" s="3" t="n">
        <v>2026</v>
      </c>
    </row>
    <row r="7">
      <c r="B7" s="4" t="inlineStr">
        <is>
          <t>https://pubs.usgs.gov/periodicals/mcs2026/mcs2026-cement.pdf</t>
        </is>
      </c>
    </row>
    <row r="8">
      <c r="B8" s="3" t="inlineStr">
        <is>
          <t>Blend ratio = (domestic clinker production + clinker imports) / cement production (which includes cement made from imported clinker): 0.892 / 0.883 / 0.866 / 0.855 / 0.829 (2021-2025e). Imported finished cement is assumed to carry the same ratio. Reconciles the WRI-cited 0.88 (older vintage of the same series). The 2021-2025 decline is portland-limestone (Type IL) adoption: blended cement = 63% of 2025 shipments, 95% of it Type IL.</t>
        </is>
      </c>
    </row>
    <row r="9"/>
    <row r="10">
      <c r="B10" s="2" t="inlineStr">
        <is>
          <t>Corroborating (older-vintage) US ratio</t>
        </is>
      </c>
    </row>
    <row r="11">
      <c r="B11" s="3" t="inlineStr">
        <is>
          <t>WRI</t>
        </is>
      </c>
    </row>
    <row r="12">
      <c r="B12" s="3" t="inlineStr">
        <is>
          <t>How Blended Cements Can Reduce Emissions and Improve Resilience</t>
        </is>
      </c>
    </row>
    <row r="13">
      <c r="B13" s="3" t="n">
        <v>2023</v>
      </c>
    </row>
    <row r="14">
      <c r="B14" s="4" t="inlineStr">
        <is>
          <t>https://www.wri.org/insights/lower-carbon-blended-cement</t>
        </is>
      </c>
    </row>
    <row r="15">
      <c r="B15" s="3" t="inlineStr">
        <is>
          <t>Cites ~0.88 for the US - consistent with the 2021-2022 values on this basis.</t>
        </is>
      </c>
    </row>
    <row r="16"/>
    <row r="17">
      <c r="B17" s="2" t="inlineStr">
        <is>
          <t>Other regions' clinker factors (draft, staff research 2026-09-28)</t>
        </is>
      </c>
    </row>
    <row r="18">
      <c r="B18" s="3" t="inlineStr">
        <is>
          <t>GCCA GNR / national associations via trade press</t>
        </is>
      </c>
    </row>
    <row r="19">
      <c r="B19" s="3" t="inlineStr">
        <is>
          <t>see Regions tab flags</t>
        </is>
      </c>
    </row>
    <row r="20">
      <c r="B20" s="3" t="n">
        <v>2024</v>
      </c>
    </row>
    <row r="21">
      <c r="B21" s="4" t="inlineStr">
        <is>
          <t>https://gccassociation.org/sustainability-innovation/gnr-gcca-in-numbers/</t>
        </is>
      </c>
    </row>
    <row r="22">
      <c r="B22" s="3" t="inlineStr">
        <is>
          <t>GNR regional detail sits behind a database login; only India (~0.73, SNIPPET) was found. China conflicts (0.66 vs 0.735 disputed). Blank = TO FILL.</t>
        </is>
      </c>
    </row>
    <row r="23"/>
    <row r="24"/>
    <row r="25">
      <c r="A25" s="1" t="inlineStr">
        <is>
          <t>Notes:</t>
        </is>
      </c>
    </row>
    <row r="26">
      <c r="A26" s="1" t="inlineStr">
        <is>
          <t>DRAFT status</t>
        </is>
      </c>
      <c r="B26" s="3" t="inlineStr">
        <is>
          <t>This is an input for staff review, not a finished or approved EI position; treat as a starting point pending team sign-off. Verify all cited figures against the primary sources before use.</t>
        </is>
      </c>
    </row>
    <row r="27">
      <c r="A27" s="1" t="inlineStr">
        <is>
          <t>Basis change 2026-09-28</t>
        </is>
      </c>
      <c r="B27" s="3" t="inlineStr">
        <is>
          <t>Now the BLEND ratio (clinker content of cement), not domestic clinker over domestic cement. The old basis (0.8214) mixed the import share into the ratio; imports are now handled by BFoCDMbNI. 2025 anchor 0.8293.</t>
        </is>
      </c>
    </row>
    <row r="28">
      <c r="A28" s="1" t="inlineStr">
        <is>
          <t>Trajectory</t>
        </is>
      </c>
      <c r="B28" s="3" t="inlineStr">
        <is>
          <t>2021-2025 actual; linear decline from the 2025 anchor to 0.79 by 2035 (judgment: the market-driven Type IL transition largely completes - the same 0.04-point decline the previous file carried), flat after. PCA's 0.75-by-2050 is a roadmap target, not BAU - team review item.</t>
        </is>
      </c>
    </row>
    <row r="29">
      <c r="A29" s="1" t="inlineStr">
        <is>
          <t>Region selector</t>
        </is>
      </c>
      <c r="B29" s="3" t="inlineStr">
        <is>
          <t>Regions!B1 picks the anchor ratio and the 2035 judgment target; blank target = flat at anchor. Export literals are US; re-export after switching.</t>
        </is>
      </c>
    </row>
    <row r="30">
      <c r="A30" s="1" t="inlineStr">
        <is>
          <t>Provenance</t>
        </is>
      </c>
      <c r="B30" s="3" t="inlineStr">
        <is>
          <t>Built by Claude Code (Fable 5.1 session), cement section-1 demand restructure, worktree cement-calculation-flow-89da5b, 2026-09-28. Reviewed by: (pending).</t>
        </is>
      </c>
    </row>
    <row r="31">
      <c r="A31" s="1" t="inlineStr">
        <is>
          <t>Regional rows loaded 2026-10-01</t>
        </is>
      </c>
      <c r="B31" s="3" t="inlineStr">
        <is>
          <t>Non-US rows of the Regions tab loaded from Cement_Regional_Data_Draft.md (cement-calculation-flow-89da5b worktree root), passes 1 and 2; pass 2 (primary sources) wins on conflict and the conflict is kept in the row note. Flags: DIRECT = read in the primary document; SNIPPET = secondary/trade-press summary or an unopened primary; JUDGMENT = own arithmetic or estimate (written as a visible formula where computed); blank = TO FILL. Supersedes any placeholder description in the Sources block above. The US row, Derivation and export tab are unchanged. Verify every non-US value against its cited primary source before use. Loader: Cement_Regional_Rows_Loading/load_regional_rows.py.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1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0" customWidth="1" min="4" max="4"/>
    <col width="18" customWidth="1" min="5" max="5"/>
    <col width="12" customWidth="1" min="6" max="6"/>
    <col width="10" customWidth="1" min="7" max="7"/>
    <col width="70" customWidth="1" min="8" max="8"/>
  </cols>
  <sheetData>
    <row r="1">
      <c r="A1" s="1" t="inlineStr">
        <is>
          <t>Selected region (drop-down):</t>
        </is>
      </c>
      <c r="B1" s="5" t="inlineStr">
        <is>
          <t>United States</t>
        </is>
      </c>
    </row>
    <row r="2">
      <c r="A2" s="3" t="inlineStr">
        <is>
          <t>Change B1 to switch the Derivation to another region's row; the export tab holds literal values, so re-export the CSV (CSV Export Tool) after switching. Blank cells = TO FILL (no sourced value yet).</t>
        </is>
      </c>
    </row>
    <row r="4">
      <c r="A4" s="6" t="inlineStr">
        <is>
          <t>Region</t>
        </is>
      </c>
      <c r="B4" s="6" t="inlineStr">
        <is>
          <t>Anchor year</t>
        </is>
      </c>
      <c r="C4" s="6" t="inlineStr">
        <is>
          <t>Anchor blend ratio</t>
        </is>
      </c>
      <c r="D4" s="6" t="inlineStr">
        <is>
          <t>Flag</t>
        </is>
      </c>
      <c r="E4" s="6" t="inlineStr">
        <is>
          <t>BAU target ratio (blank = flat)</t>
        </is>
      </c>
      <c r="F4" s="6" t="inlineStr">
        <is>
          <t>Target year</t>
        </is>
      </c>
      <c r="G4" s="6" t="inlineStr">
        <is>
          <t>Flag</t>
        </is>
      </c>
      <c r="H4" s="6" t="inlineStr">
        <is>
          <t>Source / note</t>
        </is>
      </c>
    </row>
    <row r="5">
      <c r="A5" t="inlineStr">
        <is>
          <t>United States</t>
        </is>
      </c>
      <c r="B5" t="n">
        <v>2025</v>
      </c>
      <c r="C5" t="n">
        <v>0.8293</v>
      </c>
      <c r="D5" t="inlineStr">
        <is>
          <t>DIRECT</t>
        </is>
      </c>
      <c r="E5" t="n">
        <v>0.79</v>
      </c>
      <c r="F5" t="n">
        <v>2035</v>
      </c>
      <c r="G5" t="inlineStr">
        <is>
          <t>JUDGMENT</t>
        </is>
      </c>
      <c r="H5" t="inlineStr">
        <is>
          <t>USGS-derived (see USGS tab); target = continued Type IL adoption</t>
        </is>
      </c>
    </row>
    <row r="6">
      <c r="A6" t="inlineStr">
        <is>
          <t>China</t>
        </is>
      </c>
      <c r="H6" t="inlineStr">
        <is>
          <t>TO FILL - conflicting snippets (0.657 vs 0.735, CCA disputes the rise); pass 2 implied ~0.52 from 53% x 1.81 Bt capacity also conflicts. Next: NBS clinker output + CCA annual report.</t>
        </is>
      </c>
    </row>
    <row r="7">
      <c r="A7" t="inlineStr">
        <is>
          <t>India</t>
        </is>
      </c>
      <c r="B7" t="n">
        <v>2025</v>
      </c>
      <c r="C7" t="n">
        <v>0.73</v>
      </c>
      <c r="D7" t="inlineStr">
        <is>
          <t>SNIPPET</t>
        </is>
      </c>
      <c r="H7" t="inlineStr">
        <is>
          <t>ACEEE Jul-2026 citing Indian Cement Review (SNIPPET). NITI Aayog baseline 0.675 (SNIPPET); GCCA India/TERI 0.75 in 2020 (SNIPPET) - sources disagree. Production basis, not consumption blend basis (trade ~0, so close). | BAU target blank = flat at anchor (no BAU trajectory sourced; roadmap targets are policy, see MACtCR).</t>
        </is>
      </c>
    </row>
    <row r="8">
      <c r="A8" t="inlineStr">
        <is>
          <t>EU-27</t>
        </is>
      </c>
      <c r="B8" t="n">
        <v>2021</v>
      </c>
      <c r="C8" t="n">
        <v>0.77</v>
      </c>
      <c r="D8" t="inlineStr">
        <is>
          <t>DIRECT</t>
        </is>
      </c>
      <c r="H8" t="inlineStr">
        <is>
          <t>CEMBUREAU Net Zero Roadmap text: 77% for 'Europe' in 2021 (DIRECT); Cement Europe says the ratio fell ~2% over the last 3 years. Scope is Europe, not strictly EU-27. | BAU target blank = flat at anchor (no BAU trajectory sourced; roadmap targets are policy, see MACtCR).</t>
        </is>
      </c>
    </row>
    <row r="9">
      <c r="A9" t="inlineStr">
        <is>
          <t>Japan</t>
        </is>
      </c>
      <c r="H9" t="inlineStr">
        <is>
          <t>TO FILL</t>
        </is>
      </c>
    </row>
    <row r="10">
      <c r="A10" t="inlineStr">
        <is>
          <t>Brazil</t>
        </is>
      </c>
      <c r="B10" t="n">
        <v>2022</v>
      </c>
      <c r="C10" t="n">
        <v>0.71</v>
      </c>
      <c r="D10" t="inlineStr">
        <is>
          <t>DIRECT</t>
        </is>
      </c>
      <c r="H10" t="inlineStr">
        <is>
          <t>GCCA figure in SNIC Annual Report 2023 (DIRECT); 0.84 in 1990. A snippet clinker figure (77.5 Mt 2024) exceeds cement output - unreliable. | BAU target blank = flat at anchor (no BAU trajectory sourced; roadmap targets are policy, see MACtCR).</t>
        </is>
      </c>
    </row>
    <row r="11">
      <c r="A11" t="inlineStr">
        <is>
          <t>Mexico</t>
        </is>
      </c>
      <c r="B11" t="n">
        <v>2016</v>
      </c>
      <c r="C11" t="n">
        <v>0.75</v>
      </c>
      <c r="D11" t="inlineStr">
        <is>
          <t>DIRECT</t>
        </is>
      </c>
      <c r="H11" t="inlineStr">
        <is>
          <t>FICEM/CANACEM roadmap, PwC-verified GNR data, 2016 (DIRECT). Stale anchor year - newer CANACEM/GNR figure needed. | BAU target blank = flat at anchor (no BAU trajectory sourced; roadmap targets are policy, see MACtCR).</t>
        </is>
      </c>
    </row>
    <row r="12">
      <c r="A12" t="inlineStr">
        <is>
          <t>Canada</t>
        </is>
      </c>
      <c r="B12" t="n">
        <v>2020</v>
      </c>
      <c r="C12" t="n">
        <v>0.89</v>
      </c>
      <c r="D12" t="inlineStr">
        <is>
          <t>DIRECT</t>
        </is>
      </c>
      <c r="H12" t="inlineStr">
        <is>
          <t>CAC Concrete Zero 2020 baseline 89% (DIRECT; 11.4 clinker / 12.7 cement = 0.90). Production basis; Canada is a net exporter. | BAU target blank = flat at anchor (no BAU trajectory sourced; roadmap targets are policy, see MACtCR).</t>
        </is>
      </c>
    </row>
    <row r="13">
      <c r="A13" t="inlineStr">
        <is>
          <t>Indonesia</t>
        </is>
      </c>
      <c r="B13" t="n">
        <v>2025</v>
      </c>
      <c r="C13">
        <f>ROUND((57.301-12.34)/63.912,2)</f>
        <v/>
      </c>
      <c r="D13" t="inlineStr">
        <is>
          <t>JUDGMENT</t>
        </is>
      </c>
      <c r="H13" t="inlineStr">
        <is>
          <t>Domestic clinker use (ASI clinker production 57.301 - clinker exports 12.34, DIRECT) / domestic sales 63.912 (DIRECT) - domestic basis. Do not use 57.3/64.7 = 0.89 (includes exported clinker). ACEEE: 0.68 in 2026 (SNIPPET). | BAU target blank = flat at anchor (no BAU trajectory sourced; roadmap targets are policy, see MACtCR).</t>
        </is>
      </c>
    </row>
    <row r="14">
      <c r="A14" t="inlineStr">
        <is>
          <t>Australia</t>
        </is>
      </c>
      <c r="H14" t="inlineStr">
        <is>
          <t>TO FILL</t>
        </is>
      </c>
    </row>
  </sheetData>
  <dataValidations count="1">
    <dataValidation sqref="B1" showDropDown="0" showInputMessage="0" showErrorMessage="0" allowBlank="0" type="list">
      <formula1>=$A$5:$A$14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USGS Mineral Commodity Summaries 2026 - Cement (Ashley K. Hatfield). Pasted from the PDF text; 'e' = estimated. Data in thousand metric tons unless otherwise specified.</t>
        </is>
      </c>
    </row>
    <row r="3">
      <c r="A3" t="inlineStr">
        <is>
          <t>Salient Statistics - United States (thousand metric tons unless noted)</t>
        </is>
      </c>
      <c r="B3" t="n">
        <v>2021</v>
      </c>
      <c r="C3" t="n">
        <v>2022</v>
      </c>
      <c r="D3" t="n">
        <v>2023</v>
      </c>
      <c r="E3" t="n">
        <v>2024</v>
      </c>
      <c r="F3" t="inlineStr">
        <is>
          <t>2025e</t>
        </is>
      </c>
    </row>
    <row r="4">
      <c r="A4" t="inlineStr">
        <is>
          <t>Production: Portland, blended, and masonry cement (includes cement made from imported clinker)</t>
        </is>
      </c>
      <c r="B4" t="n">
        <v>91000</v>
      </c>
      <c r="C4" t="n">
        <v>91200</v>
      </c>
      <c r="D4" t="n">
        <v>89700</v>
      </c>
      <c r="E4" t="n">
        <v>85000</v>
      </c>
      <c r="F4" t="n">
        <v>84000</v>
      </c>
    </row>
    <row r="5">
      <c r="A5" t="inlineStr">
        <is>
          <t>Production: Clinker</t>
        </is>
      </c>
      <c r="B5" t="n">
        <v>79616</v>
      </c>
      <c r="C5" t="n">
        <v>79489</v>
      </c>
      <c r="D5" t="n">
        <v>76789</v>
      </c>
      <c r="E5" t="n">
        <v>72000</v>
      </c>
      <c r="F5" t="n">
        <v>69000</v>
      </c>
    </row>
    <row r="6">
      <c r="A6" t="inlineStr">
        <is>
          <t>Shipments to final customers, includes exports</t>
        </is>
      </c>
      <c r="B6" t="n">
        <v>108969</v>
      </c>
      <c r="C6" t="n">
        <v>111092</v>
      </c>
      <c r="D6" t="n">
        <v>110290</v>
      </c>
      <c r="E6" t="n">
        <v>100000</v>
      </c>
      <c r="F6" t="n">
        <v>100000</v>
      </c>
    </row>
    <row r="7">
      <c r="A7" t="inlineStr">
        <is>
          <t>Imports for consumption: Hydraulic cement</t>
        </is>
      </c>
      <c r="B7" t="n">
        <v>19937</v>
      </c>
      <c r="C7" t="n">
        <v>24985</v>
      </c>
      <c r="D7" t="n">
        <v>24986</v>
      </c>
      <c r="E7" t="n">
        <v>23675</v>
      </c>
      <c r="F7" t="n">
        <v>23000</v>
      </c>
    </row>
    <row r="8">
      <c r="A8" t="inlineStr">
        <is>
          <t>Imports for consumption: Clinker</t>
        </is>
      </c>
      <c r="B8" t="n">
        <v>1563</v>
      </c>
      <c r="C8" t="n">
        <v>1021</v>
      </c>
      <c r="D8" t="n">
        <v>921</v>
      </c>
      <c r="E8" t="n">
        <v>685</v>
      </c>
      <c r="F8" t="n">
        <v>660</v>
      </c>
    </row>
    <row r="9">
      <c r="A9" t="inlineStr">
        <is>
          <t>Exports, hydraulic cement and clinker</t>
        </is>
      </c>
      <c r="B9" t="n">
        <v>939</v>
      </c>
      <c r="C9" t="n">
        <v>904</v>
      </c>
      <c r="D9" t="n">
        <v>889</v>
      </c>
      <c r="E9" t="n">
        <v>932</v>
      </c>
      <c r="F9" t="n">
        <v>1000</v>
      </c>
    </row>
    <row r="10">
      <c r="A10" t="inlineStr">
        <is>
          <t>Consumption, apparent (production incl. from imported clinker + imports excl. clinker - exports - stock changes)</t>
        </is>
      </c>
      <c r="B10" t="n">
        <v>111000</v>
      </c>
      <c r="C10" t="n">
        <v>114000</v>
      </c>
      <c r="D10" t="n">
        <v>113000</v>
      </c>
      <c r="E10" t="n">
        <v>110000</v>
      </c>
      <c r="F10" t="n">
        <v>110000</v>
      </c>
    </row>
    <row r="11">
      <c r="A11" t="inlineStr">
        <is>
          <t>Price, average mill unit value, dollars per metric ton</t>
        </is>
      </c>
      <c r="B11" t="n">
        <v>127</v>
      </c>
      <c r="C11" t="n">
        <v>139</v>
      </c>
      <c r="D11" t="n">
        <v>152</v>
      </c>
      <c r="E11" t="n">
        <v>160</v>
      </c>
      <c r="F11" t="n">
        <v>160</v>
      </c>
    </row>
    <row r="12">
      <c r="A12" t="inlineStr">
        <is>
          <t>Stocks, cement, yearend</t>
        </is>
      </c>
      <c r="B12" t="n">
        <v>6280</v>
      </c>
      <c r="C12" t="n">
        <v>8010</v>
      </c>
      <c r="D12" t="n">
        <v>8830</v>
      </c>
      <c r="E12" t="n">
        <v>9700</v>
      </c>
      <c r="F12" t="n">
        <v>8200</v>
      </c>
    </row>
    <row r="13">
      <c r="A13" t="inlineStr">
        <is>
          <t>Net import reliance as a percentage of apparent consumption</t>
        </is>
      </c>
      <c r="B13" t="n">
        <v>19</v>
      </c>
      <c r="C13" t="n">
        <v>22</v>
      </c>
      <c r="D13" t="n">
        <v>22</v>
      </c>
      <c r="E13" t="n">
        <v>22</v>
      </c>
      <c r="F13" t="n">
        <v>21</v>
      </c>
    </row>
    <row r="15">
      <c r="A15" t="inlineStr">
        <is>
          <t>World Production and Capacity (thousand metric tons)</t>
        </is>
      </c>
      <c r="B15" t="inlineStr">
        <is>
          <t>Cement production 2024</t>
        </is>
      </c>
      <c r="C15" t="inlineStr">
        <is>
          <t>Cement production 2025e</t>
        </is>
      </c>
      <c r="D15" t="inlineStr">
        <is>
          <t>Clinker capacity 2024</t>
        </is>
      </c>
      <c r="E15" t="inlineStr">
        <is>
          <t>Clinker capacity 2025e</t>
        </is>
      </c>
    </row>
    <row r="16">
      <c r="A16" t="inlineStr">
        <is>
          <t>United States (includes Puerto Rico)</t>
        </is>
      </c>
      <c r="B16" t="n">
        <v>85000</v>
      </c>
      <c r="C16" t="n">
        <v>84000</v>
      </c>
      <c r="D16" t="n">
        <v>100000</v>
      </c>
      <c r="E16" t="n">
        <v>100000</v>
      </c>
    </row>
    <row r="17">
      <c r="A17" t="inlineStr">
        <is>
          <t>Brazil</t>
        </is>
      </c>
      <c r="B17" t="n">
        <v>65000</v>
      </c>
      <c r="C17" t="n">
        <v>67000</v>
      </c>
      <c r="D17" t="n">
        <v>60000</v>
      </c>
      <c r="E17" t="n">
        <v>61000</v>
      </c>
    </row>
    <row r="18">
      <c r="A18" t="inlineStr">
        <is>
          <t>China</t>
        </is>
      </c>
      <c r="B18" t="n">
        <v>1800000</v>
      </c>
      <c r="C18" t="n">
        <v>1700000</v>
      </c>
      <c r="D18" t="n">
        <v>1900000</v>
      </c>
      <c r="E18" t="n">
        <v>1800000</v>
      </c>
    </row>
    <row r="19">
      <c r="A19" t="inlineStr">
        <is>
          <t>Egypt</t>
        </is>
      </c>
      <c r="B19" t="n">
        <v>53000</v>
      </c>
      <c r="C19" t="n">
        <v>64000</v>
      </c>
      <c r="D19" t="n">
        <v>60000</v>
      </c>
      <c r="E19" t="n">
        <v>75000</v>
      </c>
    </row>
    <row r="20">
      <c r="A20" t="inlineStr">
        <is>
          <t>India</t>
        </is>
      </c>
      <c r="B20" t="n">
        <v>440000</v>
      </c>
      <c r="C20" t="n">
        <v>470000</v>
      </c>
      <c r="D20" t="n">
        <v>380000</v>
      </c>
      <c r="E20" t="n">
        <v>400000</v>
      </c>
    </row>
    <row r="21">
      <c r="A21" t="inlineStr">
        <is>
          <t>Indonesia</t>
        </is>
      </c>
      <c r="B21" t="n">
        <v>68000</v>
      </c>
      <c r="C21" t="n">
        <v>64000</v>
      </c>
      <c r="D21" t="n">
        <v>79000</v>
      </c>
      <c r="E21" t="n">
        <v>83000</v>
      </c>
    </row>
    <row r="22">
      <c r="A22" t="inlineStr">
        <is>
          <t>Iran</t>
        </is>
      </c>
      <c r="B22" t="n">
        <v>71000</v>
      </c>
      <c r="C22" t="n">
        <v>68000</v>
      </c>
      <c r="D22" t="n">
        <v>85000</v>
      </c>
      <c r="E22" t="n">
        <v>85000</v>
      </c>
    </row>
    <row r="23">
      <c r="A23" t="inlineStr">
        <is>
          <t>Japan</t>
        </is>
      </c>
      <c r="B23" t="n">
        <v>46000</v>
      </c>
      <c r="C23" t="n">
        <v>44000</v>
      </c>
      <c r="D23" t="n">
        <v>50000</v>
      </c>
      <c r="E23" t="n">
        <v>50000</v>
      </c>
    </row>
    <row r="24">
      <c r="A24" t="inlineStr">
        <is>
          <t>Korea, Republic of</t>
        </is>
      </c>
      <c r="B24" t="n">
        <v>44000</v>
      </c>
      <c r="C24" t="n">
        <v>37000</v>
      </c>
      <c r="D24" t="n">
        <v>62000</v>
      </c>
      <c r="E24" t="n">
        <v>62000</v>
      </c>
    </row>
    <row r="25">
      <c r="A25" t="inlineStr">
        <is>
          <t>Mexico</t>
        </is>
      </c>
      <c r="B25" t="n">
        <v>44000</v>
      </c>
      <c r="C25" t="n">
        <v>42000</v>
      </c>
      <c r="D25" t="n">
        <v>42000</v>
      </c>
      <c r="E25" t="n">
        <v>42000</v>
      </c>
    </row>
    <row r="26">
      <c r="A26" t="inlineStr">
        <is>
          <t>Russia</t>
        </is>
      </c>
      <c r="B26" t="n">
        <v>67000</v>
      </c>
      <c r="C26" t="n">
        <v>59000</v>
      </c>
      <c r="D26" t="n">
        <v>80000</v>
      </c>
      <c r="E26" t="n">
        <v>80000</v>
      </c>
    </row>
    <row r="27">
      <c r="A27" t="inlineStr">
        <is>
          <t>Saudi Arabia</t>
        </is>
      </c>
      <c r="B27" t="n">
        <v>51000</v>
      </c>
      <c r="C27" t="n">
        <v>54000</v>
      </c>
      <c r="D27" t="n">
        <v>75000</v>
      </c>
      <c r="E27" t="n">
        <v>75000</v>
      </c>
    </row>
    <row r="28">
      <c r="A28" t="inlineStr">
        <is>
          <t>Turkey</t>
        </is>
      </c>
      <c r="B28" t="n">
        <v>85000</v>
      </c>
      <c r="C28" t="n">
        <v>89000</v>
      </c>
      <c r="D28" t="n">
        <v>100000</v>
      </c>
      <c r="E28" t="n">
        <v>100000</v>
      </c>
    </row>
    <row r="29">
      <c r="A29" t="inlineStr">
        <is>
          <t>Vietnam</t>
        </is>
      </c>
      <c r="B29" t="n">
        <v>91000</v>
      </c>
      <c r="C29" t="n">
        <v>100000</v>
      </c>
      <c r="D29" t="n">
        <v>110000</v>
      </c>
      <c r="E29" t="n">
        <v>110000</v>
      </c>
    </row>
    <row r="30">
      <c r="A30" t="inlineStr">
        <is>
          <t>Other countries (rounded)</t>
        </is>
      </c>
      <c r="B30" t="n">
        <v>860000</v>
      </c>
      <c r="C30" t="n">
        <v>860000</v>
      </c>
      <c r="D30" t="n">
        <v>650000</v>
      </c>
      <c r="E30" t="n">
        <v>650000</v>
      </c>
    </row>
    <row r="31">
      <c r="A31" t="inlineStr">
        <is>
          <t>World total (rounded)</t>
        </is>
      </c>
      <c r="B31" t="n">
        <v>3900000</v>
      </c>
      <c r="C31" t="n">
        <v>3800000</v>
      </c>
      <c r="D31" t="n">
        <v>3800000</v>
      </c>
      <c r="E31" t="n">
        <v>3800000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selection activeCell="A1" sqref="A1"/>
    </sheetView>
  </sheetViews>
  <sheetFormatPr baseColWidth="8" defaultRowHeight="15"/>
  <cols>
    <col width="58" customWidth="1" min="1" max="1"/>
  </cols>
  <sheetData>
    <row r="1">
      <c r="A1" t="inlineStr">
        <is>
          <t>Selected region</t>
        </is>
      </c>
      <c r="B1">
        <f>Regions!B1</f>
        <v/>
      </c>
    </row>
    <row r="2">
      <c r="A2" t="inlineStr">
        <is>
          <t>Anchor year</t>
        </is>
      </c>
      <c r="B2">
        <f>INDEX(Regions!$B$5:$B$14,MATCH(Regions!$B$1,Regions!$A$5:$A$14,0))</f>
        <v/>
      </c>
    </row>
    <row r="3">
      <c r="A3" t="inlineStr">
        <is>
          <t>Anchor blend ratio</t>
        </is>
      </c>
      <c r="B3">
        <f>INDEX(Regions!$C$5:$C$14,MATCH(Regions!$B$1,Regions!$A$5:$A$14,0))</f>
        <v/>
      </c>
    </row>
    <row r="4">
      <c r="A4" t="inlineStr">
        <is>
          <t>Target ratio (blank = anchor)</t>
        </is>
      </c>
      <c r="B4">
        <f>IF(ISNUMBER(INDEX(Regions!$E$5:$E$14,MATCH(Regions!$B$1,Regions!$A$5:$A$14,0))),INDEX(Regions!$E$5:$E$14,MATCH(Regions!$B$1,Regions!$A$5:$A$14,0)),B3)</f>
        <v/>
      </c>
    </row>
    <row r="5">
      <c r="A5" t="inlineStr">
        <is>
          <t>Target year (blank = anchor year)</t>
        </is>
      </c>
      <c r="B5">
        <f>IF(ISNUMBER(INDEX(Regions!$F$5:$F$14,MATCH(Regions!$B$1,Regions!$A$5:$A$14,0))),INDEX(Regions!$F$5:$F$14,MATCH(Regions!$B$1,Regions!$A$5:$A$14,0)),B2)</f>
        <v/>
      </c>
    </row>
    <row r="6">
      <c r="A6" t="inlineStr">
        <is>
          <t>Is US? (history from USGS tab)</t>
        </is>
      </c>
      <c r="B6">
        <f>IF(B1="United States",1,0)</f>
        <v/>
      </c>
    </row>
    <row r="8">
      <c r="A8" t="inlineStr">
        <is>
          <t>US historical blend ratio = (clinker production + clinker imports) / cement production</t>
        </is>
      </c>
    </row>
    <row r="9">
      <c r="A9" t="inlineStr">
        <is>
          <t>Year</t>
        </is>
      </c>
      <c r="B9" t="n">
        <v>2021</v>
      </c>
      <c r="C9" t="n">
        <v>2022</v>
      </c>
      <c r="D9" t="n">
        <v>2023</v>
      </c>
      <c r="E9" t="n">
        <v>2024</v>
      </c>
      <c r="F9" t="n">
        <v>2025</v>
      </c>
    </row>
    <row r="10">
      <c r="A10" t="inlineStr">
        <is>
          <t>Blend ratio (rounded to 4 decimals)</t>
        </is>
      </c>
      <c r="B10">
        <f>ROUND(('USGS MCS 2026 Cement'!B5+'USGS MCS 2026 Cement'!B8)/'USGS MCS 2026 Cement'!B4,4)</f>
        <v/>
      </c>
      <c r="C10">
        <f>ROUND(('USGS MCS 2026 Cement'!C5+'USGS MCS 2026 Cement'!C8)/'USGS MCS 2026 Cement'!C4,4)</f>
        <v/>
      </c>
      <c r="D10">
        <f>ROUND(('USGS MCS 2026 Cement'!D5+'USGS MCS 2026 Cement'!D8)/'USGS MCS 2026 Cement'!D4,4)</f>
        <v/>
      </c>
      <c r="E10">
        <f>ROUND(('USGS MCS 2026 Cement'!E5+'USGS MCS 2026 Cement'!E8)/'USGS MCS 2026 Cement'!E4,4)</f>
        <v/>
      </c>
      <c r="F10">
        <f>ROUND(('USGS MCS 2026 Cement'!F5+'USGS MCS 2026 Cement'!F8)/'USGS MCS 2026 Cement'!F4,4)</f>
        <v/>
      </c>
    </row>
    <row r="12">
      <c r="A12" t="inlineStr">
        <is>
          <t>Year</t>
        </is>
      </c>
      <c r="B12" t="n">
        <v>2021</v>
      </c>
      <c r="C12" t="n">
        <v>2022</v>
      </c>
      <c r="D12" t="n">
        <v>2023</v>
      </c>
      <c r="E12" t="n">
        <v>2024</v>
      </c>
      <c r="F12" t="n">
        <v>2025</v>
      </c>
      <c r="G12" t="n">
        <v>2026</v>
      </c>
      <c r="H12" t="n">
        <v>2027</v>
      </c>
      <c r="I12" t="n">
        <v>2028</v>
      </c>
      <c r="J12" t="n">
        <v>2029</v>
      </c>
      <c r="K12" t="n">
        <v>2030</v>
      </c>
      <c r="L12" t="n">
        <v>2031</v>
      </c>
      <c r="M12" t="n">
        <v>2032</v>
      </c>
      <c r="N12" t="n">
        <v>2033</v>
      </c>
      <c r="O12" t="n">
        <v>2034</v>
      </c>
      <c r="P12" t="n">
        <v>2035</v>
      </c>
      <c r="Q12" t="n">
        <v>2036</v>
      </c>
      <c r="R12" t="n">
        <v>2037</v>
      </c>
      <c r="S12" t="n">
        <v>2038</v>
      </c>
      <c r="T12" t="n">
        <v>2039</v>
      </c>
      <c r="U12" t="n">
        <v>2040</v>
      </c>
      <c r="V12" t="n">
        <v>2041</v>
      </c>
      <c r="W12" t="n">
        <v>2042</v>
      </c>
      <c r="X12" t="n">
        <v>2043</v>
      </c>
      <c r="Y12" t="n">
        <v>2044</v>
      </c>
      <c r="Z12" t="n">
        <v>2045</v>
      </c>
      <c r="AA12" t="n">
        <v>2046</v>
      </c>
      <c r="AB12" t="n">
        <v>2047</v>
      </c>
      <c r="AC12" t="n">
        <v>2048</v>
      </c>
      <c r="AD12" t="n">
        <v>2049</v>
      </c>
      <c r="AE12" t="n">
        <v>2050</v>
      </c>
    </row>
    <row r="13">
      <c r="A13" t="inlineStr">
        <is>
          <t>BAU Clinker to Cement Ratio</t>
        </is>
      </c>
      <c r="B13">
        <f>IF(AND($B$6=1,B12&lt;=2025),B10,ROUND($B$3+($B$4-$B$3)*MAX(0,MIN(1,IF($B$5=$B$2,1,(B12-$B$2)/($B$5-$B$2)))),5))</f>
        <v/>
      </c>
      <c r="C13">
        <f>IF(AND($B$6=1,C12&lt;=2025),C10,ROUND($B$3+($B$4-$B$3)*MAX(0,MIN(1,IF($B$5=$B$2,1,(C12-$B$2)/($B$5-$B$2)))),5))</f>
        <v/>
      </c>
      <c r="D13">
        <f>IF(AND($B$6=1,D12&lt;=2025),D10,ROUND($B$3+($B$4-$B$3)*MAX(0,MIN(1,IF($B$5=$B$2,1,(D12-$B$2)/($B$5-$B$2)))),5))</f>
        <v/>
      </c>
      <c r="E13">
        <f>IF(AND($B$6=1,E12&lt;=2025),E10,ROUND($B$3+($B$4-$B$3)*MAX(0,MIN(1,IF($B$5=$B$2,1,(E12-$B$2)/($B$5-$B$2)))),5))</f>
        <v/>
      </c>
      <c r="F13">
        <f>IF(AND($B$6=1,F12&lt;=2025),F10,ROUND($B$3+($B$4-$B$3)*MAX(0,MIN(1,IF($B$5=$B$2,1,(F12-$B$2)/($B$5-$B$2)))),5))</f>
        <v/>
      </c>
      <c r="G13">
        <f>ROUND($B$3+($B$4-$B$3)*MAX(0,MIN(1,IF($B$5=$B$2,1,(G12-$B$2)/($B$5-$B$2)))),5)</f>
        <v/>
      </c>
      <c r="H13">
        <f>ROUND($B$3+($B$4-$B$3)*MAX(0,MIN(1,IF($B$5=$B$2,1,(H12-$B$2)/($B$5-$B$2)))),5)</f>
        <v/>
      </c>
      <c r="I13">
        <f>ROUND($B$3+($B$4-$B$3)*MAX(0,MIN(1,IF($B$5=$B$2,1,(I12-$B$2)/($B$5-$B$2)))),5)</f>
        <v/>
      </c>
      <c r="J13">
        <f>ROUND($B$3+($B$4-$B$3)*MAX(0,MIN(1,IF($B$5=$B$2,1,(J12-$B$2)/($B$5-$B$2)))),5)</f>
        <v/>
      </c>
      <c r="K13">
        <f>ROUND($B$3+($B$4-$B$3)*MAX(0,MIN(1,IF($B$5=$B$2,1,(K12-$B$2)/($B$5-$B$2)))),5)</f>
        <v/>
      </c>
      <c r="L13">
        <f>ROUND($B$3+($B$4-$B$3)*MAX(0,MIN(1,IF($B$5=$B$2,1,(L12-$B$2)/($B$5-$B$2)))),5)</f>
        <v/>
      </c>
      <c r="M13">
        <f>ROUND($B$3+($B$4-$B$3)*MAX(0,MIN(1,IF($B$5=$B$2,1,(M12-$B$2)/($B$5-$B$2)))),5)</f>
        <v/>
      </c>
      <c r="N13">
        <f>ROUND($B$3+($B$4-$B$3)*MAX(0,MIN(1,IF($B$5=$B$2,1,(N12-$B$2)/($B$5-$B$2)))),5)</f>
        <v/>
      </c>
      <c r="O13">
        <f>ROUND($B$3+($B$4-$B$3)*MAX(0,MIN(1,IF($B$5=$B$2,1,(O12-$B$2)/($B$5-$B$2)))),5)</f>
        <v/>
      </c>
      <c r="P13">
        <f>ROUND($B$3+($B$4-$B$3)*MAX(0,MIN(1,IF($B$5=$B$2,1,(P12-$B$2)/($B$5-$B$2)))),5)</f>
        <v/>
      </c>
      <c r="Q13">
        <f>ROUND($B$3+($B$4-$B$3)*MAX(0,MIN(1,IF($B$5=$B$2,1,(Q12-$B$2)/($B$5-$B$2)))),5)</f>
        <v/>
      </c>
      <c r="R13">
        <f>ROUND($B$3+($B$4-$B$3)*MAX(0,MIN(1,IF($B$5=$B$2,1,(R12-$B$2)/($B$5-$B$2)))),5)</f>
        <v/>
      </c>
      <c r="S13">
        <f>ROUND($B$3+($B$4-$B$3)*MAX(0,MIN(1,IF($B$5=$B$2,1,(S12-$B$2)/($B$5-$B$2)))),5)</f>
        <v/>
      </c>
      <c r="T13">
        <f>ROUND($B$3+($B$4-$B$3)*MAX(0,MIN(1,IF($B$5=$B$2,1,(T12-$B$2)/($B$5-$B$2)))),5)</f>
        <v/>
      </c>
      <c r="U13">
        <f>ROUND($B$3+($B$4-$B$3)*MAX(0,MIN(1,IF($B$5=$B$2,1,(U12-$B$2)/($B$5-$B$2)))),5)</f>
        <v/>
      </c>
      <c r="V13">
        <f>ROUND($B$3+($B$4-$B$3)*MAX(0,MIN(1,IF($B$5=$B$2,1,(V12-$B$2)/($B$5-$B$2)))),5)</f>
        <v/>
      </c>
      <c r="W13">
        <f>ROUND($B$3+($B$4-$B$3)*MAX(0,MIN(1,IF($B$5=$B$2,1,(W12-$B$2)/($B$5-$B$2)))),5)</f>
        <v/>
      </c>
      <c r="X13">
        <f>ROUND($B$3+($B$4-$B$3)*MAX(0,MIN(1,IF($B$5=$B$2,1,(X12-$B$2)/($B$5-$B$2)))),5)</f>
        <v/>
      </c>
      <c r="Y13">
        <f>ROUND($B$3+($B$4-$B$3)*MAX(0,MIN(1,IF($B$5=$B$2,1,(Y12-$B$2)/($B$5-$B$2)))),5)</f>
        <v/>
      </c>
      <c r="Z13">
        <f>ROUND($B$3+($B$4-$B$3)*MAX(0,MIN(1,IF($B$5=$B$2,1,(Z12-$B$2)/($B$5-$B$2)))),5)</f>
        <v/>
      </c>
      <c r="AA13">
        <f>ROUND($B$3+($B$4-$B$3)*MAX(0,MIN(1,IF($B$5=$B$2,1,(AA12-$B$2)/($B$5-$B$2)))),5)</f>
        <v/>
      </c>
      <c r="AB13">
        <f>ROUND($B$3+($B$4-$B$3)*MAX(0,MIN(1,IF($B$5=$B$2,1,(AB12-$B$2)/($B$5-$B$2)))),5)</f>
        <v/>
      </c>
      <c r="AC13">
        <f>ROUND($B$3+($B$4-$B$3)*MAX(0,MIN(1,IF($B$5=$B$2,1,(AC12-$B$2)/($B$5-$B$2)))),5)</f>
        <v/>
      </c>
      <c r="AD13">
        <f>ROUND($B$3+($B$4-$B$3)*MAX(0,MIN(1,IF($B$5=$B$2,1,(AD12-$B$2)/($B$5-$B$2)))),5)</f>
        <v/>
      </c>
      <c r="AE13">
        <f>ROUND($B$3+($B$4-$B$3)*MAX(0,MIN(1,IF($B$5=$B$2,1,(AE12-$B$2)/($B$5-$B$2)))),5)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Cross-check: 'BCtCR' export-tab literal values vs. Derivation formulas (PASS once opened and recalculated in Excel).</t>
        </is>
      </c>
    </row>
    <row r="3">
      <c r="B3" t="n">
        <v>2021</v>
      </c>
      <c r="C3" t="n">
        <v>2022</v>
      </c>
      <c r="D3" t="n">
        <v>2023</v>
      </c>
      <c r="E3" t="n">
        <v>2024</v>
      </c>
      <c r="F3" t="n">
        <v>2025</v>
      </c>
      <c r="G3" t="n">
        <v>2026</v>
      </c>
      <c r="H3" t="n">
        <v>2027</v>
      </c>
      <c r="I3" t="n">
        <v>2028</v>
      </c>
      <c r="J3" t="n">
        <v>2029</v>
      </c>
      <c r="K3" t="n">
        <v>2030</v>
      </c>
      <c r="L3" t="n">
        <v>2031</v>
      </c>
      <c r="M3" t="n">
        <v>2032</v>
      </c>
      <c r="N3" t="n">
        <v>2033</v>
      </c>
      <c r="O3" t="n">
        <v>2034</v>
      </c>
      <c r="P3" t="n">
        <v>2035</v>
      </c>
      <c r="Q3" t="n">
        <v>2036</v>
      </c>
      <c r="R3" t="n">
        <v>2037</v>
      </c>
      <c r="S3" t="n">
        <v>2038</v>
      </c>
      <c r="T3" t="n">
        <v>2039</v>
      </c>
      <c r="U3" t="n">
        <v>2040</v>
      </c>
      <c r="V3" t="n">
        <v>2041</v>
      </c>
      <c r="W3" t="n">
        <v>2042</v>
      </c>
      <c r="X3" t="n">
        <v>2043</v>
      </c>
      <c r="Y3" t="n">
        <v>2044</v>
      </c>
      <c r="Z3" t="n">
        <v>2045</v>
      </c>
      <c r="AA3" t="n">
        <v>2046</v>
      </c>
      <c r="AB3" t="n">
        <v>2047</v>
      </c>
      <c r="AC3" t="n">
        <v>2048</v>
      </c>
      <c r="AD3" t="n">
        <v>2049</v>
      </c>
      <c r="AE3" t="n">
        <v>2050</v>
      </c>
    </row>
    <row r="4">
      <c r="A4" t="inlineStr">
        <is>
          <t>Export literal</t>
        </is>
      </c>
      <c r="B4" t="n">
        <v>0.8921</v>
      </c>
      <c r="C4" t="n">
        <v>0.8828</v>
      </c>
      <c r="D4" t="n">
        <v>0.8663</v>
      </c>
      <c r="E4" t="n">
        <v>0.8551</v>
      </c>
      <c r="F4" t="n">
        <v>0.8293</v>
      </c>
      <c r="G4" t="n">
        <v>0.82537</v>
      </c>
      <c r="H4" t="n">
        <v>0.8214399999999999</v>
      </c>
      <c r="I4" t="n">
        <v>0.81751</v>
      </c>
      <c r="J4" t="n">
        <v>0.81358</v>
      </c>
      <c r="K4" t="n">
        <v>0.80965</v>
      </c>
      <c r="L4" t="n">
        <v>0.80572</v>
      </c>
      <c r="M4" t="n">
        <v>0.80179</v>
      </c>
      <c r="N4" t="n">
        <v>0.79786</v>
      </c>
      <c r="O4" t="n">
        <v>0.79393</v>
      </c>
      <c r="P4" t="n">
        <v>0.79</v>
      </c>
      <c r="Q4" t="n">
        <v>0.79</v>
      </c>
      <c r="R4" t="n">
        <v>0.79</v>
      </c>
      <c r="S4" t="n">
        <v>0.79</v>
      </c>
      <c r="T4" t="n">
        <v>0.79</v>
      </c>
      <c r="U4" t="n">
        <v>0.79</v>
      </c>
      <c r="V4" t="n">
        <v>0.79</v>
      </c>
      <c r="W4" t="n">
        <v>0.79</v>
      </c>
      <c r="X4" t="n">
        <v>0.79</v>
      </c>
      <c r="Y4" t="n">
        <v>0.79</v>
      </c>
      <c r="Z4" t="n">
        <v>0.79</v>
      </c>
      <c r="AA4" t="n">
        <v>0.79</v>
      </c>
      <c r="AB4" t="n">
        <v>0.79</v>
      </c>
      <c r="AC4" t="n">
        <v>0.79</v>
      </c>
      <c r="AD4" t="n">
        <v>0.79</v>
      </c>
      <c r="AE4" t="n">
        <v>0.79</v>
      </c>
    </row>
    <row r="5">
      <c r="A5" t="inlineStr">
        <is>
          <t>Derivation formula</t>
        </is>
      </c>
      <c r="B5">
        <f>Derivation!B13</f>
        <v/>
      </c>
      <c r="C5">
        <f>Derivation!C13</f>
        <v/>
      </c>
      <c r="D5">
        <f>Derivation!D13</f>
        <v/>
      </c>
      <c r="E5">
        <f>Derivation!E13</f>
        <v/>
      </c>
      <c r="F5">
        <f>Derivation!F13</f>
        <v/>
      </c>
      <c r="G5">
        <f>Derivation!G13</f>
        <v/>
      </c>
      <c r="H5">
        <f>Derivation!H13</f>
        <v/>
      </c>
      <c r="I5">
        <f>Derivation!I13</f>
        <v/>
      </c>
      <c r="J5">
        <f>Derivation!J13</f>
        <v/>
      </c>
      <c r="K5">
        <f>Derivation!K13</f>
        <v/>
      </c>
      <c r="L5">
        <f>Derivation!L13</f>
        <v/>
      </c>
      <c r="M5">
        <f>Derivation!M13</f>
        <v/>
      </c>
      <c r="N5">
        <f>Derivation!N13</f>
        <v/>
      </c>
      <c r="O5">
        <f>Derivation!O13</f>
        <v/>
      </c>
      <c r="P5">
        <f>Derivation!P13</f>
        <v/>
      </c>
      <c r="Q5">
        <f>Derivation!Q13</f>
        <v/>
      </c>
      <c r="R5">
        <f>Derivation!R13</f>
        <v/>
      </c>
      <c r="S5">
        <f>Derivation!S13</f>
        <v/>
      </c>
      <c r="T5">
        <f>Derivation!T13</f>
        <v/>
      </c>
      <c r="U5">
        <f>Derivation!U13</f>
        <v/>
      </c>
      <c r="V5">
        <f>Derivation!V13</f>
        <v/>
      </c>
      <c r="W5">
        <f>Derivation!W13</f>
        <v/>
      </c>
      <c r="X5">
        <f>Derivation!X13</f>
        <v/>
      </c>
      <c r="Y5">
        <f>Derivation!Y13</f>
        <v/>
      </c>
      <c r="Z5">
        <f>Derivation!Z13</f>
        <v/>
      </c>
      <c r="AA5">
        <f>Derivation!AA13</f>
        <v/>
      </c>
      <c r="AB5">
        <f>Derivation!AB13</f>
        <v/>
      </c>
      <c r="AC5">
        <f>Derivation!AC13</f>
        <v/>
      </c>
      <c r="AD5">
        <f>Derivation!AD13</f>
        <v/>
      </c>
      <c r="AE5">
        <f>Derivation!AE13</f>
        <v/>
      </c>
    </row>
    <row r="6">
      <c r="A6" t="inlineStr">
        <is>
          <t>ABS(Export - Derivation)</t>
        </is>
      </c>
      <c r="B6">
        <f>ABS(B4-B5)</f>
        <v/>
      </c>
      <c r="C6">
        <f>ABS(C4-C5)</f>
        <v/>
      </c>
      <c r="D6">
        <f>ABS(D4-D5)</f>
        <v/>
      </c>
      <c r="E6">
        <f>ABS(E4-E5)</f>
        <v/>
      </c>
      <c r="F6">
        <f>ABS(F4-F5)</f>
        <v/>
      </c>
      <c r="G6">
        <f>ABS(G4-G5)</f>
        <v/>
      </c>
      <c r="H6">
        <f>ABS(H4-H5)</f>
        <v/>
      </c>
      <c r="I6">
        <f>ABS(I4-I5)</f>
        <v/>
      </c>
      <c r="J6">
        <f>ABS(J4-J5)</f>
        <v/>
      </c>
      <c r="K6">
        <f>ABS(K4-K5)</f>
        <v/>
      </c>
      <c r="L6">
        <f>ABS(L4-L5)</f>
        <v/>
      </c>
      <c r="M6">
        <f>ABS(M4-M5)</f>
        <v/>
      </c>
      <c r="N6">
        <f>ABS(N4-N5)</f>
        <v/>
      </c>
      <c r="O6">
        <f>ABS(O4-O5)</f>
        <v/>
      </c>
      <c r="P6">
        <f>ABS(P4-P5)</f>
        <v/>
      </c>
      <c r="Q6">
        <f>ABS(Q4-Q5)</f>
        <v/>
      </c>
      <c r="R6">
        <f>ABS(R4-R5)</f>
        <v/>
      </c>
      <c r="S6">
        <f>ABS(S4-S5)</f>
        <v/>
      </c>
      <c r="T6">
        <f>ABS(T4-T5)</f>
        <v/>
      </c>
      <c r="U6">
        <f>ABS(U4-U5)</f>
        <v/>
      </c>
      <c r="V6">
        <f>ABS(V4-V5)</f>
        <v/>
      </c>
      <c r="W6">
        <f>ABS(W4-W5)</f>
        <v/>
      </c>
      <c r="X6">
        <f>ABS(X4-X5)</f>
        <v/>
      </c>
      <c r="Y6">
        <f>ABS(Y4-Y5)</f>
        <v/>
      </c>
      <c r="Z6">
        <f>ABS(Z4-Z5)</f>
        <v/>
      </c>
      <c r="AA6">
        <f>ABS(AA4-AA5)</f>
        <v/>
      </c>
      <c r="AB6">
        <f>ABS(AB4-AB5)</f>
        <v/>
      </c>
      <c r="AC6">
        <f>ABS(AC4-AC5)</f>
        <v/>
      </c>
      <c r="AD6">
        <f>ABS(AD4-AD5)</f>
        <v/>
      </c>
      <c r="AE6">
        <f>ABS(AE4-AE5)</f>
        <v/>
      </c>
    </row>
    <row r="8">
      <c r="A8" t="inlineStr">
        <is>
          <t>Max abs diff</t>
        </is>
      </c>
      <c r="B8">
        <f>MAX(B6:AE6)</f>
        <v/>
      </c>
    </row>
    <row r="9">
      <c r="A9" t="inlineStr">
        <is>
          <t>Result</t>
        </is>
      </c>
      <c r="B9">
        <f>IF(B8&lt;1e-06,"PASS","FAIL")</f>
        <v/>
      </c>
    </row>
    <row r="10">
      <c r="A10" t="inlineStr">
        <is>
          <t>Selected region</t>
        </is>
      </c>
      <c r="B10">
        <f>Regions!B1</f>
        <v/>
      </c>
    </row>
    <row r="11">
      <c r="A11" t="inlineStr">
        <is>
          <t>Region-matches-export?</t>
        </is>
      </c>
      <c r="B11">
        <f>IF(B10="United States","PASS - literals were exported for the US","WARN - export tab literals are US values; re-export after switching")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dimensionless (BLEND basis since 2026-09-28: (domestic clinker + imported clinker) / cement production; USGS MCS2026 2021-25 actual; declining linearly to 0.79 by 2035 then flat - judgment; see workbook)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BAU Clinker to Cement Ratio</t>
        </is>
      </c>
      <c r="B2" t="n">
        <v>0.8921</v>
      </c>
      <c r="C2" t="n">
        <v>0.8828</v>
      </c>
      <c r="D2" t="n">
        <v>0.8663</v>
      </c>
      <c r="E2" t="n">
        <v>0.8551</v>
      </c>
      <c r="F2" t="n">
        <v>0.8293</v>
      </c>
      <c r="G2" t="n">
        <v>0.82537</v>
      </c>
      <c r="H2" t="n">
        <v>0.8214399999999999</v>
      </c>
      <c r="I2" t="n">
        <v>0.81751</v>
      </c>
      <c r="J2" t="n">
        <v>0.81358</v>
      </c>
      <c r="K2" t="n">
        <v>0.80965</v>
      </c>
      <c r="L2" t="n">
        <v>0.80572</v>
      </c>
      <c r="M2" t="n">
        <v>0.80179</v>
      </c>
      <c r="N2" t="n">
        <v>0.79786</v>
      </c>
      <c r="O2" t="n">
        <v>0.79393</v>
      </c>
      <c r="P2" t="n">
        <v>0.79</v>
      </c>
      <c r="Q2" t="n">
        <v>0.79</v>
      </c>
      <c r="R2" t="n">
        <v>0.79</v>
      </c>
      <c r="S2" t="n">
        <v>0.79</v>
      </c>
      <c r="T2" t="n">
        <v>0.79</v>
      </c>
      <c r="U2" t="n">
        <v>0.79</v>
      </c>
      <c r="V2" t="n">
        <v>0.79</v>
      </c>
      <c r="W2" t="n">
        <v>0.79</v>
      </c>
      <c r="X2" t="n">
        <v>0.79</v>
      </c>
      <c r="Y2" t="n">
        <v>0.79</v>
      </c>
      <c r="Z2" t="n">
        <v>0.79</v>
      </c>
      <c r="AA2" t="n">
        <v>0.79</v>
      </c>
      <c r="AB2" t="n">
        <v>0.79</v>
      </c>
      <c r="AC2" t="n">
        <v>0.79</v>
      </c>
      <c r="AD2" t="n">
        <v>0.79</v>
      </c>
      <c r="AE2" t="n">
        <v>0.79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2026-09-28T13:54:44Z</dcterms:created>
  <dcterms:modified xsi:type="dcterms:W3CDTF">2026-10-01T20:23:33Z</dcterms:modified>
</cp:coreProperties>
</file>