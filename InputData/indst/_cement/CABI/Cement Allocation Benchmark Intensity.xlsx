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ABI\"/>
    </mc:Choice>
  </mc:AlternateContent>
  <xr:revisionPtr revIDLastSave="0" documentId="13_ncr:1_{6647D1ED-F5DF-46AF-8109-FAA37BCBF537}" xr6:coauthVersionLast="47" xr6:coauthVersionMax="47" xr10:uidLastSave="{00000000-0000-0000-0000-000000000000}"/>
  <bookViews>
    <workbookView xWindow="3510" yWindow="3510" windowWidth="21600" windowHeight="12525" xr2:uid="{00000000-000D-0000-FFFF-FFFF00000000}"/>
  </bookViews>
  <sheets>
    <sheet name="About" sheetId="1" r:id="rId1"/>
    <sheet name="Sensitivities" sheetId="2" r:id="rId2"/>
    <sheet name="Values by Year" sheetId="3" r:id="rId3"/>
    <sheet name="Checks" sheetId="4" r:id="rId4"/>
    <sheet name="CABI"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5" l="1"/>
  <c r="Q2" i="5"/>
  <c r="O2" i="5"/>
  <c r="N2" i="5"/>
  <c r="M2" i="5"/>
  <c r="L2" i="5"/>
  <c r="B4" i="4"/>
  <c r="C4" i="4" s="1"/>
  <c r="B3" i="4"/>
  <c r="C3" i="4" s="1"/>
  <c r="B33" i="3"/>
  <c r="AE2" i="5" s="1"/>
  <c r="B32" i="3"/>
  <c r="AD2" i="5" s="1"/>
  <c r="B31" i="3"/>
  <c r="AC2" i="5" s="1"/>
  <c r="B30" i="3"/>
  <c r="AB2" i="5" s="1"/>
  <c r="B29" i="3"/>
  <c r="AA2" i="5" s="1"/>
  <c r="B28" i="3"/>
  <c r="Z2" i="5" s="1"/>
  <c r="B27" i="3"/>
  <c r="Y2" i="5" s="1"/>
  <c r="B26" i="3"/>
  <c r="X2" i="5" s="1"/>
  <c r="B25" i="3"/>
  <c r="W2" i="5" s="1"/>
  <c r="B24" i="3"/>
  <c r="V2" i="5" s="1"/>
  <c r="B23" i="3"/>
  <c r="B22" i="3"/>
  <c r="T2" i="5" s="1"/>
  <c r="B21" i="3"/>
  <c r="S2" i="5" s="1"/>
  <c r="B20" i="3"/>
  <c r="R2" i="5" s="1"/>
  <c r="B19" i="3"/>
  <c r="B18" i="3"/>
  <c r="P2" i="5" s="1"/>
  <c r="B17" i="3"/>
  <c r="B16" i="3"/>
  <c r="B15" i="3"/>
  <c r="B14" i="3"/>
  <c r="B13" i="3"/>
  <c r="K2" i="5" s="1"/>
  <c r="B12" i="3"/>
  <c r="J2" i="5" s="1"/>
  <c r="B11" i="3"/>
  <c r="I2" i="5" s="1"/>
  <c r="B10" i="3"/>
  <c r="H2" i="5" s="1"/>
  <c r="B9" i="3"/>
  <c r="G2" i="5" s="1"/>
  <c r="B8" i="3"/>
  <c r="F2" i="5" s="1"/>
  <c r="B7" i="3"/>
  <c r="E2" i="5" s="1"/>
  <c r="B6" i="3"/>
  <c r="D2" i="5" s="1"/>
  <c r="B5" i="3"/>
  <c r="C2" i="5" s="1"/>
  <c r="B4" i="3"/>
  <c r="B2" i="5" s="1"/>
</calcChain>
</file>

<file path=xl/sharedStrings.xml><?xml version="1.0" encoding="utf-8"?>
<sst xmlns="http://schemas.openxmlformats.org/spreadsheetml/2006/main" count="92" uniqueCount="63">
  <si>
    <t>CABI Cement Allocation Benchmark Intensity</t>
  </si>
  <si>
    <t>Sources:</t>
  </si>
  <si>
    <t>U.S. clinker CO2 intensity distribution (the U.S. value)</t>
  </si>
  <si>
    <t>California cap-and-trade cement benchmark</t>
  </si>
  <si>
    <t>U.S. Environmental Protection Agency</t>
  </si>
  <si>
    <t>California Air Resources Board</t>
  </si>
  <si>
    <t>U.S. Cement Industry Carbon Intensities (2019), EPA 430-F-21-004</t>
  </si>
  <si>
    <t>Cap-and-Invest Program, 2026 Final Regulation Order, Tables 8-1, 9-1 and 9-2</t>
  </si>
  <si>
    <t>https://www.epa.gov/system/files/documents/2021-10/cement-carbon-intensities-fact-sheet.pdf</t>
  </si>
  <si>
    <t>https://ww2.arb.ca.gov/sites/default/files/barcu/regact/2026/cap_invest/Attachment%20A-1%20Final%20Regulation%20Order.pdf</t>
  </si>
  <si>
    <t>Kiln CO2 (fuel combustion plus calcination, excluding biogenic CO2, methane and nitrous oxide) per tonne of clinker at the 92 U.S. plants with continuous emissions monitors in 2019: 0.787 at the 75th percentile (cleaner plants), 0.838 at the median and 0.934 at the 25th percentile. The median is the shipped value; the other two are sensitivity cases on the Values tab. Per tonne of cement the same quartiles are 0.722, 0.776 and 0.886.</t>
  </si>
  <si>
    <t>0.742 allowances per short ton (0.818 per metric tonne) with a 100 percent assistance factor and a cap adjustment factor of 0.824 in 2026 falling to 0.782 in 2030. The unit basis (adjusted clinker and additives versus finished cement) changed in the 2026 order and should be confirmed in the clean text before converting to a clinker basis.</t>
  </si>
  <si>
    <t>EU ETS grey clinker benchmark 2026-2030</t>
  </si>
  <si>
    <t>China national ETS cement allocation rule (for the marginal price factor)</t>
  </si>
  <si>
    <t>European Commission</t>
  </si>
  <si>
    <t>Ministry of Ecology and Environment of China</t>
  </si>
  <si>
    <t>Commission Implementing Regulation (EU) 2026/1412 updating the product benchmark values, Annex, section 1</t>
  </si>
  <si>
    <t>2026 allowance total and allocation plan for the power, steel, cement and aluminium sectors, section 3(2)</t>
  </si>
  <si>
    <t>https://eur-lex.europa.eu/eli/reg_impl/2026/1412/oj</t>
  </si>
  <si>
    <t>https://www.mee.gov.cn/xxgk2018/xxgk/xxgk03/202609/W020260903551498752549.pdf</t>
  </si>
  <si>
    <t>Grey cement clinker 0.656 allowances per tonne (the 10 percent most efficient installations averaged 0.689 in 2021-22); white clinker 0.890. The 2021-2025 value was 0.693 (Implementing Regulation (EU) 2021/447). Read from the EUR-Lex text; confirm against the Official Journal before use. The value an EU build would enter here.</t>
  </si>
  <si>
    <t>Allocation equals verified emissions times (1 + 0.15 times the intensity deviation from the sector balance value), capped at plus or minus 3 percent. The balance value itself is not published, so a China build should use its own start-year intensity here and set the Marginal Carbon Price Factor for Cement to 0.15.</t>
  </si>
  <si>
    <t>Canada federal output-based pricing standard for clinker</t>
  </si>
  <si>
    <t>Government of Canada</t>
  </si>
  <si>
    <t>Output-Based Pricing System Regulations SOR/2019-266, Schedule 1 item 7 and section 36</t>
  </si>
  <si>
    <t>https://laws-lois.justice.gc.ca/eng/XML/SOR-2019-266.xml</t>
  </si>
  <si>
    <t>0.799 tonnes CO2e per tonne of clinker (0.733 per tonne of grey cement), tightening 1 percent a year from 2022, so about 0.767 in 2026 and 0.735 in 2030. Primary regulation text.</t>
  </si>
  <si>
    <t>Notes:</t>
  </si>
  <si>
    <t>Purpose and layout</t>
  </si>
  <si>
    <t>CABI is the benchmark CO2 intensity, in tonnes of CO2 per tonne of clinker, that output-based allocation of the carbon price is measured against. When the allocation policy (or the BAU allocation fraction BCAF) is on, the cement industry is handed back the carbon price on this benchmark times the clinker it produces, capped at the carbon tax it actually pays. Edit the 'Values by Year' tab (the 'Sensitivities' tab holds the quartile values to copy in); the 'CABI' tab is exported to CABI.csv.</t>
  </si>
  <si>
    <t>U.S. values</t>
  </si>
  <si>
    <t>The United States has no cement carbon price, so there is no official benchmark. The shipped values follow the EU grey clinker benchmark, the strictest benchmark in force for cement: 0.693 tonnes of CO2 per tonne of clinker through 2025 and 0.656 from 2026 (the average of the 10 percent most efficient EU installations, tightened), held after 2030. It sits below the U.S. median plant (0.838, EPA 2019), so a full allocation refunds only the cleaner plants in full and the industry still pays carbon tax on emissions above the benchmark. The U.S. plant quartiles (0.787, 0.838, 0.934) are on the Sensitivities tab for a benchmark set on U.S. plants, as the Clean Competition Act proposals would.</t>
  </si>
  <si>
    <t>Other regions</t>
  </si>
  <si>
    <t>Enter the official benchmark: 0.656 for the EU from 2026 (0.693 before), Canada's 0.799 tightening 1 percent a year, California's 0.818 per metric tonne once converted to a clinker basis. Where the benchmark tightens over time, enter the path year by year.</t>
  </si>
  <si>
    <t>U.S. clinker CO2 intensity quartiles, EPA 2019 (tonnes CO2 per tonne of clinker)</t>
  </si>
  <si>
    <t>Case</t>
  </si>
  <si>
    <t>Value</t>
  </si>
  <si>
    <t>Meaning</t>
  </si>
  <si>
    <t>Central (median plant)</t>
  </si>
  <si>
    <t>Half of U.S. clinker capacity is cleaner than this</t>
  </si>
  <si>
    <t>Strict (75th percentile, cleaner plants)</t>
  </si>
  <si>
    <t>Benchmark set at the cleaner quarter of plants, as the EU does with its top 10 percent</t>
  </si>
  <si>
    <t>Loose (25th percentile)</t>
  </si>
  <si>
    <t>Only the dirtiest quarter of plants pays net carbon costs</t>
  </si>
  <si>
    <t>EU benchmark 2021-2025 (Implementing Regulation (EU) 2021/447)</t>
  </si>
  <si>
    <t>Grey cement clinker benchmark, allowances per tonne of clinker</t>
  </si>
  <si>
    <t>EU benchmark 2026-2030 (Implementing Regulation (EU) 2026/1412)</t>
  </si>
  <si>
    <t>Grey cement clinker benchmark, allowances per tonne of clinker; the shipped value from 2026</t>
  </si>
  <si>
    <t>To use a different case, point the Values by Year formulas at the row you want. The shipped values use the EU rows.</t>
  </si>
  <si>
    <t>Benchmark clinker CO2 intensity for output-based allocation (edit here)</t>
  </si>
  <si>
    <t>Tonnes of CO2 per tonne of clinker by year. The shipped U.S. values are the EU grey clinker benchmark: 0.693 through 2025 and 0.656 from 2026, held after 2030 until the EU sets its 2031-2035 value. The Sensitivities tab lists the U.S. plant quartiles as alternatives.</t>
  </si>
  <si>
    <t>Year</t>
  </si>
  <si>
    <t>metric tons CO2 per metric ton clinker</t>
  </si>
  <si>
    <t>Basis</t>
  </si>
  <si>
    <t>EU benchmark 2021-2025 (Sensitivities tab)</t>
  </si>
  <si>
    <t>EU benchmark 2026-2030, held after 2030 (Sensitivities tab)</t>
  </si>
  <si>
    <t>Live checks</t>
  </si>
  <si>
    <t>Check</t>
  </si>
  <si>
    <t>Result</t>
  </si>
  <si>
    <t>Values at or below 0 (count)</t>
  </si>
  <si>
    <t>Values above 1.2 t/t, outside any observed kiln (count)</t>
  </si>
  <si>
    <t>Unit: metric tons CO2 per metric ton clinker</t>
  </si>
  <si>
    <t>Cement Allocation Benchmark 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</si>
</sst>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3" borderId="0" xfId="0" applyFont="1" applyFill="1" applyAlignment="1">
      <alignment horizontal="left" vertical="top" wrapText="1"/>
    </xf>
    <xf numFmtId="0" fontId="0" fillId="0" borderId="0" xfId="0" applyAlignment="1">
      <alignment horizontal="lef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ur-lex.europa.eu/eli/reg_impl/2026/1412/oj" TargetMode="External"/><Relationship Id="rId2" Type="http://schemas.openxmlformats.org/officeDocument/2006/relationships/hyperlink" Target="https://ww2.arb.ca.gov/sites/default/files/barcu/regact/2026/cap_invest/Attachment%20A-1%20Final%20Regulation%20Order.pdf" TargetMode="External"/><Relationship Id="rId1" Type="http://schemas.openxmlformats.org/officeDocument/2006/relationships/hyperlink" Target="https://www.epa.gov/system/files/documents/2021-10/cement-carbon-intensities-fact-sheet.pdf" TargetMode="External"/><Relationship Id="rId5" Type="http://schemas.openxmlformats.org/officeDocument/2006/relationships/hyperlink" Target="https://laws-lois.justice.gc.ca/eng/XML/SOR-2019-266.xml" TargetMode="External"/><Relationship Id="rId4" Type="http://schemas.openxmlformats.org/officeDocument/2006/relationships/hyperlink" Target="https://www.mee.gov.cn/xxgk2018/xxgk/xxgk03/202609/W02026090355149875254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workbookViewId="0"/>
  </sheetViews>
  <sheetFormatPr defaultRowHeight="15" x14ac:dyDescent="0.25"/>
  <cols>
    <col min="1" max="1" width="24" customWidth="1"/>
    <col min="2" max="2" width="110" customWidth="1"/>
    <col min="3" max="3" width="3" customWidth="1"/>
    <col min="4" max="4" width="110" customWidth="1"/>
  </cols>
  <sheetData>
    <row r="1" spans="1:4" x14ac:dyDescent="0.25">
      <c r="A1" s="1" t="s">
        <v>0</v>
      </c>
    </row>
    <row r="3" spans="1:4" x14ac:dyDescent="0.25">
      <c r="A3" s="1" t="s">
        <v>1</v>
      </c>
      <c r="B3" s="2" t="s">
        <v>2</v>
      </c>
      <c r="D3" s="2" t="s">
        <v>3</v>
      </c>
    </row>
    <row r="4" spans="1:4" x14ac:dyDescent="0.25">
      <c r="B4" s="3" t="s">
        <v>4</v>
      </c>
      <c r="D4" s="3" t="s">
        <v>5</v>
      </c>
    </row>
    <row r="5" spans="1:4" x14ac:dyDescent="0.25">
      <c r="B5" s="3" t="s">
        <v>6</v>
      </c>
      <c r="D5" s="3" t="s">
        <v>7</v>
      </c>
    </row>
    <row r="6" spans="1:4" x14ac:dyDescent="0.25">
      <c r="B6" s="3">
        <v>2021</v>
      </c>
      <c r="D6" s="3">
        <v>2026</v>
      </c>
    </row>
    <row r="7" spans="1:4" ht="29.1" customHeight="1" x14ac:dyDescent="0.25">
      <c r="B7" s="4" t="s">
        <v>8</v>
      </c>
      <c r="D7" s="4" t="s">
        <v>9</v>
      </c>
    </row>
    <row r="8" spans="1:4" ht="57.95" customHeight="1" x14ac:dyDescent="0.25">
      <c r="B8" s="3" t="s">
        <v>10</v>
      </c>
      <c r="D8" s="3" t="s">
        <v>11</v>
      </c>
    </row>
    <row r="10" spans="1:4" x14ac:dyDescent="0.25">
      <c r="B10" s="2" t="s">
        <v>12</v>
      </c>
      <c r="D10" s="2" t="s">
        <v>13</v>
      </c>
    </row>
    <row r="11" spans="1:4" x14ac:dyDescent="0.25">
      <c r="B11" s="3" t="s">
        <v>14</v>
      </c>
      <c r="D11" s="3" t="s">
        <v>15</v>
      </c>
    </row>
    <row r="12" spans="1:4" x14ac:dyDescent="0.25">
      <c r="B12" s="3" t="s">
        <v>16</v>
      </c>
      <c r="D12" s="3" t="s">
        <v>17</v>
      </c>
    </row>
    <row r="13" spans="1:4" x14ac:dyDescent="0.25">
      <c r="B13" s="3">
        <v>2026</v>
      </c>
      <c r="D13" s="3">
        <v>2026</v>
      </c>
    </row>
    <row r="14" spans="1:4" x14ac:dyDescent="0.25">
      <c r="B14" s="4" t="s">
        <v>18</v>
      </c>
      <c r="D14" s="4" t="s">
        <v>19</v>
      </c>
    </row>
    <row r="15" spans="1:4" ht="43.5" customHeight="1" x14ac:dyDescent="0.25">
      <c r="B15" s="3" t="s">
        <v>20</v>
      </c>
      <c r="D15" s="3" t="s">
        <v>21</v>
      </c>
    </row>
    <row r="17" spans="1:2" x14ac:dyDescent="0.25">
      <c r="B17" s="2" t="s">
        <v>22</v>
      </c>
    </row>
    <row r="18" spans="1:2" x14ac:dyDescent="0.25">
      <c r="B18" s="3" t="s">
        <v>23</v>
      </c>
    </row>
    <row r="19" spans="1:2" x14ac:dyDescent="0.25">
      <c r="B19" s="3" t="s">
        <v>24</v>
      </c>
    </row>
    <row r="20" spans="1:2" x14ac:dyDescent="0.25">
      <c r="B20" s="3">
        <v>2025</v>
      </c>
    </row>
    <row r="21" spans="1:2" x14ac:dyDescent="0.25">
      <c r="B21" s="4" t="s">
        <v>25</v>
      </c>
    </row>
    <row r="22" spans="1:2" ht="29.1" customHeight="1" x14ac:dyDescent="0.25">
      <c r="B22" s="3" t="s">
        <v>26</v>
      </c>
    </row>
    <row r="24" spans="1:2" x14ac:dyDescent="0.25">
      <c r="A24" s="1" t="s">
        <v>27</v>
      </c>
    </row>
    <row r="25" spans="1:2" ht="57.95" customHeight="1" x14ac:dyDescent="0.25">
      <c r="A25" s="5" t="s">
        <v>28</v>
      </c>
      <c r="B25" s="3" t="s">
        <v>29</v>
      </c>
    </row>
    <row r="26" spans="1:2" ht="72.599999999999994" customHeight="1" x14ac:dyDescent="0.25">
      <c r="A26" s="5" t="s">
        <v>30</v>
      </c>
      <c r="B26" s="3" t="s">
        <v>31</v>
      </c>
    </row>
    <row r="27" spans="1:2" ht="29.1" customHeight="1" x14ac:dyDescent="0.25">
      <c r="A27" s="5" t="s">
        <v>32</v>
      </c>
      <c r="B27" s="3" t="s">
        <v>33</v>
      </c>
    </row>
  </sheetData>
  <hyperlinks>
    <hyperlink ref="B7" r:id="rId1" xr:uid="{00000000-0004-0000-0000-000000000000}"/>
    <hyperlink ref="D7" r:id="rId2" xr:uid="{00000000-0004-0000-0000-000001000000}"/>
    <hyperlink ref="B14" r:id="rId3" xr:uid="{00000000-0004-0000-0000-000002000000}"/>
    <hyperlink ref="D14" r:id="rId4" xr:uid="{00000000-0004-0000-0000-000003000000}"/>
    <hyperlink ref="B21" r:id="rId5" xr:uid="{00000000-0004-0000-0000-000004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workbookViewId="0"/>
  </sheetViews>
  <sheetFormatPr defaultRowHeight="15" x14ac:dyDescent="0.25"/>
  <cols>
    <col min="1" max="1" width="42" customWidth="1"/>
    <col min="3" max="3" width="80" customWidth="1"/>
  </cols>
  <sheetData>
    <row r="1" spans="1:3" x14ac:dyDescent="0.25">
      <c r="A1" s="1" t="s">
        <v>34</v>
      </c>
    </row>
    <row r="3" spans="1:3" ht="20.100000000000001" customHeight="1" x14ac:dyDescent="0.25">
      <c r="A3" s="6" t="s">
        <v>35</v>
      </c>
      <c r="B3" s="6" t="s">
        <v>36</v>
      </c>
      <c r="C3" s="6" t="s">
        <v>37</v>
      </c>
    </row>
    <row r="4" spans="1:3" x14ac:dyDescent="0.25">
      <c r="A4" t="s">
        <v>38</v>
      </c>
      <c r="B4">
        <v>0.83799999999999997</v>
      </c>
      <c r="C4" t="s">
        <v>39</v>
      </c>
    </row>
    <row r="5" spans="1:3" x14ac:dyDescent="0.25">
      <c r="A5" t="s">
        <v>40</v>
      </c>
      <c r="B5">
        <v>0.78700000000000003</v>
      </c>
      <c r="C5" t="s">
        <v>41</v>
      </c>
    </row>
    <row r="6" spans="1:3" x14ac:dyDescent="0.25">
      <c r="A6" t="s">
        <v>42</v>
      </c>
      <c r="B6">
        <v>0.93400000000000005</v>
      </c>
      <c r="C6" t="s">
        <v>43</v>
      </c>
    </row>
    <row r="7" spans="1:3" x14ac:dyDescent="0.25">
      <c r="A7" t="s">
        <v>44</v>
      </c>
      <c r="B7">
        <v>0.69299999999999995</v>
      </c>
      <c r="C7" t="s">
        <v>45</v>
      </c>
    </row>
    <row r="8" spans="1:3" x14ac:dyDescent="0.25">
      <c r="A8" t="s">
        <v>46</v>
      </c>
      <c r="B8">
        <v>0.65600000000000003</v>
      </c>
      <c r="C8" t="s">
        <v>47</v>
      </c>
    </row>
    <row r="10" spans="1:3" x14ac:dyDescent="0.25">
      <c r="A10"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3"/>
  <sheetViews>
    <sheetView workbookViewId="0"/>
  </sheetViews>
  <sheetFormatPr defaultRowHeight="15" x14ac:dyDescent="0.25"/>
  <cols>
    <col min="1" max="1" width="10" customWidth="1"/>
    <col min="2" max="2" width="24" customWidth="1"/>
    <col min="3" max="3" width="80" customWidth="1"/>
  </cols>
  <sheetData>
    <row r="1" spans="1:8" x14ac:dyDescent="0.25">
      <c r="A1" s="1" t="s">
        <v>49</v>
      </c>
    </row>
    <row r="2" spans="1:8" ht="45" customHeight="1" x14ac:dyDescent="0.25">
      <c r="A2" s="7" t="s">
        <v>50</v>
      </c>
      <c r="B2" s="8"/>
      <c r="C2" s="8"/>
      <c r="D2" s="8"/>
      <c r="E2" s="8"/>
      <c r="F2" s="8"/>
      <c r="G2" s="8"/>
      <c r="H2" s="8"/>
    </row>
    <row r="3" spans="1:8" ht="36" customHeight="1" x14ac:dyDescent="0.25">
      <c r="A3" s="6" t="s">
        <v>51</v>
      </c>
      <c r="B3" s="6" t="s">
        <v>52</v>
      </c>
      <c r="C3" s="6" t="s">
        <v>53</v>
      </c>
    </row>
    <row r="4" spans="1:8" x14ac:dyDescent="0.25">
      <c r="A4">
        <v>2021</v>
      </c>
      <c r="B4">
        <f>Sensitivities!B7</f>
        <v>0.69299999999999995</v>
      </c>
      <c r="C4" t="s">
        <v>54</v>
      </c>
    </row>
    <row r="5" spans="1:8" x14ac:dyDescent="0.25">
      <c r="A5">
        <v>2022</v>
      </c>
      <c r="B5">
        <f>Sensitivities!B7</f>
        <v>0.69299999999999995</v>
      </c>
      <c r="C5" t="s">
        <v>54</v>
      </c>
    </row>
    <row r="6" spans="1:8" x14ac:dyDescent="0.25">
      <c r="A6">
        <v>2023</v>
      </c>
      <c r="B6">
        <f>Sensitivities!B7</f>
        <v>0.69299999999999995</v>
      </c>
      <c r="C6" t="s">
        <v>54</v>
      </c>
    </row>
    <row r="7" spans="1:8" x14ac:dyDescent="0.25">
      <c r="A7">
        <v>2024</v>
      </c>
      <c r="B7">
        <f>Sensitivities!B7</f>
        <v>0.69299999999999995</v>
      </c>
      <c r="C7" t="s">
        <v>54</v>
      </c>
    </row>
    <row r="8" spans="1:8" x14ac:dyDescent="0.25">
      <c r="A8">
        <v>2025</v>
      </c>
      <c r="B8">
        <f>Sensitivities!B7</f>
        <v>0.69299999999999995</v>
      </c>
      <c r="C8" t="s">
        <v>54</v>
      </c>
    </row>
    <row r="9" spans="1:8" x14ac:dyDescent="0.25">
      <c r="A9">
        <v>2026</v>
      </c>
      <c r="B9">
        <f>Sensitivities!B8</f>
        <v>0.65600000000000003</v>
      </c>
      <c r="C9" t="s">
        <v>55</v>
      </c>
    </row>
    <row r="10" spans="1:8" x14ac:dyDescent="0.25">
      <c r="A10">
        <v>2027</v>
      </c>
      <c r="B10">
        <f>Sensitivities!B8</f>
        <v>0.65600000000000003</v>
      </c>
      <c r="C10" t="s">
        <v>55</v>
      </c>
    </row>
    <row r="11" spans="1:8" x14ac:dyDescent="0.25">
      <c r="A11">
        <v>2028</v>
      </c>
      <c r="B11">
        <f>Sensitivities!B8</f>
        <v>0.65600000000000003</v>
      </c>
      <c r="C11" t="s">
        <v>55</v>
      </c>
    </row>
    <row r="12" spans="1:8" x14ac:dyDescent="0.25">
      <c r="A12">
        <v>2029</v>
      </c>
      <c r="B12">
        <f>Sensitivities!B8</f>
        <v>0.65600000000000003</v>
      </c>
      <c r="C12" t="s">
        <v>55</v>
      </c>
    </row>
    <row r="13" spans="1:8" x14ac:dyDescent="0.25">
      <c r="A13">
        <v>2030</v>
      </c>
      <c r="B13">
        <f>Sensitivities!B8</f>
        <v>0.65600000000000003</v>
      </c>
      <c r="C13" t="s">
        <v>55</v>
      </c>
    </row>
    <row r="14" spans="1:8" x14ac:dyDescent="0.25">
      <c r="A14">
        <v>2031</v>
      </c>
      <c r="B14">
        <f>Sensitivities!B8</f>
        <v>0.65600000000000003</v>
      </c>
      <c r="C14" t="s">
        <v>55</v>
      </c>
    </row>
    <row r="15" spans="1:8" x14ac:dyDescent="0.25">
      <c r="A15">
        <v>2032</v>
      </c>
      <c r="B15">
        <f>Sensitivities!B8</f>
        <v>0.65600000000000003</v>
      </c>
      <c r="C15" t="s">
        <v>55</v>
      </c>
    </row>
    <row r="16" spans="1:8" x14ac:dyDescent="0.25">
      <c r="A16">
        <v>2033</v>
      </c>
      <c r="B16">
        <f>Sensitivities!B8</f>
        <v>0.65600000000000003</v>
      </c>
      <c r="C16" t="s">
        <v>55</v>
      </c>
    </row>
    <row r="17" spans="1:3" x14ac:dyDescent="0.25">
      <c r="A17">
        <v>2034</v>
      </c>
      <c r="B17">
        <f>Sensitivities!B8</f>
        <v>0.65600000000000003</v>
      </c>
      <c r="C17" t="s">
        <v>55</v>
      </c>
    </row>
    <row r="18" spans="1:3" x14ac:dyDescent="0.25">
      <c r="A18">
        <v>2035</v>
      </c>
      <c r="B18">
        <f>Sensitivities!B8</f>
        <v>0.65600000000000003</v>
      </c>
      <c r="C18" t="s">
        <v>55</v>
      </c>
    </row>
    <row r="19" spans="1:3" x14ac:dyDescent="0.25">
      <c r="A19">
        <v>2036</v>
      </c>
      <c r="B19">
        <f>Sensitivities!B8</f>
        <v>0.65600000000000003</v>
      </c>
      <c r="C19" t="s">
        <v>55</v>
      </c>
    </row>
    <row r="20" spans="1:3" x14ac:dyDescent="0.25">
      <c r="A20">
        <v>2037</v>
      </c>
      <c r="B20">
        <f>Sensitivities!B8</f>
        <v>0.65600000000000003</v>
      </c>
      <c r="C20" t="s">
        <v>55</v>
      </c>
    </row>
    <row r="21" spans="1:3" x14ac:dyDescent="0.25">
      <c r="A21">
        <v>2038</v>
      </c>
      <c r="B21">
        <f>Sensitivities!B8</f>
        <v>0.65600000000000003</v>
      </c>
      <c r="C21" t="s">
        <v>55</v>
      </c>
    </row>
    <row r="22" spans="1:3" x14ac:dyDescent="0.25">
      <c r="A22">
        <v>2039</v>
      </c>
      <c r="B22">
        <f>Sensitivities!B8</f>
        <v>0.65600000000000003</v>
      </c>
      <c r="C22" t="s">
        <v>55</v>
      </c>
    </row>
    <row r="23" spans="1:3" x14ac:dyDescent="0.25">
      <c r="A23">
        <v>2040</v>
      </c>
      <c r="B23">
        <f>Sensitivities!B8</f>
        <v>0.65600000000000003</v>
      </c>
      <c r="C23" t="s">
        <v>55</v>
      </c>
    </row>
    <row r="24" spans="1:3" x14ac:dyDescent="0.25">
      <c r="A24">
        <v>2041</v>
      </c>
      <c r="B24">
        <f>Sensitivities!B8</f>
        <v>0.65600000000000003</v>
      </c>
      <c r="C24" t="s">
        <v>55</v>
      </c>
    </row>
    <row r="25" spans="1:3" x14ac:dyDescent="0.25">
      <c r="A25">
        <v>2042</v>
      </c>
      <c r="B25">
        <f>Sensitivities!B8</f>
        <v>0.65600000000000003</v>
      </c>
      <c r="C25" t="s">
        <v>55</v>
      </c>
    </row>
    <row r="26" spans="1:3" x14ac:dyDescent="0.25">
      <c r="A26">
        <v>2043</v>
      </c>
      <c r="B26">
        <f>Sensitivities!B8</f>
        <v>0.65600000000000003</v>
      </c>
      <c r="C26" t="s">
        <v>55</v>
      </c>
    </row>
    <row r="27" spans="1:3" x14ac:dyDescent="0.25">
      <c r="A27">
        <v>2044</v>
      </c>
      <c r="B27">
        <f>Sensitivities!B8</f>
        <v>0.65600000000000003</v>
      </c>
      <c r="C27" t="s">
        <v>55</v>
      </c>
    </row>
    <row r="28" spans="1:3" x14ac:dyDescent="0.25">
      <c r="A28">
        <v>2045</v>
      </c>
      <c r="B28">
        <f>Sensitivities!B8</f>
        <v>0.65600000000000003</v>
      </c>
      <c r="C28" t="s">
        <v>55</v>
      </c>
    </row>
    <row r="29" spans="1:3" x14ac:dyDescent="0.25">
      <c r="A29">
        <v>2046</v>
      </c>
      <c r="B29">
        <f>Sensitivities!B8</f>
        <v>0.65600000000000003</v>
      </c>
      <c r="C29" t="s">
        <v>55</v>
      </c>
    </row>
    <row r="30" spans="1:3" x14ac:dyDescent="0.25">
      <c r="A30">
        <v>2047</v>
      </c>
      <c r="B30">
        <f>Sensitivities!B8</f>
        <v>0.65600000000000003</v>
      </c>
      <c r="C30" t="s">
        <v>55</v>
      </c>
    </row>
    <row r="31" spans="1:3" x14ac:dyDescent="0.25">
      <c r="A31">
        <v>2048</v>
      </c>
      <c r="B31">
        <f>Sensitivities!B8</f>
        <v>0.65600000000000003</v>
      </c>
      <c r="C31" t="s">
        <v>55</v>
      </c>
    </row>
    <row r="32" spans="1:3" x14ac:dyDescent="0.25">
      <c r="A32">
        <v>2049</v>
      </c>
      <c r="B32">
        <f>Sensitivities!B8</f>
        <v>0.65600000000000003</v>
      </c>
      <c r="C32" t="s">
        <v>55</v>
      </c>
    </row>
    <row r="33" spans="1:3" x14ac:dyDescent="0.25">
      <c r="A33">
        <v>2050</v>
      </c>
      <c r="B33">
        <f>Sensitivities!B8</f>
        <v>0.65600000000000003</v>
      </c>
      <c r="C33" t="s">
        <v>55</v>
      </c>
    </row>
  </sheetData>
  <mergeCells count="1">
    <mergeCell ref="A2:H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heetViews>
  <sheetFormatPr defaultRowHeight="15" x14ac:dyDescent="0.25"/>
  <cols>
    <col min="1" max="1" width="60" customWidth="1"/>
  </cols>
  <sheetData>
    <row r="1" spans="1:3" x14ac:dyDescent="0.25">
      <c r="A1" s="1" t="s">
        <v>56</v>
      </c>
    </row>
    <row r="2" spans="1:3" ht="20.100000000000001" customHeight="1" x14ac:dyDescent="0.25">
      <c r="A2" s="6" t="s">
        <v>57</v>
      </c>
      <c r="B2" s="6" t="s">
        <v>36</v>
      </c>
      <c r="C2" s="6" t="s">
        <v>58</v>
      </c>
    </row>
    <row r="3" spans="1:3" x14ac:dyDescent="0.25">
      <c r="A3" t="s">
        <v>59</v>
      </c>
      <c r="B3">
        <f>COUNTIF('Values by Year'!B4:B33,"&lt;=0")</f>
        <v>0</v>
      </c>
      <c r="C3" t="str">
        <f>IF(B3=0,"PASS","FAIL")</f>
        <v>PASS</v>
      </c>
    </row>
    <row r="4" spans="1:3" x14ac:dyDescent="0.25">
      <c r="A4" t="s">
        <v>60</v>
      </c>
      <c r="B4">
        <f>COUNTIF('Values by Year'!B4:B33,"&gt;1.2")</f>
        <v>0</v>
      </c>
      <c r="C4" t="str">
        <f>IF(B4=0,"PASS","CHECK")</f>
        <v>PASS</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AE2"/>
  <sheetViews>
    <sheetView workbookViewId="0"/>
  </sheetViews>
  <sheetFormatPr defaultRowHeight="15" x14ac:dyDescent="0.25"/>
  <cols>
    <col min="1" max="1" width="40" customWidth="1"/>
  </cols>
  <sheetData>
    <row r="1" spans="1:31" x14ac:dyDescent="0.25">
      <c r="A1" t="s">
        <v>61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62</v>
      </c>
      <c r="B2">
        <f>'Values by Year'!B4</f>
        <v>0.69299999999999995</v>
      </c>
      <c r="C2">
        <f>'Values by Year'!B5</f>
        <v>0.69299999999999995</v>
      </c>
      <c r="D2">
        <f>'Values by Year'!B6</f>
        <v>0.69299999999999995</v>
      </c>
      <c r="E2">
        <f>'Values by Year'!B7</f>
        <v>0.69299999999999995</v>
      </c>
      <c r="F2">
        <f>'Values by Year'!B8</f>
        <v>0.69299999999999995</v>
      </c>
      <c r="G2">
        <f>'Values by Year'!B9</f>
        <v>0.65600000000000003</v>
      </c>
      <c r="H2">
        <f>'Values by Year'!B10</f>
        <v>0.65600000000000003</v>
      </c>
      <c r="I2">
        <f>'Values by Year'!B11</f>
        <v>0.65600000000000003</v>
      </c>
      <c r="J2">
        <f>'Values by Year'!B12</f>
        <v>0.65600000000000003</v>
      </c>
      <c r="K2">
        <f>'Values by Year'!B13</f>
        <v>0.65600000000000003</v>
      </c>
      <c r="L2">
        <f>'Values by Year'!B14</f>
        <v>0.65600000000000003</v>
      </c>
      <c r="M2">
        <f>'Values by Year'!B15</f>
        <v>0.65600000000000003</v>
      </c>
      <c r="N2">
        <f>'Values by Year'!B16</f>
        <v>0.65600000000000003</v>
      </c>
      <c r="O2">
        <f>'Values by Year'!B17</f>
        <v>0.65600000000000003</v>
      </c>
      <c r="P2">
        <f>'Values by Year'!B18</f>
        <v>0.65600000000000003</v>
      </c>
      <c r="Q2">
        <f>'Values by Year'!B19</f>
        <v>0.65600000000000003</v>
      </c>
      <c r="R2">
        <f>'Values by Year'!B20</f>
        <v>0.65600000000000003</v>
      </c>
      <c r="S2">
        <f>'Values by Year'!B21</f>
        <v>0.65600000000000003</v>
      </c>
      <c r="T2">
        <f>'Values by Year'!B22</f>
        <v>0.65600000000000003</v>
      </c>
      <c r="U2">
        <f>'Values by Year'!B23</f>
        <v>0.65600000000000003</v>
      </c>
      <c r="V2">
        <f>'Values by Year'!B24</f>
        <v>0.65600000000000003</v>
      </c>
      <c r="W2">
        <f>'Values by Year'!B25</f>
        <v>0.65600000000000003</v>
      </c>
      <c r="X2">
        <f>'Values by Year'!B26</f>
        <v>0.65600000000000003</v>
      </c>
      <c r="Y2">
        <f>'Values by Year'!B27</f>
        <v>0.65600000000000003</v>
      </c>
      <c r="Z2">
        <f>'Values by Year'!B28</f>
        <v>0.65600000000000003</v>
      </c>
      <c r="AA2">
        <f>'Values by Year'!B29</f>
        <v>0.65600000000000003</v>
      </c>
      <c r="AB2">
        <f>'Values by Year'!B30</f>
        <v>0.65600000000000003</v>
      </c>
      <c r="AC2">
        <f>'Values by Year'!B31</f>
        <v>0.65600000000000003</v>
      </c>
      <c r="AD2">
        <f>'Values by Year'!B32</f>
        <v>0.65600000000000003</v>
      </c>
      <c r="AE2">
        <f>'Values by Year'!B33</f>
        <v>0.65600000000000003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Sensitivities</vt:lpstr>
      <vt:lpstr>Values by Year</vt:lpstr>
      <vt:lpstr>Checks</vt:lpstr>
      <vt:lpstr>CABI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2026-10-17T12:31:00Z</dcterms:created>
  <dcterms:modified xsi:type="dcterms:W3CDTF">2026-10-19T15:57:49Z</dcterms:modified>
</cp:coreProperties>
</file>