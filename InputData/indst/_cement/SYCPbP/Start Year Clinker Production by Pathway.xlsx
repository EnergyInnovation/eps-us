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SYCPbP\"/>
    </mc:Choice>
  </mc:AlternateContent>
  <xr:revisionPtr revIDLastSave="0" documentId="13_ncr:1_{CF3F8947-84DC-40DB-BE03-CD7355C289B8}" xr6:coauthVersionLast="47" xr6:coauthVersionMax="47" xr10:uidLastSave="{00000000-0000-0000-0000-000000000000}"/>
  <bookViews>
    <workbookView xWindow="-110" yWindow="-110" windowWidth="19420" windowHeight="11500" xr2:uid="{00000000-000D-0000-FFFF-FFFF00000000}"/>
  </bookViews>
  <sheets>
    <sheet name="About" sheetId="1" r:id="rId1"/>
    <sheet name="USGS Clinker Production" sheetId="2" r:id="rId2"/>
    <sheet name="Derivation" sheetId="3" r:id="rId3"/>
    <sheet name="SYCPbP"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5" l="1"/>
  <c r="B4" i="5"/>
  <c r="B3" i="5"/>
  <c r="B4" i="3"/>
  <c r="B2" i="5" s="1"/>
</calcChain>
</file>

<file path=xl/sharedStrings.xml><?xml version="1.0" encoding="utf-8"?>
<sst xmlns="http://schemas.openxmlformats.org/spreadsheetml/2006/main" count="44" uniqueCount="37">
  <si>
    <t>SYCPbP Start Year Clinker Production by Pathway</t>
  </si>
  <si>
    <t>Sources:</t>
  </si>
  <si>
    <t>https://pubs.usgs.gov/periodicals/mcs2026/mcs2026-cement.pdf</t>
  </si>
  <si>
    <t>Notes:</t>
  </si>
  <si>
    <t>Year</t>
  </si>
  <si>
    <t>US clinker production (Mt)</t>
  </si>
  <si>
    <t>Note</t>
  </si>
  <si>
    <t>USGS estimate</t>
  </si>
  <si>
    <t>Start-year (2025) clinker production by pathway</t>
  </si>
  <si>
    <t>Pathway</t>
  </si>
  <si>
    <t>Start Year Production (t/yr)</t>
  </si>
  <si>
    <t>Basis</t>
  </si>
  <si>
    <t>dry kiln with precalciner</t>
  </si>
  <si>
    <t>2025 USGS clinker production (Mt) x 1,000,000, all attributed to this pathway</t>
  </si>
  <si>
    <t>dry kiln with CCS</t>
  </si>
  <si>
    <t>Pre-commercial in the US in the start year</t>
  </si>
  <si>
    <t>electric kiln</t>
  </si>
  <si>
    <t>alternative chemistry cement</t>
  </si>
  <si>
    <t>Start Year Production</t>
  </si>
  <si>
    <t>U.S. clinker production, 2021-2025</t>
  </si>
  <si>
    <t>U.S. Geological Survey</t>
  </si>
  <si>
    <t>Mineral Commodity Summaries 2026: Cement</t>
  </si>
  <si>
    <t>Clinker production of 79.616, 79.489, 76.789, 72.0, and 69.0 million metric tons for 2021-2025, with 2024 and 2025 USGS estimates, pasted as published on the 'USGS Clinker Production' tab. We use only the 2025 value, 69.0 million metric tons, as the start-year anchor. The earlier years are shown for context.</t>
  </si>
  <si>
    <t>Share of older kilns without a precalciner</t>
  </si>
  <si>
    <t>Clean Air Task Force (CATF), citing the Portland Cement Association</t>
  </si>
  <si>
    <t>CATF analysis citing the Portland Cement Association's Plant Information Summary (2021)</t>
  </si>
  <si>
    <t>(no public link)</t>
  </si>
  <si>
    <t>About 7.3% of 2019 U.S. kiln capacity was wet-process or long dry kilns without a preheater or precalciner. We use it only to explain a simplification (see the notes), not in any calculation. The 7.3% is taken from a secondary summary of the CATF analysis.</t>
  </si>
  <si>
    <t>Purpose and layout</t>
  </si>
  <si>
    <t>This file gives how much clinker the U.S. made in the model's start year (2025), in metric tons per year, split by production pathway. In the EPS cement module it sets the size of the existing kiln fleet in each pathway at the start of the run, and it is the starting point against which the model's choice among pathways is calibrated.
The workbook has three tabs. 'USGS Clinker Production' holds the source data as published. 'Derivation' converts the 2025 value from millions to single tons and assigns it to a pathway. The 'SYCPbP' tab reads from 'Derivation' by formula and is exported to SYCPbP.csv.</t>
  </si>
  <si>
    <t>U.S. values</t>
  </si>
  <si>
    <t>All 69 million metric tons of 2025 U.S. clinker production is assigned to the dry kiln with precalciner pathway, and the other three pathways (dry kiln with CCS, electric kiln, and alternative chemistry cement) start at zero. That reflects the actual fleet: nearly all U.S. clinker comes from dry kilns, and the other three pathways are not yet operating at commercial scale in the U.S.</t>
  </si>
  <si>
    <t>Older kilns are not separated out</t>
  </si>
  <si>
    <t>A small share of U.S. kiln capacity (about 7% in 2019) is older wet-process or long dry kilns without a precalciner. The model has no separate pathway for them, so their output is counted in the dry kiln with precalciner total and treated like the rest of that pathway.</t>
  </si>
  <si>
    <t>Link to utilization</t>
  </si>
  <si>
    <t>This file and the start-year capacity utilization file (SYCCU) both rest on the same USGS 2025 clinker production figure. If one is updated, update the other so the two stay consistent.</t>
  </si>
  <si>
    <t>Unit: metric tons clinker/year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</si>
</sst>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u/>
      <sz val="11"/>
      <color theme="10"/>
      <name val="Calibri"/>
      <family val="2"/>
      <scheme val="minor"/>
    </font>
    <font>
      <b/>
      <sz val="11"/>
      <color theme="1"/>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0" fontId="3" fillId="0" borderId="0" xfId="0" applyFont="1" applyAlignment="1">
      <alignment horizontal="left" vertical="top" wrapText="1"/>
    </xf>
    <xf numFmtId="0" fontId="3" fillId="0" borderId="0" xfId="0" applyFont="1" applyAlignment="1">
      <alignment horizontal="left" vertical="top"/>
    </xf>
    <xf numFmtId="0" fontId="3" fillId="2" borderId="0" xfId="0" applyFont="1" applyFill="1" applyAlignment="1">
      <alignment horizontal="left" vertical="top" wrapText="1"/>
    </xf>
    <xf numFmtId="0" fontId="0" fillId="0" borderId="0" xfId="0" applyAlignment="1">
      <alignment horizontal="left" vertical="top" wrapText="1"/>
    </xf>
    <xf numFmtId="0" fontId="4" fillId="0" borderId="0" xfId="1"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ubs.usgs.gov/periodicals/mcs2026/mcs2026-cemen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tabSelected="1" workbookViewId="0"/>
  </sheetViews>
  <sheetFormatPr defaultRowHeight="14.5" x14ac:dyDescent="0.35"/>
  <cols>
    <col min="1" max="1" width="14.7265625" customWidth="1"/>
    <col min="2" max="2" width="110.7265625" customWidth="1"/>
    <col min="3" max="3" width="3.7265625" customWidth="1"/>
  </cols>
  <sheetData>
    <row r="1" spans="1:2" x14ac:dyDescent="0.35">
      <c r="A1" s="3" t="s">
        <v>0</v>
      </c>
    </row>
    <row r="3" spans="1:2" x14ac:dyDescent="0.35">
      <c r="A3" s="2" t="s">
        <v>1</v>
      </c>
      <c r="B3" s="4" t="s">
        <v>19</v>
      </c>
    </row>
    <row r="4" spans="1:2" x14ac:dyDescent="0.35">
      <c r="B4" s="5" t="s">
        <v>20</v>
      </c>
    </row>
    <row r="5" spans="1:2" x14ac:dyDescent="0.35">
      <c r="B5" s="5" t="s">
        <v>21</v>
      </c>
    </row>
    <row r="6" spans="1:2" x14ac:dyDescent="0.35">
      <c r="B6" s="5">
        <v>2026</v>
      </c>
    </row>
    <row r="7" spans="1:2" x14ac:dyDescent="0.35">
      <c r="B7" s="6" t="s">
        <v>2</v>
      </c>
    </row>
    <row r="8" spans="1:2" ht="43.5" x14ac:dyDescent="0.35">
      <c r="B8" s="5" t="s">
        <v>22</v>
      </c>
    </row>
    <row r="10" spans="1:2" x14ac:dyDescent="0.35">
      <c r="B10" s="4" t="s">
        <v>23</v>
      </c>
    </row>
    <row r="11" spans="1:2" x14ac:dyDescent="0.35">
      <c r="B11" s="5" t="s">
        <v>24</v>
      </c>
    </row>
    <row r="12" spans="1:2" x14ac:dyDescent="0.35">
      <c r="B12" s="5" t="s">
        <v>25</v>
      </c>
    </row>
    <row r="13" spans="1:2" x14ac:dyDescent="0.35">
      <c r="B13" s="5">
        <v>2021</v>
      </c>
    </row>
    <row r="14" spans="1:2" x14ac:dyDescent="0.35">
      <c r="B14" s="5" t="s">
        <v>26</v>
      </c>
    </row>
    <row r="15" spans="1:2" ht="29" x14ac:dyDescent="0.35">
      <c r="B15" s="5" t="s">
        <v>27</v>
      </c>
    </row>
    <row r="18" spans="1:2" x14ac:dyDescent="0.35">
      <c r="A18" s="2" t="s">
        <v>3</v>
      </c>
    </row>
    <row r="19" spans="1:2" ht="101.5" x14ac:dyDescent="0.35">
      <c r="A19" s="2" t="s">
        <v>28</v>
      </c>
      <c r="B19" s="5" t="s">
        <v>29</v>
      </c>
    </row>
    <row r="20" spans="1:2" ht="43.5" x14ac:dyDescent="0.35">
      <c r="A20" s="2" t="s">
        <v>30</v>
      </c>
      <c r="B20" s="5" t="s">
        <v>31</v>
      </c>
    </row>
    <row r="21" spans="1:2" ht="43.5" x14ac:dyDescent="0.35">
      <c r="A21" s="2" t="s">
        <v>32</v>
      </c>
      <c r="B21" s="5" t="s">
        <v>33</v>
      </c>
    </row>
    <row r="22" spans="1:2" ht="29" x14ac:dyDescent="0.35">
      <c r="A22" s="2" t="s">
        <v>34</v>
      </c>
      <c r="B22" s="5" t="s">
        <v>35</v>
      </c>
    </row>
  </sheetData>
  <hyperlinks>
    <hyperlink ref="B7" r:id="rId1" xr:uid="{10BB090F-0848-46E1-B8D0-F83A221994D4}"/>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pane ySplit="1" topLeftCell="A2" activePane="bottomLeft" state="frozen"/>
      <selection pane="bottomLeft"/>
    </sheetView>
  </sheetViews>
  <sheetFormatPr defaultRowHeight="14.5" x14ac:dyDescent="0.35"/>
  <sheetData>
    <row r="1" spans="1:3" x14ac:dyDescent="0.35">
      <c r="A1" s="1" t="s">
        <v>4</v>
      </c>
      <c r="B1" s="1" t="s">
        <v>5</v>
      </c>
      <c r="C1" s="1" t="s">
        <v>6</v>
      </c>
    </row>
    <row r="2" spans="1:3" x14ac:dyDescent="0.35">
      <c r="A2">
        <v>2021</v>
      </c>
      <c r="B2">
        <v>79.616</v>
      </c>
    </row>
    <row r="3" spans="1:3" x14ac:dyDescent="0.35">
      <c r="A3">
        <v>2022</v>
      </c>
      <c r="B3">
        <v>79.489000000000004</v>
      </c>
    </row>
    <row r="4" spans="1:3" x14ac:dyDescent="0.35">
      <c r="A4">
        <v>2023</v>
      </c>
      <c r="B4">
        <v>76.789000000000001</v>
      </c>
    </row>
    <row r="5" spans="1:3" x14ac:dyDescent="0.35">
      <c r="A5">
        <v>2024</v>
      </c>
      <c r="B5">
        <v>72</v>
      </c>
      <c r="C5" t="s">
        <v>7</v>
      </c>
    </row>
    <row r="6" spans="1:3" x14ac:dyDescent="0.35">
      <c r="A6">
        <v>2025</v>
      </c>
      <c r="B6">
        <v>69</v>
      </c>
      <c r="C6" t="s">
        <v>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heetViews>
  <sheetFormatPr defaultRowHeight="14.5" x14ac:dyDescent="0.35"/>
  <sheetData>
    <row r="1" spans="1:3" x14ac:dyDescent="0.35">
      <c r="A1" s="1" t="s">
        <v>8</v>
      </c>
    </row>
    <row r="3" spans="1:3" x14ac:dyDescent="0.35">
      <c r="A3" s="1" t="s">
        <v>9</v>
      </c>
      <c r="B3" s="1" t="s">
        <v>10</v>
      </c>
      <c r="C3" s="1" t="s">
        <v>11</v>
      </c>
    </row>
    <row r="4" spans="1:3" x14ac:dyDescent="0.35">
      <c r="A4" t="s">
        <v>12</v>
      </c>
      <c r="B4">
        <f>'USGS Clinker Production'!B6*1000000</f>
        <v>69000000</v>
      </c>
      <c r="C4" t="s">
        <v>13</v>
      </c>
    </row>
    <row r="5" spans="1:3" x14ac:dyDescent="0.35">
      <c r="A5" t="s">
        <v>14</v>
      </c>
      <c r="B5">
        <v>0</v>
      </c>
      <c r="C5" t="s">
        <v>15</v>
      </c>
    </row>
    <row r="6" spans="1:3" x14ac:dyDescent="0.35">
      <c r="A6" t="s">
        <v>16</v>
      </c>
      <c r="B6">
        <v>0</v>
      </c>
      <c r="C6" t="s">
        <v>15</v>
      </c>
    </row>
    <row r="7" spans="1:3" x14ac:dyDescent="0.35">
      <c r="A7" t="s">
        <v>17</v>
      </c>
      <c r="B7">
        <v>0</v>
      </c>
      <c r="C7" t="s">
        <v>15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B5"/>
  <sheetViews>
    <sheetView workbookViewId="0"/>
  </sheetViews>
  <sheetFormatPr defaultRowHeight="14.5" x14ac:dyDescent="0.35"/>
  <sheetData>
    <row r="1" spans="1:2" x14ac:dyDescent="0.35">
      <c r="A1" t="s">
        <v>36</v>
      </c>
      <c r="B1" t="s">
        <v>18</v>
      </c>
    </row>
    <row r="2" spans="1:2" x14ac:dyDescent="0.35">
      <c r="A2" t="s">
        <v>12</v>
      </c>
      <c r="B2">
        <f>Derivation!B4</f>
        <v>69000000</v>
      </c>
    </row>
    <row r="3" spans="1:2" x14ac:dyDescent="0.35">
      <c r="A3" t="s">
        <v>14</v>
      </c>
      <c r="B3">
        <f>Derivation!B5</f>
        <v>0</v>
      </c>
    </row>
    <row r="4" spans="1:2" x14ac:dyDescent="0.35">
      <c r="A4" t="s">
        <v>16</v>
      </c>
      <c r="B4">
        <f>Derivation!B6</f>
        <v>0</v>
      </c>
    </row>
    <row r="5" spans="1:2" x14ac:dyDescent="0.35">
      <c r="A5" t="s">
        <v>17</v>
      </c>
      <c r="B5">
        <f>Derivation!B7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USGS Clinker Production</vt:lpstr>
      <vt:lpstr>Derivation</vt:lpstr>
      <vt:lpstr>SYCPbP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2026-08-26T11:48:08Z</dcterms:created>
  <dcterms:modified xsi:type="dcterms:W3CDTF">2026-10-09T17:38:46Z</dcterms:modified>
</cp:coreProperties>
</file>