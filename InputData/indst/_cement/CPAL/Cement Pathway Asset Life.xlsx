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AL\"/>
    </mc:Choice>
  </mc:AlternateContent>
  <xr:revisionPtr revIDLastSave="0" documentId="13_ncr:1_{8040CCBB-9D3D-43D0-B926-DDDA8A034D74}" xr6:coauthVersionLast="47" xr6:coauthVersionMax="47" xr10:uidLastSave="{00000000-0000-0000-0000-000000000000}"/>
  <bookViews>
    <workbookView xWindow="3510" yWindow="3510" windowWidth="21600" windowHeight="12525" xr2:uid="{00000000-000D-0000-FFFF-FFFF00000000}"/>
  </bookViews>
  <sheets>
    <sheet name="About" sheetId="1" r:id="rId1"/>
    <sheet name="Life Anchors" sheetId="2" r:id="rId2"/>
    <sheet name="Derivation" sheetId="3" r:id="rId3"/>
    <sheet name="CPAL"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B6" i="5" s="1"/>
  <c r="B6" i="3"/>
  <c r="B4" i="5" s="1"/>
  <c r="B5" i="5" s="1"/>
  <c r="B5" i="3"/>
  <c r="B3" i="5" s="1"/>
  <c r="B4" i="3"/>
  <c r="B2" i="5" s="1"/>
</calcChain>
</file>

<file path=xl/sharedStrings.xml><?xml version="1.0" encoding="utf-8"?>
<sst xmlns="http://schemas.openxmlformats.org/spreadsheetml/2006/main" count="74" uniqueCount="69">
  <si>
    <t>CPAL Cement Pathway Asset Life</t>
  </si>
  <si>
    <t>Sources:</t>
  </si>
  <si>
    <t>https://netzeroamerica.princeton.edu/img/Princeton_NZA_Annex_K.pdf</t>
  </si>
  <si>
    <t>Notes:</t>
  </si>
  <si>
    <t>Chosen values</t>
  </si>
  <si>
    <t>Quantity</t>
  </si>
  <si>
    <t>Value (years)</t>
  </si>
  <si>
    <t>Basis</t>
  </si>
  <si>
    <t>NZA Annex K kiln retirement age</t>
  </si>
  <si>
    <t>EIA IDM 30-yr assumption extended by 5</t>
  </si>
  <si>
    <t>Chosen economic asset life per pathway (see About tab notes)</t>
  </si>
  <si>
    <t>Pathway</t>
  </si>
  <si>
    <t>Asset life (yr)</t>
  </si>
  <si>
    <t>dry kiln with precalciner</t>
  </si>
  <si>
    <t>dry kiln with CCS</t>
  </si>
  <si>
    <t>electric kiln</t>
  </si>
  <si>
    <t>alternative chemistry cement</t>
  </si>
  <si>
    <t>Asset Life</t>
  </si>
  <si>
    <t>Princeton University, Net-Zero America (NZA) project</t>
  </si>
  <si>
    <t>Net-Zero America, Annex K (section 6.3)</t>
  </si>
  <si>
    <t>Purpose and layout</t>
  </si>
  <si>
    <t>Asset life versus campaign length</t>
  </si>
  <si>
    <t>Unit: years</t>
  </si>
  <si>
    <t>Plant lifetimes for new cement technologies</t>
  </si>
  <si>
    <t>U.S. Department of Energy</t>
  </si>
  <si>
    <t>Pathways to Commercial Liftoff: Low-Carbon Cement</t>
  </si>
  <si>
    <t>https://liftoff.energy.gov/wp-content/uploads/2023/12/LIFTOFF_Cement_Updated-2.6.25.pdf</t>
  </si>
  <si>
    <t>Gives conventional cement plant lifetimes of 30-50 years or more. Techno-economic studies of new cement processes typically assume 23-30 years. No lifetime specific to alternative-chemistry plants has been published.</t>
  </si>
  <si>
    <t>NETL cement CCS baseline: operational / payback period used for capital recovery</t>
  </si>
  <si>
    <t>DOE/NETL-2023/3856 (2023), cement-specific financial parameters</t>
  </si>
  <si>
    <t>IEAGHG 2013/19 cement CCS study: economic plant life (base case)</t>
  </si>
  <si>
    <t>IEAGHG TR-2013/19; 40 years given as the physical-life sensitivity</t>
  </si>
  <si>
    <t>IRS asset class 32.2, Manufacture of Cement: class life (tax)</t>
  </si>
  <si>
    <t>IRS Publication 946, Table B-2; MACRS recovery 15 years (tax only, not used)</t>
  </si>
  <si>
    <t>Eagle Materials 10-K FY2024: cement plant depreciation life, upper end</t>
  </si>
  <si>
    <t>Book depreciation 20-30 years for plants</t>
  </si>
  <si>
    <t>NETL 30-year capital-recovery period for cement (see Life Anchors)</t>
  </si>
  <si>
    <t>Same as the dry kiln (same kiln; capture equipment priced separately)</t>
  </si>
  <si>
    <t>Same as the dry kiln; no electric-kiln life data exists</t>
  </si>
  <si>
    <t>Same as the other pathways; no alternative-chemistry life data exists</t>
  </si>
  <si>
    <t>All four pathways read the NETL 30-year anchor on the Life Anchors tab.</t>
  </si>
  <si>
    <t>Capital-recovery period for a cement plant</t>
  </si>
  <si>
    <t>U.S. Department of Energy, National Energy Technology Laboratory</t>
  </si>
  <si>
    <t>Analysis of Carbon Capture Retrofits for Cement Plants (DOE/NETL-2023/3856)</t>
  </si>
  <si>
    <t>https://www.netl.doe.gov/projects/files/AnalysisofCarbonCaptureRetrofitsforCementPlants_033123.pdf</t>
  </si>
  <si>
    <t>Uses a 30-year operational period for capital recovery, with cement-specific financial assumptions (6.56% weighted cost of capital). It is the only sector-specific U.S. government set of financial parameters we found. On the 'Life Anchors' tab.</t>
  </si>
  <si>
    <t>Economic life versus physical life</t>
  </si>
  <si>
    <t>IEAGHG (with ECRA and VDZ)</t>
  </si>
  <si>
    <t>Deployment of CCS in the Cement Industry (Technical Report 2013/19)</t>
  </si>
  <si>
    <t>https://ieaghg.org/publications/technical-reports/</t>
  </si>
  <si>
    <t>Uses a 25-year economic plant life in its base case and notes that 'in the cement industry a plant life of 40 years is common'; the 40-year case lowers capital charges by about 10%.</t>
  </si>
  <si>
    <t>Book depreciation of U.S. cement plants</t>
  </si>
  <si>
    <t>Eagle Materials (Form 10-K, fiscal 2024); Titan America (Form 20-F, 2025)</t>
  </si>
  <si>
    <t>Property, plant and equipment accounting policies</t>
  </si>
  <si>
    <t>https://www.sec.gov/</t>
  </si>
  <si>
    <t>Eagle depreciates cement plants over 20-30 years; Titan America depreciates cement machinery and equipment over 15-30 years. Book lives are accounting estimates, but they bracket the same 20-30 year range.</t>
  </si>
  <si>
    <t>Tax life (context only)</t>
  </si>
  <si>
    <t>Internal Revenue Service</t>
  </si>
  <si>
    <t>Publication 946, How to Depreciate Property, Table B-2, asset class 32.2 (Manufacture of Cement)</t>
  </si>
  <si>
    <t>https://www.irs.gov/publications/p946</t>
  </si>
  <si>
    <t>Class life 20 years; MACRS recovery period 15 years. A tax timing rule, not an investment horizon, so it is not used.</t>
  </si>
  <si>
    <t>Physical kiln retirement age (comparison)</t>
  </si>
  <si>
    <t>Annex K assumes a 35-year kiln retirement age, built from EIA's Industrial Demand Module (30 years) extended by 5 to match the U.S. fleet's average age of about 36 years. It is a physical retirement age, longer than the horizon a firm uses to recover its capital, so it is shown on the 'Life Anchors' tab for comparison only.</t>
  </si>
  <si>
    <t>This file gives the economic asset life, in years, of a new cement kiln for each production pathway in the EPS cement module. The model uses it to spread a new kiln's capital cost over its useful life, as a yearly capital charge at the industry's cost of capital. That charge is what the model compares across pathways when it decides which kind of kiln to build.
'Life Anchors' holds the sourced figures, 'Derivation' assigns a life to each pathway (all four read the 30-year anchor), and the 'CPAL' tab reads from 'Derivation' by formula and is exported to CPAL.csv.</t>
  </si>
  <si>
    <t>All four pathways use 30 years, NETL's capital-recovery period for cement, with a reasonable range of 25-35 years. Techno-economic studies cluster at 25-30 years and company depreciation at 20-30, while physical kiln lives run 35-50 years or more; a firm evaluating a new kiln does not count on the full physical life, and at a 7-10% cost of capital the years past 30 barely change the yearly charge (moving from 35 to 30 years raises it by about 2-5%). No life data exists for electric kilns or alternative-chemistry plants, so they use the same value. Capture equipment on a CCS kiln may wear out sooner (25 years would be defensible), but its cost is priced in the CCS sector.</t>
  </si>
  <si>
    <t>Asset life (this file) and campaign length (the CPPL file) are different things and are kept as separate inputs. Asset life is the period over which a new kiln's capital is paid back in the pathway choice. Campaign length is the average time between overhaul-or-replace decisions for a kiln that is already running, and it is also the period over which overhaul capital is paid back.</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</si>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</sst>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c.gov/" TargetMode="External"/><Relationship Id="rId2" Type="http://schemas.openxmlformats.org/officeDocument/2006/relationships/hyperlink" Target="https://ieaghg.org/publications/technical-reports/" TargetMode="External"/><Relationship Id="rId1" Type="http://schemas.openxmlformats.org/officeDocument/2006/relationships/hyperlink" Target="https://www.netl.doe.gov/projects/files/AnalysisofCarbonCaptureRetrofitsforCementPlants_033123.pdf" TargetMode="External"/><Relationship Id="rId6" Type="http://schemas.openxmlformats.org/officeDocument/2006/relationships/hyperlink" Target="https://liftoff.energy.gov/wp-content/uploads/2023/12/LIFTOFF_Cement_Updated-2.6.25.pdf" TargetMode="External"/><Relationship Id="rId5" Type="http://schemas.openxmlformats.org/officeDocument/2006/relationships/hyperlink" Target="https://netzeroamerica.princeton.edu/img/Princeton_NZA_Annex_K.pdf" TargetMode="External"/><Relationship Id="rId4" Type="http://schemas.openxmlformats.org/officeDocument/2006/relationships/hyperlink" Target="https://www.irs.gov/publications/p9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heetViews>
  <sheetFormatPr defaultRowHeight="15" x14ac:dyDescent="0.25"/>
  <cols>
    <col min="1" max="1" width="14.5703125" customWidth="1"/>
    <col min="2" max="2" width="110.5703125" customWidth="1"/>
    <col min="3" max="3" width="3.5703125" customWidth="1"/>
    <col min="4" max="4" width="110.5703125" customWidth="1"/>
  </cols>
  <sheetData>
    <row r="1" spans="1:4" x14ac:dyDescent="0.25">
      <c r="A1" s="4" t="s">
        <v>0</v>
      </c>
    </row>
    <row r="3" spans="1:4" x14ac:dyDescent="0.25">
      <c r="A3" s="3" t="s">
        <v>1</v>
      </c>
      <c r="B3" s="5" t="s">
        <v>41</v>
      </c>
      <c r="D3" s="5" t="s">
        <v>56</v>
      </c>
    </row>
    <row r="4" spans="1:4" x14ac:dyDescent="0.25">
      <c r="B4" s="2" t="s">
        <v>42</v>
      </c>
      <c r="D4" s="2" t="s">
        <v>57</v>
      </c>
    </row>
    <row r="5" spans="1:4" x14ac:dyDescent="0.25">
      <c r="B5" s="2" t="s">
        <v>43</v>
      </c>
      <c r="D5" s="2" t="s">
        <v>58</v>
      </c>
    </row>
    <row r="6" spans="1:4" x14ac:dyDescent="0.25">
      <c r="B6" s="2">
        <v>2023</v>
      </c>
      <c r="D6" s="2">
        <v>2025</v>
      </c>
    </row>
    <row r="7" spans="1:4" x14ac:dyDescent="0.25">
      <c r="B7" s="6" t="s">
        <v>44</v>
      </c>
      <c r="D7" s="6" t="s">
        <v>59</v>
      </c>
    </row>
    <row r="8" spans="1:4" ht="30" x14ac:dyDescent="0.25">
      <c r="B8" s="2" t="s">
        <v>45</v>
      </c>
      <c r="D8" s="2" t="s">
        <v>60</v>
      </c>
    </row>
    <row r="10" spans="1:4" x14ac:dyDescent="0.25">
      <c r="B10" s="5" t="s">
        <v>46</v>
      </c>
      <c r="D10" s="5" t="s">
        <v>61</v>
      </c>
    </row>
    <row r="11" spans="1:4" x14ac:dyDescent="0.25">
      <c r="B11" s="2" t="s">
        <v>47</v>
      </c>
      <c r="D11" s="2" t="s">
        <v>18</v>
      </c>
    </row>
    <row r="12" spans="1:4" x14ac:dyDescent="0.25">
      <c r="B12" s="2" t="s">
        <v>48</v>
      </c>
      <c r="D12" s="2" t="s">
        <v>19</v>
      </c>
    </row>
    <row r="13" spans="1:4" x14ac:dyDescent="0.25">
      <c r="B13" s="2">
        <v>2013</v>
      </c>
      <c r="D13" s="2">
        <v>2021</v>
      </c>
    </row>
    <row r="14" spans="1:4" x14ac:dyDescent="0.25">
      <c r="B14" s="6" t="s">
        <v>49</v>
      </c>
      <c r="D14" s="6" t="s">
        <v>2</v>
      </c>
    </row>
    <row r="15" spans="1:4" ht="45" x14ac:dyDescent="0.25">
      <c r="B15" s="2" t="s">
        <v>50</v>
      </c>
      <c r="D15" s="2" t="s">
        <v>62</v>
      </c>
    </row>
    <row r="17" spans="1:4" x14ac:dyDescent="0.25">
      <c r="B17" s="5" t="s">
        <v>51</v>
      </c>
      <c r="D17" s="5" t="s">
        <v>23</v>
      </c>
    </row>
    <row r="18" spans="1:4" x14ac:dyDescent="0.25">
      <c r="B18" s="2" t="s">
        <v>52</v>
      </c>
      <c r="D18" s="2" t="s">
        <v>24</v>
      </c>
    </row>
    <row r="19" spans="1:4" x14ac:dyDescent="0.25">
      <c r="B19" s="2" t="s">
        <v>53</v>
      </c>
      <c r="D19" s="2" t="s">
        <v>25</v>
      </c>
    </row>
    <row r="20" spans="1:4" x14ac:dyDescent="0.25">
      <c r="B20" s="2">
        <v>2024</v>
      </c>
      <c r="D20" s="2">
        <v>2023</v>
      </c>
    </row>
    <row r="21" spans="1:4" x14ac:dyDescent="0.25">
      <c r="B21" s="6" t="s">
        <v>54</v>
      </c>
      <c r="D21" s="6" t="s">
        <v>26</v>
      </c>
    </row>
    <row r="22" spans="1:4" ht="30" x14ac:dyDescent="0.25">
      <c r="B22" s="2" t="s">
        <v>55</v>
      </c>
      <c r="D22" s="2" t="s">
        <v>27</v>
      </c>
    </row>
    <row r="25" spans="1:4" x14ac:dyDescent="0.25">
      <c r="A25" s="3" t="s">
        <v>3</v>
      </c>
    </row>
    <row r="26" spans="1:4" ht="105" x14ac:dyDescent="0.25">
      <c r="A26" s="3" t="s">
        <v>20</v>
      </c>
      <c r="B26" s="2" t="s">
        <v>63</v>
      </c>
    </row>
    <row r="27" spans="1:4" ht="90" x14ac:dyDescent="0.25">
      <c r="A27" s="3" t="s">
        <v>4</v>
      </c>
      <c r="B27" s="2" t="s">
        <v>64</v>
      </c>
    </row>
    <row r="28" spans="1:4" ht="60" x14ac:dyDescent="0.25">
      <c r="A28" s="3" t="s">
        <v>21</v>
      </c>
      <c r="B28" s="2" t="s">
        <v>65</v>
      </c>
    </row>
    <row r="29" spans="1:4" ht="45" x14ac:dyDescent="0.25">
      <c r="A29" s="8" t="s">
        <v>67</v>
      </c>
      <c r="B29" s="7" t="s">
        <v>68</v>
      </c>
    </row>
  </sheetData>
  <hyperlinks>
    <hyperlink ref="B7" r:id="rId1" xr:uid="{E5A5F311-F816-4070-B282-088E4592570A}"/>
    <hyperlink ref="B14" r:id="rId2" xr:uid="{4D805E7B-48E1-46B2-8E6E-30259326D80B}"/>
    <hyperlink ref="B21" r:id="rId3" xr:uid="{31F36283-73AA-48EC-AC07-7A51151372B1}"/>
    <hyperlink ref="D7" r:id="rId4" xr:uid="{478111BE-E1A7-4881-AB79-BC2A329CE7E3}"/>
    <hyperlink ref="D14" r:id="rId5" xr:uid="{929F2F60-D70E-4E12-80BA-AFDB1CEA2483}"/>
    <hyperlink ref="D21" r:id="rId6" xr:uid="{5DCB3CD0-9E15-4AB7-881A-A2BF298EF5D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pane ySplit="1" topLeftCell="A2" activePane="bottomLeft" state="frozen"/>
      <selection pane="bottomLeft"/>
    </sheetView>
  </sheetViews>
  <sheetFormatPr defaultRowHeight="15" x14ac:dyDescent="0.25"/>
  <sheetData>
    <row r="1" spans="1:3" x14ac:dyDescent="0.25">
      <c r="A1" s="1" t="s">
        <v>5</v>
      </c>
      <c r="B1" s="1" t="s">
        <v>6</v>
      </c>
      <c r="C1" s="1" t="s">
        <v>7</v>
      </c>
    </row>
    <row r="2" spans="1:3" x14ac:dyDescent="0.25">
      <c r="A2" t="s">
        <v>8</v>
      </c>
      <c r="B2">
        <v>35</v>
      </c>
      <c r="C2" t="s">
        <v>9</v>
      </c>
    </row>
    <row r="3" spans="1:3" x14ac:dyDescent="0.25">
      <c r="A3" t="s">
        <v>28</v>
      </c>
      <c r="B3">
        <v>30</v>
      </c>
      <c r="C3" t="s">
        <v>29</v>
      </c>
    </row>
    <row r="4" spans="1:3" x14ac:dyDescent="0.25">
      <c r="A4" t="s">
        <v>30</v>
      </c>
      <c r="B4">
        <v>25</v>
      </c>
      <c r="C4" t="s">
        <v>31</v>
      </c>
    </row>
    <row r="5" spans="1:3" x14ac:dyDescent="0.25">
      <c r="A5" t="s">
        <v>32</v>
      </c>
      <c r="B5">
        <v>20</v>
      </c>
      <c r="C5" t="s">
        <v>33</v>
      </c>
    </row>
    <row r="6" spans="1:3" x14ac:dyDescent="0.25">
      <c r="A6" t="s">
        <v>34</v>
      </c>
      <c r="B6">
        <v>30</v>
      </c>
      <c r="C6"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RowHeight="15" x14ac:dyDescent="0.25"/>
  <sheetData>
    <row r="1" spans="1:3" x14ac:dyDescent="0.25">
      <c r="A1" s="1" t="s">
        <v>10</v>
      </c>
    </row>
    <row r="3" spans="1:3" x14ac:dyDescent="0.25">
      <c r="A3" s="1" t="s">
        <v>11</v>
      </c>
      <c r="B3" s="1" t="s">
        <v>12</v>
      </c>
      <c r="C3" s="1" t="s">
        <v>7</v>
      </c>
    </row>
    <row r="4" spans="1:3" x14ac:dyDescent="0.25">
      <c r="A4" t="s">
        <v>13</v>
      </c>
      <c r="B4">
        <f>'Life Anchors'!B3</f>
        <v>30</v>
      </c>
      <c r="C4" t="s">
        <v>36</v>
      </c>
    </row>
    <row r="5" spans="1:3" x14ac:dyDescent="0.25">
      <c r="A5" t="s">
        <v>14</v>
      </c>
      <c r="B5">
        <f>'Life Anchors'!B3</f>
        <v>30</v>
      </c>
      <c r="C5" t="s">
        <v>37</v>
      </c>
    </row>
    <row r="6" spans="1:3" x14ac:dyDescent="0.25">
      <c r="A6" t="s">
        <v>15</v>
      </c>
      <c r="B6">
        <f>'Life Anchors'!B3</f>
        <v>30</v>
      </c>
      <c r="C6" t="s">
        <v>38</v>
      </c>
    </row>
    <row r="7" spans="1:3" x14ac:dyDescent="0.25">
      <c r="A7" t="s">
        <v>16</v>
      </c>
      <c r="B7">
        <f>'Life Anchors'!B3</f>
        <v>30</v>
      </c>
      <c r="C7" t="s">
        <v>39</v>
      </c>
    </row>
    <row r="9" spans="1:3" ht="150" x14ac:dyDescent="0.25">
      <c r="A9" s="2" t="s">
        <v>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6"/>
  <sheetViews>
    <sheetView workbookViewId="0"/>
  </sheetViews>
  <sheetFormatPr defaultRowHeight="15" x14ac:dyDescent="0.25"/>
  <sheetData>
    <row r="1" spans="1:2" x14ac:dyDescent="0.25">
      <c r="A1" t="s">
        <v>22</v>
      </c>
      <c r="B1" t="s">
        <v>17</v>
      </c>
    </row>
    <row r="2" spans="1:2" x14ac:dyDescent="0.25">
      <c r="A2" t="s">
        <v>13</v>
      </c>
      <c r="B2">
        <f>Derivation!B4</f>
        <v>30</v>
      </c>
    </row>
    <row r="3" spans="1:2" x14ac:dyDescent="0.25">
      <c r="A3" t="s">
        <v>14</v>
      </c>
      <c r="B3">
        <f>Derivation!B5</f>
        <v>30</v>
      </c>
    </row>
    <row r="4" spans="1:2" x14ac:dyDescent="0.25">
      <c r="A4" t="s">
        <v>15</v>
      </c>
      <c r="B4">
        <f>Derivation!B6</f>
        <v>30</v>
      </c>
    </row>
    <row r="5" spans="1:2" x14ac:dyDescent="0.25">
      <c r="A5" t="s">
        <v>66</v>
      </c>
      <c r="B5">
        <f>B4</f>
        <v>30</v>
      </c>
    </row>
    <row r="6" spans="1:2" x14ac:dyDescent="0.25">
      <c r="A6" t="s">
        <v>16</v>
      </c>
      <c r="B6">
        <f>Derivation!B7</f>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Life Anchors</vt:lpstr>
      <vt:lpstr>Derivation</vt:lpstr>
      <vt:lpstr>CPAL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2026-08-26T11:48:09Z</dcterms:created>
  <dcterms:modified xsi:type="dcterms:W3CDTF">2026-10-19T18:20:18Z</dcterms:modified>
</cp:coreProperties>
</file>