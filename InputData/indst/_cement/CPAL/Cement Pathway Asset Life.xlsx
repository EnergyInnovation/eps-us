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PAL\"/>
    </mc:Choice>
  </mc:AlternateContent>
  <xr:revisionPtr revIDLastSave="0" documentId="13_ncr:1_{E1DD2AD4-A15E-428D-81AB-448F4D7DADC1}" xr6:coauthVersionLast="47" xr6:coauthVersionMax="47" xr10:uidLastSave="{00000000-0000-0000-0000-000000000000}"/>
  <bookViews>
    <workbookView xWindow="-120" yWindow="-120" windowWidth="29040" windowHeight="17520" xr2:uid="{00000000-000D-0000-FFFF-FFFF00000000}"/>
  </bookViews>
  <sheets>
    <sheet name="About" sheetId="1" r:id="rId1"/>
    <sheet name="NZA Anchor" sheetId="2" r:id="rId2"/>
    <sheet name="Derivation" sheetId="3" r:id="rId3"/>
    <sheet name="CPAL"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B6" i="3"/>
  <c r="B4" i="5" s="1"/>
  <c r="B5" i="3"/>
  <c r="B3" i="5" s="1"/>
  <c r="B4" i="3"/>
  <c r="B2" i="5" s="1"/>
</calcChain>
</file>

<file path=xl/sharedStrings.xml><?xml version="1.0" encoding="utf-8"?>
<sst xmlns="http://schemas.openxmlformats.org/spreadsheetml/2006/main" count="38" uniqueCount="33">
  <si>
    <t>CPAL Cement Pathway Asset Life</t>
  </si>
  <si>
    <t>Sources:</t>
  </si>
  <si>
    <t>https://netzeroamerica.princeton.edu/img/Princeton_NZA_Annex_K.pdf</t>
  </si>
  <si>
    <t>Notes:</t>
  </si>
  <si>
    <t>Chosen values</t>
  </si>
  <si>
    <t>Quantity</t>
  </si>
  <si>
    <t>Value (years)</t>
  </si>
  <si>
    <t>Basis</t>
  </si>
  <si>
    <t>NZA Annex K kiln retirement age</t>
  </si>
  <si>
    <t>EIA IDM 30-yr assumption extended by 5</t>
  </si>
  <si>
    <t>Chosen economic asset life per pathway (see About tab notes)</t>
  </si>
  <si>
    <t>Pathway</t>
  </si>
  <si>
    <t>Asset life (yr)</t>
  </si>
  <si>
    <t>dry kiln with precalciner</t>
  </si>
  <si>
    <t>NZA/EIA-IDM anchor, direct</t>
  </si>
  <si>
    <t>dry kiln with CCS</t>
  </si>
  <si>
    <t>Mirrors dry kiln with precalciner (same underlying kiln; CCS is a capital addition)</t>
  </si>
  <si>
    <t>electric kiln</t>
  </si>
  <si>
    <t>Mirrors the NZA/EIA-IDM anchor; no electric-kiln-specific life data exists (pilot-only)</t>
  </si>
  <si>
    <t>alternative chemistry cement</t>
  </si>
  <si>
    <t>EI judgment - no public asset-life data for pre-commercial alt-chem plants</t>
  </si>
  <si>
    <t>Note: rows 4-6 are FORMULAS referencing the NZA Anchor tab; row 7 (alt-chem) is a plain literal EI judgment value, not derived from a source.</t>
  </si>
  <si>
    <t>Asset Life</t>
  </si>
  <si>
    <t>Kiln economic life, 35 years</t>
  </si>
  <si>
    <t>Princeton University, Net-Zero America (NZA) project</t>
  </si>
  <si>
    <t>Net-Zero America, Annex K (section 6.3)</t>
  </si>
  <si>
    <t>Annex K assumes a 35-year kiln retirement age. It builds this from the U.S. Energy Information Administration's Industrial Decarbonization Model, which uses 30 years, extended by 5 to match the roughly 36-year average age NZA observes in the U.S. kiln fleet. The 35 sits on the 'NZA Anchor' tab. We found no other public source for cement kiln economic life, and none that gives a longer life or different lives by kiln age. It is a retirement-age figure, so it is a reasonable proxy for economic life but not a direct measure of it.</t>
  </si>
  <si>
    <t>Purpose and layout</t>
  </si>
  <si>
    <t>This file gives the economic asset life, in years, of a new cement kiln for each production pathway in the EPS cement module. The model uses it to spread a new kiln's capital cost over its useful life, as a yearly capital charge at the industry's cost of capital. That charge is what the model compares across pathways when it decides which kind of kiln to build.
The workbook has three working tabs. 'NZA Anchor' holds the one sourced number (35 years). 'Derivation' assigns a life to each pathway, and is also where to change the one judgment value. The 'CPAL' tab reads from 'Derivation' by formula and is the tab exported to CPAL.csv.</t>
  </si>
  <si>
    <t>Dry kiln with precalciner, dry kiln with CCS, and electric kiln all use 35 years, taken directly from the Net-Zero America figure. The CCS kiln is the same kiln with capture equipment added, and no electric-kiln life data exists yet because electric kilns are pilot-only, so both simply mirror the conventional kiln.
Alternative chemistry cement uses 30 years. That is our own judgment: these plants are pre-commercial and there is no public asset-life data for them, so we assumed a somewhat shorter life.</t>
  </si>
  <si>
    <t>Asset life versus campaign length</t>
  </si>
  <si>
    <t>Asset life (this file) and campaign length (the CPPL file) are different things and are kept as separate inputs. Asset life is the period over which a new kiln's capital is paid back in the pathway choice. Campaign length is the average time between overhaul-or-replace decisions for a kiln that is already running, and it is also the period over which overhaul capital is paid back. Asset life is the longer of the two (35 years versus 25 for most pathways), because a kiln normally goes through more than one campaign before it is finally retired.</t>
  </si>
  <si>
    <t>Unit: years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</si>
</sst>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u/>
      <sz val="11"/>
      <color theme="10"/>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1" fillId="0" borderId="0" xfId="0" applyFont="1"/>
    <xf numFmtId="0" fontId="0" fillId="0" borderId="0" xfId="0" applyAlignment="1">
      <alignment horizontal="left" vertical="top" wrapText="1"/>
    </xf>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4" fillId="0" borderId="0" xfId="1"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netzeroamerica.princeton.edu/img/Princeton_NZA_Annex_K.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tabSelected="1" workbookViewId="0"/>
  </sheetViews>
  <sheetFormatPr defaultRowHeight="15" x14ac:dyDescent="0.25"/>
  <cols>
    <col min="1" max="1" width="14.7109375" customWidth="1"/>
    <col min="2" max="2" width="110.7109375" customWidth="1"/>
    <col min="3" max="3" width="3.7109375" customWidth="1"/>
  </cols>
  <sheetData>
    <row r="1" spans="1:2" x14ac:dyDescent="0.25">
      <c r="A1" s="4" t="s">
        <v>0</v>
      </c>
    </row>
    <row r="3" spans="1:2" x14ac:dyDescent="0.25">
      <c r="A3" s="3" t="s">
        <v>1</v>
      </c>
      <c r="B3" s="5" t="s">
        <v>23</v>
      </c>
    </row>
    <row r="4" spans="1:2" x14ac:dyDescent="0.25">
      <c r="B4" s="2" t="s">
        <v>24</v>
      </c>
    </row>
    <row r="5" spans="1:2" x14ac:dyDescent="0.25">
      <c r="B5" s="2" t="s">
        <v>25</v>
      </c>
    </row>
    <row r="6" spans="1:2" x14ac:dyDescent="0.25">
      <c r="B6" s="2">
        <v>2021</v>
      </c>
    </row>
    <row r="7" spans="1:2" x14ac:dyDescent="0.25">
      <c r="B7" s="6" t="s">
        <v>2</v>
      </c>
    </row>
    <row r="8" spans="1:2" ht="75" x14ac:dyDescent="0.25">
      <c r="B8" s="2" t="s">
        <v>26</v>
      </c>
    </row>
    <row r="11" spans="1:2" x14ac:dyDescent="0.25">
      <c r="A11" s="3" t="s">
        <v>3</v>
      </c>
    </row>
    <row r="12" spans="1:2" ht="120" x14ac:dyDescent="0.25">
      <c r="A12" s="3" t="s">
        <v>27</v>
      </c>
      <c r="B12" s="2" t="s">
        <v>28</v>
      </c>
    </row>
    <row r="13" spans="1:2" ht="90" x14ac:dyDescent="0.25">
      <c r="A13" s="3" t="s">
        <v>4</v>
      </c>
      <c r="B13" s="2" t="s">
        <v>29</v>
      </c>
    </row>
    <row r="14" spans="1:2" ht="75" x14ac:dyDescent="0.25">
      <c r="A14" s="3" t="s">
        <v>30</v>
      </c>
      <c r="B14" s="2" t="s">
        <v>31</v>
      </c>
    </row>
  </sheetData>
  <hyperlinks>
    <hyperlink ref="B7" r:id="rId1" xr:uid="{82568B10-E108-4AEC-A01A-A0FBC3E2EFF6}"/>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
  <sheetViews>
    <sheetView workbookViewId="0">
      <pane ySplit="1" topLeftCell="A2" activePane="bottomLeft" state="frozen"/>
      <selection pane="bottomLeft"/>
    </sheetView>
  </sheetViews>
  <sheetFormatPr defaultRowHeight="15" x14ac:dyDescent="0.25"/>
  <sheetData>
    <row r="1" spans="1:3" x14ac:dyDescent="0.25">
      <c r="A1" s="1" t="s">
        <v>5</v>
      </c>
      <c r="B1" s="1" t="s">
        <v>6</v>
      </c>
      <c r="C1" s="1" t="s">
        <v>7</v>
      </c>
    </row>
    <row r="2" spans="1:3" x14ac:dyDescent="0.25">
      <c r="A2" t="s">
        <v>8</v>
      </c>
      <c r="B2">
        <v>35</v>
      </c>
      <c r="C2" t="s">
        <v>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9"/>
  <sheetViews>
    <sheetView workbookViewId="0"/>
  </sheetViews>
  <sheetFormatPr defaultRowHeight="15" x14ac:dyDescent="0.25"/>
  <sheetData>
    <row r="1" spans="1:3" x14ac:dyDescent="0.25">
      <c r="A1" s="1" t="s">
        <v>10</v>
      </c>
    </row>
    <row r="3" spans="1:3" x14ac:dyDescent="0.25">
      <c r="A3" s="1" t="s">
        <v>11</v>
      </c>
      <c r="B3" s="1" t="s">
        <v>12</v>
      </c>
      <c r="C3" s="1" t="s">
        <v>7</v>
      </c>
    </row>
    <row r="4" spans="1:3" x14ac:dyDescent="0.25">
      <c r="A4" t="s">
        <v>13</v>
      </c>
      <c r="B4">
        <f>'NZA Anchor'!B2</f>
        <v>35</v>
      </c>
      <c r="C4" t="s">
        <v>14</v>
      </c>
    </row>
    <row r="5" spans="1:3" x14ac:dyDescent="0.25">
      <c r="A5" t="s">
        <v>15</v>
      </c>
      <c r="B5">
        <f>'NZA Anchor'!B2</f>
        <v>35</v>
      </c>
      <c r="C5" t="s">
        <v>16</v>
      </c>
    </row>
    <row r="6" spans="1:3" x14ac:dyDescent="0.25">
      <c r="A6" t="s">
        <v>17</v>
      </c>
      <c r="B6">
        <f>'NZA Anchor'!B2</f>
        <v>35</v>
      </c>
      <c r="C6" t="s">
        <v>18</v>
      </c>
    </row>
    <row r="7" spans="1:3" x14ac:dyDescent="0.25">
      <c r="A7" t="s">
        <v>19</v>
      </c>
      <c r="B7">
        <v>30</v>
      </c>
      <c r="C7" t="s">
        <v>20</v>
      </c>
    </row>
    <row r="9" spans="1:3" ht="300" x14ac:dyDescent="0.25">
      <c r="A9" s="2" t="s">
        <v>21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B5"/>
  <sheetViews>
    <sheetView workbookViewId="0"/>
  </sheetViews>
  <sheetFormatPr defaultRowHeight="15" x14ac:dyDescent="0.25"/>
  <sheetData>
    <row r="1" spans="1:2" x14ac:dyDescent="0.25">
      <c r="A1" t="s">
        <v>32</v>
      </c>
      <c r="B1" t="s">
        <v>22</v>
      </c>
    </row>
    <row r="2" spans="1:2" x14ac:dyDescent="0.25">
      <c r="A2" t="s">
        <v>13</v>
      </c>
      <c r="B2">
        <f>Derivation!B4</f>
        <v>35</v>
      </c>
    </row>
    <row r="3" spans="1:2" x14ac:dyDescent="0.25">
      <c r="A3" t="s">
        <v>15</v>
      </c>
      <c r="B3">
        <f>Derivation!B5</f>
        <v>35</v>
      </c>
    </row>
    <row r="4" spans="1:2" x14ac:dyDescent="0.25">
      <c r="A4" t="s">
        <v>17</v>
      </c>
      <c r="B4">
        <f>Derivation!B6</f>
        <v>35</v>
      </c>
    </row>
    <row r="5" spans="1:2" x14ac:dyDescent="0.25">
      <c r="A5" t="s">
        <v>19</v>
      </c>
      <c r="B5">
        <f>Derivation!B7</f>
        <v>30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NZA Anchor</vt:lpstr>
      <vt:lpstr>Derivation</vt:lpstr>
      <vt:lpstr>CPAL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2026-08-26T11:48:09Z</dcterms:created>
  <dcterms:modified xsi:type="dcterms:W3CDTF">2026-10-05T17:22:11Z</dcterms:modified>
</cp:coreProperties>
</file>