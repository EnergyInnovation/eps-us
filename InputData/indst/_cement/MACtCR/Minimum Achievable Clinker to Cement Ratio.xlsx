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MACtCR\"/>
    </mc:Choice>
  </mc:AlternateContent>
  <xr:revisionPtr revIDLastSave="0" documentId="13_ncr:1_{2970ECBB-C6B9-4971-81D6-50B6C73DE2A2}"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Derivation" sheetId="3" r:id="rId3"/>
    <sheet name="Checks" sheetId="4" r:id="rId4"/>
    <sheet name="MACtCR"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4" i="3"/>
  <c r="B3" i="3"/>
  <c r="B1" i="3"/>
  <c r="B2" i="5" l="1"/>
  <c r="B3" i="4" s="1"/>
</calcChain>
</file>

<file path=xl/sharedStrings.xml><?xml version="1.0" encoding="utf-8"?>
<sst xmlns="http://schemas.openxmlformats.org/spreadsheetml/2006/main" count="110" uniqueCount="103">
  <si>
    <t>MACtCR Minimum Achievable Clinker to Cement Ratio</t>
  </si>
  <si>
    <t>Sources:</t>
  </si>
  <si>
    <t>Portland Cement Association (PCA)</t>
  </si>
  <si>
    <t>Global Cement and Concrete Association (GCCA)</t>
  </si>
  <si>
    <t>Notes:</t>
  </si>
  <si>
    <t>Selected region (drop-down):</t>
  </si>
  <si>
    <t>United States</t>
  </si>
  <si>
    <t>Region</t>
  </si>
  <si>
    <t>Minimum achievable ratio</t>
  </si>
  <si>
    <t>Flag</t>
  </si>
  <si>
    <t>Roadmap / source</t>
  </si>
  <si>
    <t>JUDGMENT</t>
  </si>
  <si>
    <t>PCA roadmap context + GCCA global; conservative EI judgment</t>
  </si>
  <si>
    <t>China</t>
  </si>
  <si>
    <t>TO FILL - CCA / RMI net-zero roadmap</t>
  </si>
  <si>
    <t>India</t>
  </si>
  <si>
    <t>SNIPPET</t>
  </si>
  <si>
    <t>(2070) NITI Aayog Jan-2026 roadmap ~67.5% -&gt; ~62% by 2070 (SNIPPET). Range 0.56-0.675: GCCA India/TERI 0.56 by 2070 (SNIPPET); ACEEE ~65% by 2030 (SNIPPET).</t>
  </si>
  <si>
    <t>EU-27</t>
  </si>
  <si>
    <t>DIRECT</t>
  </si>
  <si>
    <t>(2050) CEMBUREAU 'From Ambition to Deployment' net-zero roadmap: 60% by 2050, revised down from 65% (DIRECT).</t>
  </si>
  <si>
    <t>Japan</t>
  </si>
  <si>
    <t>TO FILL</t>
  </si>
  <si>
    <t>Brazil</t>
  </si>
  <si>
    <t>(2050) SNIC/IEA/WBCSD 2019 roadmap: 52% in 2050, 59% in 2030 (DIRECT). 2025 Net Zero Roadmap (COP30): 51% (SNIPPET).</t>
  </si>
  <si>
    <t>Mexico</t>
  </si>
  <si>
    <t>(2030) FICEM roadmap: 66% by 2030 from 75% in 2016 (DIRECT). A 2030 figure, NOT a 2050 floor - the 2050 value is TO FILL (FICEM scenario annexes).</t>
  </si>
  <si>
    <t>Canada</t>
  </si>
  <si>
    <t>(2050) CAC Concrete Zero: 60% in 2050 (75% 2030, 68% 2040) (DIRECT). A snippet quotes 890 -&gt; 630 kg/t - check the ISED roadmap figure.</t>
  </si>
  <si>
    <t>Indonesia</t>
  </si>
  <si>
    <t>Australia</t>
  </si>
  <si>
    <t>Selected region</t>
  </si>
  <si>
    <t>Minimum Achievable Clinker to Cement Ratio</t>
  </si>
  <si>
    <t>Status</t>
  </si>
  <si>
    <t>Value</t>
  </si>
  <si>
    <t>Checks</t>
  </si>
  <si>
    <t>Value between 0.4 and the 2025 BAU clinker ratio (0.83)</t>
  </si>
  <si>
    <t>Global fallback ratio</t>
  </si>
  <si>
    <t>Concrete Future: The GCCA 2050 Cement and Concrete Industry Roadmap for Net Zero Concrete</t>
  </si>
  <si>
    <t>EU-27 floor</t>
  </si>
  <si>
    <t>CEMBUREAU (now Cement Europe)</t>
  </si>
  <si>
    <t>Net Zero Roadmap: From Ambition to Deployment</t>
  </si>
  <si>
    <t>https://www.cementeurope.eu/media/g44cvp5a/cembureau-net-zero-roadmap.pdf</t>
  </si>
  <si>
    <t>A clinker ratio of 60% by 2050, revised down from 65% in the earlier version of the roadmap (DIRECT).</t>
  </si>
  <si>
    <t>Brazil floor</t>
  </si>
  <si>
    <t>SNIC, International Energy Agency, and World Business Council for Sustainable Development</t>
  </si>
  <si>
    <t>Cement Technology Roadmap: Brazil</t>
  </si>
  <si>
    <t>http://snic.org.br/assets/pdf/roadmap/cement-technology-roadmap-brazil.pdf</t>
  </si>
  <si>
    <t>A clinker factor of 52% in 2050 and 59% in 2030, in the 2-degree scenario (DIRECT). A later Net Zero Roadmap presented at COP30 is reported to give 51% (SNIPPET); we did not locate that document.</t>
  </si>
  <si>
    <t>Mexico target</t>
  </si>
  <si>
    <t>FICEM / CANACEM (Mexican cement chamber)</t>
  </si>
  <si>
    <t>Hoja de Ruta: Industria del Cemento Mexico</t>
  </si>
  <si>
    <t>https://canacem.org.mx/site/wp-content/uploads/2023/03/Hoja-de-Ruta-Mexico-FICEM.pdf</t>
  </si>
  <si>
    <t>A clinker factor of 66% by 2030, down from 75% in 2016 (DIRECT). This is a 2030 target, not a 2050 floor; the roadmap's scenario annexes should give a 2050 value, which we have not read.</t>
  </si>
  <si>
    <t>Canada floor</t>
  </si>
  <si>
    <t>Cement Association of Canada</t>
  </si>
  <si>
    <t>Concrete Zero: Action Plan</t>
  </si>
  <si>
    <t>https://cement.ca/wp-content/uploads/ConcreteZero-Report-FINAL-reduced.pdf</t>
  </si>
  <si>
    <t>A clinker ratio of 60% in 2050, with 75% in 2030 and 68% in 2040 (DIRECT).</t>
  </si>
  <si>
    <t>Canada, conflicting figure</t>
  </si>
  <si>
    <t>Innovation, Science and Economic Development Canada / Natural Resources Canada</t>
  </si>
  <si>
    <t>Roadmap to Net-Zero Carbon Concrete by 2050</t>
  </si>
  <si>
    <t>https://ised-isde.canada.ca/site/clean-growth-hub/sites/default/files/documents/2022-11/roadmap-net-zero-carbon-concrete-2050_0.pdf</t>
  </si>
  <si>
    <t>A search summary quotes a decline from 890 to 630 kg per ton, which does not match the 60% above. We did not open this roadmap to settle it.</t>
  </si>
  <si>
    <t>India floor</t>
  </si>
  <si>
    <t>Indian Cement Review</t>
  </si>
  <si>
    <t>NITI Aayog unveils decarbonisation roadmaps</t>
  </si>
  <si>
    <t>https://indiancementreview.com/2026/01/28/niti-aayog-unveils-decarbonisation-roadmaps/</t>
  </si>
  <si>
    <t>NITI Aayog's roadmap takes the ratio from about 67.5% to about 62% by 2070 (SNIPPET, from a search summary). Our India value of 0.62 is this 2070 figure.</t>
  </si>
  <si>
    <t>India, lower estimate</t>
  </si>
  <si>
    <t>Global Cement and Concrete Association (GCCA), with TERI</t>
  </si>
  <si>
    <t>Indian roadmap aims for net zero by 2070</t>
  </si>
  <si>
    <t>https://www.cemnet.com/News/story/178891/indian-roadmap-aims-for-net-zero-by-2070.html</t>
  </si>
  <si>
    <t>The GCCA India / TERI roadmap takes the ratio from 0.75 in 2020 to about 0.56 by 2070 (SNIPPET). We did not open the page.</t>
  </si>
  <si>
    <t>India, nearer-term target</t>
  </si>
  <si>
    <t>American Council for an Energy-Efficient Economy (ACEEE)</t>
  </si>
  <si>
    <t>Decarbonisation in the Indian Cement Industry</t>
  </si>
  <si>
    <t>https://www.aceee.org/wp-content/uploads/2026/07/ACEEE_Decarbonisation_in_Cement_Industry.pdf</t>
  </si>
  <si>
    <t>A target of about 65% by 2030 (SNIPPET).</t>
  </si>
  <si>
    <t>Purpose and layout</t>
  </si>
  <si>
    <t>Using it for other regions</t>
  </si>
  <si>
    <t>U.S. value</t>
  </si>
  <si>
    <t>Other regions' values</t>
  </si>
  <si>
    <t>The other regions' values are the roadmap targets we could find. Each non-US value on the 'Regions' tab carries a tag showing how far to trust it: DIRECT means we read the number in the original document; SNIPPET means it came from a secondary summary, such as a trade-press article, and should be checked against the original; JUDGMENT means it is our own estimate or arithmetic, shown as a formula where possible. A blank means we have not found a good value yet. The 'Roadmap / source' column shows each target's year in parentheses, and the years differ: EU-27 (0.60), Brazil (0.52), and Canada (0.60) are 2050 values and DIRECT. Mexico's 0.66 is a 2030 target, not a 2050 floor, and India's 0.62 is a 2070 value (SNIPPET) within a range of 0.56 to 0.675 across sources, so both should be revisited. China, Japan, Indonesia, and Australia are blank. The Canada figure should be checked against the federal roadmap, which a search summary quotes differently.</t>
  </si>
  <si>
    <t>Pick a region from the drop-down in B1. The Derivation and the export tab update on their own; re-export the CSV afterward. A blank cell means no sourced value yet.</t>
  </si>
  <si>
    <t>Unit: dimensionless</t>
  </si>
  <si>
    <t>Fallback: GCCA global 2050 clinker-to-binder ratio 0.52, converted to a clinker-to-cement basis assuming ~11% of binder is SCM added at the concrete plant</t>
  </si>
  <si>
    <t>U.S. industry roadmap</t>
  </si>
  <si>
    <t>Roadmap to Carbon Neutrality (January 2024 update)</t>
  </si>
  <si>
    <t>https://www.cement.org/wp-content/uploads/2024/05/Roadmap_Jan2024.pdf</t>
  </si>
  <si>
    <t>Targets clinker-to-cement ratios of 0.85 by 2030, 0.80 by 2040 and 0.75 by 2050, and says going below 0.75 requires consistent availability of SCMs. Same cement basis as this file.</t>
  </si>
  <si>
    <t>https://gccassociation.org/concretefuture/wp-content/uploads/2021/10/GCCA-Concrete-Future-Roadmap-Document-AW.pdf</t>
  </si>
  <si>
    <t>Other U.S. pathway assumptions</t>
  </si>
  <si>
    <t>Global Efficiency Intelligence</t>
  </si>
  <si>
    <t>Deep Decarbonization Roadmap for the Cement and Concrete Industries in California</t>
  </si>
  <si>
    <t>https://lpdd.org/wp-content/uploads/2020/09/Decarbonization-Roadmap-CA-Cement-Final.pdf</t>
  </si>
  <si>
    <t>0.70 clinker-to-cement by 2040, plus 13% SCM at the concrete plant (about 0.61 per ton of binder). Princeton's Net-Zero America Annex K assumes 0.80 by 2050 and calls the figure arbitrary; the IEA Net Zero scenario reaches about 0.57 globally by 2050 (via a Columbia CKI summary).</t>
  </si>
  <si>
    <t>Global clinker-to-binder ratio of 0.63 (2020), 0.58 (2030) and 0.52 (2050). 'Binder' includes SCMs added at the concrete plant, so these are lower than clinker-to-cement ratios; 0.52 corresponds to about 0.584 on this file's basis, which is the fallback used when a region has no value.</t>
  </si>
  <si>
    <t>We set this file up to be adaptable to each of the main EPS regions. If you are working on a non-US region, use the drop-down selector at the top of the 'Regions' tab to choose a different country, and the 'MACtCR' tab updates on its own; just re-export the CSV. If the region's row is blank, the Derivation falls back to 0.584 (the GCCA global 2050 figure of 0.52 per ton of binder, converted to a per-ton-of-cement basis) and the 'Derivation' tab shows a warning. That global number is only a placeholder, so replace it with a regional roadmap value or your own judgment.</t>
  </si>
  <si>
    <t>This file gives the lowest clinker-to-cement ratio the region could reach if clinker substitution were fully deployed, meaning more fly ash, slag, calcined clay, and limestone in blended cements. It is a single number, not a time series. In each policy year the model lowers the BAU ratio (BCtCR) by the gap between the BAU ratio and this floor, times the smaller of the cement-measures lever (as scheduled) and the SCM supply ramp in the CSPAbY file, so at full implementation and full supply the ratio reaches the floor. If the BAU ratio is already below the floor, the lever has nothing left to do. Because the lever works on a ratio rather than a tonnage, it behaves sensibly in regions where BAU ratios differ. Any limit on SCM supply should be reflected in the value chosen here.
The tabs are 'Regions' (selector and each region's value), 'Derivation' (picks the value and shows whether it is a regional value or the fallback), and 'Checks' (the value should fall between 0.4 and the 2025 BAU ratio of about 0.83). The last tab, 'MACtCR', reads the Derivation and is what gets exported to MACtCR.csv.</t>
  </si>
  <si>
    <t>For the U.S. national file version we use 0.65, with a reasonable range of 0.60-0.72. No source gives a supply-limited U.S. floor, so this is our judgment, anchored between the GCCA and IEA global paths (about 0.58-0.66 on this basis) and PCA's 0.75. Reaching 0.65 needs roughly half of U.S. cement in high-SCM blends (about 0.52 clinker) with the rest in portland-limestone cement, and about 32-35 million metric tons a year of reactive SCMs by 2050, up from about 20 million today: harvested ash replacing shrinking fresh fly ash, slag flat at 4-6 million tons, and a new calcined clay industry of 10-15 million tons. ASTM C595 and C1157 already allow such blends; state DOT acceptance and SCM supply are the real limits.
The floor is the long-run limit. How fast a policy can approach it is capped separately by the SCM supply ramp in the CSPAbY file, which holds the reachable U.S. ratio to about 0.75 in 2030 and 0.70 in 2040.</t>
  </si>
  <si>
    <t>What the floor covers</t>
  </si>
  <si>
    <t>The floor counts supplementary cementitious materials wherever they are blended: in the cement at the cement plant, or added to the concrete at the concrete plant. The clinker saved per unit of binder is the same either way. Cutting the amount of binder in each cubic meter of concrete through mix optimization (admixtures, aggregate grading, quality control) is a different measure, covered by the separate cement-content lever, so the two levers do not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</si>
</sst>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3"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5"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diancementreview.com/2026/01/28/niti-aayog-unveils-decarbonisation-roadmaps/" TargetMode="External"/><Relationship Id="rId3" Type="http://schemas.openxmlformats.org/officeDocument/2006/relationships/hyperlink" Target="https://www.cementeurope.eu/media/g44cvp5a/cembureau-net-zero-roadmap.pdf" TargetMode="External"/><Relationship Id="rId7" Type="http://schemas.openxmlformats.org/officeDocument/2006/relationships/hyperlink" Target="https://ised-isde.canada.ca/site/clean-growth-hub/sites/default/files/documents/2022-11/roadmap-net-zero-carbon-concrete-2050_0.pdf" TargetMode="External"/><Relationship Id="rId2" Type="http://schemas.openxmlformats.org/officeDocument/2006/relationships/hyperlink" Target="https://gccassociation.org/concretefuture/wp-content/uploads/2021/10/GCCA-Concrete-Future-Roadmap-Document-AW.pdf" TargetMode="External"/><Relationship Id="rId1" Type="http://schemas.openxmlformats.org/officeDocument/2006/relationships/hyperlink" Target="https://www.cement.org/wp-content/uploads/2024/05/Roadmap_Jan2024.pdf" TargetMode="External"/><Relationship Id="rId6" Type="http://schemas.openxmlformats.org/officeDocument/2006/relationships/hyperlink" Target="https://cement.ca/wp-content/uploads/ConcreteZero-Report-FINAL-reduced.pdf" TargetMode="External"/><Relationship Id="rId11" Type="http://schemas.openxmlformats.org/officeDocument/2006/relationships/hyperlink" Target="https://lpdd.org/wp-content/uploads/2020/09/Decarbonization-Roadmap-CA-Cement-Final.pdf" TargetMode="External"/><Relationship Id="rId5" Type="http://schemas.openxmlformats.org/officeDocument/2006/relationships/hyperlink" Target="https://canacem.org.mx/site/wp-content/uploads/2023/03/Hoja-de-Ruta-Mexico-FICEM.pdf" TargetMode="External"/><Relationship Id="rId10" Type="http://schemas.openxmlformats.org/officeDocument/2006/relationships/hyperlink" Target="https://www.aceee.org/wp-content/uploads/2026/07/ACEEE_Decarbonisation_in_Cement_Industry.pdf" TargetMode="External"/><Relationship Id="rId4" Type="http://schemas.openxmlformats.org/officeDocument/2006/relationships/hyperlink" Target="http://snic.org.br/assets/pdf/roadmap/cement-technology-roadmap-brazil.pdf" TargetMode="External"/><Relationship Id="rId9" Type="http://schemas.openxmlformats.org/officeDocument/2006/relationships/hyperlink" Target="https://www.cemnet.com/News/story/178891/indian-roadmap-aims-for-net-zero-by-207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heetViews>
  <sheetFormatPr defaultRowHeight="14.5" x14ac:dyDescent="0.35"/>
  <cols>
    <col min="1" max="1" width="14.6328125" customWidth="1"/>
    <col min="2" max="2" width="110.6328125" customWidth="1"/>
    <col min="3" max="3" width="3.6328125" customWidth="1"/>
    <col min="4" max="4" width="110.6328125" customWidth="1"/>
  </cols>
  <sheetData>
    <row r="1" spans="1:4" x14ac:dyDescent="0.35">
      <c r="A1" s="7" t="s">
        <v>0</v>
      </c>
    </row>
    <row r="3" spans="1:4" x14ac:dyDescent="0.35">
      <c r="A3" s="6" t="s">
        <v>1</v>
      </c>
      <c r="B3" s="8" t="s">
        <v>87</v>
      </c>
      <c r="D3" s="8" t="s">
        <v>59</v>
      </c>
    </row>
    <row r="4" spans="1:4" x14ac:dyDescent="0.35">
      <c r="B4" s="10" t="s">
        <v>2</v>
      </c>
      <c r="D4" s="10" t="s">
        <v>60</v>
      </c>
    </row>
    <row r="5" spans="1:4" x14ac:dyDescent="0.35">
      <c r="B5" s="10" t="s">
        <v>88</v>
      </c>
      <c r="D5" s="10" t="s">
        <v>61</v>
      </c>
    </row>
    <row r="6" spans="1:4" x14ac:dyDescent="0.35">
      <c r="B6" s="10">
        <v>2024</v>
      </c>
      <c r="D6" s="10">
        <v>2022</v>
      </c>
    </row>
    <row r="7" spans="1:4" ht="29" x14ac:dyDescent="0.35">
      <c r="B7" s="9" t="s">
        <v>89</v>
      </c>
      <c r="D7" s="9" t="s">
        <v>62</v>
      </c>
    </row>
    <row r="8" spans="1:4" ht="29" x14ac:dyDescent="0.35">
      <c r="B8" s="10" t="s">
        <v>90</v>
      </c>
      <c r="D8" s="10" t="s">
        <v>63</v>
      </c>
    </row>
    <row r="10" spans="1:4" x14ac:dyDescent="0.35">
      <c r="B10" s="8" t="s">
        <v>37</v>
      </c>
      <c r="D10" s="8" t="s">
        <v>64</v>
      </c>
    </row>
    <row r="11" spans="1:4" x14ac:dyDescent="0.35">
      <c r="B11" s="10" t="s">
        <v>3</v>
      </c>
      <c r="D11" s="10" t="s">
        <v>65</v>
      </c>
    </row>
    <row r="12" spans="1:4" x14ac:dyDescent="0.35">
      <c r="B12" s="10" t="s">
        <v>38</v>
      </c>
      <c r="D12" s="10" t="s">
        <v>66</v>
      </c>
    </row>
    <row r="13" spans="1:4" x14ac:dyDescent="0.35">
      <c r="B13" s="10">
        <v>2021</v>
      </c>
      <c r="D13" s="10">
        <v>2026</v>
      </c>
    </row>
    <row r="14" spans="1:4" x14ac:dyDescent="0.35">
      <c r="B14" s="9" t="s">
        <v>91</v>
      </c>
      <c r="D14" s="9" t="s">
        <v>67</v>
      </c>
    </row>
    <row r="15" spans="1:4" ht="43.5" x14ac:dyDescent="0.35">
      <c r="B15" s="10" t="s">
        <v>97</v>
      </c>
      <c r="D15" s="10" t="s">
        <v>68</v>
      </c>
    </row>
    <row r="17" spans="2:4" x14ac:dyDescent="0.35">
      <c r="B17" s="8" t="s">
        <v>39</v>
      </c>
      <c r="D17" s="8" t="s">
        <v>69</v>
      </c>
    </row>
    <row r="18" spans="2:4" x14ac:dyDescent="0.35">
      <c r="B18" s="10" t="s">
        <v>40</v>
      </c>
      <c r="D18" s="10" t="s">
        <v>70</v>
      </c>
    </row>
    <row r="19" spans="2:4" x14ac:dyDescent="0.35">
      <c r="B19" s="10" t="s">
        <v>41</v>
      </c>
      <c r="D19" s="10" t="s">
        <v>71</v>
      </c>
    </row>
    <row r="20" spans="2:4" x14ac:dyDescent="0.35">
      <c r="B20" s="10"/>
      <c r="D20" s="10"/>
    </row>
    <row r="21" spans="2:4" x14ac:dyDescent="0.35">
      <c r="B21" s="9" t="s">
        <v>42</v>
      </c>
      <c r="D21" s="9" t="s">
        <v>72</v>
      </c>
    </row>
    <row r="22" spans="2:4" x14ac:dyDescent="0.35">
      <c r="B22" s="10" t="s">
        <v>43</v>
      </c>
      <c r="D22" s="10" t="s">
        <v>73</v>
      </c>
    </row>
    <row r="24" spans="2:4" x14ac:dyDescent="0.35">
      <c r="B24" s="8" t="s">
        <v>44</v>
      </c>
      <c r="D24" s="8" t="s">
        <v>74</v>
      </c>
    </row>
    <row r="25" spans="2:4" x14ac:dyDescent="0.35">
      <c r="B25" s="10" t="s">
        <v>45</v>
      </c>
      <c r="D25" s="10" t="s">
        <v>75</v>
      </c>
    </row>
    <row r="26" spans="2:4" x14ac:dyDescent="0.35">
      <c r="B26" s="10" t="s">
        <v>46</v>
      </c>
      <c r="D26" s="10" t="s">
        <v>76</v>
      </c>
    </row>
    <row r="27" spans="2:4" x14ac:dyDescent="0.35">
      <c r="B27" s="10">
        <v>2019</v>
      </c>
      <c r="D27" s="10">
        <v>2026</v>
      </c>
    </row>
    <row r="28" spans="2:4" x14ac:dyDescent="0.35">
      <c r="B28" s="9" t="s">
        <v>47</v>
      </c>
      <c r="D28" s="9" t="s">
        <v>77</v>
      </c>
    </row>
    <row r="29" spans="2:4" ht="29" x14ac:dyDescent="0.35">
      <c r="B29" s="10" t="s">
        <v>48</v>
      </c>
      <c r="D29" s="10" t="s">
        <v>78</v>
      </c>
    </row>
    <row r="31" spans="2:4" x14ac:dyDescent="0.35">
      <c r="B31" s="8" t="s">
        <v>49</v>
      </c>
      <c r="D31" s="8" t="s">
        <v>92</v>
      </c>
    </row>
    <row r="32" spans="2:4" x14ac:dyDescent="0.35">
      <c r="B32" s="10" t="s">
        <v>50</v>
      </c>
      <c r="D32" s="10" t="s">
        <v>93</v>
      </c>
    </row>
    <row r="33" spans="1:4" x14ac:dyDescent="0.35">
      <c r="B33" s="10" t="s">
        <v>51</v>
      </c>
      <c r="D33" s="10" t="s">
        <v>94</v>
      </c>
    </row>
    <row r="34" spans="1:4" x14ac:dyDescent="0.35">
      <c r="B34" s="10"/>
      <c r="D34" s="10">
        <v>2019</v>
      </c>
    </row>
    <row r="35" spans="1:4" x14ac:dyDescent="0.35">
      <c r="B35" s="9" t="s">
        <v>52</v>
      </c>
      <c r="D35" s="9" t="s">
        <v>95</v>
      </c>
    </row>
    <row r="36" spans="1:4" ht="43.5" x14ac:dyDescent="0.35">
      <c r="B36" s="10" t="s">
        <v>53</v>
      </c>
      <c r="D36" s="10" t="s">
        <v>96</v>
      </c>
    </row>
    <row r="38" spans="1:4" x14ac:dyDescent="0.35">
      <c r="B38" s="8" t="s">
        <v>54</v>
      </c>
    </row>
    <row r="39" spans="1:4" x14ac:dyDescent="0.35">
      <c r="B39" s="10" t="s">
        <v>55</v>
      </c>
    </row>
    <row r="40" spans="1:4" x14ac:dyDescent="0.35">
      <c r="B40" s="10" t="s">
        <v>56</v>
      </c>
    </row>
    <row r="41" spans="1:4" x14ac:dyDescent="0.35">
      <c r="B41" s="10">
        <v>2023</v>
      </c>
    </row>
    <row r="42" spans="1:4" x14ac:dyDescent="0.35">
      <c r="B42" s="9" t="s">
        <v>57</v>
      </c>
    </row>
    <row r="43" spans="1:4" x14ac:dyDescent="0.35">
      <c r="B43" s="10" t="s">
        <v>58</v>
      </c>
    </row>
    <row r="46" spans="1:4" x14ac:dyDescent="0.35">
      <c r="A46" s="6" t="s">
        <v>4</v>
      </c>
    </row>
    <row r="47" spans="1:4" ht="159.5" x14ac:dyDescent="0.35">
      <c r="A47" s="6" t="s">
        <v>79</v>
      </c>
      <c r="B47" s="10" t="s">
        <v>99</v>
      </c>
    </row>
    <row r="48" spans="1:4" ht="58" x14ac:dyDescent="0.35">
      <c r="A48" s="6" t="s">
        <v>101</v>
      </c>
      <c r="B48" s="10" t="s">
        <v>102</v>
      </c>
    </row>
    <row r="49" spans="1:2" ht="72.5" x14ac:dyDescent="0.35">
      <c r="A49" s="6" t="s">
        <v>80</v>
      </c>
      <c r="B49" s="10" t="s">
        <v>98</v>
      </c>
    </row>
    <row r="50" spans="1:2" ht="130.5" x14ac:dyDescent="0.35">
      <c r="A50" s="6" t="s">
        <v>81</v>
      </c>
      <c r="B50" s="10" t="s">
        <v>100</v>
      </c>
    </row>
    <row r="51" spans="1:2" ht="116" x14ac:dyDescent="0.35">
      <c r="A51" s="6" t="s">
        <v>82</v>
      </c>
      <c r="B51" s="10" t="s">
        <v>83</v>
      </c>
    </row>
  </sheetData>
  <hyperlinks>
    <hyperlink ref="B7" r:id="rId1" xr:uid="{E0F0D2A9-A6D0-4E4B-9A19-6B80DAE7FB38}"/>
    <hyperlink ref="B14" r:id="rId2" xr:uid="{97613D90-0443-468B-9330-FFC5ACF2B2B1}"/>
    <hyperlink ref="B21" r:id="rId3" xr:uid="{66733ACC-1C99-44E1-B9AE-517603169CF9}"/>
    <hyperlink ref="B28" r:id="rId4" xr:uid="{C6DAD5DA-8AA5-425E-ADF5-9D67075BFE6C}"/>
    <hyperlink ref="B35" r:id="rId5" xr:uid="{2BB16AC5-408F-48AE-B2D2-BC4FE05DAE7F}"/>
    <hyperlink ref="B42" r:id="rId6" xr:uid="{1EB7DD75-3EB9-4FF3-8319-E629295D6742}"/>
    <hyperlink ref="D7" r:id="rId7" xr:uid="{597E6EF8-C1A1-4514-85CB-8E053D1A71A9}"/>
    <hyperlink ref="D14" r:id="rId8" xr:uid="{995A94AE-CCEE-4E3F-B3B3-E0814D45BBB4}"/>
    <hyperlink ref="D21" r:id="rId9" xr:uid="{E56E309F-E8FD-4D48-9C7A-C232127C0169}"/>
    <hyperlink ref="D28" r:id="rId10" xr:uid="{9D30ED9E-A453-4F87-B86A-88414F1ED360}"/>
    <hyperlink ref="D35" r:id="rId11" xr:uid="{B208843F-40C4-49AA-A892-D74BD4DB03E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8" customWidth="1"/>
    <col min="2" max="2" width="16" customWidth="1"/>
    <col min="3" max="3" width="10" customWidth="1"/>
    <col min="4" max="4" width="70" customWidth="1"/>
  </cols>
  <sheetData>
    <row r="1" spans="1:4" x14ac:dyDescent="0.35">
      <c r="A1" s="1" t="s">
        <v>5</v>
      </c>
      <c r="B1" s="3" t="s">
        <v>6</v>
      </c>
    </row>
    <row r="2" spans="1:4" ht="130.5" x14ac:dyDescent="0.35">
      <c r="A2" s="2" t="s">
        <v>84</v>
      </c>
    </row>
    <row r="4" spans="1:4" ht="29" x14ac:dyDescent="0.35">
      <c r="A4" s="4" t="s">
        <v>7</v>
      </c>
      <c r="B4" s="4" t="s">
        <v>8</v>
      </c>
      <c r="C4" s="4" t="s">
        <v>9</v>
      </c>
      <c r="D4" s="4" t="s">
        <v>10</v>
      </c>
    </row>
    <row r="5" spans="1:4" x14ac:dyDescent="0.35">
      <c r="A5" t="s">
        <v>6</v>
      </c>
      <c r="B5">
        <v>0.65</v>
      </c>
      <c r="C5" t="s">
        <v>11</v>
      </c>
      <c r="D5" t="s">
        <v>12</v>
      </c>
    </row>
    <row r="6" spans="1:4" x14ac:dyDescent="0.35">
      <c r="A6" t="s">
        <v>13</v>
      </c>
      <c r="D6" t="s">
        <v>14</v>
      </c>
    </row>
    <row r="7" spans="1:4" x14ac:dyDescent="0.35">
      <c r="A7" t="s">
        <v>15</v>
      </c>
      <c r="B7">
        <v>0.62</v>
      </c>
      <c r="C7" t="s">
        <v>16</v>
      </c>
      <c r="D7" t="s">
        <v>17</v>
      </c>
    </row>
    <row r="8" spans="1:4" x14ac:dyDescent="0.35">
      <c r="A8" t="s">
        <v>18</v>
      </c>
      <c r="B8">
        <v>0.6</v>
      </c>
      <c r="C8" t="s">
        <v>19</v>
      </c>
      <c r="D8" t="s">
        <v>20</v>
      </c>
    </row>
    <row r="9" spans="1:4" x14ac:dyDescent="0.35">
      <c r="A9" t="s">
        <v>21</v>
      </c>
      <c r="D9" t="s">
        <v>22</v>
      </c>
    </row>
    <row r="10" spans="1:4" x14ac:dyDescent="0.35">
      <c r="A10" t="s">
        <v>23</v>
      </c>
      <c r="B10">
        <v>0.52</v>
      </c>
      <c r="C10" t="s">
        <v>19</v>
      </c>
      <c r="D10" t="s">
        <v>24</v>
      </c>
    </row>
    <row r="11" spans="1:4" x14ac:dyDescent="0.35">
      <c r="A11" t="s">
        <v>25</v>
      </c>
      <c r="B11">
        <v>0.66</v>
      </c>
      <c r="C11" t="s">
        <v>19</v>
      </c>
      <c r="D11" t="s">
        <v>26</v>
      </c>
    </row>
    <row r="12" spans="1:4" x14ac:dyDescent="0.35">
      <c r="A12" t="s">
        <v>27</v>
      </c>
      <c r="B12">
        <v>0.6</v>
      </c>
      <c r="C12" t="s">
        <v>19</v>
      </c>
      <c r="D12" t="s">
        <v>28</v>
      </c>
    </row>
    <row r="13" spans="1:4" x14ac:dyDescent="0.35">
      <c r="A13" t="s">
        <v>29</v>
      </c>
      <c r="D13" t="s">
        <v>22</v>
      </c>
    </row>
    <row r="14" spans="1:4" x14ac:dyDescent="0.35">
      <c r="A14" t="s">
        <v>30</v>
      </c>
      <c r="D14" t="s">
        <v>22</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5" x14ac:dyDescent="0.35"/>
  <cols>
    <col min="1" max="1" width="58" customWidth="1"/>
  </cols>
  <sheetData>
    <row r="1" spans="1:2" x14ac:dyDescent="0.35">
      <c r="A1" t="s">
        <v>31</v>
      </c>
      <c r="B1" t="str">
        <f>Regions!B1</f>
        <v>United States</v>
      </c>
    </row>
    <row r="2" spans="1:2" x14ac:dyDescent="0.35">
      <c r="A2" t="s">
        <v>86</v>
      </c>
      <c r="B2">
        <f>(0.52/(1-0.11))</f>
        <v>0.5842696629213483</v>
      </c>
    </row>
    <row r="3" spans="1:2" x14ac:dyDescent="0.35">
      <c r="A3" t="s">
        <v>32</v>
      </c>
      <c r="B3">
        <f>IF(ISNUMBER(INDEX(Regions!$B$5:$B$14,MATCH(Regions!$B$1,Regions!$A$5:$A$14,0))),INDEX(Regions!$B$5:$B$14,MATCH(Regions!$B$1,Regions!$A$5:$A$14,0)),B2)</f>
        <v>0.65</v>
      </c>
    </row>
    <row r="4" spans="1:2" x14ac:dyDescent="0.35">
      <c r="A4" t="s">
        <v>33</v>
      </c>
      <c r="B4" t="str">
        <f>IF(ISNUMBER(INDEX(Regions!$B$5:$B$14,MATCH(Regions!$B$1,Regions!$A$5:$A$14,0))),"region value","WARN - global fallback in use")</f>
        <v>region value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4.5" x14ac:dyDescent="0.35"/>
  <cols>
    <col min="1" max="1" width="70.7265625" customWidth="1"/>
    <col min="2" max="2" width="12.7265625" customWidth="1"/>
  </cols>
  <sheetData>
    <row r="1" spans="1:2" x14ac:dyDescent="0.35">
      <c r="A1" s="5" t="s">
        <v>35</v>
      </c>
    </row>
    <row r="3" spans="1:2" x14ac:dyDescent="0.35">
      <c r="A3" t="s">
        <v>36</v>
      </c>
      <c r="B3" t="str">
        <f>IF(AND(MACtCR!B2&gt;0.4,MACtCR!B2&lt;0.83),"PASS","FAIL")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2"/>
  <sheetViews>
    <sheetView workbookViewId="0"/>
  </sheetViews>
  <sheetFormatPr defaultRowHeight="14.5" x14ac:dyDescent="0.35"/>
  <sheetData>
    <row r="1" spans="1:2" x14ac:dyDescent="0.35">
      <c r="A1" t="s">
        <v>85</v>
      </c>
      <c r="B1" t="s">
        <v>34</v>
      </c>
    </row>
    <row r="2" spans="1:2" x14ac:dyDescent="0.35">
      <c r="A2" t="s">
        <v>32</v>
      </c>
      <c r="B2">
        <f>Derivation!B3</f>
        <v>0.65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Regions</vt:lpstr>
      <vt:lpstr>Derivation</vt:lpstr>
      <vt:lpstr>Checks</vt:lpstr>
      <vt:lpstr>MACtCR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2026-09-28T13:54:44Z</dcterms:created>
  <dcterms:modified xsi:type="dcterms:W3CDTF">2026-10-12T13:37:32Z</dcterms:modified>
</cp:coreProperties>
</file>