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MACtCR\"/>
    </mc:Choice>
  </mc:AlternateContent>
  <xr:revisionPtr revIDLastSave="0" documentId="13_ncr:1_{D09A3952-C29C-4F1B-9BF2-A8BD4E74BACF}" xr6:coauthVersionLast="47" xr6:coauthVersionMax="47" xr10:uidLastSave="{00000000-0000-0000-0000-000000000000}"/>
  <bookViews>
    <workbookView xWindow="-120" yWindow="-120" windowWidth="29040" windowHeight="17520" xr2:uid="{00000000-000D-0000-FFFF-FFFF00000000}"/>
  </bookViews>
  <sheets>
    <sheet name="About" sheetId="1" r:id="rId1"/>
    <sheet name="Regions" sheetId="2" r:id="rId2"/>
    <sheet name="Derivation" sheetId="3" r:id="rId3"/>
    <sheet name="Checks" sheetId="4" r:id="rId4"/>
    <sheet name="MACtCR"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 l="1"/>
  <c r="B3" i="3"/>
  <c r="B1" i="3"/>
  <c r="B2" i="5" l="1"/>
  <c r="B3" i="4" s="1"/>
</calcChain>
</file>

<file path=xl/sharedStrings.xml><?xml version="1.0" encoding="utf-8"?>
<sst xmlns="http://schemas.openxmlformats.org/spreadsheetml/2006/main" count="103" uniqueCount="96">
  <si>
    <t>MACtCR Minimum Achievable Clinker to Cement Ratio</t>
  </si>
  <si>
    <t>Sources:</t>
  </si>
  <si>
    <t>Portland Cement Association (PCA)</t>
  </si>
  <si>
    <t>Roadmap to Carbon Neutrality</t>
  </si>
  <si>
    <t>https://www.cement.org/a-sustainable-future/roadmap-to-carbon-neutrality/</t>
  </si>
  <si>
    <t>Global Cement and Concrete Association (GCCA)</t>
  </si>
  <si>
    <t>https://gccassociation.org/concretefuture/</t>
  </si>
  <si>
    <t>Notes:</t>
  </si>
  <si>
    <t>Selected region (drop-down):</t>
  </si>
  <si>
    <t>United States</t>
  </si>
  <si>
    <t>Region</t>
  </si>
  <si>
    <t>Minimum achievable ratio</t>
  </si>
  <si>
    <t>Flag</t>
  </si>
  <si>
    <t>Roadmap / source</t>
  </si>
  <si>
    <t>JUDGMENT</t>
  </si>
  <si>
    <t>PCA roadmap context + GCCA global; conservative EI judgment</t>
  </si>
  <si>
    <t>China</t>
  </si>
  <si>
    <t>TO FILL - CCA / RMI net-zero roadmap</t>
  </si>
  <si>
    <t>India</t>
  </si>
  <si>
    <t>SNIPPET</t>
  </si>
  <si>
    <t>(2070) NITI Aayog Jan-2026 roadmap ~67.5% -&gt; ~62% by 2070 (SNIPPET). Range 0.56-0.675: GCCA India/TERI 0.56 by 2070 (SNIPPET); ACEEE ~65% by 2030 (SNIPPET).</t>
  </si>
  <si>
    <t>EU-27</t>
  </si>
  <si>
    <t>DIRECT</t>
  </si>
  <si>
    <t>(2050) CEMBUREAU 'From Ambition to Deployment' net-zero roadmap: 60% by 2050, revised down from 65% (DIRECT).</t>
  </si>
  <si>
    <t>Japan</t>
  </si>
  <si>
    <t>TO FILL</t>
  </si>
  <si>
    <t>Brazil</t>
  </si>
  <si>
    <t>(2050) SNIC/IEA/WBCSD 2019 roadmap: 52% in 2050, 59% in 2030 (DIRECT). 2025 Net Zero Roadmap (COP30): 51% (SNIPPET).</t>
  </si>
  <si>
    <t>Mexico</t>
  </si>
  <si>
    <t>(2030) FICEM roadmap: 66% by 2030 from 75% in 2016 (DIRECT). A 2030 figure, NOT a 2050 floor - the 2050 value is TO FILL (FICEM scenario annexes).</t>
  </si>
  <si>
    <t>Canada</t>
  </si>
  <si>
    <t>(2050) CAC Concrete Zero: 60% in 2050 (75% 2030, 68% 2040) (DIRECT). A snippet quotes 890 -&gt; 630 kg/t - check the ISED roadmap figure.</t>
  </si>
  <si>
    <t>Indonesia</t>
  </si>
  <si>
    <t>Australia</t>
  </si>
  <si>
    <t>Selected region</t>
  </si>
  <si>
    <t>GCCA global 2050 clinker-to-binder ratio (fallback, flagged)</t>
  </si>
  <si>
    <t>Minimum Achievable Clinker to Cement Ratio</t>
  </si>
  <si>
    <t>Status</t>
  </si>
  <si>
    <t>Value</t>
  </si>
  <si>
    <t>Checks</t>
  </si>
  <si>
    <t>Value between 0.4 and the 2025 BAU clinker ratio (0.83)</t>
  </si>
  <si>
    <t>U.S. context for the floor</t>
  </si>
  <si>
    <t>Cites a near-term U.S. ratio of around 0.75, trending lower with Type IL cement and rising use of supplementary cementitious materials (SCMs). We used a search summary of the roadmap, not the full document. The 0.65 value is our own judgment, not a PCA figure.</t>
  </si>
  <si>
    <t>Global fallback ratio</t>
  </si>
  <si>
    <t>Concrete Future: The GCCA 2050 Cement and Concrete Industry Roadmap for Net Zero Concrete</t>
  </si>
  <si>
    <t>Global clinker-to-binder ratio of 0.63 (2020), 0.58 (2030), and 0.52 (2050), from a search summary rather than the roadmap PDF (SNIPPET). It is a global figure, used only as a flagged fallback (0.52) when a region has no value.</t>
  </si>
  <si>
    <t>EU-27 floor</t>
  </si>
  <si>
    <t>CEMBUREAU (now Cement Europe)</t>
  </si>
  <si>
    <t>Net Zero Roadmap: From Ambition to Deployment</t>
  </si>
  <si>
    <t>https://www.cementeurope.eu/media/g44cvp5a/cembureau-net-zero-roadmap.pdf</t>
  </si>
  <si>
    <t>A clinker ratio of 60% by 2050, revised down from 65% in the earlier version of the roadmap (DIRECT).</t>
  </si>
  <si>
    <t>Brazil floor</t>
  </si>
  <si>
    <t>SNIC, International Energy Agency, and World Business Council for Sustainable Development</t>
  </si>
  <si>
    <t>Cement Technology Roadmap: Brazil</t>
  </si>
  <si>
    <t>http://snic.org.br/assets/pdf/roadmap/cement-technology-roadmap-brazil.pdf</t>
  </si>
  <si>
    <t>A clinker factor of 52% in 2050 and 59% in 2030, in the 2-degree scenario (DIRECT). A later Net Zero Roadmap presented at COP30 is reported to give 51% (SNIPPET); we did not locate that document.</t>
  </si>
  <si>
    <t>Mexico target</t>
  </si>
  <si>
    <t>FICEM / CANACEM (Mexican cement chamber)</t>
  </si>
  <si>
    <t>Hoja de Ruta: Industria del Cemento Mexico</t>
  </si>
  <si>
    <t>https://canacem.org.mx/site/wp-content/uploads/2023/03/Hoja-de-Ruta-Mexico-FICEM.pdf</t>
  </si>
  <si>
    <t>A clinker factor of 66% by 2030, down from 75% in 2016 (DIRECT). This is a 2030 target, not a 2050 floor; the roadmap's scenario annexes should give a 2050 value, which we have not read.</t>
  </si>
  <si>
    <t>Canada floor</t>
  </si>
  <si>
    <t>Cement Association of Canada</t>
  </si>
  <si>
    <t>Concrete Zero: Action Plan</t>
  </si>
  <si>
    <t>https://cement.ca/wp-content/uploads/ConcreteZero-Report-FINAL-reduced.pdf</t>
  </si>
  <si>
    <t>A clinker ratio of 60% in 2050, with 75% in 2030 and 68% in 2040 (DIRECT).</t>
  </si>
  <si>
    <t>Canada, conflicting figure</t>
  </si>
  <si>
    <t>Innovation, Science and Economic Development Canada / Natural Resources Canada</t>
  </si>
  <si>
    <t>Roadmap to Net-Zero Carbon Concrete by 2050</t>
  </si>
  <si>
    <t>https://ised-isde.canada.ca/site/clean-growth-hub/sites/default/files/documents/2022-11/roadmap-net-zero-carbon-concrete-2050_0.pdf</t>
  </si>
  <si>
    <t>A search summary quotes a decline from 890 to 630 kg per ton, which does not match the 60% above. We did not open this roadmap to settle it.</t>
  </si>
  <si>
    <t>India floor</t>
  </si>
  <si>
    <t>Indian Cement Review</t>
  </si>
  <si>
    <t>NITI Aayog unveils decarbonisation roadmaps</t>
  </si>
  <si>
    <t>https://indiancementreview.com/2026/01/28/niti-aayog-unveils-decarbonisation-roadmaps/</t>
  </si>
  <si>
    <t>NITI Aayog's roadmap takes the ratio from about 67.5% to about 62% by 2070 (SNIPPET, from a search summary). Our India value of 0.62 is this 2070 figure.</t>
  </si>
  <si>
    <t>India, lower estimate</t>
  </si>
  <si>
    <t>Global Cement and Concrete Association (GCCA), with TERI</t>
  </si>
  <si>
    <t>Indian roadmap aims for net zero by 2070</t>
  </si>
  <si>
    <t>https://www.cemnet.com/News/story/178891/indian-roadmap-aims-for-net-zero-by-2070.html</t>
  </si>
  <si>
    <t>The GCCA India / TERI roadmap takes the ratio from 0.75 in 2020 to about 0.56 by 2070 (SNIPPET). We did not open the page.</t>
  </si>
  <si>
    <t>India, nearer-term target</t>
  </si>
  <si>
    <t>American Council for an Energy-Efficient Economy (ACEEE)</t>
  </si>
  <si>
    <t>Decarbonisation in the Indian Cement Industry</t>
  </si>
  <si>
    <t>https://www.aceee.org/wp-content/uploads/2026/07/ACEEE_Decarbonisation_in_Cement_Industry.pdf</t>
  </si>
  <si>
    <t>A target of about 65% by 2030 (SNIPPET).</t>
  </si>
  <si>
    <t>Purpose and layout</t>
  </si>
  <si>
    <t>This file gives the lowest clinker-to-cement ratio the region could reach if clinker substitution were fully deployed, meaning more fly ash, slag, calcined clay, and limestone in blended cements. It is a single number, not a time series. In each policy year the model lowers the BAU ratio (BCtCR) by the cement-measures lever setting times the gap between the BAU ratio and this floor, so at full implementation the ratio reaches the floor. If the BAU ratio is already below the floor, the lever has nothing left to do. Because the lever works on a ratio rather than a tonnage, it behaves sensibly in regions where BAU ratios differ. Any limit on SCM supply should be reflected in the value chosen here.
The tabs are 'Regions' (selector and each region's value), 'Derivation' (picks the value and shows whether it is a regional value or the fallback), and 'Checks' (the value should fall between 0.4 and the 2025 BAU ratio of about 0.83). The last tab, 'MACtCR', reads the Derivation and is what gets exported to MACtCR.csv.</t>
  </si>
  <si>
    <t>Using it for other regions</t>
  </si>
  <si>
    <t>We set this file up to be adaptable to each of the main EPS regions. If you are working on a non-US region, use the drop-down selector at the top of the 'Regions' tab to choose a different country, and the 'MACtCR' tab updates on its own; just re-export the CSV. If the region's row is blank, the Derivation falls back to the GCCA global 2050 figure of 0.52 and the 'Derivation' tab shows a warning. That global number is only a placeholder, so replace it with a regional roadmap value or your own judgment.</t>
  </si>
  <si>
    <t>U.S. value</t>
  </si>
  <si>
    <t>For the U.S. national file version we use 0.65, which is our judgment, not a published target. With a BAU ratio of 0.79 from 2035 onward, it leaves 0.14 points of potential reduction. PCA's roadmap shows a near-term ratio around 0.75 and falling; 0.65 assumes aggressive use of calcined clay (LC3), slag, and ternary blends beyond the Type IL transition already in the BAU. It is deliberately conservative compared with the GCCA global 2050 figure of 0.52.</t>
  </si>
  <si>
    <t>Other regions' values</t>
  </si>
  <si>
    <t>The other regions' values are the roadmap targets we could find. Each non-US value on the 'Regions' tab carries a tag showing how far to trust it: DIRECT means we read the number in the original document; SNIPPET means it came from a secondary summary, such as a trade-press article, and should be checked against the original; JUDGMENT means it is our own estimate or arithmetic, shown as a formula where possible. A blank means we have not found a good value yet. The 'Roadmap / source' column shows each target's year in parentheses, and the years differ: EU-27 (0.60), Brazil (0.52), and Canada (0.60) are 2050 values and DIRECT. Mexico's 0.66 is a 2030 target, not a 2050 floor, and India's 0.62 is a 2070 value (SNIPPET) within a range of 0.56 to 0.675 across sources, so both should be revisited. China, Japan, Indonesia, and Australia are blank. The Canada figure should be checked against the federal roadmap, which a search summary quotes differently.</t>
  </si>
  <si>
    <t>Pick a region from the drop-down in B1. The Derivation and the export tab update on their own; re-export the CSV afterward. A blank cell means no sourced value yet.</t>
  </si>
  <si>
    <t>Unit: dimensionless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</si>
</sst>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name val="Calibri"/>
      <family val="2"/>
    </font>
    <font>
      <b/>
      <sz val="11"/>
      <color rgb="FFC00000"/>
      <name val="Calibri"/>
      <family val="2"/>
    </font>
    <font>
      <b/>
      <sz val="11"/>
      <color theme="1"/>
      <name val="Calibri"/>
      <family val="2"/>
      <scheme val="minor"/>
    </font>
    <font>
      <u/>
      <sz val="11"/>
      <color theme="10"/>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0">
    <xf numFmtId="0" fontId="0" fillId="0" borderId="0" xfId="0"/>
    <xf numFmtId="0" fontId="1" fillId="0" borderId="0" xfId="0" applyFont="1"/>
    <xf numFmtId="0" fontId="0" fillId="0" borderId="0" xfId="0" applyAlignment="1">
      <alignment horizontal="left" vertical="top" wrapText="1"/>
    </xf>
    <xf numFmtId="0" fontId="2" fillId="0" borderId="0" xfId="0" applyFont="1"/>
    <xf numFmtId="0" fontId="1" fillId="0" borderId="0" xfId="0" applyFont="1" applyAlignment="1">
      <alignment horizontal="left" vertical="top" wrapText="1"/>
    </xf>
    <xf numFmtId="0" fontId="3" fillId="0" borderId="0" xfId="0" applyFont="1"/>
    <xf numFmtId="0" fontId="3" fillId="0" borderId="0" xfId="0" applyFont="1" applyAlignment="1">
      <alignment horizontal="left" vertical="top" wrapText="1"/>
    </xf>
    <xf numFmtId="0" fontId="3" fillId="0" borderId="0" xfId="0" applyFont="1" applyAlignment="1">
      <alignment horizontal="left" vertical="top"/>
    </xf>
    <xf numFmtId="0" fontId="3" fillId="2" borderId="0" xfId="0" applyFont="1" applyFill="1" applyAlignment="1">
      <alignment horizontal="left" vertical="top" wrapText="1"/>
    </xf>
    <xf numFmtId="0" fontId="5" fillId="0" borderId="0" xfId="1"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indiancementreview.com/2026/01/28/niti-aayog-unveils-decarbonisation-roadmaps/" TargetMode="External"/><Relationship Id="rId3" Type="http://schemas.openxmlformats.org/officeDocument/2006/relationships/hyperlink" Target="https://www.cementeurope.eu/media/g44cvp5a/cembureau-net-zero-roadmap.pdf" TargetMode="External"/><Relationship Id="rId7" Type="http://schemas.openxmlformats.org/officeDocument/2006/relationships/hyperlink" Target="https://ised-isde.canada.ca/site/clean-growth-hub/sites/default/files/documents/2022-11/roadmap-net-zero-carbon-concrete-2050_0.pdf" TargetMode="External"/><Relationship Id="rId2" Type="http://schemas.openxmlformats.org/officeDocument/2006/relationships/hyperlink" Target="https://gccassociation.org/concretefuture/" TargetMode="External"/><Relationship Id="rId1" Type="http://schemas.openxmlformats.org/officeDocument/2006/relationships/hyperlink" Target="https://www.cement.org/a-sustainable-future/roadmap-to-carbon-neutrality/" TargetMode="External"/><Relationship Id="rId6" Type="http://schemas.openxmlformats.org/officeDocument/2006/relationships/hyperlink" Target="https://cement.ca/wp-content/uploads/ConcreteZero-Report-FINAL-reduced.pdf" TargetMode="External"/><Relationship Id="rId5" Type="http://schemas.openxmlformats.org/officeDocument/2006/relationships/hyperlink" Target="https://canacem.org.mx/site/wp-content/uploads/2023/03/Hoja-de-Ruta-Mexico-FICEM.pdf" TargetMode="External"/><Relationship Id="rId10" Type="http://schemas.openxmlformats.org/officeDocument/2006/relationships/hyperlink" Target="https://www.aceee.org/wp-content/uploads/2026/07/ACEEE_Decarbonisation_in_Cement_Industry.pdf" TargetMode="External"/><Relationship Id="rId4" Type="http://schemas.openxmlformats.org/officeDocument/2006/relationships/hyperlink" Target="http://snic.org.br/assets/pdf/roadmap/cement-technology-roadmap-brazil.pdf" TargetMode="External"/><Relationship Id="rId9" Type="http://schemas.openxmlformats.org/officeDocument/2006/relationships/hyperlink" Target="https://www.cemnet.com/News/story/178891/indian-roadmap-aims-for-net-zero-by-2070.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3"/>
  <sheetViews>
    <sheetView tabSelected="1" workbookViewId="0"/>
  </sheetViews>
  <sheetFormatPr defaultRowHeight="15" x14ac:dyDescent="0.25"/>
  <cols>
    <col min="1" max="1" width="14.7109375" customWidth="1"/>
    <col min="2" max="2" width="110.7109375" customWidth="1"/>
    <col min="3" max="3" width="3.7109375" customWidth="1"/>
    <col min="4" max="4" width="110.7109375" customWidth="1"/>
  </cols>
  <sheetData>
    <row r="1" spans="1:4" x14ac:dyDescent="0.25">
      <c r="A1" s="7" t="s">
        <v>0</v>
      </c>
    </row>
    <row r="3" spans="1:4" x14ac:dyDescent="0.25">
      <c r="A3" s="6" t="s">
        <v>1</v>
      </c>
      <c r="B3" s="8" t="s">
        <v>41</v>
      </c>
      <c r="D3" s="8" t="s">
        <v>61</v>
      </c>
    </row>
    <row r="4" spans="1:4" x14ac:dyDescent="0.25">
      <c r="B4" s="2" t="s">
        <v>2</v>
      </c>
      <c r="D4" s="2" t="s">
        <v>62</v>
      </c>
    </row>
    <row r="5" spans="1:4" x14ac:dyDescent="0.25">
      <c r="B5" s="2" t="s">
        <v>3</v>
      </c>
      <c r="D5" s="2" t="s">
        <v>63</v>
      </c>
    </row>
    <row r="6" spans="1:4" x14ac:dyDescent="0.25">
      <c r="B6" s="2">
        <v>2021</v>
      </c>
      <c r="D6" s="2">
        <v>2023</v>
      </c>
    </row>
    <row r="7" spans="1:4" x14ac:dyDescent="0.25">
      <c r="B7" s="9" t="s">
        <v>4</v>
      </c>
      <c r="D7" s="9" t="s">
        <v>64</v>
      </c>
    </row>
    <row r="8" spans="1:4" ht="45" x14ac:dyDescent="0.25">
      <c r="B8" s="2" t="s">
        <v>42</v>
      </c>
      <c r="D8" s="2" t="s">
        <v>65</v>
      </c>
    </row>
    <row r="10" spans="1:4" x14ac:dyDescent="0.25">
      <c r="B10" s="8" t="s">
        <v>43</v>
      </c>
      <c r="D10" s="8" t="s">
        <v>66</v>
      </c>
    </row>
    <row r="11" spans="1:4" x14ac:dyDescent="0.25">
      <c r="B11" s="2" t="s">
        <v>5</v>
      </c>
      <c r="D11" s="2" t="s">
        <v>67</v>
      </c>
    </row>
    <row r="12" spans="1:4" x14ac:dyDescent="0.25">
      <c r="B12" s="2" t="s">
        <v>44</v>
      </c>
      <c r="D12" s="2" t="s">
        <v>68</v>
      </c>
    </row>
    <row r="13" spans="1:4" x14ac:dyDescent="0.25">
      <c r="B13" s="2">
        <v>2021</v>
      </c>
      <c r="D13" s="2">
        <v>2022</v>
      </c>
    </row>
    <row r="14" spans="1:4" ht="30" x14ac:dyDescent="0.25">
      <c r="B14" s="9" t="s">
        <v>6</v>
      </c>
      <c r="D14" s="9" t="s">
        <v>69</v>
      </c>
    </row>
    <row r="15" spans="1:4" ht="30" x14ac:dyDescent="0.25">
      <c r="B15" s="2" t="s">
        <v>45</v>
      </c>
      <c r="D15" s="2" t="s">
        <v>70</v>
      </c>
    </row>
    <row r="17" spans="2:4" x14ac:dyDescent="0.25">
      <c r="B17" s="8" t="s">
        <v>46</v>
      </c>
      <c r="D17" s="8" t="s">
        <v>71</v>
      </c>
    </row>
    <row r="18" spans="2:4" x14ac:dyDescent="0.25">
      <c r="B18" s="2" t="s">
        <v>47</v>
      </c>
      <c r="D18" s="2" t="s">
        <v>72</v>
      </c>
    </row>
    <row r="19" spans="2:4" x14ac:dyDescent="0.25">
      <c r="B19" s="2" t="s">
        <v>48</v>
      </c>
      <c r="D19" s="2" t="s">
        <v>73</v>
      </c>
    </row>
    <row r="20" spans="2:4" x14ac:dyDescent="0.25">
      <c r="B20" s="2"/>
      <c r="D20" s="2">
        <v>2026</v>
      </c>
    </row>
    <row r="21" spans="2:4" x14ac:dyDescent="0.25">
      <c r="B21" s="9" t="s">
        <v>49</v>
      </c>
      <c r="D21" s="9" t="s">
        <v>74</v>
      </c>
    </row>
    <row r="22" spans="2:4" ht="30" x14ac:dyDescent="0.25">
      <c r="B22" s="2" t="s">
        <v>50</v>
      </c>
      <c r="D22" s="2" t="s">
        <v>75</v>
      </c>
    </row>
    <row r="24" spans="2:4" x14ac:dyDescent="0.25">
      <c r="B24" s="8" t="s">
        <v>51</v>
      </c>
      <c r="D24" s="8" t="s">
        <v>76</v>
      </c>
    </row>
    <row r="25" spans="2:4" x14ac:dyDescent="0.25">
      <c r="B25" s="2" t="s">
        <v>52</v>
      </c>
      <c r="D25" s="2" t="s">
        <v>77</v>
      </c>
    </row>
    <row r="26" spans="2:4" x14ac:dyDescent="0.25">
      <c r="B26" s="2" t="s">
        <v>53</v>
      </c>
      <c r="D26" s="2" t="s">
        <v>78</v>
      </c>
    </row>
    <row r="27" spans="2:4" x14ac:dyDescent="0.25">
      <c r="B27" s="2">
        <v>2019</v>
      </c>
      <c r="D27" s="2"/>
    </row>
    <row r="28" spans="2:4" x14ac:dyDescent="0.25">
      <c r="B28" s="9" t="s">
        <v>54</v>
      </c>
      <c r="D28" s="9" t="s">
        <v>79</v>
      </c>
    </row>
    <row r="29" spans="2:4" ht="30" x14ac:dyDescent="0.25">
      <c r="B29" s="2" t="s">
        <v>55</v>
      </c>
      <c r="D29" s="2" t="s">
        <v>80</v>
      </c>
    </row>
    <row r="31" spans="2:4" x14ac:dyDescent="0.25">
      <c r="B31" s="8" t="s">
        <v>56</v>
      </c>
      <c r="D31" s="8" t="s">
        <v>81</v>
      </c>
    </row>
    <row r="32" spans="2:4" x14ac:dyDescent="0.25">
      <c r="B32" s="2" t="s">
        <v>57</v>
      </c>
      <c r="D32" s="2" t="s">
        <v>82</v>
      </c>
    </row>
    <row r="33" spans="1:4" x14ac:dyDescent="0.25">
      <c r="B33" s="2" t="s">
        <v>58</v>
      </c>
      <c r="D33" s="2" t="s">
        <v>83</v>
      </c>
    </row>
    <row r="34" spans="1:4" x14ac:dyDescent="0.25">
      <c r="B34" s="2"/>
      <c r="D34" s="2">
        <v>2026</v>
      </c>
    </row>
    <row r="35" spans="1:4" x14ac:dyDescent="0.25">
      <c r="B35" s="9" t="s">
        <v>59</v>
      </c>
      <c r="D35" s="9" t="s">
        <v>84</v>
      </c>
    </row>
    <row r="36" spans="1:4" ht="30" x14ac:dyDescent="0.25">
      <c r="B36" s="2" t="s">
        <v>60</v>
      </c>
      <c r="D36" s="2" t="s">
        <v>85</v>
      </c>
    </row>
    <row r="39" spans="1:4" x14ac:dyDescent="0.25">
      <c r="A39" s="6" t="s">
        <v>7</v>
      </c>
    </row>
    <row r="40" spans="1:4" ht="150" x14ac:dyDescent="0.25">
      <c r="A40" s="6" t="s">
        <v>86</v>
      </c>
      <c r="B40" s="2" t="s">
        <v>87</v>
      </c>
    </row>
    <row r="41" spans="1:4" ht="75" x14ac:dyDescent="0.25">
      <c r="A41" s="6" t="s">
        <v>88</v>
      </c>
      <c r="B41" s="2" t="s">
        <v>89</v>
      </c>
    </row>
    <row r="42" spans="1:4" ht="60" x14ac:dyDescent="0.25">
      <c r="A42" s="6" t="s">
        <v>90</v>
      </c>
      <c r="B42" s="2" t="s">
        <v>91</v>
      </c>
    </row>
    <row r="43" spans="1:4" ht="135" x14ac:dyDescent="0.25">
      <c r="A43" s="6" t="s">
        <v>92</v>
      </c>
      <c r="B43" s="2" t="s">
        <v>93</v>
      </c>
    </row>
  </sheetData>
  <hyperlinks>
    <hyperlink ref="B7" r:id="rId1" xr:uid="{6972F517-E4F1-4BEB-B332-EA439E3F0BEF}"/>
    <hyperlink ref="B14" r:id="rId2" xr:uid="{9F84C4EB-4AAC-4B8E-B2C2-44C3DAC2B0D5}"/>
    <hyperlink ref="B21" r:id="rId3" xr:uid="{578C058E-E58D-4C65-AF14-5CBE9007CE28}"/>
    <hyperlink ref="B28" r:id="rId4" xr:uid="{E56B68F2-C646-4939-ADE0-B4D76A077AA3}"/>
    <hyperlink ref="B35" r:id="rId5" xr:uid="{E8AB734F-1C7E-44A0-88AE-3E52CF430977}"/>
    <hyperlink ref="D7" r:id="rId6" xr:uid="{7FD45FF5-FC7E-494B-A891-B7730921F1C2}"/>
    <hyperlink ref="D14" r:id="rId7" xr:uid="{39545C3A-DE97-4139-81DD-64735A972925}"/>
    <hyperlink ref="D21" r:id="rId8" xr:uid="{BFD2BDD3-7824-41E8-96CD-65848DD32031}"/>
    <hyperlink ref="D28" r:id="rId9" xr:uid="{234DFDE4-095B-40BE-BB14-26C168C83844}"/>
    <hyperlink ref="D35" r:id="rId10" xr:uid="{45B4BB49-E787-4485-AF84-6FB27983E5F1}"/>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4"/>
  <sheetViews>
    <sheetView workbookViewId="0">
      <pane xSplit="1" ySplit="4" topLeftCell="B5" activePane="bottomRight" state="frozen"/>
      <selection pane="topRight"/>
      <selection pane="bottomLeft"/>
      <selection pane="bottomRight"/>
    </sheetView>
  </sheetViews>
  <sheetFormatPr defaultRowHeight="15" x14ac:dyDescent="0.25"/>
  <cols>
    <col min="1" max="1" width="18" customWidth="1"/>
    <col min="2" max="2" width="16" customWidth="1"/>
    <col min="3" max="3" width="10" customWidth="1"/>
    <col min="4" max="4" width="70" customWidth="1"/>
  </cols>
  <sheetData>
    <row r="1" spans="1:4" x14ac:dyDescent="0.25">
      <c r="A1" s="1" t="s">
        <v>8</v>
      </c>
      <c r="B1" s="3" t="s">
        <v>9</v>
      </c>
    </row>
    <row r="2" spans="1:4" ht="150" x14ac:dyDescent="0.25">
      <c r="A2" s="2" t="s">
        <v>94</v>
      </c>
    </row>
    <row r="4" spans="1:4" ht="30" x14ac:dyDescent="0.25">
      <c r="A4" s="4" t="s">
        <v>10</v>
      </c>
      <c r="B4" s="4" t="s">
        <v>11</v>
      </c>
      <c r="C4" s="4" t="s">
        <v>12</v>
      </c>
      <c r="D4" s="4" t="s">
        <v>13</v>
      </c>
    </row>
    <row r="5" spans="1:4" x14ac:dyDescent="0.25">
      <c r="A5" t="s">
        <v>9</v>
      </c>
      <c r="B5">
        <v>0.65</v>
      </c>
      <c r="C5" t="s">
        <v>14</v>
      </c>
      <c r="D5" t="s">
        <v>15</v>
      </c>
    </row>
    <row r="6" spans="1:4" x14ac:dyDescent="0.25">
      <c r="A6" t="s">
        <v>16</v>
      </c>
      <c r="D6" t="s">
        <v>17</v>
      </c>
    </row>
    <row r="7" spans="1:4" x14ac:dyDescent="0.25">
      <c r="A7" t="s">
        <v>18</v>
      </c>
      <c r="B7">
        <v>0.62</v>
      </c>
      <c r="C7" t="s">
        <v>19</v>
      </c>
      <c r="D7" t="s">
        <v>20</v>
      </c>
    </row>
    <row r="8" spans="1:4" x14ac:dyDescent="0.25">
      <c r="A8" t="s">
        <v>21</v>
      </c>
      <c r="B8">
        <v>0.6</v>
      </c>
      <c r="C8" t="s">
        <v>22</v>
      </c>
      <c r="D8" t="s">
        <v>23</v>
      </c>
    </row>
    <row r="9" spans="1:4" x14ac:dyDescent="0.25">
      <c r="A9" t="s">
        <v>24</v>
      </c>
      <c r="D9" t="s">
        <v>25</v>
      </c>
    </row>
    <row r="10" spans="1:4" x14ac:dyDescent="0.25">
      <c r="A10" t="s">
        <v>26</v>
      </c>
      <c r="B10">
        <v>0.52</v>
      </c>
      <c r="C10" t="s">
        <v>22</v>
      </c>
      <c r="D10" t="s">
        <v>27</v>
      </c>
    </row>
    <row r="11" spans="1:4" x14ac:dyDescent="0.25">
      <c r="A11" t="s">
        <v>28</v>
      </c>
      <c r="B11">
        <v>0.66</v>
      </c>
      <c r="C11" t="s">
        <v>22</v>
      </c>
      <c r="D11" t="s">
        <v>29</v>
      </c>
    </row>
    <row r="12" spans="1:4" x14ac:dyDescent="0.25">
      <c r="A12" t="s">
        <v>30</v>
      </c>
      <c r="B12">
        <v>0.6</v>
      </c>
      <c r="C12" t="s">
        <v>22</v>
      </c>
      <c r="D12" t="s">
        <v>31</v>
      </c>
    </row>
    <row r="13" spans="1:4" x14ac:dyDescent="0.25">
      <c r="A13" t="s">
        <v>32</v>
      </c>
      <c r="D13" t="s">
        <v>25</v>
      </c>
    </row>
    <row r="14" spans="1:4" x14ac:dyDescent="0.25">
      <c r="A14" t="s">
        <v>33</v>
      </c>
      <c r="D14" t="s">
        <v>25</v>
      </c>
    </row>
  </sheetData>
  <dataValidations count="1">
    <dataValidation type="list" sqref="B1" xr:uid="{00000000-0002-0000-0100-000000000000}">
      <formula1>$A$5:$A$14</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
  <sheetViews>
    <sheetView workbookViewId="0"/>
  </sheetViews>
  <sheetFormatPr defaultRowHeight="15" x14ac:dyDescent="0.25"/>
  <cols>
    <col min="1" max="1" width="58" customWidth="1"/>
  </cols>
  <sheetData>
    <row r="1" spans="1:2" x14ac:dyDescent="0.25">
      <c r="A1" t="s">
        <v>34</v>
      </c>
      <c r="B1" t="str">
        <f>Regions!B1</f>
        <v>United States</v>
      </c>
    </row>
    <row r="2" spans="1:2" x14ac:dyDescent="0.25">
      <c r="A2" t="s">
        <v>35</v>
      </c>
      <c r="B2">
        <v>0.52</v>
      </c>
    </row>
    <row r="3" spans="1:2" x14ac:dyDescent="0.25">
      <c r="A3" t="s">
        <v>36</v>
      </c>
      <c r="B3">
        <f>IF(ISNUMBER(INDEX(Regions!$B$5:$B$14,MATCH(Regions!$B$1,Regions!$A$5:$A$14,0))),INDEX(Regions!$B$5:$B$14,MATCH(Regions!$B$1,Regions!$A$5:$A$14,0)),B2)</f>
        <v>0.65</v>
      </c>
    </row>
    <row r="4" spans="1:2" x14ac:dyDescent="0.25">
      <c r="A4" t="s">
        <v>37</v>
      </c>
      <c r="B4" t="str">
        <f>IF(ISNUMBER(INDEX(Regions!$B$5:$B$14,MATCH(Regions!$B$1,Regions!$A$5:$A$14,0))),"region value","WARN - global fallback in use")</f>
        <v>region value</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
  <sheetViews>
    <sheetView workbookViewId="0"/>
  </sheetViews>
  <sheetFormatPr defaultRowHeight="15" x14ac:dyDescent="0.25"/>
  <cols>
    <col min="1" max="1" width="70.7109375" customWidth="1"/>
    <col min="2" max="2" width="12.7109375" customWidth="1"/>
  </cols>
  <sheetData>
    <row r="1" spans="1:2" x14ac:dyDescent="0.25">
      <c r="A1" s="5" t="s">
        <v>39</v>
      </c>
    </row>
    <row r="3" spans="1:2" x14ac:dyDescent="0.25">
      <c r="A3" t="s">
        <v>40</v>
      </c>
      <c r="B3" t="str">
        <f>IF(AND(MACtCR!B2&gt;0.4,MACtCR!B2&lt;0.83),"PASS","FAIL")</f>
        <v>PASS</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B2"/>
  <sheetViews>
    <sheetView workbookViewId="0"/>
  </sheetViews>
  <sheetFormatPr defaultRowHeight="15" x14ac:dyDescent="0.25"/>
  <sheetData>
    <row r="1" spans="1:2" x14ac:dyDescent="0.25">
      <c r="A1" t="s">
        <v>95</v>
      </c>
      <c r="B1" t="s">
        <v>38</v>
      </c>
    </row>
    <row r="2" spans="1:2" x14ac:dyDescent="0.25">
      <c r="A2" t="s">
        <v>36</v>
      </c>
      <c r="B2">
        <f>Derivation!B3</f>
        <v>0.65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Regions</vt:lpstr>
      <vt:lpstr>Derivation</vt:lpstr>
      <vt:lpstr>Checks</vt:lpstr>
      <vt:lpstr>MACtCR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2026-09-28T13:54:44Z</dcterms:created>
  <dcterms:modified xsi:type="dcterms:W3CDTF">2026-10-05T17:22:14Z</dcterms:modified>
</cp:coreProperties>
</file>