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BCD\"/>
    </mc:Choice>
  </mc:AlternateContent>
  <xr:revisionPtr revIDLastSave="0" documentId="13_ncr:1_{3A24251E-2E6F-4468-BB45-E85A8447AEF4}" xr6:coauthVersionLast="47" xr6:coauthVersionMax="47" xr10:uidLastSave="{00000000-0000-0000-0000-000000000000}"/>
  <bookViews>
    <workbookView xWindow="-110" yWindow="-110" windowWidth="19420" windowHeight="11500" xr2:uid="{00000000-000D-0000-FFFF-FFFF00000000}"/>
  </bookViews>
  <sheets>
    <sheet name="About" sheetId="1" r:id="rId1"/>
    <sheet name="Regions" sheetId="2" r:id="rId2"/>
    <sheet name="USGS MCS 2026 Cement" sheetId="3" r:id="rId3"/>
    <sheet name="AEO 2026 Table 23" sheetId="4" r:id="rId4"/>
    <sheet name="Derivation" sheetId="5" r:id="rId5"/>
    <sheet name="BCD"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AE9" i="5"/>
  <c r="AD9" i="5"/>
  <c r="AC9" i="5"/>
  <c r="AB9" i="5"/>
  <c r="AA9" i="5"/>
  <c r="Z9" i="5"/>
  <c r="Y9" i="5"/>
  <c r="X9" i="5"/>
  <c r="W9" i="5"/>
  <c r="V9" i="5"/>
  <c r="U9" i="5"/>
  <c r="T9" i="5"/>
  <c r="S9" i="5"/>
  <c r="R9" i="5"/>
  <c r="Q9" i="5"/>
  <c r="P9" i="5"/>
  <c r="O9" i="5"/>
  <c r="N9" i="5"/>
  <c r="M9" i="5"/>
  <c r="L9" i="5"/>
  <c r="K9" i="5"/>
  <c r="J9" i="5"/>
  <c r="I9" i="5"/>
  <c r="H9" i="5"/>
  <c r="G9" i="5"/>
  <c r="F9" i="5"/>
  <c r="F8" i="5"/>
  <c r="E8" i="5"/>
  <c r="D8" i="5"/>
  <c r="C8" i="5"/>
  <c r="B8" i="5"/>
  <c r="B4" i="5"/>
  <c r="B3" i="5"/>
  <c r="B2" i="5"/>
  <c r="B1" i="5"/>
  <c r="B5" i="5" s="1"/>
  <c r="C12" i="2"/>
  <c r="O10" i="5" l="1"/>
  <c r="AC11" i="5"/>
  <c r="AC2" i="7" s="1"/>
  <c r="K10" i="5"/>
  <c r="D11" i="5"/>
  <c r="D2" i="7" s="1"/>
  <c r="H11" i="5"/>
  <c r="H2" i="7" s="1"/>
  <c r="S10" i="5"/>
  <c r="V10" i="5"/>
  <c r="N11" i="5"/>
  <c r="N2" i="7" s="1"/>
  <c r="C11" i="5"/>
  <c r="C2" i="7" s="1"/>
  <c r="AE11" i="5"/>
  <c r="AE2" i="7" s="1"/>
  <c r="J11" i="5"/>
  <c r="J2" i="7" s="1"/>
  <c r="T10" i="5"/>
  <c r="M11" i="5"/>
  <c r="M2" i="7" s="1"/>
  <c r="Q10" i="5"/>
  <c r="R10" i="5"/>
  <c r="L11" i="5"/>
  <c r="L2" i="7" s="1"/>
  <c r="P11" i="5"/>
  <c r="P2" i="7" s="1"/>
  <c r="F10" i="5"/>
  <c r="T11" i="5"/>
  <c r="T2" i="7" s="1"/>
  <c r="Y11" i="5"/>
  <c r="Y2" i="7" s="1"/>
  <c r="P10" i="5"/>
  <c r="I11" i="5"/>
  <c r="I2" i="7" s="1"/>
  <c r="AD11" i="5"/>
  <c r="AD2" i="7" s="1"/>
  <c r="U10" i="5"/>
  <c r="W10" i="5"/>
  <c r="X10" i="5"/>
  <c r="Y10" i="5"/>
  <c r="D10" i="5"/>
  <c r="Z10" i="5"/>
  <c r="R11" i="5"/>
  <c r="R2" i="7" s="1"/>
  <c r="L10" i="5"/>
  <c r="Z11" i="5"/>
  <c r="Z2" i="7" s="1"/>
  <c r="K11" i="5"/>
  <c r="K2" i="7" s="1"/>
  <c r="O11" i="5"/>
  <c r="O2" i="7" s="1"/>
  <c r="B10" i="5"/>
  <c r="C10" i="5"/>
  <c r="Q11" i="5"/>
  <c r="Q2" i="7" s="1"/>
  <c r="E10" i="5"/>
  <c r="AA10" i="5"/>
  <c r="S11" i="5"/>
  <c r="S2" i="7" s="1"/>
  <c r="AB10" i="5"/>
  <c r="G10" i="5"/>
  <c r="AC10" i="5"/>
  <c r="U11" i="5"/>
  <c r="U2" i="7" s="1"/>
  <c r="H10" i="5"/>
  <c r="AD10" i="5"/>
  <c r="V11" i="5"/>
  <c r="V2" i="7" s="1"/>
  <c r="I10" i="5"/>
  <c r="AE10" i="5"/>
  <c r="W11" i="5"/>
  <c r="W2" i="7" s="1"/>
  <c r="J10" i="5"/>
  <c r="B11" i="5"/>
  <c r="B2" i="7" s="1"/>
  <c r="X11" i="5"/>
  <c r="X2" i="7" s="1"/>
  <c r="M10" i="5"/>
  <c r="E11" i="5"/>
  <c r="E2" i="7" s="1"/>
  <c r="AA11" i="5"/>
  <c r="AA2" i="7" s="1"/>
  <c r="AB11" i="5"/>
  <c r="AB2" i="7" s="1"/>
  <c r="N10" i="5"/>
  <c r="F11" i="5"/>
  <c r="F2" i="7" s="1"/>
  <c r="G11" i="5"/>
  <c r="G2" i="7" s="1"/>
</calcChain>
</file>

<file path=xl/sharedStrings.xml><?xml version="1.0" encoding="utf-8"?>
<sst xmlns="http://schemas.openxmlformats.org/spreadsheetml/2006/main" count="175" uniqueCount="157">
  <si>
    <t>BCD BAU Cement Demand</t>
  </si>
  <si>
    <t>Sources:</t>
  </si>
  <si>
    <t>U.S. cement consumption, 2021-2025</t>
  </si>
  <si>
    <t>U.S. Geological Survey</t>
  </si>
  <si>
    <t>Mineral Commodity Summaries 2026: Cement</t>
  </si>
  <si>
    <t>https://pubs.usgs.gov/periodicals/mcs2026/mcs2026-cement.pdf</t>
  </si>
  <si>
    <t>We used apparent consumption (production plus imports minus exports): 111, 114, 113, 110, and 110 million metric tons for 2021-2025, with 2025 an estimate. USGS rounds these to the nearest million tons. The table is pasted as published on the 'USGS MCS 2026 Cement' tab.</t>
  </si>
  <si>
    <t>U.S. demand growth, 2026-2050</t>
  </si>
  <si>
    <t>U.S. Energy Information Administration</t>
  </si>
  <si>
    <t>Annual Energy Outlook 2026, Table 23: Industrial Sector Macroeconomic Indicators</t>
  </si>
  <si>
    <t>https://www.eia.gov/outlooks/aeo/tables_ref.php</t>
  </si>
  <si>
    <t>Cement and lime value of shipments (billion 2012 dollars) in the Alternative Electricity and Transportation case, pasted on the 'AEO 2026 Table 23' tab. We use it only as a growth index: it includes lime, and because it is measured in dollars it also reflects changes in prices and product mix, not just tonnage.</t>
  </si>
  <si>
    <t>China consumption</t>
  </si>
  <si>
    <t>CemNet (International Cement Review)</t>
  </si>
  <si>
    <t>Chinese cement dropped sharply in 2024, and will continue to fall</t>
  </si>
  <si>
    <t>https://www.cemnet.com/News/story/178600/chinese-cement-dropped-sharply-in-2024-and-will-continue-to-fall.html</t>
  </si>
  <si>
    <t>2024 demand of 1,858.9 million tons, down 8% from 2023. This is a trade-press figure; check it against China Cement Association or National Bureau of Statistics data before relying on it.</t>
  </si>
  <si>
    <t>India consumption</t>
  </si>
  <si>
    <t>American Council for an Energy-Efficient Economy (ACEEE)</t>
  </si>
  <si>
    <t>Decarbonisation in the Indian Cement Industry</t>
  </si>
  <si>
    <t>https://www.aceee.org/wp-content/uploads/2026/07/ACEEE_Decarbonisation_in_Cement_Industry.pdf</t>
  </si>
  <si>
    <t>Consumption of 435 million tons in fiscal year 2024-25 (April to March), which we treat as calendar 2024. ACEEE cites the India Brand Equity Foundation for this figure.</t>
  </si>
  <si>
    <t>India demand growth</t>
  </si>
  <si>
    <t>Indian Cement Review</t>
  </si>
  <si>
    <t>NITI Aayog unveils decarbonisation roadmaps</t>
  </si>
  <si>
    <t>https://indiancementreview.com/2026/01/28/niti-aayog-unveils-decarbonisation-roadmaps/</t>
  </si>
  <si>
    <t>NITI Aayog's roadmap projects demand rising from 391 million tons in 2023 to 2,100 million tons in 2070. The growth rate on the 'Regions' tab is the constant annual rate between those two points (about 3.6% per year). The roadmap's path is front-loaded (about 7.8% per year to 2030), so a constant rate understates near-term growth.</t>
  </si>
  <si>
    <t>EU-27 consumption</t>
  </si>
  <si>
    <t>Cement Europe</t>
  </si>
  <si>
    <t>Cement Europe Statistics Report 2025</t>
  </si>
  <si>
    <t>https://www.cementeurope.eu/media/ncylewmn/cement-europe-statistics-report-2025.pdf</t>
  </si>
  <si>
    <t>EU-27 consumption of 148.1 million tons in 2024. Use the EU-27 figure, not the 165.1 million tons reported for Cement Europe's wider membership. The report's EU-27 production (160.8 million tons) exceeds consumption by more than Eurostat's net trade would explain; we have not resolved this.</t>
  </si>
  <si>
    <t>Japan consumption</t>
  </si>
  <si>
    <t>World Bank, World Integrated Trade Solution (WITS)</t>
  </si>
  <si>
    <t>Japan cement clinker (HS 252310) exports, 2024</t>
  </si>
  <si>
    <t>https://wits.worldbank.org/trade/comtrade/en/country/JPN/year/2024/tradeflow/Exports/partner/ALL/product/252310</t>
  </si>
  <si>
    <t>Brazil consumption</t>
  </si>
  <si>
    <t>Sindicato Nacional da Industria do Cimento (SNIC)</t>
  </si>
  <si>
    <t>SNIC Annual Report 2023</t>
  </si>
  <si>
    <t>http://snic.org.br/assets/pdf/relatorio_anual/1732731328.pdf</t>
  </si>
  <si>
    <t>2023 apparent consumption of 62.21 million tons (production 66.53, domestic sales 62.08, imports 0.14, exports 0.20).</t>
  </si>
  <si>
    <t>Brazil demand growth</t>
  </si>
  <si>
    <t>SNIC, International Energy Agency, and World Business Council for Sustainable Development</t>
  </si>
  <si>
    <t>Cement Technology Roadmap: Brazil</t>
  </si>
  <si>
    <t>http://snic.org.br/assets/pdf/roadmap/cement-technology-roadmap-brazil.pdf</t>
  </si>
  <si>
    <t>The roadmap expects 2050 demand to be 60% (low case) to 120% (high case) above 2014, or about 1.3% to 2.2% per year. We chose 1.7% per year from within that range. Because our 2023 starting point is below the 2014 level, the resulting 2050 demand lands under the roadmap's low case.</t>
  </si>
  <si>
    <t>Mexico consumption</t>
  </si>
  <si>
    <t>Global Cement</t>
  </si>
  <si>
    <t>Mexican cement consumption falls in first half of 2025</t>
  </si>
  <si>
    <t>https://www.globalcement.com/news/19770-mexican-cement-consumption-falls-in-first-half-of-2025</t>
  </si>
  <si>
    <t>About 42 million tons of 2024 sales, as stated by the CEO of Cementos Moctezuma. Another trade-press report puts 2024 at 46.4 million tons (a CANACEM forecast); CANACEM's own statistics should settle which is right.</t>
  </si>
  <si>
    <t>Canada consumption and growth</t>
  </si>
  <si>
    <t>Cement Association of Canada</t>
  </si>
  <si>
    <t>Concrete Zero: Action Plan</t>
  </si>
  <si>
    <t>https://cement.ca/wp-content/uploads/ConcreteZero-Report-FINAL-reduced.pdf</t>
  </si>
  <si>
    <t>Production of 12.7 million tons in 2020 by the association's member companies, and an assumed 1% per year growth in cement volume from 2020, which we use as the growth rate. We estimate consumption by combining this 2020 production with 2024 trade data (next source), so the starting value is low confidence. Statistics Canada's monthly cement table or Natural Resources Canada's Minerals Yearbook would give a better figure.</t>
  </si>
  <si>
    <t>Canada trade</t>
  </si>
  <si>
    <t>United Nations</t>
  </si>
  <si>
    <t>UN Comtrade Database, HS 2523 (cement and clinker), reporter Canada, 2024</t>
  </si>
  <si>
    <t>https://comtradeplus.un.org/</t>
  </si>
  <si>
    <t>2024 imports of 1.20 million tons; exports of 4.39 million tons of cement and 0.47 million tons of clinker. Accessed 2026.</t>
  </si>
  <si>
    <t>Indonesia consumption</t>
  </si>
  <si>
    <t>Asosiasi Pengusaha Semen Indonesia (Asperssi)</t>
  </si>
  <si>
    <t>Asperssi ungkap volume produksi &amp; penjualan semen di 2025 dan proyeksi untuk 2026</t>
  </si>
  <si>
    <t>https://asperssi.id/asperssi-ungkap-volume-produksi-penjualan-semen-di-2025-dan-proyeksi-untuk-2026/</t>
  </si>
  <si>
    <t>2025 domestic sales of 63.9 million tons, used as consumption because Indonesia imports very little cement. 2025 production was 64.7 million tons.</t>
  </si>
  <si>
    <t>Notes:</t>
  </si>
  <si>
    <t>Purpose and layout</t>
  </si>
  <si>
    <t>Using it for other regions</t>
  </si>
  <si>
    <t>U.S. values</t>
  </si>
  <si>
    <t>For the U.S. national file version, we derived net consumption for 2021-2025 (2025 estimated) using USGS data on production, imports, and exports, then projected consumption forward using the value of cement and lime shipments from the Annual Energy Outlook's Alternative Electricity and Transportation scenario. This is the same AEO series the model uses for business-as-usual growth in the cement and other nonmetallic minerals industry, so cement tons and that industry's dollar output move together. Demand dips slightly through 2029, then rises to about 126 million tons in 2050, roughly 15% above 2025.</t>
  </si>
  <si>
    <t>Other regions' values</t>
  </si>
  <si>
    <t>Starting values for the other regions come from national cement associations, government statistics, and industry press, listed under Sources. Each value on the 'Regions' tab carries a tag showing how far to trust it: DIRECT means we read the number in the original document; SNIPPET means it came from a secondary summary, such as a trade-press article, and should be checked against the original; JUDGMENT means it is our own estimate or arithmetic, shown as a formula where possible. A blank means we have not found a good value yet. Only India, Brazil, and Canada have long-run growth rates so far; the other regions are held flat until someone adds one. Australia has no values yet; the Cement Industry Federation's annual industry report is the place to start.</t>
  </si>
  <si>
    <t>Selected region (drop-down):</t>
  </si>
  <si>
    <t>United States</t>
  </si>
  <si>
    <t>Region</t>
  </si>
  <si>
    <t>Anchor year</t>
  </si>
  <si>
    <t>Apparent consumption anchor (Mt)</t>
  </si>
  <si>
    <t>Flag</t>
  </si>
  <si>
    <t>Growth CAGR to 2050 (fraction/yr; blank = flat; US uses AEO index instead)</t>
  </si>
  <si>
    <t>Cement production, USGS 2025e (Mt, context)</t>
  </si>
  <si>
    <t>Source / note</t>
  </si>
  <si>
    <t>DIRECT</t>
  </si>
  <si>
    <t>AEO</t>
  </si>
  <si>
    <t>USGS MCS 2026 apparent consumption; growth = AEO 2026 Table 23 cement &amp; lime index</t>
  </si>
  <si>
    <t>China</t>
  </si>
  <si>
    <t>SNIPPET</t>
  </si>
  <si>
    <t>India</t>
  </si>
  <si>
    <t>JUDGMENT</t>
  </si>
  <si>
    <t>EU-27</t>
  </si>
  <si>
    <t>Japan</t>
  </si>
  <si>
    <t>production minus net clinker exports, rough; JCA not opened</t>
  </si>
  <si>
    <t>Brazil</t>
  </si>
  <si>
    <t>Mexico</t>
  </si>
  <si>
    <t>Canada</t>
  </si>
  <si>
    <t>LOW CONFIDENCE: 2020 CAC-member production 12.7 (DIRECT, Concrete Zero) + 2024 Comtrade imports 1.20 - exports (cement 4.39 + clinker 0.47) (DIRECT trade); mixes years. StatCan 16-10-0009-01 ends 2018. Next: StatCan monthly cement table / NRCan Minerals Yearbook. | CAGR (2020-50): CAC Concrete Zero Action Plan assumes cement volume +1%/yr from 2020 (DIRECT).</t>
  </si>
  <si>
    <t>Indonesia</t>
  </si>
  <si>
    <t>Australia</t>
  </si>
  <si>
    <t>TO FILL - CIF Industry Report (secondary market-report figures rejected as low confidence)</t>
  </si>
  <si>
    <t>USGS Mineral Commodity Summaries 2026 - Cement (Ashley K. Hatfield). Pasted from the PDF text; 'e' = estimated. Data in thousand metric tons unless otherwise specified.</t>
  </si>
  <si>
    <t>Salient Statistics - United States (thousand metric tons unless noted)</t>
  </si>
  <si>
    <t>2025e</t>
  </si>
  <si>
    <t>Production: Portland, blended, and masonry cement (includes cement made from imported clinker)</t>
  </si>
  <si>
    <t>Production: Clinker</t>
  </si>
  <si>
    <t>Shipments to final customers, includes exports</t>
  </si>
  <si>
    <t>Imports for consumption: Hydraulic cement</t>
  </si>
  <si>
    <t>Imports for consumption: Clinker</t>
  </si>
  <si>
    <t>Exports, hydraulic cement and clinker</t>
  </si>
  <si>
    <t>Consumption, apparent (production incl. from imported clinker + imports excl. clinker - exports - stock changes)</t>
  </si>
  <si>
    <t>Price, average mill unit value, dollars per metric ton</t>
  </si>
  <si>
    <t>Stocks, cement, yearend</t>
  </si>
  <si>
    <t>Net import reliance as a percentage of apparent consumption</t>
  </si>
  <si>
    <t>World Production and Capacity (thousand metric tons)</t>
  </si>
  <si>
    <t>Cement production 2024</t>
  </si>
  <si>
    <t>Cement production 2025e</t>
  </si>
  <si>
    <t>Clinker capacity 2024</t>
  </si>
  <si>
    <t>Clinker capacity 2025e</t>
  </si>
  <si>
    <t>United States (includes Puerto Rico)</t>
  </si>
  <si>
    <t>Egypt</t>
  </si>
  <si>
    <t>Iran</t>
  </si>
  <si>
    <t>Korea, Republic of</t>
  </si>
  <si>
    <t>Russia</t>
  </si>
  <si>
    <t>Saudi Arabia</t>
  </si>
  <si>
    <t>Turkey</t>
  </si>
  <si>
    <t>Vietnam</t>
  </si>
  <si>
    <t>Other countries (rounded)</t>
  </si>
  <si>
    <t>World total (rounded)</t>
  </si>
  <si>
    <t>EIA Annual Energy Outlook 2026, Table 23 Industrial Sector Macroeconomic Indicators, Value of Shipments (billion 2012 dollars), case ELECTRNP (Alternative Electricity and Transportation - the case the io-model BPCiObIC workbook uses). Row pasted from that workbook's 'AEO 2026 Table 23 ' tab.</t>
  </si>
  <si>
    <t>api id</t>
  </si>
  <si>
    <t>full name</t>
  </si>
  <si>
    <t>series key</t>
  </si>
  <si>
    <t>units</t>
  </si>
  <si>
    <t>ISM000:fa_CementandHydr</t>
  </si>
  <si>
    <t>Cement and Lime</t>
  </si>
  <si>
    <t>AEO.2026.ELECTRNP.ECI_VOS_MANF_SCGCL_NA_NA_NA_BLNY09DLR.A</t>
  </si>
  <si>
    <t>billion 2012 $</t>
  </si>
  <si>
    <t>Selected region</t>
  </si>
  <si>
    <t>Anchor apparent consumption (Mt)</t>
  </si>
  <si>
    <t>Growth CAGR (fraction/yr, blank = 0)</t>
  </si>
  <si>
    <t>Is US? (history + AEO index)</t>
  </si>
  <si>
    <t>Year</t>
  </si>
  <si>
    <t>USGS apparent consumption (Mt; US only, 2021-2025)</t>
  </si>
  <si>
    <t>AEO cement &amp; lime index (US only; = shipments(y) / shipments(2025))</t>
  </si>
  <si>
    <t>Generic index ((1+CAGR)^(y - anchor year))</t>
  </si>
  <si>
    <t>BAU Cement Demand (metric tons/year)</t>
  </si>
  <si>
    <t>BAU Cement Demand</t>
  </si>
  <si>
    <t>Rough estimate: USGS production of 44 million tons (2025 estimate, from the USGS source) minus about 3.9 million tons of 2024 clinker exports gives roughly 40 million tons. The Japan Cement Association publishes better data and should replace this estimate.</t>
  </si>
  <si>
    <t>We set this file up to be adaptable to each of the main EPS regions. If you are working on a non-US region, use the drop-down selector at the top of the 'Regions' tab to choose a different country. The Derivation then grows that country's starting consumption at the annual growth rate listed for it, or holds it flat if no rate is listed, and the 'BCD' tab updates on its own; just re-export the CSV. If your region is not listed, you will have to build the demand forecast on your own.</t>
  </si>
  <si>
    <t>Pick a region from the drop-down in B1. The Derivation and the export tab update on their own; re-export the CSV afterward. A blank cell means no sourced value yet.</t>
  </si>
  <si>
    <t>CemNet citing demand data (SNIPPET). 2025 projection 1,790 (ICR via Cement Europe, SNIPPET); NBS 2025 production 1,670-1,693 (SNIPPET); 2024 fell ~8-10% y/y. Long-run CAGR TO FILL (IEA 2018 roadmap: China declines to 2050, no number).</t>
  </si>
  <si>
    <t>FY2024-25 (Apr 2024-Mar 2025, assigned to 2024) consumption 435 / production 427, ACEEE Jul-2026 citing IBEF. USGS gives calendar-year production of 440 (2024e) and 470 (2025e). | CAGR (2023-70): NITI Aayog Jan-2026 path 391 (2023) -&gt; 2,100 Mt (2070) (SNIPPET); CAGR is own arithmetic. Front-loaded path: 7.8%/yr 2023-30, 5.9%/yr 2030-47; GCCA India/TERI ~3.1%/yr; IEA 2018 'triple by 2050' ~3.1%/yr. A flat CAGR understates near-term growth.</t>
  </si>
  <si>
    <t>Cement Europe Statistics Report 2025, EU-27 scope (DIRECT). Production 160.8 (2024, DIRECT). UNRESOLVED: production - consumption = +12.7 Mt vs ~0 Eurostat net trade - ask Cement Europe. Do not mix with the 165.1 wider-membership figure.</t>
  </si>
  <si>
    <t>SNIC Annual Report 2023 apparent consumption (DIRECT). Other figures: 2024 SNIC sales 64.652 (via CemNet, SNIPPET); 2024 consumption 64.8 and 2025 dispatches 66.984 (SNIPPET). A 73 Mt 2024 'consumption' figure in secondary sources is unreliable. | CAGR (2014-50): SNIC/IEA/WBCSD 2019 roadmap: demand +60% (low) to +120% (high) vs 2014 by 2050 (DIRECT) = 1.3-2.2%/yr; 1.7%/yr chosen within the range (judgment). Applied from the 2023 anchor, which sits below the 2014 base, so 2050 lands under the roadmap low case.</t>
  </si>
  <si>
    <t>~42 Mt 2024 sales (Cementos Moctezuma CEO via Global Cement, SNIPPET). CONFLICT: a 2024 CANACEM forecast via Global Cement gives 46.4 - resolve against CANACEM statistics. 2025 consumption -6% (SNIPPET).</t>
  </si>
  <si>
    <t>Asperssi (ASI) 2025 domestic sales, used as apparent consumption (imports negligible) (DIRECT). 2024: 64.895. Production 64.720 (2025).</t>
  </si>
  <si>
    <t>Unit: metric tons/year</t>
  </si>
  <si>
    <t>This file gives the business-as-usual demand for cement in the region, in metric tons per year, for 2021-2050. It drives the EPS cement module: how much clinker the region needs, and from that the kiln capacity, energy use, and process emissions of the cement industry.
The demand is total cement consumption, including cement and clinker the region imports. The model takes out the share supplied by net imports later (using the BFoCDMbNI file), so only cement made in the region uses energy and produces emissions.
The tabs run from inputs to output. 'Regions' holds the region selector and each region's starting consumption and growth rate. 'USGS MCS 2026 Cement' and 'AEO 2026 Table 23' hold the U.S. source data as published. 'Derivation' builds the 2021-2050 series, and the 'BCD' tab reads from it. The 'BCD' tab is what gets exported to BCD.csv.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</si>
</sst>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rgb="FFC00000"/>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horizontal="left" vertical="top" wrapText="1"/>
    </xf>
    <xf numFmtId="0" fontId="1" fillId="0" borderId="0" xfId="0" applyFont="1" applyAlignment="1">
      <alignment horizontal="left" vertical="top" wrapText="1"/>
    </xf>
    <xf numFmtId="0" fontId="2" fillId="2" borderId="0" xfId="0" applyFont="1" applyFill="1"/>
    <xf numFmtId="0" fontId="0" fillId="0" borderId="0" xfId="0" applyAlignment="1">
      <alignment wrapText="1"/>
    </xf>
    <xf numFmtId="0" fontId="4" fillId="0" borderId="0" xfId="0" applyFont="1" applyAlignment="1">
      <alignment horizontal="left" vertical="top" wrapText="1"/>
    </xf>
    <xf numFmtId="0" fontId="4" fillId="0" borderId="0" xfId="0" applyFont="1" applyAlignment="1">
      <alignment horizontal="left" vertical="top"/>
    </xf>
    <xf numFmtId="0" fontId="4" fillId="3" borderId="0" xfId="0" applyFont="1" applyFill="1" applyAlignment="1">
      <alignment horizontal="left" vertical="top" wrapText="1"/>
    </xf>
    <xf numFmtId="0" fontId="5"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ic.org.br/assets/pdf/relatorio_anual/1732731328.pdf" TargetMode="External"/><Relationship Id="rId13" Type="http://schemas.openxmlformats.org/officeDocument/2006/relationships/hyperlink" Target="https://asperssi.id/asperssi-ungkap-volume-produksi-penjualan-semen-di-2025-dan-proyeksi-untuk-2026/" TargetMode="External"/><Relationship Id="rId3" Type="http://schemas.openxmlformats.org/officeDocument/2006/relationships/hyperlink" Target="https://www.cemnet.com/News/story/178600/chinese-cement-dropped-sharply-in-2024-and-will-continue-to-fall.html" TargetMode="External"/><Relationship Id="rId7" Type="http://schemas.openxmlformats.org/officeDocument/2006/relationships/hyperlink" Target="https://wits.worldbank.org/trade/comtrade/en/country/JPN/year/2024/tradeflow/Exports/partner/ALL/product/252310" TargetMode="External"/><Relationship Id="rId12" Type="http://schemas.openxmlformats.org/officeDocument/2006/relationships/hyperlink" Target="https://comtradeplus.un.org/" TargetMode="External"/><Relationship Id="rId2" Type="http://schemas.openxmlformats.org/officeDocument/2006/relationships/hyperlink" Target="https://www.eia.gov/outlooks/aeo/tables_ref.php" TargetMode="External"/><Relationship Id="rId1" Type="http://schemas.openxmlformats.org/officeDocument/2006/relationships/hyperlink" Target="https://pubs.usgs.gov/periodicals/mcs2026/mcs2026-cement.pdf" TargetMode="External"/><Relationship Id="rId6" Type="http://schemas.openxmlformats.org/officeDocument/2006/relationships/hyperlink" Target="https://www.cementeurope.eu/media/ncylewmn/cement-europe-statistics-report-2025.pdf" TargetMode="External"/><Relationship Id="rId11" Type="http://schemas.openxmlformats.org/officeDocument/2006/relationships/hyperlink" Target="https://cement.ca/wp-content/uploads/ConcreteZero-Report-FINAL-reduced.pdf" TargetMode="External"/><Relationship Id="rId5" Type="http://schemas.openxmlformats.org/officeDocument/2006/relationships/hyperlink" Target="https://indiancementreview.com/2026/01/28/niti-aayog-unveils-decarbonisation-roadmaps/" TargetMode="External"/><Relationship Id="rId10" Type="http://schemas.openxmlformats.org/officeDocument/2006/relationships/hyperlink" Target="https://www.globalcement.com/news/19770-mexican-cement-consumption-falls-in-first-half-of-2025" TargetMode="External"/><Relationship Id="rId4" Type="http://schemas.openxmlformats.org/officeDocument/2006/relationships/hyperlink" Target="https://www.aceee.org/wp-content/uploads/2026/07/ACEEE_Decarbonisation_in_Cement_Industry.pdf" TargetMode="External"/><Relationship Id="rId9" Type="http://schemas.openxmlformats.org/officeDocument/2006/relationships/hyperlink" Target="http://snic.org.br/assets/pdf/roadmap/cement-technology-roadmap-brazi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workbookViewId="0"/>
  </sheetViews>
  <sheetFormatPr defaultRowHeight="14.5" x14ac:dyDescent="0.35"/>
  <cols>
    <col min="1" max="1" width="14.6328125" customWidth="1"/>
    <col min="2" max="2" width="110.6328125" customWidth="1"/>
    <col min="3" max="3" width="3.6328125" customWidth="1"/>
    <col min="4" max="4" width="110.6328125" customWidth="1"/>
  </cols>
  <sheetData>
    <row r="1" spans="1:4" x14ac:dyDescent="0.35">
      <c r="A1" s="7" t="s">
        <v>0</v>
      </c>
    </row>
    <row r="3" spans="1:4" x14ac:dyDescent="0.35">
      <c r="A3" s="6" t="s">
        <v>1</v>
      </c>
      <c r="B3" s="8" t="s">
        <v>2</v>
      </c>
      <c r="D3" s="8" t="s">
        <v>36</v>
      </c>
    </row>
    <row r="4" spans="1:4" x14ac:dyDescent="0.35">
      <c r="B4" s="10" t="s">
        <v>3</v>
      </c>
      <c r="D4" s="10" t="s">
        <v>37</v>
      </c>
    </row>
    <row r="5" spans="1:4" x14ac:dyDescent="0.35">
      <c r="B5" s="10" t="s">
        <v>4</v>
      </c>
      <c r="D5" s="10" t="s">
        <v>38</v>
      </c>
    </row>
    <row r="6" spans="1:4" x14ac:dyDescent="0.35">
      <c r="B6" s="10">
        <v>2026</v>
      </c>
      <c r="D6" s="10">
        <v>2024</v>
      </c>
    </row>
    <row r="7" spans="1:4" x14ac:dyDescent="0.35">
      <c r="B7" s="9" t="s">
        <v>5</v>
      </c>
      <c r="D7" s="9" t="s">
        <v>39</v>
      </c>
    </row>
    <row r="8" spans="1:4" ht="43.5" x14ac:dyDescent="0.35">
      <c r="B8" s="10" t="s">
        <v>6</v>
      </c>
      <c r="D8" s="10" t="s">
        <v>40</v>
      </c>
    </row>
    <row r="10" spans="1:4" x14ac:dyDescent="0.35">
      <c r="B10" s="8" t="s">
        <v>7</v>
      </c>
      <c r="D10" s="8" t="s">
        <v>41</v>
      </c>
    </row>
    <row r="11" spans="1:4" x14ac:dyDescent="0.35">
      <c r="B11" s="10" t="s">
        <v>8</v>
      </c>
      <c r="D11" s="10" t="s">
        <v>42</v>
      </c>
    </row>
    <row r="12" spans="1:4" x14ac:dyDescent="0.35">
      <c r="B12" s="10" t="s">
        <v>9</v>
      </c>
      <c r="D12" s="10" t="s">
        <v>43</v>
      </c>
    </row>
    <row r="13" spans="1:4" x14ac:dyDescent="0.35">
      <c r="B13" s="10">
        <v>2026</v>
      </c>
      <c r="D13" s="10">
        <v>2019</v>
      </c>
    </row>
    <row r="14" spans="1:4" x14ac:dyDescent="0.35">
      <c r="B14" s="9" t="s">
        <v>10</v>
      </c>
      <c r="D14" s="9" t="s">
        <v>44</v>
      </c>
    </row>
    <row r="15" spans="1:4" ht="43.5" x14ac:dyDescent="0.35">
      <c r="B15" s="10" t="s">
        <v>11</v>
      </c>
      <c r="D15" s="10" t="s">
        <v>45</v>
      </c>
    </row>
    <row r="17" spans="2:4" x14ac:dyDescent="0.35">
      <c r="B17" s="8" t="s">
        <v>12</v>
      </c>
      <c r="D17" s="8" t="s">
        <v>46</v>
      </c>
    </row>
    <row r="18" spans="2:4" x14ac:dyDescent="0.35">
      <c r="B18" s="10" t="s">
        <v>13</v>
      </c>
      <c r="D18" s="10" t="s">
        <v>47</v>
      </c>
    </row>
    <row r="19" spans="2:4" x14ac:dyDescent="0.35">
      <c r="B19" s="10" t="s">
        <v>14</v>
      </c>
      <c r="D19" s="10" t="s">
        <v>48</v>
      </c>
    </row>
    <row r="20" spans="2:4" x14ac:dyDescent="0.35">
      <c r="B20" s="10">
        <v>2025</v>
      </c>
      <c r="D20" s="10">
        <v>2025</v>
      </c>
    </row>
    <row r="21" spans="2:4" x14ac:dyDescent="0.35">
      <c r="B21" s="9" t="s">
        <v>15</v>
      </c>
      <c r="D21" s="9" t="s">
        <v>49</v>
      </c>
    </row>
    <row r="22" spans="2:4" ht="29" x14ac:dyDescent="0.35">
      <c r="B22" s="10" t="s">
        <v>16</v>
      </c>
      <c r="D22" s="10" t="s">
        <v>50</v>
      </c>
    </row>
    <row r="24" spans="2:4" x14ac:dyDescent="0.35">
      <c r="B24" s="8" t="s">
        <v>17</v>
      </c>
      <c r="D24" s="8" t="s">
        <v>51</v>
      </c>
    </row>
    <row r="25" spans="2:4" x14ac:dyDescent="0.35">
      <c r="B25" s="10" t="s">
        <v>18</v>
      </c>
      <c r="D25" s="10" t="s">
        <v>52</v>
      </c>
    </row>
    <row r="26" spans="2:4" x14ac:dyDescent="0.35">
      <c r="B26" s="10" t="s">
        <v>19</v>
      </c>
      <c r="D26" s="10" t="s">
        <v>53</v>
      </c>
    </row>
    <row r="27" spans="2:4" x14ac:dyDescent="0.35">
      <c r="B27" s="10">
        <v>2026</v>
      </c>
      <c r="D27" s="10">
        <v>2023</v>
      </c>
    </row>
    <row r="28" spans="2:4" x14ac:dyDescent="0.35">
      <c r="B28" s="9" t="s">
        <v>20</v>
      </c>
      <c r="D28" s="9" t="s">
        <v>54</v>
      </c>
    </row>
    <row r="29" spans="2:4" ht="58" x14ac:dyDescent="0.35">
      <c r="B29" s="10" t="s">
        <v>21</v>
      </c>
      <c r="D29" s="10" t="s">
        <v>55</v>
      </c>
    </row>
    <row r="31" spans="2:4" x14ac:dyDescent="0.35">
      <c r="B31" s="8" t="s">
        <v>22</v>
      </c>
      <c r="D31" s="8" t="s">
        <v>56</v>
      </c>
    </row>
    <row r="32" spans="2:4" x14ac:dyDescent="0.35">
      <c r="B32" s="10" t="s">
        <v>23</v>
      </c>
      <c r="D32" s="10" t="s">
        <v>57</v>
      </c>
    </row>
    <row r="33" spans="2:4" x14ac:dyDescent="0.35">
      <c r="B33" s="10" t="s">
        <v>24</v>
      </c>
      <c r="D33" s="10" t="s">
        <v>58</v>
      </c>
    </row>
    <row r="34" spans="2:4" x14ac:dyDescent="0.35">
      <c r="B34" s="10">
        <v>2026</v>
      </c>
      <c r="D34" s="10">
        <v>2026</v>
      </c>
    </row>
    <row r="35" spans="2:4" x14ac:dyDescent="0.35">
      <c r="B35" s="9" t="s">
        <v>25</v>
      </c>
      <c r="D35" s="9" t="s">
        <v>59</v>
      </c>
    </row>
    <row r="36" spans="2:4" ht="43.5" x14ac:dyDescent="0.35">
      <c r="B36" s="10" t="s">
        <v>26</v>
      </c>
      <c r="D36" s="10" t="s">
        <v>60</v>
      </c>
    </row>
    <row r="38" spans="2:4" x14ac:dyDescent="0.35">
      <c r="B38" s="8" t="s">
        <v>27</v>
      </c>
      <c r="D38" s="8" t="s">
        <v>61</v>
      </c>
    </row>
    <row r="39" spans="2:4" x14ac:dyDescent="0.35">
      <c r="B39" s="10" t="s">
        <v>28</v>
      </c>
      <c r="D39" s="10" t="s">
        <v>62</v>
      </c>
    </row>
    <row r="40" spans="2:4" x14ac:dyDescent="0.35">
      <c r="B40" s="10" t="s">
        <v>29</v>
      </c>
      <c r="D40" s="10" t="s">
        <v>63</v>
      </c>
    </row>
    <row r="41" spans="2:4" x14ac:dyDescent="0.35">
      <c r="B41" s="10">
        <v>2025</v>
      </c>
      <c r="D41" s="10">
        <v>2026</v>
      </c>
    </row>
    <row r="42" spans="2:4" x14ac:dyDescent="0.35">
      <c r="B42" s="9" t="s">
        <v>30</v>
      </c>
      <c r="D42" s="9" t="s">
        <v>64</v>
      </c>
    </row>
    <row r="43" spans="2:4" ht="43.5" x14ac:dyDescent="0.35">
      <c r="B43" s="10" t="s">
        <v>31</v>
      </c>
      <c r="D43" s="10" t="s">
        <v>65</v>
      </c>
    </row>
    <row r="45" spans="2:4" x14ac:dyDescent="0.35">
      <c r="B45" s="8" t="s">
        <v>32</v>
      </c>
    </row>
    <row r="46" spans="2:4" x14ac:dyDescent="0.35">
      <c r="B46" s="10" t="s">
        <v>33</v>
      </c>
    </row>
    <row r="47" spans="2:4" x14ac:dyDescent="0.35">
      <c r="B47" s="10" t="s">
        <v>34</v>
      </c>
    </row>
    <row r="48" spans="2:4" x14ac:dyDescent="0.35">
      <c r="B48" s="10">
        <v>2024</v>
      </c>
    </row>
    <row r="49" spans="1:2" x14ac:dyDescent="0.35">
      <c r="B49" s="9" t="s">
        <v>35</v>
      </c>
    </row>
    <row r="50" spans="1:2" ht="43.5" x14ac:dyDescent="0.35">
      <c r="B50" s="10" t="s">
        <v>146</v>
      </c>
    </row>
    <row r="53" spans="1:2" x14ac:dyDescent="0.35">
      <c r="A53" s="6" t="s">
        <v>66</v>
      </c>
    </row>
    <row r="54" spans="1:2" ht="145" x14ac:dyDescent="0.35">
      <c r="A54" s="6" t="s">
        <v>67</v>
      </c>
      <c r="B54" s="10" t="s">
        <v>156</v>
      </c>
    </row>
    <row r="55" spans="1:2" ht="58" x14ac:dyDescent="0.35">
      <c r="A55" s="6" t="s">
        <v>68</v>
      </c>
      <c r="B55" s="10" t="s">
        <v>147</v>
      </c>
    </row>
    <row r="56" spans="1:2" ht="72.5" x14ac:dyDescent="0.35">
      <c r="A56" s="6" t="s">
        <v>69</v>
      </c>
      <c r="B56" s="10" t="s">
        <v>70</v>
      </c>
    </row>
    <row r="57" spans="1:2" ht="101.5" x14ac:dyDescent="0.35">
      <c r="A57" s="6" t="s">
        <v>71</v>
      </c>
      <c r="B57" s="10" t="s">
        <v>72</v>
      </c>
    </row>
  </sheetData>
  <hyperlinks>
    <hyperlink ref="B7" r:id="rId1" xr:uid="{993C3930-A6E5-42FC-BE9E-A7FB6D6559E8}"/>
    <hyperlink ref="B14" r:id="rId2" xr:uid="{BD532200-316F-4AF8-9654-CB7E59CB5D20}"/>
    <hyperlink ref="B21" r:id="rId3" xr:uid="{22BDA847-0FC8-4E69-AF35-10521D5C92C7}"/>
    <hyperlink ref="B28" r:id="rId4" xr:uid="{707A1C22-C44E-4726-BE47-D76D8D7B82D7}"/>
    <hyperlink ref="B35" r:id="rId5" xr:uid="{1E91072C-C999-40CE-AD3D-03EAF7A7F19C}"/>
    <hyperlink ref="B42" r:id="rId6" xr:uid="{8A822303-5EBA-4628-910E-4AD80C06B16B}"/>
    <hyperlink ref="B49" r:id="rId7" xr:uid="{13C829DD-B5BF-4F57-B0FE-69C715CEC333}"/>
    <hyperlink ref="D7" r:id="rId8" xr:uid="{577A53AF-16ED-4D54-AE25-7DF41F495315}"/>
    <hyperlink ref="D14" r:id="rId9" xr:uid="{F9792ED1-759A-4B26-99B5-7EA07B2912A7}"/>
    <hyperlink ref="D21" r:id="rId10" xr:uid="{68BAC0F7-5F73-4119-B5C2-559B44FD183B}"/>
    <hyperlink ref="D28" r:id="rId11" xr:uid="{88E06003-5D84-442B-B94B-7284B3367D01}"/>
    <hyperlink ref="D35" r:id="rId12" xr:uid="{7DA977F1-8DBC-437A-A467-F542E6934F8A}"/>
    <hyperlink ref="D42" r:id="rId13" xr:uid="{58181472-D502-40A9-AEEE-B33365AAC26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pane xSplit="1" ySplit="4" topLeftCell="B5" activePane="bottomRight" state="frozen"/>
      <selection pane="topRight"/>
      <selection pane="bottomLeft"/>
      <selection pane="bottomRight" activeCell="H2" sqref="H2"/>
    </sheetView>
  </sheetViews>
  <sheetFormatPr defaultRowHeight="14.5" x14ac:dyDescent="0.35"/>
  <cols>
    <col min="1" max="1" width="22.54296875" customWidth="1"/>
    <col min="2" max="2" width="13.1796875" bestFit="1" customWidth="1"/>
    <col min="3" max="3" width="22" customWidth="1"/>
    <col min="4" max="4" width="10" customWidth="1"/>
    <col min="5" max="5" width="26" customWidth="1"/>
    <col min="6" max="6" width="10" customWidth="1"/>
    <col min="7" max="7" width="20" customWidth="1"/>
    <col min="8" max="8" width="87.54296875" customWidth="1"/>
  </cols>
  <sheetData>
    <row r="1" spans="1:8" x14ac:dyDescent="0.35">
      <c r="A1" s="1" t="s">
        <v>73</v>
      </c>
      <c r="B1" s="4" t="s">
        <v>74</v>
      </c>
    </row>
    <row r="2" spans="1:8" ht="116" x14ac:dyDescent="0.35">
      <c r="A2" s="2" t="s">
        <v>148</v>
      </c>
    </row>
    <row r="4" spans="1:8" ht="43.5" x14ac:dyDescent="0.35">
      <c r="A4" s="3" t="s">
        <v>75</v>
      </c>
      <c r="B4" s="3" t="s">
        <v>76</v>
      </c>
      <c r="C4" s="3" t="s">
        <v>77</v>
      </c>
      <c r="D4" s="3" t="s">
        <v>78</v>
      </c>
      <c r="E4" s="3" t="s">
        <v>79</v>
      </c>
      <c r="F4" s="3" t="s">
        <v>78</v>
      </c>
      <c r="G4" s="3" t="s">
        <v>80</v>
      </c>
      <c r="H4" s="3" t="s">
        <v>81</v>
      </c>
    </row>
    <row r="5" spans="1:8" x14ac:dyDescent="0.35">
      <c r="A5" t="s">
        <v>74</v>
      </c>
      <c r="B5">
        <v>2025</v>
      </c>
      <c r="C5">
        <v>110</v>
      </c>
      <c r="D5" t="s">
        <v>82</v>
      </c>
      <c r="F5" t="s">
        <v>83</v>
      </c>
      <c r="G5">
        <v>84</v>
      </c>
      <c r="H5" s="5" t="s">
        <v>84</v>
      </c>
    </row>
    <row r="6" spans="1:8" ht="43.5" x14ac:dyDescent="0.35">
      <c r="A6" t="s">
        <v>85</v>
      </c>
      <c r="B6">
        <v>2024</v>
      </c>
      <c r="C6">
        <v>1858.9</v>
      </c>
      <c r="D6" t="s">
        <v>86</v>
      </c>
      <c r="G6">
        <v>1700</v>
      </c>
      <c r="H6" s="5" t="s">
        <v>149</v>
      </c>
    </row>
    <row r="7" spans="1:8" ht="72.5" x14ac:dyDescent="0.35">
      <c r="A7" t="s">
        <v>87</v>
      </c>
      <c r="B7">
        <v>2024</v>
      </c>
      <c r="C7">
        <v>435</v>
      </c>
      <c r="D7" t="s">
        <v>86</v>
      </c>
      <c r="E7">
        <f>((2100/391)^(1/(2070-2023))-1)</f>
        <v>3.6412923934614927E-2</v>
      </c>
      <c r="F7" t="s">
        <v>88</v>
      </c>
      <c r="G7">
        <v>470</v>
      </c>
      <c r="H7" s="5" t="s">
        <v>150</v>
      </c>
    </row>
    <row r="8" spans="1:8" ht="43.5" x14ac:dyDescent="0.35">
      <c r="A8" t="s">
        <v>89</v>
      </c>
      <c r="B8">
        <v>2024</v>
      </c>
      <c r="C8">
        <v>148.1</v>
      </c>
      <c r="D8" t="s">
        <v>82</v>
      </c>
      <c r="H8" s="5" t="s">
        <v>151</v>
      </c>
    </row>
    <row r="9" spans="1:8" x14ac:dyDescent="0.35">
      <c r="A9" t="s">
        <v>90</v>
      </c>
      <c r="B9">
        <v>2024</v>
      </c>
      <c r="C9">
        <v>40</v>
      </c>
      <c r="D9" t="s">
        <v>88</v>
      </c>
      <c r="G9">
        <v>44</v>
      </c>
      <c r="H9" s="5" t="s">
        <v>91</v>
      </c>
    </row>
    <row r="10" spans="1:8" ht="87" x14ac:dyDescent="0.35">
      <c r="A10" t="s">
        <v>92</v>
      </c>
      <c r="B10">
        <v>2023</v>
      </c>
      <c r="C10">
        <v>62.21</v>
      </c>
      <c r="D10" t="s">
        <v>82</v>
      </c>
      <c r="E10">
        <v>1.7000000000000001E-2</v>
      </c>
      <c r="F10" t="s">
        <v>88</v>
      </c>
      <c r="G10">
        <v>67</v>
      </c>
      <c r="H10" s="5" t="s">
        <v>152</v>
      </c>
    </row>
    <row r="11" spans="1:8" ht="43.5" x14ac:dyDescent="0.35">
      <c r="A11" t="s">
        <v>93</v>
      </c>
      <c r="B11">
        <v>2024</v>
      </c>
      <c r="C11">
        <v>42</v>
      </c>
      <c r="D11" t="s">
        <v>86</v>
      </c>
      <c r="G11">
        <v>42</v>
      </c>
      <c r="H11" s="5" t="s">
        <v>153</v>
      </c>
    </row>
    <row r="12" spans="1:8" ht="58" x14ac:dyDescent="0.35">
      <c r="A12" t="s">
        <v>94</v>
      </c>
      <c r="B12">
        <v>2024</v>
      </c>
      <c r="C12">
        <f>12.7+1.2-(4.39+0.47)</f>
        <v>9.0399999999999991</v>
      </c>
      <c r="D12" t="s">
        <v>88</v>
      </c>
      <c r="E12">
        <v>0.01</v>
      </c>
      <c r="F12" t="s">
        <v>82</v>
      </c>
      <c r="H12" s="5" t="s">
        <v>95</v>
      </c>
    </row>
    <row r="13" spans="1:8" ht="29" x14ac:dyDescent="0.35">
      <c r="A13" t="s">
        <v>96</v>
      </c>
      <c r="B13">
        <v>2025</v>
      </c>
      <c r="C13">
        <v>63.911999999999999</v>
      </c>
      <c r="D13" t="s">
        <v>82</v>
      </c>
      <c r="G13">
        <v>64</v>
      </c>
      <c r="H13" s="5" t="s">
        <v>154</v>
      </c>
    </row>
    <row r="14" spans="1:8" x14ac:dyDescent="0.35">
      <c r="A14" t="s">
        <v>97</v>
      </c>
      <c r="H14" s="5" t="s">
        <v>98</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workbookViewId="0">
      <pane ySplit="3" topLeftCell="A4" activePane="bottomLeft" state="frozen"/>
      <selection pane="bottomLeft"/>
    </sheetView>
  </sheetViews>
  <sheetFormatPr defaultRowHeight="14.5" x14ac:dyDescent="0.35"/>
  <cols>
    <col min="1" max="1" width="70" customWidth="1"/>
  </cols>
  <sheetData>
    <row r="1" spans="1:6" x14ac:dyDescent="0.35">
      <c r="A1" t="s">
        <v>99</v>
      </c>
    </row>
    <row r="3" spans="1:6" x14ac:dyDescent="0.35">
      <c r="A3" t="s">
        <v>100</v>
      </c>
      <c r="B3">
        <v>2021</v>
      </c>
      <c r="C3">
        <v>2022</v>
      </c>
      <c r="D3">
        <v>2023</v>
      </c>
      <c r="E3">
        <v>2024</v>
      </c>
      <c r="F3" t="s">
        <v>101</v>
      </c>
    </row>
    <row r="4" spans="1:6" x14ac:dyDescent="0.35">
      <c r="A4" t="s">
        <v>102</v>
      </c>
      <c r="B4">
        <v>91000</v>
      </c>
      <c r="C4">
        <v>91200</v>
      </c>
      <c r="D4">
        <v>89700</v>
      </c>
      <c r="E4">
        <v>85000</v>
      </c>
      <c r="F4">
        <v>84000</v>
      </c>
    </row>
    <row r="5" spans="1:6" x14ac:dyDescent="0.35">
      <c r="A5" t="s">
        <v>103</v>
      </c>
      <c r="B5">
        <v>79616</v>
      </c>
      <c r="C5">
        <v>79489</v>
      </c>
      <c r="D5">
        <v>76789</v>
      </c>
      <c r="E5">
        <v>72000</v>
      </c>
      <c r="F5">
        <v>69000</v>
      </c>
    </row>
    <row r="6" spans="1:6" x14ac:dyDescent="0.35">
      <c r="A6" t="s">
        <v>104</v>
      </c>
      <c r="B6">
        <v>108969</v>
      </c>
      <c r="C6">
        <v>111092</v>
      </c>
      <c r="D6">
        <v>110290</v>
      </c>
      <c r="E6">
        <v>100000</v>
      </c>
      <c r="F6">
        <v>100000</v>
      </c>
    </row>
    <row r="7" spans="1:6" x14ac:dyDescent="0.35">
      <c r="A7" t="s">
        <v>105</v>
      </c>
      <c r="B7">
        <v>19937</v>
      </c>
      <c r="C7">
        <v>24985</v>
      </c>
      <c r="D7">
        <v>24986</v>
      </c>
      <c r="E7">
        <v>23675</v>
      </c>
      <c r="F7">
        <v>23000</v>
      </c>
    </row>
    <row r="8" spans="1:6" x14ac:dyDescent="0.35">
      <c r="A8" t="s">
        <v>106</v>
      </c>
      <c r="B8">
        <v>1563</v>
      </c>
      <c r="C8">
        <v>1021</v>
      </c>
      <c r="D8">
        <v>921</v>
      </c>
      <c r="E8">
        <v>685</v>
      </c>
      <c r="F8">
        <v>660</v>
      </c>
    </row>
    <row r="9" spans="1:6" x14ac:dyDescent="0.35">
      <c r="A9" t="s">
        <v>107</v>
      </c>
      <c r="B9">
        <v>939</v>
      </c>
      <c r="C9">
        <v>904</v>
      </c>
      <c r="D9">
        <v>889</v>
      </c>
      <c r="E9">
        <v>932</v>
      </c>
      <c r="F9">
        <v>1000</v>
      </c>
    </row>
    <row r="10" spans="1:6" x14ac:dyDescent="0.35">
      <c r="A10" t="s">
        <v>108</v>
      </c>
      <c r="B10">
        <v>111000</v>
      </c>
      <c r="C10">
        <v>114000</v>
      </c>
      <c r="D10">
        <v>113000</v>
      </c>
      <c r="E10">
        <v>110000</v>
      </c>
      <c r="F10">
        <v>110000</v>
      </c>
    </row>
    <row r="11" spans="1:6" x14ac:dyDescent="0.35">
      <c r="A11" t="s">
        <v>109</v>
      </c>
      <c r="B11">
        <v>127</v>
      </c>
      <c r="C11">
        <v>139</v>
      </c>
      <c r="D11">
        <v>152</v>
      </c>
      <c r="E11">
        <v>160</v>
      </c>
      <c r="F11">
        <v>160</v>
      </c>
    </row>
    <row r="12" spans="1:6" x14ac:dyDescent="0.35">
      <c r="A12" t="s">
        <v>110</v>
      </c>
      <c r="B12">
        <v>6280</v>
      </c>
      <c r="C12">
        <v>8010</v>
      </c>
      <c r="D12">
        <v>8830</v>
      </c>
      <c r="E12">
        <v>9700</v>
      </c>
      <c r="F12">
        <v>8200</v>
      </c>
    </row>
    <row r="13" spans="1:6" x14ac:dyDescent="0.35">
      <c r="A13" t="s">
        <v>111</v>
      </c>
      <c r="B13">
        <v>19</v>
      </c>
      <c r="C13">
        <v>22</v>
      </c>
      <c r="D13">
        <v>22</v>
      </c>
      <c r="E13">
        <v>22</v>
      </c>
      <c r="F13">
        <v>21</v>
      </c>
    </row>
    <row r="15" spans="1:6" x14ac:dyDescent="0.35">
      <c r="A15" t="s">
        <v>112</v>
      </c>
      <c r="B15" t="s">
        <v>113</v>
      </c>
      <c r="C15" t="s">
        <v>114</v>
      </c>
      <c r="D15" t="s">
        <v>115</v>
      </c>
      <c r="E15" t="s">
        <v>116</v>
      </c>
    </row>
    <row r="16" spans="1:6" x14ac:dyDescent="0.35">
      <c r="A16" t="s">
        <v>117</v>
      </c>
      <c r="B16">
        <v>85000</v>
      </c>
      <c r="C16">
        <v>84000</v>
      </c>
      <c r="D16">
        <v>100000</v>
      </c>
      <c r="E16">
        <v>100000</v>
      </c>
    </row>
    <row r="17" spans="1:5" x14ac:dyDescent="0.35">
      <c r="A17" t="s">
        <v>92</v>
      </c>
      <c r="B17">
        <v>65000</v>
      </c>
      <c r="C17">
        <v>67000</v>
      </c>
      <c r="D17">
        <v>60000</v>
      </c>
      <c r="E17">
        <v>61000</v>
      </c>
    </row>
    <row r="18" spans="1:5" x14ac:dyDescent="0.35">
      <c r="A18" t="s">
        <v>85</v>
      </c>
      <c r="B18">
        <v>1800000</v>
      </c>
      <c r="C18">
        <v>1700000</v>
      </c>
      <c r="D18">
        <v>1900000</v>
      </c>
      <c r="E18">
        <v>1800000</v>
      </c>
    </row>
    <row r="19" spans="1:5" x14ac:dyDescent="0.35">
      <c r="A19" t="s">
        <v>118</v>
      </c>
      <c r="B19">
        <v>53000</v>
      </c>
      <c r="C19">
        <v>64000</v>
      </c>
      <c r="D19">
        <v>60000</v>
      </c>
      <c r="E19">
        <v>75000</v>
      </c>
    </row>
    <row r="20" spans="1:5" x14ac:dyDescent="0.35">
      <c r="A20" t="s">
        <v>87</v>
      </c>
      <c r="B20">
        <v>440000</v>
      </c>
      <c r="C20">
        <v>470000</v>
      </c>
      <c r="D20">
        <v>380000</v>
      </c>
      <c r="E20">
        <v>400000</v>
      </c>
    </row>
    <row r="21" spans="1:5" x14ac:dyDescent="0.35">
      <c r="A21" t="s">
        <v>96</v>
      </c>
      <c r="B21">
        <v>68000</v>
      </c>
      <c r="C21">
        <v>64000</v>
      </c>
      <c r="D21">
        <v>79000</v>
      </c>
      <c r="E21">
        <v>83000</v>
      </c>
    </row>
    <row r="22" spans="1:5" x14ac:dyDescent="0.35">
      <c r="A22" t="s">
        <v>119</v>
      </c>
      <c r="B22">
        <v>71000</v>
      </c>
      <c r="C22">
        <v>68000</v>
      </c>
      <c r="D22">
        <v>85000</v>
      </c>
      <c r="E22">
        <v>85000</v>
      </c>
    </row>
    <row r="23" spans="1:5" x14ac:dyDescent="0.35">
      <c r="A23" t="s">
        <v>90</v>
      </c>
      <c r="B23">
        <v>46000</v>
      </c>
      <c r="C23">
        <v>44000</v>
      </c>
      <c r="D23">
        <v>50000</v>
      </c>
      <c r="E23">
        <v>50000</v>
      </c>
    </row>
    <row r="24" spans="1:5" x14ac:dyDescent="0.35">
      <c r="A24" t="s">
        <v>120</v>
      </c>
      <c r="B24">
        <v>44000</v>
      </c>
      <c r="C24">
        <v>37000</v>
      </c>
      <c r="D24">
        <v>62000</v>
      </c>
      <c r="E24">
        <v>62000</v>
      </c>
    </row>
    <row r="25" spans="1:5" x14ac:dyDescent="0.35">
      <c r="A25" t="s">
        <v>93</v>
      </c>
      <c r="B25">
        <v>44000</v>
      </c>
      <c r="C25">
        <v>42000</v>
      </c>
      <c r="D25">
        <v>42000</v>
      </c>
      <c r="E25">
        <v>42000</v>
      </c>
    </row>
    <row r="26" spans="1:5" x14ac:dyDescent="0.35">
      <c r="A26" t="s">
        <v>121</v>
      </c>
      <c r="B26">
        <v>67000</v>
      </c>
      <c r="C26">
        <v>59000</v>
      </c>
      <c r="D26">
        <v>80000</v>
      </c>
      <c r="E26">
        <v>80000</v>
      </c>
    </row>
    <row r="27" spans="1:5" x14ac:dyDescent="0.35">
      <c r="A27" t="s">
        <v>122</v>
      </c>
      <c r="B27">
        <v>51000</v>
      </c>
      <c r="C27">
        <v>54000</v>
      </c>
      <c r="D27">
        <v>75000</v>
      </c>
      <c r="E27">
        <v>75000</v>
      </c>
    </row>
    <row r="28" spans="1:5" x14ac:dyDescent="0.35">
      <c r="A28" t="s">
        <v>123</v>
      </c>
      <c r="B28">
        <v>85000</v>
      </c>
      <c r="C28">
        <v>89000</v>
      </c>
      <c r="D28">
        <v>100000</v>
      </c>
      <c r="E28">
        <v>100000</v>
      </c>
    </row>
    <row r="29" spans="1:5" x14ac:dyDescent="0.35">
      <c r="A29" t="s">
        <v>124</v>
      </c>
      <c r="B29">
        <v>91000</v>
      </c>
      <c r="C29">
        <v>100000</v>
      </c>
      <c r="D29">
        <v>110000</v>
      </c>
      <c r="E29">
        <v>110000</v>
      </c>
    </row>
    <row r="30" spans="1:5" x14ac:dyDescent="0.35">
      <c r="A30" t="s">
        <v>125</v>
      </c>
      <c r="B30">
        <v>860000</v>
      </c>
      <c r="C30">
        <v>860000</v>
      </c>
      <c r="D30">
        <v>650000</v>
      </c>
      <c r="E30">
        <v>650000</v>
      </c>
    </row>
    <row r="31" spans="1:5" x14ac:dyDescent="0.35">
      <c r="A31" t="s">
        <v>126</v>
      </c>
      <c r="B31">
        <v>3900000</v>
      </c>
      <c r="C31">
        <v>3800000</v>
      </c>
      <c r="D31">
        <v>3800000</v>
      </c>
      <c r="E31">
        <v>3800000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
  <sheetViews>
    <sheetView workbookViewId="0">
      <pane xSplit="4" ySplit="3" topLeftCell="E4" activePane="bottomRight" state="frozen"/>
      <selection pane="topRight"/>
      <selection pane="bottomLeft"/>
      <selection pane="bottomRight"/>
    </sheetView>
  </sheetViews>
  <sheetFormatPr defaultRowHeight="14.5" x14ac:dyDescent="0.35"/>
  <sheetData>
    <row r="1" spans="1:30" x14ac:dyDescent="0.35">
      <c r="A1" t="s">
        <v>127</v>
      </c>
    </row>
    <row r="3" spans="1:30" ht="29" x14ac:dyDescent="0.35">
      <c r="A3" s="3" t="s">
        <v>128</v>
      </c>
      <c r="B3" s="3" t="s">
        <v>129</v>
      </c>
      <c r="C3" s="3" t="s">
        <v>130</v>
      </c>
      <c r="D3" s="3" t="s">
        <v>131</v>
      </c>
      <c r="E3" s="3">
        <v>2025</v>
      </c>
      <c r="F3" s="3">
        <v>2026</v>
      </c>
      <c r="G3" s="3">
        <v>2027</v>
      </c>
      <c r="H3" s="3">
        <v>2028</v>
      </c>
      <c r="I3" s="3">
        <v>2029</v>
      </c>
      <c r="J3" s="3">
        <v>2030</v>
      </c>
      <c r="K3" s="3">
        <v>2031</v>
      </c>
      <c r="L3" s="3">
        <v>2032</v>
      </c>
      <c r="M3" s="3">
        <v>2033</v>
      </c>
      <c r="N3" s="3">
        <v>2034</v>
      </c>
      <c r="O3" s="3">
        <v>2035</v>
      </c>
      <c r="P3" s="3">
        <v>2036</v>
      </c>
      <c r="Q3" s="3">
        <v>2037</v>
      </c>
      <c r="R3" s="3">
        <v>2038</v>
      </c>
      <c r="S3" s="3">
        <v>2039</v>
      </c>
      <c r="T3" s="3">
        <v>2040</v>
      </c>
      <c r="U3" s="3">
        <v>2041</v>
      </c>
      <c r="V3" s="3">
        <v>2042</v>
      </c>
      <c r="W3" s="3">
        <v>2043</v>
      </c>
      <c r="X3" s="3">
        <v>2044</v>
      </c>
      <c r="Y3" s="3">
        <v>2045</v>
      </c>
      <c r="Z3" s="3">
        <v>2046</v>
      </c>
      <c r="AA3" s="3">
        <v>2047</v>
      </c>
      <c r="AB3" s="3">
        <v>2048</v>
      </c>
      <c r="AC3" s="3">
        <v>2049</v>
      </c>
      <c r="AD3" s="3">
        <v>2050</v>
      </c>
    </row>
    <row r="4" spans="1:30" x14ac:dyDescent="0.35">
      <c r="A4" t="s">
        <v>132</v>
      </c>
      <c r="B4" t="s">
        <v>133</v>
      </c>
      <c r="C4" t="s">
        <v>134</v>
      </c>
      <c r="D4" t="s">
        <v>135</v>
      </c>
      <c r="E4">
        <v>9.3360269999999996</v>
      </c>
      <c r="F4">
        <v>9.1387490000000007</v>
      </c>
      <c r="G4">
        <v>8.9767869999999998</v>
      </c>
      <c r="H4">
        <v>8.8997440000000001</v>
      </c>
      <c r="I4">
        <v>8.8583759999999998</v>
      </c>
      <c r="J4">
        <v>8.879111</v>
      </c>
      <c r="K4">
        <v>8.9399709999999999</v>
      </c>
      <c r="L4">
        <v>9.02407</v>
      </c>
      <c r="M4">
        <v>9.1352890000000002</v>
      </c>
      <c r="N4">
        <v>9.2585529999999991</v>
      </c>
      <c r="O4">
        <v>9.3897539999999999</v>
      </c>
      <c r="P4">
        <v>9.524654</v>
      </c>
      <c r="Q4">
        <v>9.6574539999999995</v>
      </c>
      <c r="R4">
        <v>9.793234</v>
      </c>
      <c r="S4">
        <v>9.925656</v>
      </c>
      <c r="T4">
        <v>10.036542000000001</v>
      </c>
      <c r="U4">
        <v>10.121435</v>
      </c>
      <c r="V4">
        <v>10.178687</v>
      </c>
      <c r="W4">
        <v>10.198941</v>
      </c>
      <c r="X4">
        <v>10.195506999999999</v>
      </c>
      <c r="Y4">
        <v>10.222628</v>
      </c>
      <c r="Z4">
        <v>10.289026</v>
      </c>
      <c r="AA4">
        <v>10.381219</v>
      </c>
      <c r="AB4">
        <v>10.489734</v>
      </c>
      <c r="AC4">
        <v>10.605895</v>
      </c>
      <c r="AD4">
        <v>10.7287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1"/>
  <sheetViews>
    <sheetView workbookViewId="0"/>
  </sheetViews>
  <sheetFormatPr defaultRowHeight="14.5" x14ac:dyDescent="0.35"/>
  <cols>
    <col min="1" max="1" width="58" customWidth="1"/>
  </cols>
  <sheetData>
    <row r="1" spans="1:31" x14ac:dyDescent="0.35">
      <c r="A1" t="s">
        <v>136</v>
      </c>
      <c r="B1" t="str">
        <f>Regions!B1</f>
        <v>United States</v>
      </c>
    </row>
    <row r="2" spans="1:31" x14ac:dyDescent="0.35">
      <c r="A2" t="s">
        <v>76</v>
      </c>
      <c r="B2">
        <f>INDEX(Regions!$B$5:$B$14,MATCH(Regions!$B$1,Regions!$A$5:$A$14,0))</f>
        <v>2025</v>
      </c>
    </row>
    <row r="3" spans="1:31" x14ac:dyDescent="0.35">
      <c r="A3" t="s">
        <v>137</v>
      </c>
      <c r="B3">
        <f>INDEX(Regions!$C$5:$C$14,MATCH(Regions!$B$1,Regions!$A$5:$A$14,0))</f>
        <v>110</v>
      </c>
    </row>
    <row r="4" spans="1:31" x14ac:dyDescent="0.35">
      <c r="A4" t="s">
        <v>138</v>
      </c>
      <c r="B4">
        <f>IF(ISNUMBER(INDEX(Regions!$E$5:$E$14,MATCH(Regions!$B$1,Regions!$A$5:$A$14,0))),INDEX(Regions!$E$5:$E$14,MATCH(Regions!$B$1,Regions!$A$5:$A$14,0)),0)</f>
        <v>0</v>
      </c>
    </row>
    <row r="5" spans="1:31" x14ac:dyDescent="0.35">
      <c r="A5" t="s">
        <v>139</v>
      </c>
      <c r="B5">
        <f>IF(B1="United States",1,0)</f>
        <v>1</v>
      </c>
    </row>
    <row r="7" spans="1:31" x14ac:dyDescent="0.35">
      <c r="A7" t="s">
        <v>140</v>
      </c>
      <c r="B7">
        <v>2021</v>
      </c>
      <c r="C7">
        <v>2022</v>
      </c>
      <c r="D7">
        <v>2023</v>
      </c>
      <c r="E7">
        <v>2024</v>
      </c>
      <c r="F7">
        <v>2025</v>
      </c>
      <c r="G7">
        <v>2026</v>
      </c>
      <c r="H7">
        <v>2027</v>
      </c>
      <c r="I7">
        <v>2028</v>
      </c>
      <c r="J7">
        <v>2029</v>
      </c>
      <c r="K7">
        <v>2030</v>
      </c>
      <c r="L7">
        <v>2031</v>
      </c>
      <c r="M7">
        <v>2032</v>
      </c>
      <c r="N7">
        <v>2033</v>
      </c>
      <c r="O7">
        <v>2034</v>
      </c>
      <c r="P7">
        <v>2035</v>
      </c>
      <c r="Q7">
        <v>2036</v>
      </c>
      <c r="R7">
        <v>2037</v>
      </c>
      <c r="S7">
        <v>2038</v>
      </c>
      <c r="T7">
        <v>2039</v>
      </c>
      <c r="U7">
        <v>2040</v>
      </c>
      <c r="V7">
        <v>2041</v>
      </c>
      <c r="W7">
        <v>2042</v>
      </c>
      <c r="X7">
        <v>2043</v>
      </c>
      <c r="Y7">
        <v>2044</v>
      </c>
      <c r="Z7">
        <v>2045</v>
      </c>
      <c r="AA7">
        <v>2046</v>
      </c>
      <c r="AB7">
        <v>2047</v>
      </c>
      <c r="AC7">
        <v>2048</v>
      </c>
      <c r="AD7">
        <v>2049</v>
      </c>
      <c r="AE7">
        <v>2050</v>
      </c>
    </row>
    <row r="8" spans="1:31" x14ac:dyDescent="0.35">
      <c r="A8" t="s">
        <v>141</v>
      </c>
      <c r="B8">
        <f>'USGS MCS 2026 Cement'!B10/1000</f>
        <v>111</v>
      </c>
      <c r="C8">
        <f>'USGS MCS 2026 Cement'!C10/1000</f>
        <v>114</v>
      </c>
      <c r="D8">
        <f>'USGS MCS 2026 Cement'!D10/1000</f>
        <v>113</v>
      </c>
      <c r="E8">
        <f>'USGS MCS 2026 Cement'!E10/1000</f>
        <v>110</v>
      </c>
      <c r="F8">
        <f>'USGS MCS 2026 Cement'!F10/1000</f>
        <v>110</v>
      </c>
    </row>
    <row r="9" spans="1:31" x14ac:dyDescent="0.35">
      <c r="A9" t="s">
        <v>142</v>
      </c>
      <c r="F9">
        <f>'AEO 2026 Table 23'!E4/'AEO 2026 Table 23'!$E$4</f>
        <v>1</v>
      </c>
      <c r="G9">
        <f>'AEO 2026 Table 23'!F4/'AEO 2026 Table 23'!$E$4</f>
        <v>0.97886916993706219</v>
      </c>
      <c r="H9">
        <f>'AEO 2026 Table 23'!G4/'AEO 2026 Table 23'!$E$4</f>
        <v>0.96152110528386436</v>
      </c>
      <c r="I9">
        <f>'AEO 2026 Table 23'!H4/'AEO 2026 Table 23'!$E$4</f>
        <v>0.95326887979222863</v>
      </c>
      <c r="J9">
        <f>'AEO 2026 Table 23'!I4/'AEO 2026 Table 23'!$E$4</f>
        <v>0.94883787289818255</v>
      </c>
      <c r="K9">
        <f>'AEO 2026 Table 23'!J4/'AEO 2026 Table 23'!$E$4</f>
        <v>0.95105883905434296</v>
      </c>
      <c r="L9">
        <f>'AEO 2026 Table 23'!K4/'AEO 2026 Table 23'!$E$4</f>
        <v>0.95757767195831811</v>
      </c>
      <c r="M9">
        <f>'AEO 2026 Table 23'!L4/'AEO 2026 Table 23'!$E$4</f>
        <v>0.966585679325906</v>
      </c>
      <c r="N9">
        <f>'AEO 2026 Table 23'!M4/'AEO 2026 Table 23'!$E$4</f>
        <v>0.97849856261126933</v>
      </c>
      <c r="O9">
        <f>'AEO 2026 Table 23'!N4/'AEO 2026 Table 23'!$E$4</f>
        <v>0.99170160926055584</v>
      </c>
      <c r="P9">
        <f>'AEO 2026 Table 23'!O4/'AEO 2026 Table 23'!$E$4</f>
        <v>1.005754803408345</v>
      </c>
      <c r="Q9">
        <f>'AEO 2026 Table 23'!P4/'AEO 2026 Table 23'!$E$4</f>
        <v>1.0202042046365118</v>
      </c>
      <c r="R9">
        <f>'AEO 2026 Table 23'!Q4/'AEO 2026 Table 23'!$E$4</f>
        <v>1.0344286707825503</v>
      </c>
      <c r="S9">
        <f>'AEO 2026 Table 23'!R4/'AEO 2026 Table 23'!$E$4</f>
        <v>1.0489723305213234</v>
      </c>
      <c r="T9">
        <f>'AEO 2026 Table 23'!S4/'AEO 2026 Table 23'!$E$4</f>
        <v>1.0631563083525788</v>
      </c>
      <c r="U9">
        <f>'AEO 2026 Table 23'!T4/'AEO 2026 Table 23'!$E$4</f>
        <v>1.0750335233606332</v>
      </c>
      <c r="V9">
        <f>'AEO 2026 Table 23'!U4/'AEO 2026 Table 23'!$E$4</f>
        <v>1.0841265776116544</v>
      </c>
      <c r="W9">
        <f>'AEO 2026 Table 23'!V4/'AEO 2026 Table 23'!$E$4</f>
        <v>1.0902589506221436</v>
      </c>
      <c r="X9">
        <f>'AEO 2026 Table 23'!W4/'AEO 2026 Table 23'!$E$4</f>
        <v>1.0924283959333023</v>
      </c>
      <c r="Y9">
        <f>'AEO 2026 Table 23'!X4/'AEO 2026 Table 23'!$E$4</f>
        <v>1.09206057351805</v>
      </c>
      <c r="Z9">
        <f>'AEO 2026 Table 23'!Y4/'AEO 2026 Table 23'!$E$4</f>
        <v>1.0949655565477692</v>
      </c>
      <c r="AA9">
        <f>'AEO 2026 Table 23'!Z4/'AEO 2026 Table 23'!$E$4</f>
        <v>1.1020775753969005</v>
      </c>
      <c r="AB9">
        <f>'AEO 2026 Table 23'!AA4/'AEO 2026 Table 23'!$E$4</f>
        <v>1.1119525468381786</v>
      </c>
      <c r="AC9">
        <f>'AEO 2026 Table 23'!AB4/'AEO 2026 Table 23'!$E$4</f>
        <v>1.1235757994273154</v>
      </c>
      <c r="AD9">
        <f>'AEO 2026 Table 23'!AC4/'AEO 2026 Table 23'!$E$4</f>
        <v>1.1360180299392879</v>
      </c>
      <c r="AE9">
        <f>'AEO 2026 Table 23'!AD4/'AEO 2026 Table 23'!$E$4</f>
        <v>1.149171912206338</v>
      </c>
    </row>
    <row r="10" spans="1:31" x14ac:dyDescent="0.35">
      <c r="A10" t="s">
        <v>143</v>
      </c>
      <c r="B10">
        <f t="shared" ref="B10:AE10" si="0">(1+$B$4)^(B7-$B$2)</f>
        <v>1</v>
      </c>
      <c r="C10">
        <f t="shared" si="0"/>
        <v>1</v>
      </c>
      <c r="D10">
        <f t="shared" si="0"/>
        <v>1</v>
      </c>
      <c r="E10">
        <f t="shared" si="0"/>
        <v>1</v>
      </c>
      <c r="F10">
        <f t="shared" si="0"/>
        <v>1</v>
      </c>
      <c r="G10">
        <f t="shared" si="0"/>
        <v>1</v>
      </c>
      <c r="H10">
        <f t="shared" si="0"/>
        <v>1</v>
      </c>
      <c r="I10">
        <f t="shared" si="0"/>
        <v>1</v>
      </c>
      <c r="J10">
        <f t="shared" si="0"/>
        <v>1</v>
      </c>
      <c r="K10">
        <f t="shared" si="0"/>
        <v>1</v>
      </c>
      <c r="L10">
        <f t="shared" si="0"/>
        <v>1</v>
      </c>
      <c r="M10">
        <f t="shared" si="0"/>
        <v>1</v>
      </c>
      <c r="N10">
        <f t="shared" si="0"/>
        <v>1</v>
      </c>
      <c r="O10">
        <f t="shared" si="0"/>
        <v>1</v>
      </c>
      <c r="P10">
        <f t="shared" si="0"/>
        <v>1</v>
      </c>
      <c r="Q10">
        <f t="shared" si="0"/>
        <v>1</v>
      </c>
      <c r="R10">
        <f t="shared" si="0"/>
        <v>1</v>
      </c>
      <c r="S10">
        <f t="shared" si="0"/>
        <v>1</v>
      </c>
      <c r="T10">
        <f t="shared" si="0"/>
        <v>1</v>
      </c>
      <c r="U10">
        <f t="shared" si="0"/>
        <v>1</v>
      </c>
      <c r="V10">
        <f t="shared" si="0"/>
        <v>1</v>
      </c>
      <c r="W10">
        <f t="shared" si="0"/>
        <v>1</v>
      </c>
      <c r="X10">
        <f t="shared" si="0"/>
        <v>1</v>
      </c>
      <c r="Y10">
        <f t="shared" si="0"/>
        <v>1</v>
      </c>
      <c r="Z10">
        <f t="shared" si="0"/>
        <v>1</v>
      </c>
      <c r="AA10">
        <f t="shared" si="0"/>
        <v>1</v>
      </c>
      <c r="AB10">
        <f t="shared" si="0"/>
        <v>1</v>
      </c>
      <c r="AC10">
        <f t="shared" si="0"/>
        <v>1</v>
      </c>
      <c r="AD10">
        <f t="shared" si="0"/>
        <v>1</v>
      </c>
      <c r="AE10">
        <f t="shared" si="0"/>
        <v>1</v>
      </c>
    </row>
    <row r="11" spans="1:31" x14ac:dyDescent="0.35">
      <c r="A11" t="s">
        <v>144</v>
      </c>
      <c r="B11">
        <f t="shared" ref="B11:AE11" si="1">1000000*IF($B$5=1,IF(B7&lt;=2025,B8,$B$3*B9),$B$3*B10)</f>
        <v>111000000</v>
      </c>
      <c r="C11">
        <f t="shared" si="1"/>
        <v>114000000</v>
      </c>
      <c r="D11">
        <f t="shared" si="1"/>
        <v>113000000</v>
      </c>
      <c r="E11">
        <f t="shared" si="1"/>
        <v>110000000</v>
      </c>
      <c r="F11">
        <f t="shared" si="1"/>
        <v>110000000</v>
      </c>
      <c r="G11">
        <f t="shared" si="1"/>
        <v>107675608.69307683</v>
      </c>
      <c r="H11">
        <f t="shared" si="1"/>
        <v>105767321.58122508</v>
      </c>
      <c r="I11">
        <f t="shared" si="1"/>
        <v>104859576.77714515</v>
      </c>
      <c r="J11">
        <f t="shared" si="1"/>
        <v>104372166.01880008</v>
      </c>
      <c r="K11">
        <f t="shared" si="1"/>
        <v>104616472.29597773</v>
      </c>
      <c r="L11">
        <f t="shared" si="1"/>
        <v>105333543.91541499</v>
      </c>
      <c r="M11">
        <f t="shared" si="1"/>
        <v>106324424.72584967</v>
      </c>
      <c r="N11">
        <f t="shared" si="1"/>
        <v>107634841.88723963</v>
      </c>
      <c r="O11">
        <f t="shared" si="1"/>
        <v>109087177.01866114</v>
      </c>
      <c r="P11">
        <f t="shared" si="1"/>
        <v>110633028.37491795</v>
      </c>
      <c r="Q11">
        <f t="shared" si="1"/>
        <v>112222462.51001629</v>
      </c>
      <c r="R11">
        <f t="shared" si="1"/>
        <v>113787153.78608054</v>
      </c>
      <c r="S11">
        <f t="shared" si="1"/>
        <v>115386956.35734558</v>
      </c>
      <c r="T11">
        <f t="shared" si="1"/>
        <v>116947193.91878366</v>
      </c>
      <c r="U11">
        <f t="shared" si="1"/>
        <v>118253687.56966965</v>
      </c>
      <c r="V11">
        <f t="shared" si="1"/>
        <v>119253923.53728199</v>
      </c>
      <c r="W11">
        <f t="shared" si="1"/>
        <v>119928484.56843579</v>
      </c>
      <c r="X11">
        <f t="shared" si="1"/>
        <v>120167123.55266325</v>
      </c>
      <c r="Y11">
        <f t="shared" si="1"/>
        <v>120126663.0869855</v>
      </c>
      <c r="Z11">
        <f t="shared" si="1"/>
        <v>120446211.22025461</v>
      </c>
      <c r="AA11">
        <f t="shared" si="1"/>
        <v>121228533.29365906</v>
      </c>
      <c r="AB11">
        <f t="shared" si="1"/>
        <v>122314780.15219964</v>
      </c>
      <c r="AC11">
        <f t="shared" si="1"/>
        <v>123593337.9370047</v>
      </c>
      <c r="AD11">
        <f t="shared" si="1"/>
        <v>124961983.29332167</v>
      </c>
      <c r="AE11">
        <f t="shared" si="1"/>
        <v>126408910.34269717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AE2"/>
  <sheetViews>
    <sheetView workbookViewId="0"/>
  </sheetViews>
  <sheetFormatPr defaultRowHeight="14.5" x14ac:dyDescent="0.35"/>
  <sheetData>
    <row r="1" spans="1:31" x14ac:dyDescent="0.35">
      <c r="A1" t="s">
        <v>155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145</v>
      </c>
      <c r="B2">
        <f>(Derivation!B11)</f>
        <v>111000000</v>
      </c>
      <c r="C2">
        <f>(Derivation!C11)</f>
        <v>114000000</v>
      </c>
      <c r="D2">
        <f>(Derivation!D11)</f>
        <v>113000000</v>
      </c>
      <c r="E2">
        <f>(Derivation!E11)</f>
        <v>110000000</v>
      </c>
      <c r="F2">
        <f>(Derivation!F11)</f>
        <v>110000000</v>
      </c>
      <c r="G2">
        <f>(Derivation!G11)</f>
        <v>107675608.69307683</v>
      </c>
      <c r="H2">
        <f>(Derivation!H11)</f>
        <v>105767321.58122508</v>
      </c>
      <c r="I2">
        <f>(Derivation!I11)</f>
        <v>104859576.77714515</v>
      </c>
      <c r="J2">
        <f>(Derivation!J11)</f>
        <v>104372166.01880008</v>
      </c>
      <c r="K2">
        <f>(Derivation!K11)</f>
        <v>104616472.29597773</v>
      </c>
      <c r="L2">
        <f>(Derivation!L11)</f>
        <v>105333543.91541499</v>
      </c>
      <c r="M2">
        <f>(Derivation!M11)</f>
        <v>106324424.72584967</v>
      </c>
      <c r="N2">
        <f>(Derivation!N11)</f>
        <v>107634841.88723963</v>
      </c>
      <c r="O2">
        <f>(Derivation!O11)</f>
        <v>109087177.01866114</v>
      </c>
      <c r="P2">
        <f>(Derivation!P11)</f>
        <v>110633028.37491795</v>
      </c>
      <c r="Q2">
        <f>(Derivation!Q11)</f>
        <v>112222462.51001629</v>
      </c>
      <c r="R2">
        <f>(Derivation!R11)</f>
        <v>113787153.78608054</v>
      </c>
      <c r="S2">
        <f>(Derivation!S11)</f>
        <v>115386956.35734558</v>
      </c>
      <c r="T2">
        <f>(Derivation!T11)</f>
        <v>116947193.91878366</v>
      </c>
      <c r="U2">
        <f>(Derivation!U11)</f>
        <v>118253687.56966965</v>
      </c>
      <c r="V2">
        <f>(Derivation!V11)</f>
        <v>119253923.53728199</v>
      </c>
      <c r="W2">
        <f>(Derivation!W11)</f>
        <v>119928484.56843579</v>
      </c>
      <c r="X2">
        <f>(Derivation!X11)</f>
        <v>120167123.55266325</v>
      </c>
      <c r="Y2">
        <f>(Derivation!Y11)</f>
        <v>120126663.0869855</v>
      </c>
      <c r="Z2">
        <f>(Derivation!Z11)</f>
        <v>120446211.22025461</v>
      </c>
      <c r="AA2">
        <f>(Derivation!AA11)</f>
        <v>121228533.29365906</v>
      </c>
      <c r="AB2">
        <f>(Derivation!AB11)</f>
        <v>122314780.15219964</v>
      </c>
      <c r="AC2">
        <f>(Derivation!AC11)</f>
        <v>123593337.9370047</v>
      </c>
      <c r="AD2">
        <f>(Derivation!AD11)</f>
        <v>124961983.29332167</v>
      </c>
      <c r="AE2">
        <f>(Derivation!AE11)</f>
        <v>126408910.34269717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Regions</vt:lpstr>
      <vt:lpstr>USGS MCS 2026 Cement</vt:lpstr>
      <vt:lpstr>AEO 2026 Table 23</vt:lpstr>
      <vt:lpstr>Derivation</vt:lpstr>
      <vt:lpstr>BCD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2026-09-28T13:54:44Z</dcterms:created>
  <dcterms:modified xsi:type="dcterms:W3CDTF">2026-10-09T17:52:56Z</dcterms:modified>
</cp:coreProperties>
</file>