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CaOC\"/>
    </mc:Choice>
  </mc:AlternateContent>
  <xr:revisionPtr revIDLastSave="0" documentId="13_ncr:1_{BB8E0243-1F86-4CDA-BBFB-B19180D70E80}" xr6:coauthVersionLast="47" xr6:coauthVersionMax="47" xr10:uidLastSave="{00000000-0000-0000-0000-000000000000}"/>
  <bookViews>
    <workbookView xWindow="3510" yWindow="3510" windowWidth="21600" windowHeight="12525" xr2:uid="{00000000-000D-0000-FFFF-FFFF00000000}"/>
  </bookViews>
  <sheets>
    <sheet name="About" sheetId="1" r:id="rId1"/>
    <sheet name="Source Data" sheetId="2" r:id="rId2"/>
    <sheet name="Calc" sheetId="4" r:id="rId3"/>
    <sheet name="Overhaul" sheetId="7" r:id="rId4"/>
    <sheet name="CPCaOC-new" sheetId="6" r:id="rId5"/>
    <sheet name="CPCaOC-overhaul"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7" l="1"/>
  <c r="B19" i="7" s="1"/>
  <c r="B20" i="4"/>
  <c r="B19" i="4"/>
  <c r="B15" i="4"/>
  <c r="B14" i="4"/>
  <c r="B16" i="4" s="1"/>
  <c r="B4" i="6" s="1"/>
  <c r="B6" i="7" s="1"/>
  <c r="B11" i="4"/>
  <c r="B10" i="4"/>
  <c r="B6" i="4"/>
  <c r="B2" i="4"/>
  <c r="B5" i="6" l="1"/>
  <c r="B7" i="4"/>
  <c r="B3" i="4" s="1"/>
  <c r="B3" i="6" s="1"/>
  <c r="B5" i="7" s="1"/>
  <c r="B21" i="4"/>
  <c r="B6" i="6" s="1"/>
  <c r="B7" i="7" s="1"/>
  <c r="B2" i="6" l="1"/>
  <c r="B4" i="7" s="1"/>
  <c r="B20" i="7" s="1"/>
  <c r="B9" i="7" s="1"/>
  <c r="C6" i="7" s="1"/>
  <c r="B4" i="8" s="1"/>
  <c r="B5" i="8" s="1"/>
  <c r="C5" i="7" l="1"/>
  <c r="B3" i="8" s="1"/>
  <c r="C7" i="7"/>
  <c r="B6" i="8" s="1"/>
  <c r="C4" i="7"/>
  <c r="B2" i="8" s="1"/>
</calcChain>
</file>

<file path=xl/sharedStrings.xml><?xml version="1.0" encoding="utf-8"?>
<sst xmlns="http://schemas.openxmlformats.org/spreadsheetml/2006/main" count="151" uniqueCount="140">
  <si>
    <t>CPCC Cement Pathway Capital Cost per Unit Annual Capacity</t>
  </si>
  <si>
    <t>Sources:</t>
  </si>
  <si>
    <t>https://netzeroamerica.princeton.edu/img/Princeton_NZA_Annex_K.pdf</t>
  </si>
  <si>
    <t>https://www.wbcsdcement.org/pdf/technology/ECRA%20Technical%20Report%20on%20State%20of%20the%20Art%20Techniques.pdf</t>
  </si>
  <si>
    <t>https://www.energy.gov/oced/oced-cement-and-concrete-industrial-demonstrations</t>
  </si>
  <si>
    <t>Notes:</t>
  </si>
  <si>
    <t>NZA Annex K Table 3 - Dry kiln with CCS</t>
  </si>
  <si>
    <t>Total capital cost ($)</t>
  </si>
  <si>
    <t>Plant clinker capacity (metric tons/yr)</t>
  </si>
  <si>
    <t>ECRA 2009 / IEA - Dry kiln with precalciner base range (2009$/t)</t>
  </si>
  <si>
    <t>ECRA low end</t>
  </si>
  <si>
    <t>ECRA high end</t>
  </si>
  <si>
    <t>IEA-cited figure (EUR263/t, 2010, ~1 Mt/yr plant; contextual, not separately FX-converted here)</t>
  </si>
  <si>
    <t>EUR/t, 2010 - shown for context only; not used numerically in the Calc tab formula</t>
  </si>
  <si>
    <t>EI-synthesized 2009$ base point (judgment blend of ECRA low end + IEA-implied figure)</t>
  </si>
  <si>
    <t>FOAK alternative-chemistry actuals (context only)</t>
  </si>
  <si>
    <t>Brimstone total award/project cost ($)</t>
  </si>
  <si>
    <t>Brimstone capacity (t/yr)</t>
  </si>
  <si>
    <t>Sublime Holyoke total project cost ($)</t>
  </si>
  <si>
    <t>Sublime Holyoke capacity (t/yr)</t>
  </si>
  <si>
    <t>Dry kiln with CCS: KILN ONLY (= dry kiln). Capture equipment priced in-model from the CCS sector (CC Capital Cost ... per t CO2/yr x captured t CO2 per t clinker). NZA $933/(t/yr) kept below as a plant-level cross-check.</t>
  </si>
  <si>
    <t>NZA plant-level cross-check ($/(t/yr), NZA dollars, not used)</t>
  </si>
  <si>
    <t>Kiln-only value used (= dry kiln)</t>
  </si>
  <si>
    <t>FOAK alternative-chemistry actuals (context only, not used in export)</t>
  </si>
  <si>
    <t>Brimstone $/t</t>
  </si>
  <si>
    <t>Sublime Holyoke $/t</t>
  </si>
  <si>
    <t>dry kiln with precalciner</t>
  </si>
  <si>
    <t>dry kiln with CCS</t>
  </si>
  <si>
    <t>electric kiln</t>
  </si>
  <si>
    <t>alternative chemistry cement</t>
  </si>
  <si>
    <t>Conventional dry kiln cost (starting point)</t>
  </si>
  <si>
    <t>European Cement Research Academy (ECRA)</t>
  </si>
  <si>
    <t>Technical Report TR-042/2009: Development of State of the Art Techniques in Cement Manufacturing</t>
  </si>
  <si>
    <t>As summarized in secondary literature, ECRA gives $180-350 per metric ton of annual capacity (2009 dollars, depending on plant size) for a new dry-process plant with a precalciner. We could not read the ECRA report itself, so the range is second-hand. The low and high ends are on the 'Source Data' tab.</t>
  </si>
  <si>
    <t>Cross-check on the dry kiln cost</t>
  </si>
  <si>
    <t>International Energy Agency (IEA)</t>
  </si>
  <si>
    <t>Cement Technology Roadmap</t>
  </si>
  <si>
    <t>(no public link)</t>
  </si>
  <si>
    <t>A cited figure of about EUR 263 per metric ton of annual capacity (2010, plant of about 1 million metric tons per year). It is shown on the 'Source Data' tab for context and is not converted or used in the calculation; we only checked that it is broadly consistent with ECRA's range. The figure comes from secondary citations of the roadmap.</t>
  </si>
  <si>
    <t>Converting 2009 dollars to the model's 2012 dollars</t>
  </si>
  <si>
    <t>Engineering News-Record (ENR)</t>
  </si>
  <si>
    <t>Construction Cost Index, annual values for 2009 and 2012</t>
  </si>
  <si>
    <t>(subscription data)</t>
  </si>
  <si>
    <t>The index moves from 8,570 to 9,308 between 2009 and 2012, a factor of 1.086, on the 'Source Data' tab.</t>
  </si>
  <si>
    <t>Plant-level cost with carbon capture (cross-check only)</t>
  </si>
  <si>
    <t>Princeton University, Net-Zero America (NZA) project</t>
  </si>
  <si>
    <t>Net-Zero America, Annex K, Table 3</t>
  </si>
  <si>
    <t>Total capital cost of $3.5 billion for a 3.75 million metric tons per year clinker plant with CO2 capture, about $933 per metric ton of annual capacity in NZA's dollars. The 'Calc' tab shows this division for comparison. It is not used in the export, because the model prices capture equipment separately.</t>
  </si>
  <si>
    <t>Demonstration-scale alternative cement plants (context only)</t>
  </si>
  <si>
    <t>U.S. Department of Energy, Office of Clean Energy Demonstrations (with company disclosures for Brimstone and Sublime Systems)</t>
  </si>
  <si>
    <t>Cement and concrete industrial demonstrations</t>
  </si>
  <si>
    <t>Brimstone: about $378 million for about 140,000 metric tons per year (roughly $2,700 per metric ton). Sublime Systems, Holyoke: about $150 million for about 30,000 metric tons per year (roughly $5,000 per metric ton). Both are first-of-a-kind demonstration plants and neither feeds the shipped value; they sit on the 'Source Data' and 'Calc' tabs to show how far demonstration costs are above the assumption we use.</t>
  </si>
  <si>
    <t>Purpose and layout</t>
  </si>
  <si>
    <t>Dry kiln with precalciner and with CCS</t>
  </si>
  <si>
    <t>Cautions on use</t>
  </si>
  <si>
    <t>Construction-cost index, 2009$ -&gt; 2012$ (ENR CCI 8570 -&gt; 9308); the model runs in 2012 USD</t>
  </si>
  <si>
    <t>Unit: 2012 USD per (metric ton clinker/year)</t>
  </si>
  <si>
    <t>CemZero feasibility study (Vattenfall/Cementa 2018, Tables 9 and 13) - 1 Mt clinker/yr greenfield plant, 2018 EUR</t>
  </si>
  <si>
    <t>Plasma (electric) kiln plant: installed cost excluding carbon capture (M EUR)</t>
  </si>
  <si>
    <t>Plasma system (M EUR)</t>
  </si>
  <si>
    <t>Owner's cost + contingency factor (5% + 5%)</t>
  </si>
  <si>
    <t>Conventional reference plant: total capital required (M EUR)</t>
  </si>
  <si>
    <t>Exchange rate, 2018 annual average ($ per EUR)</t>
  </si>
  <si>
    <t>CPI-U annual average, 2018</t>
  </si>
  <si>
    <t>CPI-U annual average, 2012</t>
  </si>
  <si>
    <t>DOE Pathways to Commercial Liftoff: Low-Carbon Cement (2023) - alternative production methods</t>
  </si>
  <si>
    <t>Greenfield plant capex, high end of the ~$0.5-1.0B range (2023 $)</t>
  </si>
  <si>
    <t>Greenfield plant capex, low end (2023 $)</t>
  </si>
  <si>
    <t>Representative commercial plant capacity (metric tons/yr)</t>
  </si>
  <si>
    <t>CPI-U annual average, 2023</t>
  </si>
  <si>
    <t>Electric kiln: CemZero plasma plant, converted to 2012 $</t>
  </si>
  <si>
    <t>Plasma plant ($/(t/yr), 2012 $)</t>
  </si>
  <si>
    <t>Conventional reference plant, cross-check against the dry kiln value ($/(t/yr), 2012 $)</t>
  </si>
  <si>
    <t>Alternative chemistry cement: DOE Liftoff greenfield capex, converted to 2012 $</t>
  </si>
  <si>
    <t>High end ($/(t/yr), 2012 $)</t>
  </si>
  <si>
    <t>Low end ($/(t/yr), 2012 $)</t>
  </si>
  <si>
    <t>Electric kiln cost, and a check on the dry kiln cost</t>
  </si>
  <si>
    <t>Vattenfall and Cementa (Heidelberg Materials)</t>
  </si>
  <si>
    <t>CemZero: A feasibility study evaluating ways to reach sustainable cement production via the use of electricity</t>
  </si>
  <si>
    <t>https://www.cement.heidelbergmaterials.se/sites/default/files/assets/document/65/de/final_cemzero_2018_public_version_2.0.pdf.pdf</t>
  </si>
  <si>
    <t>Greenfield 1 million metric ton per year clinker plant, whole plant, 2018 euros, accuracy about +/-25% (Tables 9 and 13, pp. 59-61). The plasma (electric) kiln plant costs 204.4 million euros installed plus a 47.5 million euro plasma system, plus 10% owner's cost and contingency: 277.1 million euros, or $299 per metric ton of annual capacity in 2012 dollars. The conventional reference plant (231 million euros) works out to $249, close to the $250 dry-kiln value, so the electric plant is about 1.2 times a conventional one. The figures are on the 'Source Data' tab.</t>
  </si>
  <si>
    <t>Alternative chemistry plant cost</t>
  </si>
  <si>
    <t>U.S. Department of Energy</t>
  </si>
  <si>
    <t>Pathways to Commercial Liftoff: Low-Carbon Cement</t>
  </si>
  <si>
    <t>https://liftoff.energy.gov/wp-content/uploads/2023/12/LIFTOFF_Cement_Updated-2.6.25.pdf</t>
  </si>
  <si>
    <t>For alternative production methods (the category that includes Sublime Systems and Brimstone), DOE puts a commercial greenfield plant at about $0.5-1.0 billion. At DOE's representative 1.5 million metric ton per year plant size that is $251-502 per metric ton of annual capacity in 2012 dollars.</t>
  </si>
  <si>
    <t>Electric kiln</t>
  </si>
  <si>
    <t>Alternative chemistry cement</t>
  </si>
  <si>
    <t>New Build Capital Cost</t>
  </si>
  <si>
    <t>Overhaul capital cost = overhaul share x new-build capital cost</t>
  </si>
  <si>
    <t>Pathway</t>
  </si>
  <si>
    <t>New-build cost ($/(t/yr))</t>
  </si>
  <si>
    <t>Overhaul cost ($/(t/yr))</t>
  </si>
  <si>
    <t>Component build-up, $/(t/yr) in 2012 $ (ECRA/CSI 2017, ENERGY STAR 2013, EPA 2010 cement NESHAP)</t>
  </si>
  <si>
    <t>Clinker cooler replacement</t>
  </si>
  <si>
    <t>Preheater cyclone refurbishment</t>
  </si>
  <si>
    <t>Precalciner partial upgrade</t>
  </si>
  <si>
    <t>Kiln shell, tyres, rollers and drive</t>
  </si>
  <si>
    <t>Burner and controls</t>
  </si>
  <si>
    <t>Air-compliance work (dust collection, monitoring)</t>
  </si>
  <si>
    <t>U.S. cost uplift (10%)</t>
  </si>
  <si>
    <t>Total, $/(t/yr)</t>
  </si>
  <si>
    <t>Share of the dry kiln new-build cost</t>
  </si>
  <si>
    <t>Overhaul Capital Cost</t>
  </si>
  <si>
    <t>Overhaul share of new-build cost (= the component build-up below)</t>
  </si>
  <si>
    <t>Dry kiln with precalciner: 2009$ base x 2009-&gt;2012 construction index</t>
  </si>
  <si>
    <t>Inflated value ($/(t/yr))</t>
  </si>
  <si>
    <t>Dry kiln value used ($/(t/yr))</t>
  </si>
  <si>
    <t>Electric kiln value used</t>
  </si>
  <si>
    <t>Alternative chemistry value used (high end, since demonstration costs sit far above the range)</t>
  </si>
  <si>
    <t>Cost of individual kiln-line upgrades</t>
  </si>
  <si>
    <t>European Cement Research Academy (ECRA) and Cement Sustainability Initiative (CSI)</t>
  </si>
  <si>
    <t>Development of State of the Art Techniques in Cement Manufacturing: Trying to Look Ahead (CSI/ECRA Technology Papers 2017)</t>
  </si>
  <si>
    <t>https://archive.wbcsd.org/contentwbc/download/3604/47080/1</t>
  </si>
  <si>
    <t>For a 2 million metric ton per year line in 2015 euros: replacing three preheater cyclone stages 8-10 million euros (about $4-5 per metric ton of annual capacity in 2012 dollars), a full clinker cooler replacement 15-20 million euros ($8-11), a new burner about $0.3 and a controls upgrade $0.1-2.7. ECRA also notes that most original equipment is replaced within 20-30 years.</t>
  </si>
  <si>
    <t>Cross-check on component costs</t>
  </si>
  <si>
    <t>U.S. Environmental Protection Agency ENERGY STAR (prepared by Lawrence Berkeley National Laboratory)</t>
  </si>
  <si>
    <t>Energy Efficiency Improvement and Cost Saving Opportunities for Cement Making: An ENERGY STAR Guide</t>
  </si>
  <si>
    <t>https://www.energystar.gov/sites/default/files/buildings/tools/ENERGY%20STAR%20Guide%20for%20the%20Cement%20Industry%2028_08_2013%20Final.pdf</t>
  </si>
  <si>
    <t>Cyclone ($6-7) and cooler ($11-15) costs consistent with ECRA. Converting a long dry kiln to a preheater-precalciner costs $24-133, which is a larger job than an overhaul and serves only as an upper bound.</t>
  </si>
  <si>
    <t>Air-compliance retrofit costs</t>
  </si>
  <si>
    <t>U.S. Environmental Protection Agency</t>
  </si>
  <si>
    <t>Regulatory Impact Analysis: Amendments to the NESHAP and NSPS for the Portland Cement Manufacturing Industry</t>
  </si>
  <si>
    <t>https://19january2021snapshot.epa.gov/sites/static/files/2020-07/documents/nonmetallic-minerals_ria_final-cement-neshap-nsps_2010-08.pdf</t>
  </si>
  <si>
    <t>$2.2 billion of capital (2005 dollars) for existing kilns across 104 million metric tons of clinker capacity: about $25 per metric ton in total, or about $7 without the wet scrubbers EPA assumed for hydrogen chloride.</t>
  </si>
  <si>
    <t>A U.S. cooler replacement</t>
  </si>
  <si>
    <t>CalPortland (U.S. DOE Better Buildings case study)</t>
  </si>
  <si>
    <t>CalPortland Invests for Energy Efficiency (Rillito, Arizona)</t>
  </si>
  <si>
    <t>https://betterbuildingssolutioncenter.energy.gov/sites/default/files/CalPortland%20Invests%20for%20Energy%20Efficiency.pdf</t>
  </si>
  <si>
    <t>A new clinker cooler cost $9 million, against $1.1 million to rebuild the old one: roughly $10-14 per metric ton of annual capacity (capacity estimated from the plant's fuel use).</t>
  </si>
  <si>
    <t>This file gives two capital costs for each cement production pathway, in the model's 2012 U.S. dollars per metric ton of annual clinker capacity: the cost of building a new kiln, and the cost of overhauling an existing kiln line for one more campaign (kiln shell, tyres and drive, cooler, preheater and precalciner refurbishment, burner and controls, and air-compliance work). The model turns the new-build cost into a yearly capital charge (over the asset life in the CPAL file) and compares it across pathways to decide which kind of kiln to build. When a kiln reaches the end of a campaign, the model compares overhauling it, at the overhaul cost paid back over the campaign length in the CPPL file, with retiring and replacing it.
Both costs cover the kiln only. For the CCS pathway, capture equipment is added inside the model from the CCS sector's own capital cost inputs, so the CCS pathway here costs the same as a conventional kiln.
'Source Data' holds the published figures and conversion factors and 'Calc' works out the new-build cost of each pathway. 'Overhaul' builds up the overhaul share from component costs and applies it to the new-build costs, reading them directly so the two can't get out of step. The 'CPCaOC-new' and 'CPCaOC-overhaul' tabs are exported to CPCaOC-new.csv and CPCaOC-overhaul.csv.</t>
  </si>
  <si>
    <t>$255.21 per metric ton of annual capacity: a 2009-dollar starting point of $235 (our blend of the low end of ECRA's range and the IEA figure) times 1.086 to move from 2009 to 2012 dollars. The CemZero study's conventional reference plant comes out at $249, which supports this value. The CCS pathway uses the same value, since only the kiln is priced here.</t>
  </si>
  <si>
    <t>$299.21, from the CemZero study's plasma-kiln plant. It is the only whole-plant greenfield estimate we found on the same boundary as this file. Equipment-level studies (Synapse/CATF 2025 for California; Quevedo Parra and Romano 2023) put the extra cost of electrification at roughly $65 per metric ton over a conventional kiln, which agrees. All of these describe plasma-torch designs; no cost estimate exists yet for kilns fed by thermal batteries or rotodynamic heaters, and grid connection for a plant drawing roughly 100 MW or more is outside every estimate.</t>
  </si>
  <si>
    <t>$502.34, the high end of DOE's Liftoff range. We use the high end because the evidence from real projects sits well above the range: the first Brimstone and Sublime Systems plants cost about $2,000-3,600 per metric ton of annual capacity in 2012 dollars at demonstration scale, and a 2026 review of electrochemical cement puts mature-plant costs at two to three times a conventional plant ($500-750). A reasonable range is $375-750.</t>
  </si>
  <si>
    <t>Overhaul cost</t>
  </si>
  <si>
    <t>No source reports the cost of a kiln overhaul as a share of new-build cost, so we built it up from component costs, in 2012 dollars per metric ton of annual capacity: cooler replacement about $10, preheater cyclone refurbishment $5, partial precalciner upgrade $4, kiln shell, tyres and drive $5, burner and controls $1.5, and air-compliance work $7, plus a 10% U.S. cost uplift. That totals $35.75, or 14.0% of the dry kiln new-build cost. We apply the same share to every pathway: $35.75 for the dry kiln with and without CCS, $41.91 for the electric kiln, and $70.37 for alternative chemistry. A reasonable range is 10-25% of new-build cost.</t>
  </si>
  <si>
    <t>The ECRA range behind the dry kiln value varies a lot with plant size, so it is a rough cost for a typical new plant. No commercial plant exists for either the electric kiln or alternative chemistry, so both values are engineering or agency estimates of a mature plant. The kiln shell, tyre and drive costs in the overhaul build-up have almost no published per-ton data, and the ECRA component costs are European prices from 2009-2015. The overhaul-or-replace choice is not very sensitive to where the overhaul share falls within 10-25%, because building a new line at an existing site costs 50-105% of new-build cost (recent U.S. projects at Selma, Missouri; Ada, Oklahoma; and Laramie, Wyoming, from trade press). The cement module has no separate fixed operating and maintenance cost, so the overhaul cost covers the periodic capital reinvestment. The CRSW calibration weight depends on both costs and must be re-solved when either changes.</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</si>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</sst>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3" fillId="0" borderId="0" xfId="0" applyFont="1"/>
    <xf numFmtId="0" fontId="0" fillId="0" borderId="0" xfId="0" applyAlignment="1">
      <alignment horizontal="left" vertical="top" wrapText="1"/>
    </xf>
    <xf numFmtId="0" fontId="0" fillId="0" borderId="0" xfId="0"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19january2021snapshot.epa.gov/sites/static/files/2020-07/documents/nonmetallic-minerals_ria_final-cement-neshap-nsps_2010-08.pdf" TargetMode="External"/><Relationship Id="rId3" Type="http://schemas.openxmlformats.org/officeDocument/2006/relationships/hyperlink" Target="https://liftoff.energy.gov/wp-content/uploads/2023/12/LIFTOFF_Cement_Updated-2.6.25.pdf" TargetMode="External"/><Relationship Id="rId7" Type="http://schemas.openxmlformats.org/officeDocument/2006/relationships/hyperlink" Target="https://www.energystar.gov/sites/default/files/buildings/tools/ENERGY%20STAR%20Guide%20for%20the%20Cement%20Industry%2028_08_2013%20Final.pdf" TargetMode="External"/><Relationship Id="rId2" Type="http://schemas.openxmlformats.org/officeDocument/2006/relationships/hyperlink" Target="https://www.cement.heidelbergmaterials.se/sites/default/files/assets/document/65/de/final_cemzero_2018_public_version_2.0.pdf.pdf" TargetMode="External"/><Relationship Id="rId1" Type="http://schemas.openxmlformats.org/officeDocument/2006/relationships/hyperlink" Target="https://www.wbcsdcement.org/pdf/technology/ECRA%20Technical%20Report%20on%20State%20of%20the%20Art%20Techniques.pdf" TargetMode="External"/><Relationship Id="rId6" Type="http://schemas.openxmlformats.org/officeDocument/2006/relationships/hyperlink" Target="https://archive.wbcsd.org/contentwbc/download/3604/47080/1" TargetMode="External"/><Relationship Id="rId5" Type="http://schemas.openxmlformats.org/officeDocument/2006/relationships/hyperlink" Target="https://www.energy.gov/oced/oced-cement-and-concrete-industrial-demonstrations" TargetMode="External"/><Relationship Id="rId4" Type="http://schemas.openxmlformats.org/officeDocument/2006/relationships/hyperlink" Target="https://netzeroamerica.princeton.edu/img/Princeton_NZA_Annex_K.pdf" TargetMode="External"/><Relationship Id="rId9" Type="http://schemas.openxmlformats.org/officeDocument/2006/relationships/hyperlink" Target="https://betterbuildingssolutioncenter.energy.gov/sites/default/files/CalPortland%20Invests%20for%20Energy%20Efficienc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workbookViewId="0"/>
  </sheetViews>
  <sheetFormatPr defaultRowHeight="15" x14ac:dyDescent="0.25"/>
  <cols>
    <col min="1" max="1" width="14.5703125" customWidth="1"/>
    <col min="2" max="2" width="110.5703125" customWidth="1"/>
    <col min="3" max="3" width="3.5703125" customWidth="1"/>
    <col min="4" max="4" width="110.5703125" customWidth="1"/>
  </cols>
  <sheetData>
    <row r="1" spans="1:4" x14ac:dyDescent="0.25">
      <c r="A1" s="3" t="s">
        <v>0</v>
      </c>
    </row>
    <row r="3" spans="1:4" x14ac:dyDescent="0.25">
      <c r="A3" s="2" t="s">
        <v>1</v>
      </c>
      <c r="B3" s="4" t="s">
        <v>30</v>
      </c>
      <c r="D3" s="4" t="s">
        <v>48</v>
      </c>
    </row>
    <row r="4" spans="1:4" ht="30" x14ac:dyDescent="0.25">
      <c r="B4" s="7" t="s">
        <v>31</v>
      </c>
      <c r="D4" s="7" t="s">
        <v>49</v>
      </c>
    </row>
    <row r="5" spans="1:4" x14ac:dyDescent="0.25">
      <c r="B5" s="7" t="s">
        <v>32</v>
      </c>
      <c r="D5" s="7" t="s">
        <v>50</v>
      </c>
    </row>
    <row r="6" spans="1:4" x14ac:dyDescent="0.25">
      <c r="B6" s="7">
        <v>2009</v>
      </c>
      <c r="D6" s="7">
        <v>2024</v>
      </c>
    </row>
    <row r="7" spans="1:4" ht="30" x14ac:dyDescent="0.25">
      <c r="B7" s="5" t="s">
        <v>3</v>
      </c>
      <c r="D7" s="5" t="s">
        <v>4</v>
      </c>
    </row>
    <row r="8" spans="1:4" ht="60" x14ac:dyDescent="0.25">
      <c r="B8" s="7" t="s">
        <v>33</v>
      </c>
      <c r="D8" s="7" t="s">
        <v>51</v>
      </c>
    </row>
    <row r="10" spans="1:4" x14ac:dyDescent="0.25">
      <c r="B10" s="4" t="s">
        <v>34</v>
      </c>
      <c r="D10" s="4" t="s">
        <v>110</v>
      </c>
    </row>
    <row r="11" spans="1:4" x14ac:dyDescent="0.25">
      <c r="B11" s="7" t="s">
        <v>35</v>
      </c>
      <c r="D11" s="7" t="s">
        <v>111</v>
      </c>
    </row>
    <row r="12" spans="1:4" ht="30" x14ac:dyDescent="0.25">
      <c r="B12" s="7" t="s">
        <v>36</v>
      </c>
      <c r="D12" s="7" t="s">
        <v>112</v>
      </c>
    </row>
    <row r="13" spans="1:4" x14ac:dyDescent="0.25">
      <c r="B13" s="7">
        <v>2010</v>
      </c>
      <c r="D13" s="7">
        <v>2017</v>
      </c>
    </row>
    <row r="14" spans="1:4" x14ac:dyDescent="0.25">
      <c r="B14" s="7" t="s">
        <v>37</v>
      </c>
      <c r="D14" s="5" t="s">
        <v>113</v>
      </c>
    </row>
    <row r="15" spans="1:4" ht="60" x14ac:dyDescent="0.25">
      <c r="B15" s="7" t="s">
        <v>38</v>
      </c>
      <c r="D15" s="7" t="s">
        <v>114</v>
      </c>
    </row>
    <row r="17" spans="2:4" x14ac:dyDescent="0.25">
      <c r="B17" s="4" t="s">
        <v>39</v>
      </c>
      <c r="D17" s="4" t="s">
        <v>115</v>
      </c>
    </row>
    <row r="18" spans="2:4" x14ac:dyDescent="0.25">
      <c r="B18" s="7" t="s">
        <v>40</v>
      </c>
      <c r="D18" s="7" t="s">
        <v>116</v>
      </c>
    </row>
    <row r="19" spans="2:4" x14ac:dyDescent="0.25">
      <c r="B19" s="7" t="s">
        <v>41</v>
      </c>
      <c r="D19" s="7" t="s">
        <v>117</v>
      </c>
    </row>
    <row r="20" spans="2:4" x14ac:dyDescent="0.25">
      <c r="B20" s="7">
        <v>2012</v>
      </c>
      <c r="D20" s="7">
        <v>2013</v>
      </c>
    </row>
    <row r="21" spans="2:4" ht="30" x14ac:dyDescent="0.25">
      <c r="B21" s="7" t="s">
        <v>42</v>
      </c>
      <c r="D21" s="5" t="s">
        <v>118</v>
      </c>
    </row>
    <row r="22" spans="2:4" ht="30" x14ac:dyDescent="0.25">
      <c r="B22" s="7" t="s">
        <v>43</v>
      </c>
      <c r="D22" s="7" t="s">
        <v>119</v>
      </c>
    </row>
    <row r="24" spans="2:4" x14ac:dyDescent="0.25">
      <c r="B24" s="4" t="s">
        <v>76</v>
      </c>
      <c r="D24" s="4" t="s">
        <v>120</v>
      </c>
    </row>
    <row r="25" spans="2:4" x14ac:dyDescent="0.25">
      <c r="B25" s="7" t="s">
        <v>77</v>
      </c>
      <c r="D25" s="7" t="s">
        <v>121</v>
      </c>
    </row>
    <row r="26" spans="2:4" x14ac:dyDescent="0.25">
      <c r="B26" s="7" t="s">
        <v>78</v>
      </c>
      <c r="D26" s="7" t="s">
        <v>122</v>
      </c>
    </row>
    <row r="27" spans="2:4" x14ac:dyDescent="0.25">
      <c r="B27" s="7">
        <v>2018</v>
      </c>
      <c r="D27" s="7">
        <v>2010</v>
      </c>
    </row>
    <row r="28" spans="2:4" ht="30" x14ac:dyDescent="0.25">
      <c r="B28" s="5" t="s">
        <v>79</v>
      </c>
      <c r="D28" s="5" t="s">
        <v>123</v>
      </c>
    </row>
    <row r="29" spans="2:4" ht="75" x14ac:dyDescent="0.25">
      <c r="B29" s="7" t="s">
        <v>80</v>
      </c>
      <c r="D29" s="7" t="s">
        <v>124</v>
      </c>
    </row>
    <row r="31" spans="2:4" x14ac:dyDescent="0.25">
      <c r="B31" s="4" t="s">
        <v>81</v>
      </c>
      <c r="D31" s="4" t="s">
        <v>125</v>
      </c>
    </row>
    <row r="32" spans="2:4" x14ac:dyDescent="0.25">
      <c r="B32" s="7" t="s">
        <v>82</v>
      </c>
      <c r="D32" s="7" t="s">
        <v>126</v>
      </c>
    </row>
    <row r="33" spans="1:4" x14ac:dyDescent="0.25">
      <c r="B33" s="7" t="s">
        <v>83</v>
      </c>
      <c r="D33" s="7" t="s">
        <v>127</v>
      </c>
    </row>
    <row r="34" spans="1:4" x14ac:dyDescent="0.25">
      <c r="B34" s="7">
        <v>2023</v>
      </c>
      <c r="D34" s="7">
        <v>2016</v>
      </c>
    </row>
    <row r="35" spans="1:4" ht="30" x14ac:dyDescent="0.25">
      <c r="B35" s="5" t="s">
        <v>84</v>
      </c>
      <c r="D35" s="5" t="s">
        <v>128</v>
      </c>
    </row>
    <row r="36" spans="1:4" ht="45" x14ac:dyDescent="0.25">
      <c r="B36" s="7" t="s">
        <v>85</v>
      </c>
      <c r="D36" s="7" t="s">
        <v>129</v>
      </c>
    </row>
    <row r="38" spans="1:4" x14ac:dyDescent="0.25">
      <c r="B38" s="4" t="s">
        <v>44</v>
      </c>
    </row>
    <row r="39" spans="1:4" x14ac:dyDescent="0.25">
      <c r="B39" s="7" t="s">
        <v>45</v>
      </c>
    </row>
    <row r="40" spans="1:4" x14ac:dyDescent="0.25">
      <c r="B40" s="7" t="s">
        <v>46</v>
      </c>
    </row>
    <row r="41" spans="1:4" x14ac:dyDescent="0.25">
      <c r="B41" s="7">
        <v>2021</v>
      </c>
    </row>
    <row r="42" spans="1:4" x14ac:dyDescent="0.25">
      <c r="B42" s="5" t="s">
        <v>2</v>
      </c>
    </row>
    <row r="43" spans="1:4" ht="45" x14ac:dyDescent="0.25">
      <c r="B43" s="7" t="s">
        <v>47</v>
      </c>
    </row>
    <row r="46" spans="1:4" x14ac:dyDescent="0.25">
      <c r="A46" s="2" t="s">
        <v>5</v>
      </c>
    </row>
    <row r="47" spans="1:4" ht="225" x14ac:dyDescent="0.25">
      <c r="A47" s="2" t="s">
        <v>52</v>
      </c>
      <c r="B47" s="7" t="s">
        <v>130</v>
      </c>
    </row>
    <row r="48" spans="1:4" ht="45" x14ac:dyDescent="0.25">
      <c r="A48" s="2" t="s">
        <v>53</v>
      </c>
      <c r="B48" s="7" t="s">
        <v>131</v>
      </c>
    </row>
    <row r="49" spans="1:2" ht="75" x14ac:dyDescent="0.25">
      <c r="A49" s="2" t="s">
        <v>86</v>
      </c>
      <c r="B49" s="7" t="s">
        <v>132</v>
      </c>
    </row>
    <row r="50" spans="1:2" ht="60" x14ac:dyDescent="0.25">
      <c r="A50" s="2" t="s">
        <v>87</v>
      </c>
      <c r="B50" s="7" t="s">
        <v>133</v>
      </c>
    </row>
    <row r="51" spans="1:2" ht="90" x14ac:dyDescent="0.25">
      <c r="A51" s="2" t="s">
        <v>134</v>
      </c>
      <c r="B51" s="7" t="s">
        <v>135</v>
      </c>
    </row>
    <row r="52" spans="1:2" ht="120" x14ac:dyDescent="0.25">
      <c r="A52" s="2" t="s">
        <v>54</v>
      </c>
      <c r="B52" s="7" t="s">
        <v>136</v>
      </c>
    </row>
    <row r="53" spans="1:2" ht="45" x14ac:dyDescent="0.25">
      <c r="A53" s="9" t="s">
        <v>138</v>
      </c>
      <c r="B53" s="8" t="s">
        <v>139</v>
      </c>
    </row>
  </sheetData>
  <hyperlinks>
    <hyperlink ref="B7" r:id="rId1" xr:uid="{9B05BE2E-4A69-45F0-BCE6-AF0B29EE8882}"/>
    <hyperlink ref="B28" r:id="rId2" xr:uid="{B8B7B952-4B78-41D4-8C4E-27AE3A6E52C2}"/>
    <hyperlink ref="B35" r:id="rId3" xr:uid="{DD240255-04FB-460A-9926-7E8F7D681E38}"/>
    <hyperlink ref="B42" r:id="rId4" xr:uid="{D6B6702D-3B73-4682-A1DB-D4BE14E98EA4}"/>
    <hyperlink ref="D7" r:id="rId5" xr:uid="{C637A167-3BBF-4FF0-A2A9-E021527C3A69}"/>
    <hyperlink ref="D14" r:id="rId6" xr:uid="{C5A47246-8104-4310-A353-F00A68FA5E97}"/>
    <hyperlink ref="D21" r:id="rId7" xr:uid="{13585421-96BB-4A49-BCC4-FBEB0A1CE053}"/>
    <hyperlink ref="D28" r:id="rId8" xr:uid="{EF767F34-638D-4961-9E62-9524B6F33FFD}"/>
    <hyperlink ref="D35" r:id="rId9" xr:uid="{ECABC6CB-6A64-4E90-A129-1624C6D93C7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heetViews>
  <sheetFormatPr defaultRowHeight="15" x14ac:dyDescent="0.25"/>
  <cols>
    <col min="1" max="1" width="46" customWidth="1"/>
    <col min="2" max="2" width="22" customWidth="1"/>
    <col min="3" max="3" width="60" customWidth="1"/>
  </cols>
  <sheetData>
    <row r="1" spans="1:3" x14ac:dyDescent="0.25">
      <c r="A1" s="1" t="s">
        <v>6</v>
      </c>
    </row>
    <row r="2" spans="1:3" x14ac:dyDescent="0.25">
      <c r="A2" t="s">
        <v>7</v>
      </c>
      <c r="B2">
        <v>3500000000</v>
      </c>
    </row>
    <row r="3" spans="1:3" x14ac:dyDescent="0.25">
      <c r="A3" t="s">
        <v>8</v>
      </c>
      <c r="B3">
        <v>3750000</v>
      </c>
    </row>
    <row r="5" spans="1:3" x14ac:dyDescent="0.25">
      <c r="A5" s="1" t="s">
        <v>9</v>
      </c>
    </row>
    <row r="6" spans="1:3" x14ac:dyDescent="0.25">
      <c r="A6" t="s">
        <v>10</v>
      </c>
      <c r="B6">
        <v>180</v>
      </c>
    </row>
    <row r="7" spans="1:3" x14ac:dyDescent="0.25">
      <c r="A7" t="s">
        <v>11</v>
      </c>
      <c r="B7">
        <v>350</v>
      </c>
    </row>
    <row r="8" spans="1:3" x14ac:dyDescent="0.25">
      <c r="A8" t="s">
        <v>12</v>
      </c>
      <c r="B8">
        <v>263</v>
      </c>
      <c r="C8" t="s">
        <v>13</v>
      </c>
    </row>
    <row r="9" spans="1:3" x14ac:dyDescent="0.25">
      <c r="A9" t="s">
        <v>14</v>
      </c>
      <c r="B9">
        <v>235</v>
      </c>
    </row>
    <row r="10" spans="1:3" x14ac:dyDescent="0.25">
      <c r="A10" t="s">
        <v>55</v>
      </c>
      <c r="B10">
        <v>1.0860000000000001</v>
      </c>
    </row>
    <row r="12" spans="1:3" x14ac:dyDescent="0.25">
      <c r="A12" s="1" t="s">
        <v>15</v>
      </c>
    </row>
    <row r="13" spans="1:3" x14ac:dyDescent="0.25">
      <c r="A13" t="s">
        <v>16</v>
      </c>
      <c r="B13">
        <v>378000000</v>
      </c>
    </row>
    <row r="14" spans="1:3" x14ac:dyDescent="0.25">
      <c r="A14" t="s">
        <v>17</v>
      </c>
      <c r="B14">
        <v>140000</v>
      </c>
    </row>
    <row r="15" spans="1:3" x14ac:dyDescent="0.25">
      <c r="A15" t="s">
        <v>18</v>
      </c>
      <c r="B15">
        <v>150000000</v>
      </c>
    </row>
    <row r="16" spans="1:3" x14ac:dyDescent="0.25">
      <c r="A16" t="s">
        <v>19</v>
      </c>
      <c r="B16">
        <v>30000</v>
      </c>
    </row>
    <row r="18" spans="1:2" x14ac:dyDescent="0.25">
      <c r="A18" s="6" t="s">
        <v>57</v>
      </c>
    </row>
    <row r="19" spans="1:2" x14ac:dyDescent="0.25">
      <c r="A19" t="s">
        <v>58</v>
      </c>
      <c r="B19">
        <v>204.4</v>
      </c>
    </row>
    <row r="20" spans="1:2" x14ac:dyDescent="0.25">
      <c r="A20" t="s">
        <v>59</v>
      </c>
      <c r="B20">
        <v>47.5</v>
      </c>
    </row>
    <row r="21" spans="1:2" x14ac:dyDescent="0.25">
      <c r="A21" t="s">
        <v>60</v>
      </c>
      <c r="B21">
        <v>1.1000000000000001</v>
      </c>
    </row>
    <row r="22" spans="1:2" x14ac:dyDescent="0.25">
      <c r="A22" t="s">
        <v>61</v>
      </c>
      <c r="B22">
        <v>231</v>
      </c>
    </row>
    <row r="23" spans="1:2" x14ac:dyDescent="0.25">
      <c r="A23" t="s">
        <v>8</v>
      </c>
      <c r="B23">
        <v>1000000</v>
      </c>
    </row>
    <row r="24" spans="1:2" x14ac:dyDescent="0.25">
      <c r="A24" t="s">
        <v>62</v>
      </c>
      <c r="B24">
        <v>1.181</v>
      </c>
    </row>
    <row r="25" spans="1:2" x14ac:dyDescent="0.25">
      <c r="A25" t="s">
        <v>63</v>
      </c>
      <c r="B25">
        <v>251.107</v>
      </c>
    </row>
    <row r="26" spans="1:2" x14ac:dyDescent="0.25">
      <c r="A26" t="s">
        <v>64</v>
      </c>
      <c r="B26">
        <v>229.59399999999999</v>
      </c>
    </row>
    <row r="28" spans="1:2" x14ac:dyDescent="0.25">
      <c r="A28" s="6" t="s">
        <v>65</v>
      </c>
    </row>
    <row r="29" spans="1:2" x14ac:dyDescent="0.25">
      <c r="A29" t="s">
        <v>66</v>
      </c>
      <c r="B29">
        <v>1000000000</v>
      </c>
    </row>
    <row r="30" spans="1:2" x14ac:dyDescent="0.25">
      <c r="A30" t="s">
        <v>67</v>
      </c>
      <c r="B30">
        <v>500000000</v>
      </c>
    </row>
    <row r="31" spans="1:2" x14ac:dyDescent="0.25">
      <c r="A31" t="s">
        <v>68</v>
      </c>
      <c r="B31">
        <v>1500000</v>
      </c>
    </row>
    <row r="32" spans="1:2" x14ac:dyDescent="0.25">
      <c r="A32" t="s">
        <v>69</v>
      </c>
      <c r="B32">
        <v>304.702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heetViews>
  <sheetFormatPr defaultRowHeight="15" x14ac:dyDescent="0.25"/>
  <cols>
    <col min="1" max="1" width="46" customWidth="1"/>
    <col min="2" max="2" width="22" customWidth="1"/>
  </cols>
  <sheetData>
    <row r="1" spans="1:2" x14ac:dyDescent="0.25">
      <c r="A1" s="1" t="s">
        <v>20</v>
      </c>
    </row>
    <row r="2" spans="1:2" x14ac:dyDescent="0.25">
      <c r="A2" t="s">
        <v>21</v>
      </c>
      <c r="B2">
        <f>'Source Data'!B2/'Source Data'!B3</f>
        <v>933.33333333333337</v>
      </c>
    </row>
    <row r="3" spans="1:2" x14ac:dyDescent="0.25">
      <c r="A3" t="s">
        <v>22</v>
      </c>
      <c r="B3">
        <f>B7</f>
        <v>255.21</v>
      </c>
    </row>
    <row r="5" spans="1:2" x14ac:dyDescent="0.25">
      <c r="A5" s="1" t="s">
        <v>105</v>
      </c>
    </row>
    <row r="6" spans="1:2" x14ac:dyDescent="0.25">
      <c r="A6" t="s">
        <v>106</v>
      </c>
      <c r="B6">
        <f>'Source Data'!B9*'Source Data'!B10</f>
        <v>255.21</v>
      </c>
    </row>
    <row r="7" spans="1:2" x14ac:dyDescent="0.25">
      <c r="A7" t="s">
        <v>107</v>
      </c>
      <c r="B7">
        <f>(B6)</f>
        <v>255.21</v>
      </c>
    </row>
    <row r="9" spans="1:2" x14ac:dyDescent="0.25">
      <c r="A9" s="1" t="s">
        <v>23</v>
      </c>
    </row>
    <row r="10" spans="1:2" x14ac:dyDescent="0.25">
      <c r="A10" t="s">
        <v>24</v>
      </c>
      <c r="B10">
        <f>'Source Data'!B13/'Source Data'!B14</f>
        <v>2700</v>
      </c>
    </row>
    <row r="11" spans="1:2" x14ac:dyDescent="0.25">
      <c r="A11" t="s">
        <v>25</v>
      </c>
      <c r="B11">
        <f>'Source Data'!B15/'Source Data'!B16</f>
        <v>5000</v>
      </c>
    </row>
    <row r="13" spans="1:2" x14ac:dyDescent="0.25">
      <c r="A13" s="6" t="s">
        <v>70</v>
      </c>
    </row>
    <row r="14" spans="1:2" x14ac:dyDescent="0.25">
      <c r="A14" t="s">
        <v>71</v>
      </c>
      <c r="B14">
        <f>('Source Data'!B19+'Source Data'!B20)*'Source Data'!B21*1000000/'Source Data'!B23*'Source Data'!B24*'Source Data'!B26/'Source Data'!B25</f>
        <v>299.20749291839735</v>
      </c>
    </row>
    <row r="15" spans="1:2" x14ac:dyDescent="0.25">
      <c r="A15" t="s">
        <v>72</v>
      </c>
      <c r="B15">
        <f>'Source Data'!B22*1000000/'Source Data'!B23*'Source Data'!B24*'Source Data'!B26/'Source Data'!B25</f>
        <v>249.43856098794541</v>
      </c>
    </row>
    <row r="16" spans="1:2" x14ac:dyDescent="0.25">
      <c r="A16" t="s">
        <v>108</v>
      </c>
      <c r="B16">
        <f>(B14)</f>
        <v>299.20749291839735</v>
      </c>
    </row>
    <row r="18" spans="1:2" x14ac:dyDescent="0.25">
      <c r="A18" s="6" t="s">
        <v>73</v>
      </c>
    </row>
    <row r="19" spans="1:2" x14ac:dyDescent="0.25">
      <c r="A19" t="s">
        <v>74</v>
      </c>
      <c r="B19">
        <f>'Source Data'!B29/'Source Data'!B31*'Source Data'!B26/'Source Data'!B32</f>
        <v>502.3356153443911</v>
      </c>
    </row>
    <row r="20" spans="1:2" x14ac:dyDescent="0.25">
      <c r="A20" t="s">
        <v>75</v>
      </c>
      <c r="B20">
        <f>'Source Data'!B30/'Source Data'!B31*'Source Data'!B26/'Source Data'!B32</f>
        <v>251.16780767219555</v>
      </c>
    </row>
    <row r="21" spans="1:2" x14ac:dyDescent="0.25">
      <c r="A21" t="s">
        <v>109</v>
      </c>
      <c r="B21">
        <f>(B19)</f>
        <v>502.3356153443911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1D23-0151-4CB2-91AE-B01E33E3465D}">
  <dimension ref="A1:C20"/>
  <sheetViews>
    <sheetView workbookViewId="0"/>
  </sheetViews>
  <sheetFormatPr defaultRowHeight="15" x14ac:dyDescent="0.25"/>
  <cols>
    <col min="1" max="1" width="60.5703125" customWidth="1"/>
    <col min="2" max="3" width="22.5703125" customWidth="1"/>
  </cols>
  <sheetData>
    <row r="1" spans="1:3" x14ac:dyDescent="0.25">
      <c r="A1" s="6" t="s">
        <v>89</v>
      </c>
    </row>
    <row r="3" spans="1:3" x14ac:dyDescent="0.25">
      <c r="A3" s="6" t="s">
        <v>90</v>
      </c>
      <c r="B3" s="6" t="s">
        <v>91</v>
      </c>
      <c r="C3" s="6" t="s">
        <v>92</v>
      </c>
    </row>
    <row r="4" spans="1:3" x14ac:dyDescent="0.25">
      <c r="A4" t="s">
        <v>26</v>
      </c>
      <c r="B4">
        <f>'CPCaOC-new'!B2</f>
        <v>255.21</v>
      </c>
      <c r="C4">
        <f>B4*$B$9</f>
        <v>35.75</v>
      </c>
    </row>
    <row r="5" spans="1:3" x14ac:dyDescent="0.25">
      <c r="A5" t="s">
        <v>27</v>
      </c>
      <c r="B5">
        <f>'CPCaOC-new'!B3</f>
        <v>255.21</v>
      </c>
      <c r="C5">
        <f>B5*$B$9</f>
        <v>35.75</v>
      </c>
    </row>
    <row r="6" spans="1:3" x14ac:dyDescent="0.25">
      <c r="A6" t="s">
        <v>28</v>
      </c>
      <c r="B6">
        <f>'CPCaOC-new'!B4</f>
        <v>299.20749291839735</v>
      </c>
      <c r="C6">
        <f>B6*$B$9</f>
        <v>41.913200391178655</v>
      </c>
    </row>
    <row r="7" spans="1:3" x14ac:dyDescent="0.25">
      <c r="A7" t="s">
        <v>29</v>
      </c>
      <c r="B7">
        <f>'CPCaOC-new'!B6</f>
        <v>502.3356153443911</v>
      </c>
      <c r="C7">
        <f>B7*$B$9</f>
        <v>70.367533594145911</v>
      </c>
    </row>
    <row r="9" spans="1:3" x14ac:dyDescent="0.25">
      <c r="A9" t="s">
        <v>104</v>
      </c>
      <c r="B9">
        <f>B20</f>
        <v>0.14008071784021001</v>
      </c>
    </row>
    <row r="11" spans="1:3" x14ac:dyDescent="0.25">
      <c r="A11" s="6" t="s">
        <v>93</v>
      </c>
    </row>
    <row r="12" spans="1:3" x14ac:dyDescent="0.25">
      <c r="A12" t="s">
        <v>94</v>
      </c>
      <c r="B12">
        <v>10</v>
      </c>
    </row>
    <row r="13" spans="1:3" x14ac:dyDescent="0.25">
      <c r="A13" t="s">
        <v>95</v>
      </c>
      <c r="B13">
        <v>5</v>
      </c>
    </row>
    <row r="14" spans="1:3" x14ac:dyDescent="0.25">
      <c r="A14" t="s">
        <v>96</v>
      </c>
      <c r="B14">
        <v>4</v>
      </c>
    </row>
    <row r="15" spans="1:3" x14ac:dyDescent="0.25">
      <c r="A15" t="s">
        <v>97</v>
      </c>
      <c r="B15">
        <v>5</v>
      </c>
    </row>
    <row r="16" spans="1:3" x14ac:dyDescent="0.25">
      <c r="A16" t="s">
        <v>98</v>
      </c>
      <c r="B16">
        <v>1.5</v>
      </c>
    </row>
    <row r="17" spans="1:2" x14ac:dyDescent="0.25">
      <c r="A17" t="s">
        <v>99</v>
      </c>
      <c r="B17">
        <v>7</v>
      </c>
    </row>
    <row r="18" spans="1:2" x14ac:dyDescent="0.25">
      <c r="A18" t="s">
        <v>100</v>
      </c>
      <c r="B18">
        <f>0.1*SUM(B12:B17)</f>
        <v>3.25</v>
      </c>
    </row>
    <row r="19" spans="1:2" x14ac:dyDescent="0.25">
      <c r="A19" t="s">
        <v>101</v>
      </c>
      <c r="B19">
        <f>SUM(B12:B18)</f>
        <v>35.75</v>
      </c>
    </row>
    <row r="20" spans="1:2" x14ac:dyDescent="0.25">
      <c r="A20" t="s">
        <v>102</v>
      </c>
      <c r="B20">
        <f>B19/B4</f>
        <v>0.14008071784021001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6"/>
  <sheetViews>
    <sheetView workbookViewId="0"/>
  </sheetViews>
  <sheetFormatPr defaultRowHeight="15" x14ac:dyDescent="0.25"/>
  <sheetData>
    <row r="1" spans="1:2" x14ac:dyDescent="0.25">
      <c r="A1" t="s">
        <v>56</v>
      </c>
      <c r="B1" t="s">
        <v>88</v>
      </c>
    </row>
    <row r="2" spans="1:2" x14ac:dyDescent="0.25">
      <c r="A2" t="s">
        <v>26</v>
      </c>
      <c r="B2">
        <f>Calc!B7</f>
        <v>255.21</v>
      </c>
    </row>
    <row r="3" spans="1:2" x14ac:dyDescent="0.25">
      <c r="A3" t="s">
        <v>27</v>
      </c>
      <c r="B3">
        <f>Calc!B3</f>
        <v>255.21</v>
      </c>
    </row>
    <row r="4" spans="1:2" x14ac:dyDescent="0.25">
      <c r="A4" t="s">
        <v>28</v>
      </c>
      <c r="B4">
        <f>Calc!B16</f>
        <v>299.20749291839735</v>
      </c>
    </row>
    <row r="5" spans="1:2" x14ac:dyDescent="0.25">
      <c r="A5" t="s">
        <v>137</v>
      </c>
      <c r="B5">
        <f>B4</f>
        <v>299.20749291839735</v>
      </c>
    </row>
    <row r="6" spans="1:2" x14ac:dyDescent="0.25">
      <c r="A6" t="s">
        <v>29</v>
      </c>
      <c r="B6">
        <f>Calc!B21</f>
        <v>502.3356153443911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7653-1625-4DA5-99A5-BAECCB778CDB}">
  <sheetPr>
    <tabColor rgb="FF1F3864"/>
  </sheetPr>
  <dimension ref="A1:B6"/>
  <sheetViews>
    <sheetView workbookViewId="0"/>
  </sheetViews>
  <sheetFormatPr defaultRowHeight="15" x14ac:dyDescent="0.25"/>
  <sheetData>
    <row r="1" spans="1:2" x14ac:dyDescent="0.25">
      <c r="A1" t="s">
        <v>56</v>
      </c>
      <c r="B1" t="s">
        <v>103</v>
      </c>
    </row>
    <row r="2" spans="1:2" x14ac:dyDescent="0.25">
      <c r="A2" t="s">
        <v>26</v>
      </c>
      <c r="B2">
        <f>Overhaul!C4</f>
        <v>35.75</v>
      </c>
    </row>
    <row r="3" spans="1:2" x14ac:dyDescent="0.25">
      <c r="A3" t="s">
        <v>27</v>
      </c>
      <c r="B3">
        <f>Overhaul!C5</f>
        <v>35.75</v>
      </c>
    </row>
    <row r="4" spans="1:2" x14ac:dyDescent="0.25">
      <c r="A4" t="s">
        <v>28</v>
      </c>
      <c r="B4">
        <f>Overhaul!C6</f>
        <v>41.913200391178655</v>
      </c>
    </row>
    <row r="5" spans="1:2" x14ac:dyDescent="0.25">
      <c r="A5" t="s">
        <v>137</v>
      </c>
      <c r="B5">
        <f>B4</f>
        <v>41.913200391178655</v>
      </c>
    </row>
    <row r="6" spans="1:2" x14ac:dyDescent="0.25">
      <c r="A6" t="s">
        <v>29</v>
      </c>
      <c r="B6">
        <f>Overhaul!C7</f>
        <v>70.367533594145911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Source Data</vt:lpstr>
      <vt:lpstr>Calc</vt:lpstr>
      <vt:lpstr>Overhaul</vt:lpstr>
      <vt:lpstr>CPCaOC-new</vt:lpstr>
      <vt:lpstr>CPCaOC-overhaul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2026-08-26T11:52:47Z</dcterms:created>
  <dcterms:modified xsi:type="dcterms:W3CDTF">2026-10-19T18:20:26Z</dcterms:modified>
</cp:coreProperties>
</file>