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SBS\"/>
    </mc:Choice>
  </mc:AlternateContent>
  <xr:revisionPtr revIDLastSave="0" documentId="13_ncr:1_{99E48C12-EC53-4613-BD97-198475FB63DF}" xr6:coauthVersionLast="47" xr6:coauthVersionMax="47" xr10:uidLastSave="{00000000-0000-0000-0000-000000000000}"/>
  <bookViews>
    <workbookView xWindow="3510" yWindow="3510" windowWidth="21600" windowHeight="12525" xr2:uid="{00000000-000D-0000-FFFF-FFFF00000000}"/>
  </bookViews>
  <sheets>
    <sheet name="About" sheetId="1" r:id="rId1"/>
    <sheet name="Kiln Types" sheetId="2" r:id="rId2"/>
    <sheet name="Derivation" sheetId="3" r:id="rId3"/>
    <sheet name="Checks" sheetId="4" r:id="rId4"/>
    <sheet name="CSB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5" l="1"/>
  <c r="A6" i="5"/>
  <c r="B4" i="5"/>
  <c r="B5" i="5" s="1"/>
  <c r="A4" i="5"/>
  <c r="A3" i="5"/>
  <c r="A2" i="5"/>
  <c r="B4" i="3"/>
  <c r="B10" i="3" s="1"/>
  <c r="B9" i="2"/>
  <c r="B3" i="4" s="1"/>
  <c r="C3" i="4" s="1"/>
  <c r="B2" i="5" l="1"/>
  <c r="B4" i="4"/>
  <c r="C4" i="4" s="1"/>
  <c r="B6" i="3"/>
  <c r="B11" i="3"/>
  <c r="B3" i="5" s="1"/>
</calcChain>
</file>

<file path=xl/sharedStrings.xml><?xml version="1.0" encoding="utf-8"?>
<sst xmlns="http://schemas.openxmlformats.org/spreadsheetml/2006/main" count="77" uniqueCount="73">
  <si>
    <t>CSBS Cement Share of Start Year Capacity Below Standard</t>
  </si>
  <si>
    <t>Sources:</t>
  </si>
  <si>
    <t>U.S. cement production by kiln technology (the U.S. value)</t>
  </si>
  <si>
    <t>Kiln fuel use by kiln type and the saving from an upgrade</t>
  </si>
  <si>
    <t>Portland Cement Association</t>
  </si>
  <si>
    <t>Lawrence Berkeley National Laboratory for ENERGY STAR</t>
  </si>
  <si>
    <t>Environmental Product Declaration for Portland, Blended, Masonry, Mortar and Plastic (Stucco) Cements (Athena Sustainable Materials Institute), Table 2</t>
  </si>
  <si>
    <t>Energy Efficiency Improvement and Cost Saving Opportunities for Cement Making (LBNL-54036)</t>
  </si>
  <si>
    <t>https://www.cement.org/wp-content/uploads/2024/07/pca_epd_portland_athena_final_revised_nov2023-1.pdf</t>
  </si>
  <si>
    <t>https://www.energystar.gov/sites/default/files/buildings/tools/LBNL-54036.pdf</t>
  </si>
  <si>
    <t>Share of 2019 cement produced by clinker technology at the member plants in the sample (53 of about 78 Mt of clinker): precalciner 88.5 percent, preheater only 3.1, long dry 5.3, wet 0.6, other (semi-wet and semi-dry) 2.4. Pasted on the 'Kiln Types' tab. A production share, not a capacity share; older kilns run at lower utilization, so the capacity share is somewhat higher.</t>
  </si>
  <si>
    <t>Typical kiln fuel: wet kilns about 7.0 GJ per tonne of clinker, dry kilns without preheater about 4.7, four- and five-stage preheater kilns 3.2 to 3.5, the best precalciner kilns 2.9 to 3.0. Converting a long dry kiln to a preheater/precalciner saves about 1.4 GJ per tonne (roughly 28 to 30 percent); adding a precalciner to a preheater kiln saves about 0.4 GJ per tonne (10 to 12 percent). These set the companion lever's range (Percent Improvement in Overhauled Kiln Energy Intensity), not this file's value.</t>
  </si>
  <si>
    <t>Share of kiln capacity without a preheater or precalciner</t>
  </si>
  <si>
    <t>The kind of rule this input serves (China's clinker energy benchmark and baseline)</t>
  </si>
  <si>
    <t>Clean Air Task Force</t>
  </si>
  <si>
    <t>National Development and Reform Commission of China and four ministries</t>
  </si>
  <si>
    <t>Recasting the future: policy approaches to drive cement decarbonization</t>
  </si>
  <si>
    <t>Benchmark and baseline energy-efficiency levels for key industrial sectors (2023 edition)</t>
  </si>
  <si>
    <t>https://www.catf.us/resource/recasting-future-policy-approaches-drive-cement-decarbonization/</t>
  </si>
  <si>
    <t>https://www.gov.cn/zhengce/zhengceku/202307/P020230705419885378352.pdf</t>
  </si>
  <si>
    <t>Wet kilns plus dry kilns without a preheater or precalciner were 7.3 percent of U.S. kiln capacity in 2019, and the mean kiln age was 36 years (citing USGS plant data). Secondary; used as the low end of the range.</t>
  </si>
  <si>
    <t>Clinker: benchmark 100 kgce per tonne (about 2.93 GJ/t), baseline 117 kgce per tonne (about 3.43 GJ/t); capacity below the baseline had to upgrade or close by the end of 2025. About 16 percent of Chinese clinker capacity was below the baseline in mid-2024 (press reports quoting NDRC officials; secondary). A China build would enter about 0.16 here.</t>
  </si>
  <si>
    <t>Notes:</t>
  </si>
  <si>
    <t>Purpose and layout</t>
  </si>
  <si>
    <t>CSBS is the share of each pathway's start-year kiln capacity that falls below a modern energy-performance standard (a precalciner-grade kiln, roughly 3.3 to 3.5 GJ of fuel per tonne of clinker). The kiln performance standard policy forces this capacity to face its overhaul-or-retire decision early; the companion policy sets how much an overhaul improves a kiln. Edit the 'Kiln Types' tab; the 'Derivation' tab adds up the shares; the 'CSBS' tab is exported to CSBS.csv.</t>
  </si>
  <si>
    <t>How the U.S. value was built</t>
  </si>
  <si>
    <t>We counted as below standard the kiln types that burn clearly more fuel than a precalciner kiln: wet, long dry (no preheater) and preheater-only kilns, 9.0 percent of 2019 production in the PCA sample. Semi-wet and semi-dry kilns (2.4 percent) are left out because their energy use is not reported separately. The Clean Air Task Force's 7.3 percent of capacity (wet and long dry only) is the low end; adding the semi-wet kilns gives 11.4 percent. The share applies to the two fuel-burning pathways; the electric kiln and alternative chemistry pathways have no start-year capacity.</t>
  </si>
  <si>
    <t>Confidence</t>
  </si>
  <si>
    <t>Medium. The production shares come from a 68 percent sample of U.S. clinker in 2019 and are production rather than capacity weights; the full PCA Plant Information Summary would give capacity by kiln type. The United States has no kiln energy standard, so the lever is a hypothetical policy for the U.S. build.</t>
  </si>
  <si>
    <t>Other regions</t>
  </si>
  <si>
    <t>Enter the share of start-year clinker capacity below the regional standard: about 0.16 for China (mid-2024, below the 117 kgce/t baseline). Where no kiln-type statistics exist, the share of kilns older than 30 to 40 years is a reasonable stand-in.</t>
  </si>
  <si>
    <t>U.S. cement production by clinker technology, 2019 (edit here)</t>
  </si>
  <si>
    <t>Shares of cement produced by kiln type in the PCA EPD sample. Column C marks the kiln types counted as below a precalciner-grade standard (1 = yes). Column D is the typical kiln fuel use, for reference only.</t>
  </si>
  <si>
    <t>Kiln type</t>
  </si>
  <si>
    <t>Share of 2019 cement production</t>
  </si>
  <si>
    <t>Counted as below standard
1 = yes</t>
  </si>
  <si>
    <t>Typical kiln fuel
GJ per tonne clinker (LBNL)</t>
  </si>
  <si>
    <t>Precalciner</t>
  </si>
  <si>
    <t>Preheater only</t>
  </si>
  <si>
    <t>Long dry (no preheater)</t>
  </si>
  <si>
    <t>Wet</t>
  </si>
  <si>
    <t>Other (semi-wet, semi-dry)</t>
  </si>
  <si>
    <t>Total</t>
  </si>
  <si>
    <t>From kiln-type shares to the below-standard share by pathway</t>
  </si>
  <si>
    <t>What share of start-year kiln capacity falls below the standard? The below-standard kiln types are summed and applied to the fuel-burning pathways; the electricity-based pathways have no start-year kilns.</t>
  </si>
  <si>
    <t>Quantity</t>
  </si>
  <si>
    <t>Value</t>
  </si>
  <si>
    <t>Explanation</t>
  </si>
  <si>
    <t>Share of production from below-standard kiln types</t>
  </si>
  <si>
    <t>Sum of the shares flagged on the Kiln Types tab</t>
  </si>
  <si>
    <t>Low end: wet and long dry only (CATF capacity share)</t>
  </si>
  <si>
    <t>Reference only</t>
  </si>
  <si>
    <t>High end: adds semi-wet and semi-dry kilns</t>
  </si>
  <si>
    <t>SHARE BELOW STANDARD BY PATHWAY (EXPORTED)</t>
  </si>
  <si>
    <t>Pathway</t>
  </si>
  <si>
    <t>Share</t>
  </si>
  <si>
    <t>Basis</t>
  </si>
  <si>
    <t>dry kiln with precalciner</t>
  </si>
  <si>
    <t>Fuel-burning kilns: the below-standard share of the fleet</t>
  </si>
  <si>
    <t>dry kiln with CCS</t>
  </si>
  <si>
    <t>electric kiln</t>
  </si>
  <si>
    <t>No start-year capacity on this pathway</t>
  </si>
  <si>
    <t>alternative chemistry cement</t>
  </si>
  <si>
    <t>Live checks</t>
  </si>
  <si>
    <t>Check</t>
  </si>
  <si>
    <t>Result</t>
  </si>
  <si>
    <t>Kiln-type shares add up to 1</t>
  </si>
  <si>
    <t>Exported shares between 0 and 1</t>
  </si>
  <si>
    <t>Unit: dimensionless</t>
  </si>
  <si>
    <t>Share Below Standard</t>
  </si>
  <si>
    <t>electric kiln with CCS</t>
  </si>
  <si>
    <t>Electric kiln with CCS</t>
  </si>
  <si>
    <t>The electric kiln with CCS is the electric kiln with a capture unit on its nearly pure CO2 stream, so it uses the electric kiln's value here (same kiln). Its capture is added through CCF (95 percent of calcination CO2 captured) and the CDSC capture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</si>
</sst>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rgb="FF0563C1"/>
      <name val="Calibri"/>
    </font>
    <font>
      <b/>
      <sz val="11"/>
      <color rgb="FFFFFFFF"/>
      <name val="Calibri"/>
    </font>
    <font>
      <b/>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0" fillId="0" borderId="0" xfId="0" applyAlignment="1">
      <alignment horizontal="left" vertical="top" wrapText="1"/>
    </xf>
    <xf numFmtId="0" fontId="0" fillId="0" borderId="0" xfId="0"/>
    <xf numFmtId="0" fontId="0" fillId="0" borderId="0" xfId="0" applyAlignment="1">
      <alignment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atf.us/resource/recasting-future-policy-approaches-drive-cement-decarbonization/" TargetMode="External"/><Relationship Id="rId2" Type="http://schemas.openxmlformats.org/officeDocument/2006/relationships/hyperlink" Target="https://www.energystar.gov/sites/default/files/buildings/tools/LBNL-54036.pdf" TargetMode="External"/><Relationship Id="rId1" Type="http://schemas.openxmlformats.org/officeDocument/2006/relationships/hyperlink" Target="https://www.cement.org/wp-content/uploads/2024/07/pca_epd_portland_athena_final_revised_nov2023-1.pdf" TargetMode="External"/><Relationship Id="rId4" Type="http://schemas.openxmlformats.org/officeDocument/2006/relationships/hyperlink" Target="https://www.gov.cn/zhengce/zhengceku/202307/P02023070541988537835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workbookViewId="0"/>
  </sheetViews>
  <sheetFormatPr defaultRowHeight="15" x14ac:dyDescent="0.25"/>
  <cols>
    <col min="1" max="1" width="24" customWidth="1"/>
    <col min="2" max="2" width="110" customWidth="1"/>
    <col min="3" max="3" width="3" customWidth="1"/>
    <col min="4" max="4" width="110" customWidth="1"/>
  </cols>
  <sheetData>
    <row r="1" spans="1:4" x14ac:dyDescent="0.25">
      <c r="A1" s="1" t="s">
        <v>0</v>
      </c>
    </row>
    <row r="3" spans="1:4" x14ac:dyDescent="0.25">
      <c r="A3" s="1" t="s">
        <v>1</v>
      </c>
      <c r="B3" s="2" t="s">
        <v>2</v>
      </c>
      <c r="D3" s="2" t="s">
        <v>3</v>
      </c>
    </row>
    <row r="4" spans="1:4" x14ac:dyDescent="0.25">
      <c r="B4" s="3" t="s">
        <v>4</v>
      </c>
      <c r="D4" s="3" t="s">
        <v>5</v>
      </c>
    </row>
    <row r="5" spans="1:4" ht="30" x14ac:dyDescent="0.25">
      <c r="B5" s="3" t="s">
        <v>6</v>
      </c>
      <c r="D5" s="3" t="s">
        <v>7</v>
      </c>
    </row>
    <row r="6" spans="1:4" x14ac:dyDescent="0.25">
      <c r="B6" s="3">
        <v>2023</v>
      </c>
      <c r="D6" s="3">
        <v>2008</v>
      </c>
    </row>
    <row r="7" spans="1:4" x14ac:dyDescent="0.25">
      <c r="B7" s="4" t="s">
        <v>8</v>
      </c>
      <c r="D7" s="4" t="s">
        <v>9</v>
      </c>
    </row>
    <row r="8" spans="1:4" ht="75" x14ac:dyDescent="0.25">
      <c r="B8" s="3" t="s">
        <v>10</v>
      </c>
      <c r="D8" s="3" t="s">
        <v>11</v>
      </c>
    </row>
    <row r="10" spans="1:4" x14ac:dyDescent="0.25">
      <c r="B10" s="2" t="s">
        <v>12</v>
      </c>
      <c r="D10" s="2" t="s">
        <v>13</v>
      </c>
    </row>
    <row r="11" spans="1:4" x14ac:dyDescent="0.25">
      <c r="B11" s="3" t="s">
        <v>14</v>
      </c>
      <c r="D11" s="3" t="s">
        <v>15</v>
      </c>
    </row>
    <row r="12" spans="1:4" x14ac:dyDescent="0.25">
      <c r="B12" s="3" t="s">
        <v>16</v>
      </c>
      <c r="D12" s="3" t="s">
        <v>17</v>
      </c>
    </row>
    <row r="13" spans="1:4" x14ac:dyDescent="0.25">
      <c r="B13" s="3">
        <v>2024</v>
      </c>
      <c r="D13" s="3">
        <v>2023</v>
      </c>
    </row>
    <row r="14" spans="1:4" x14ac:dyDescent="0.25">
      <c r="B14" s="4" t="s">
        <v>18</v>
      </c>
      <c r="D14" s="4" t="s">
        <v>19</v>
      </c>
    </row>
    <row r="15" spans="1:4" ht="45" x14ac:dyDescent="0.25">
      <c r="B15" s="3" t="s">
        <v>20</v>
      </c>
      <c r="D15" s="3" t="s">
        <v>21</v>
      </c>
    </row>
    <row r="17" spans="1:2" x14ac:dyDescent="0.25">
      <c r="A17" s="1" t="s">
        <v>22</v>
      </c>
    </row>
    <row r="18" spans="1:2" ht="60" x14ac:dyDescent="0.25">
      <c r="A18" s="5" t="s">
        <v>23</v>
      </c>
      <c r="B18" s="3" t="s">
        <v>24</v>
      </c>
    </row>
    <row r="19" spans="1:2" ht="75" x14ac:dyDescent="0.25">
      <c r="A19" s="5" t="s">
        <v>25</v>
      </c>
      <c r="B19" s="3" t="s">
        <v>26</v>
      </c>
    </row>
    <row r="20" spans="1:2" ht="45" x14ac:dyDescent="0.25">
      <c r="A20" s="5" t="s">
        <v>27</v>
      </c>
      <c r="B20" s="3" t="s">
        <v>28</v>
      </c>
    </row>
    <row r="21" spans="1:2" ht="30" x14ac:dyDescent="0.25">
      <c r="A21" s="5" t="s">
        <v>29</v>
      </c>
      <c r="B21" s="3" t="s">
        <v>30</v>
      </c>
    </row>
    <row r="22" spans="1:2" ht="45" x14ac:dyDescent="0.25">
      <c r="A22" s="10" t="s">
        <v>71</v>
      </c>
      <c r="B22" s="9" t="s">
        <v>72</v>
      </c>
    </row>
  </sheetData>
  <hyperlinks>
    <hyperlink ref="B7" r:id="rId1" xr:uid="{00000000-0004-0000-0000-000000000000}"/>
    <hyperlink ref="D7" r:id="rId2" xr:uid="{00000000-0004-0000-0000-000001000000}"/>
    <hyperlink ref="B14" r:id="rId3" xr:uid="{00000000-0004-0000-0000-000002000000}"/>
    <hyperlink ref="D14"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heetViews>
  <sheetFormatPr defaultRowHeight="15" x14ac:dyDescent="0.25"/>
  <cols>
    <col min="1" max="1" width="34" customWidth="1"/>
    <col min="2" max="2" width="24" customWidth="1"/>
    <col min="3" max="3" width="22" customWidth="1"/>
    <col min="4" max="4" width="26" customWidth="1"/>
  </cols>
  <sheetData>
    <row r="1" spans="1:4" x14ac:dyDescent="0.25">
      <c r="A1" s="1" t="s">
        <v>31</v>
      </c>
    </row>
    <row r="2" spans="1:4" ht="45" customHeight="1" x14ac:dyDescent="0.25">
      <c r="A2" s="7" t="s">
        <v>32</v>
      </c>
      <c r="B2" s="8"/>
      <c r="C2" s="8"/>
      <c r="D2" s="8"/>
    </row>
    <row r="3" spans="1:4" ht="48" customHeight="1" x14ac:dyDescent="0.25">
      <c r="A3" s="6" t="s">
        <v>33</v>
      </c>
      <c r="B3" s="6" t="s">
        <v>34</v>
      </c>
      <c r="C3" s="6" t="s">
        <v>35</v>
      </c>
      <c r="D3" s="6" t="s">
        <v>36</v>
      </c>
    </row>
    <row r="4" spans="1:4" x14ac:dyDescent="0.25">
      <c r="A4" t="s">
        <v>37</v>
      </c>
      <c r="B4">
        <v>0.88500000000000001</v>
      </c>
      <c r="C4">
        <v>0</v>
      </c>
      <c r="D4">
        <v>3</v>
      </c>
    </row>
    <row r="5" spans="1:4" x14ac:dyDescent="0.25">
      <c r="A5" t="s">
        <v>38</v>
      </c>
      <c r="B5">
        <v>3.1E-2</v>
      </c>
      <c r="C5">
        <v>1</v>
      </c>
      <c r="D5">
        <v>3.4</v>
      </c>
    </row>
    <row r="6" spans="1:4" x14ac:dyDescent="0.25">
      <c r="A6" t="s">
        <v>39</v>
      </c>
      <c r="B6">
        <v>5.2999999999999999E-2</v>
      </c>
      <c r="C6">
        <v>1</v>
      </c>
      <c r="D6">
        <v>4.7</v>
      </c>
    </row>
    <row r="7" spans="1:4" x14ac:dyDescent="0.25">
      <c r="A7" t="s">
        <v>40</v>
      </c>
      <c r="B7">
        <v>6.0000000000000001E-3</v>
      </c>
      <c r="C7">
        <v>1</v>
      </c>
      <c r="D7">
        <v>7</v>
      </c>
    </row>
    <row r="8" spans="1:4" x14ac:dyDescent="0.25">
      <c r="A8" t="s">
        <v>41</v>
      </c>
      <c r="B8">
        <v>2.4E-2</v>
      </c>
      <c r="C8">
        <v>0</v>
      </c>
    </row>
    <row r="9" spans="1:4" x14ac:dyDescent="0.25">
      <c r="A9" t="s">
        <v>42</v>
      </c>
      <c r="B9">
        <f>SUM(B4:B8)</f>
        <v>0.99900000000000011</v>
      </c>
    </row>
  </sheetData>
  <mergeCells count="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5" x14ac:dyDescent="0.25"/>
  <cols>
    <col min="1" max="1" width="52" customWidth="1"/>
    <col min="2" max="2" width="14" customWidth="1"/>
    <col min="3" max="3" width="60" customWidth="1"/>
  </cols>
  <sheetData>
    <row r="1" spans="1:3" x14ac:dyDescent="0.25">
      <c r="A1" s="1" t="s">
        <v>43</v>
      </c>
    </row>
    <row r="2" spans="1:3" ht="39.950000000000003" customHeight="1" x14ac:dyDescent="0.25">
      <c r="A2" s="7" t="s">
        <v>44</v>
      </c>
      <c r="B2" s="8"/>
      <c r="C2" s="8"/>
    </row>
    <row r="3" spans="1:3" ht="20.100000000000001" customHeight="1" x14ac:dyDescent="0.25">
      <c r="A3" s="6" t="s">
        <v>45</v>
      </c>
      <c r="B3" s="6" t="s">
        <v>46</v>
      </c>
      <c r="C3" s="6" t="s">
        <v>47</v>
      </c>
    </row>
    <row r="4" spans="1:3" x14ac:dyDescent="0.25">
      <c r="A4" t="s">
        <v>48</v>
      </c>
      <c r="B4">
        <f>SUMPRODUCT('Kiln Types'!B4:B8,'Kiln Types'!C4:C8)</f>
        <v>0.09</v>
      </c>
      <c r="C4" t="s">
        <v>49</v>
      </c>
    </row>
    <row r="5" spans="1:3" x14ac:dyDescent="0.25">
      <c r="A5" t="s">
        <v>50</v>
      </c>
      <c r="B5">
        <v>7.2999999999999995E-2</v>
      </c>
      <c r="C5" t="s">
        <v>51</v>
      </c>
    </row>
    <row r="6" spans="1:3" x14ac:dyDescent="0.25">
      <c r="A6" t="s">
        <v>52</v>
      </c>
      <c r="B6">
        <f>B4+'Kiln Types'!B8</f>
        <v>0.11399999999999999</v>
      </c>
      <c r="C6" t="s">
        <v>51</v>
      </c>
    </row>
    <row r="8" spans="1:3" x14ac:dyDescent="0.25">
      <c r="A8" s="1" t="s">
        <v>53</v>
      </c>
    </row>
    <row r="9" spans="1:3" ht="20.100000000000001" customHeight="1" x14ac:dyDescent="0.25">
      <c r="A9" s="6" t="s">
        <v>54</v>
      </c>
      <c r="B9" s="6" t="s">
        <v>55</v>
      </c>
      <c r="C9" s="6" t="s">
        <v>56</v>
      </c>
    </row>
    <row r="10" spans="1:3" x14ac:dyDescent="0.25">
      <c r="A10" t="s">
        <v>57</v>
      </c>
      <c r="B10">
        <f>B4</f>
        <v>0.09</v>
      </c>
      <c r="C10" t="s">
        <v>58</v>
      </c>
    </row>
    <row r="11" spans="1:3" x14ac:dyDescent="0.25">
      <c r="A11" t="s">
        <v>59</v>
      </c>
      <c r="B11">
        <f>B4</f>
        <v>0.09</v>
      </c>
      <c r="C11" t="s">
        <v>58</v>
      </c>
    </row>
    <row r="12" spans="1:3" x14ac:dyDescent="0.25">
      <c r="A12" t="s">
        <v>60</v>
      </c>
      <c r="B12">
        <v>0</v>
      </c>
      <c r="C12" t="s">
        <v>61</v>
      </c>
    </row>
    <row r="13" spans="1:3" x14ac:dyDescent="0.25">
      <c r="A13" t="s">
        <v>62</v>
      </c>
      <c r="B13">
        <v>0</v>
      </c>
      <c r="C13" t="s">
        <v>61</v>
      </c>
    </row>
  </sheetData>
  <mergeCells count="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
  <sheetViews>
    <sheetView workbookViewId="0"/>
  </sheetViews>
  <sheetFormatPr defaultRowHeight="15" x14ac:dyDescent="0.25"/>
  <cols>
    <col min="1" max="1" width="50" customWidth="1"/>
  </cols>
  <sheetData>
    <row r="1" spans="1:3" x14ac:dyDescent="0.25">
      <c r="A1" s="1" t="s">
        <v>63</v>
      </c>
    </row>
    <row r="2" spans="1:3" ht="20.100000000000001" customHeight="1" x14ac:dyDescent="0.25">
      <c r="A2" s="6" t="s">
        <v>64</v>
      </c>
      <c r="B2" s="6" t="s">
        <v>46</v>
      </c>
      <c r="C2" s="6" t="s">
        <v>65</v>
      </c>
    </row>
    <row r="3" spans="1:3" x14ac:dyDescent="0.25">
      <c r="A3" t="s">
        <v>66</v>
      </c>
      <c r="B3">
        <f>'Kiln Types'!B9</f>
        <v>0.99900000000000011</v>
      </c>
      <c r="C3" t="str">
        <f>IF(ABS(B3-1)&lt;0.001,"PASS","FAIL")</f>
        <v>PASS</v>
      </c>
    </row>
    <row r="4" spans="1:3" x14ac:dyDescent="0.25">
      <c r="A4" t="s">
        <v>67</v>
      </c>
      <c r="B4">
        <f>COUNTIF(Derivation!B10:B13,"&lt;0")+COUNTIF(Derivation!B10:B13,"&gt;1")</f>
        <v>0</v>
      </c>
      <c r="C4" t="str">
        <f>IF(B4=0,"PASS","FAIL")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6"/>
  <sheetViews>
    <sheetView workbookViewId="0"/>
  </sheetViews>
  <sheetFormatPr defaultRowHeight="15" x14ac:dyDescent="0.25"/>
  <cols>
    <col min="1" max="1" width="30" customWidth="1"/>
  </cols>
  <sheetData>
    <row r="1" spans="1:2" x14ac:dyDescent="0.25">
      <c r="A1" t="s">
        <v>68</v>
      </c>
      <c r="B1" t="s">
        <v>69</v>
      </c>
    </row>
    <row r="2" spans="1:2" x14ac:dyDescent="0.25">
      <c r="A2" t="str">
        <f>Derivation!A10</f>
        <v>dry kiln with precalciner</v>
      </c>
      <c r="B2">
        <f>Derivation!B10</f>
        <v>0.09</v>
      </c>
    </row>
    <row r="3" spans="1:2" x14ac:dyDescent="0.25">
      <c r="A3" t="str">
        <f>Derivation!A11</f>
        <v>dry kiln with CCS</v>
      </c>
      <c r="B3">
        <f>Derivation!B11</f>
        <v>0.09</v>
      </c>
    </row>
    <row r="4" spans="1:2" x14ac:dyDescent="0.25">
      <c r="A4" t="str">
        <f>Derivation!A12</f>
        <v>electric kiln</v>
      </c>
      <c r="B4">
        <f>Derivation!B12</f>
        <v>0</v>
      </c>
    </row>
    <row r="5" spans="1:2" x14ac:dyDescent="0.25">
      <c r="A5" t="s">
        <v>70</v>
      </c>
      <c r="B5">
        <f>B4</f>
        <v>0</v>
      </c>
    </row>
    <row r="6" spans="1:2" x14ac:dyDescent="0.25">
      <c r="A6" t="str">
        <f>Derivation!A13</f>
        <v>alternative chemistry cement</v>
      </c>
      <c r="B6">
        <f>Derivation!B13</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Kiln Types</vt:lpstr>
      <vt:lpstr>Derivation</vt:lpstr>
      <vt:lpstr>Checks</vt:lpstr>
      <vt:lpstr>CSBS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2026-10-17T02:19:55Z</dcterms:created>
  <dcterms:modified xsi:type="dcterms:W3CDTF">2026-10-19T18:21:07Z</dcterms:modified>
</cp:coreProperties>
</file>