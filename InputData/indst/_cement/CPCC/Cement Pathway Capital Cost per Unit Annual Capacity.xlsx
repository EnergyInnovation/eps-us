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C:\Users\DanOBrien\Models\EPS\US\eps-us\InputData\indst\_cement\CPCC\"/>
    </mc:Choice>
  </mc:AlternateContent>
  <xr:revisionPtr revIDLastSave="0" documentId="13_ncr:1_{C86EF7B2-9442-4375-B9F9-39E7E3B8CB13}" xr6:coauthVersionLast="47" xr6:coauthVersionMax="47" xr10:uidLastSave="{00000000-0000-0000-0000-000000000000}"/>
  <bookViews>
    <workbookView xWindow="-120" yWindow="-120" windowWidth="29040" windowHeight="17520" xr2:uid="{00000000-000D-0000-FFFF-FFFF00000000}"/>
  </bookViews>
  <sheets>
    <sheet name="About" sheetId="1" r:id="rId1"/>
    <sheet name="Source Data" sheetId="2" r:id="rId2"/>
    <sheet name="Parameters" sheetId="3" r:id="rId3"/>
    <sheet name="Calc" sheetId="4" r:id="rId4"/>
    <sheet name="CPCC" sheetId="6"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5" i="6" l="1"/>
  <c r="B4" i="6"/>
  <c r="B11" i="4"/>
  <c r="B10" i="4"/>
  <c r="B7" i="4"/>
  <c r="B3" i="4" s="1"/>
  <c r="B3" i="6" s="1"/>
  <c r="B6" i="4"/>
  <c r="B2" i="4"/>
  <c r="B2" i="6" l="1"/>
</calcChain>
</file>

<file path=xl/sharedStrings.xml><?xml version="1.0" encoding="utf-8"?>
<sst xmlns="http://schemas.openxmlformats.org/spreadsheetml/2006/main" count="72" uniqueCount="72">
  <si>
    <t>CPCC Cement Pathway Capital Cost per Unit Annual Capacity</t>
  </si>
  <si>
    <t>Sources:</t>
  </si>
  <si>
    <t>https://netzeroamerica.princeton.edu/img/Princeton_NZA_Annex_K.pdf</t>
  </si>
  <si>
    <t>https://www.wbcsdcement.org/pdf/technology/ECRA%20Technical%20Report%20on%20State%20of%20the%20Art%20Techniques.pdf</t>
  </si>
  <si>
    <t>https://www.energy.gov/oced/oced-cement-and-concrete-industrial-demonstrations</t>
  </si>
  <si>
    <t>Notes:</t>
  </si>
  <si>
    <t>NZA Annex K Table 3 - Dry kiln with CCS</t>
  </si>
  <si>
    <t>Total capital cost ($)</t>
  </si>
  <si>
    <t>Plant clinker capacity (metric tons/yr)</t>
  </si>
  <si>
    <t>ECRA 2009 / IEA - Dry kiln with precalciner base range (2009$/t)</t>
  </si>
  <si>
    <t>ECRA low end</t>
  </si>
  <si>
    <t>ECRA high end</t>
  </si>
  <si>
    <t>IEA-cited figure (EUR263/t, 2010, ~1 Mt/yr plant; contextual, not separately FX-converted here)</t>
  </si>
  <si>
    <t>EUR/t, 2010 - shown for context only; not used numerically in the Calc tab formula</t>
  </si>
  <si>
    <t>EI-synthesized 2009$ base point (judgment blend of ECRA low end + IEA-implied figure)</t>
  </si>
  <si>
    <t>Deflator applied to the 2026$ judgment parameters (electric, alt chem) to reach 2012$: 1.086 / 1.6</t>
  </si>
  <si>
    <t>FOAK alternative-chemistry actuals (context only)</t>
  </si>
  <si>
    <t>Brimstone total award/project cost ($)</t>
  </si>
  <si>
    <t>Brimstone capacity (t/yr)</t>
  </si>
  <si>
    <t>Sublime Holyoke total project cost ($)</t>
  </si>
  <si>
    <t>Sublime Holyoke capacity (t/yr)</t>
  </si>
  <si>
    <t>Judgment capital-cost parameters (no computable derivation - see About tab Notes)</t>
  </si>
  <si>
    <t>Electric kiln capital cost ($/(t/yr))</t>
  </si>
  <si>
    <t>UNVERIFIED - EI judgment; 450 (2026$) deflated to 2012$ and rounded</t>
  </si>
  <si>
    <t>Alternative chemistry cement capital cost ($/(t/yr))</t>
  </si>
  <si>
    <t>UNVERIFIED - EI judgment (Nth-plant); 600 (2026$) deflated to 2012$ and rounded</t>
  </si>
  <si>
    <t>Dry kiln with CCS: KILN ONLY (= dry kiln). Capture equipment priced in-model from the CCS sector (CC Capital Cost ... per t CO2/yr x captured t CO2 per t clinker). NZA $933/(t/yr) kept below as a plant-level cross-check.</t>
  </si>
  <si>
    <t>NZA plant-level cross-check ($/(t/yr), NZA dollars, not used)</t>
  </si>
  <si>
    <t>Kiln-only value used (= dry kiln)</t>
  </si>
  <si>
    <t>Dry kiln with precalciner: 2009$ base x 2009-&gt;2012 construction index, round to nearest $25</t>
  </si>
  <si>
    <t>Unrounded inflated value ($/(t/yr))</t>
  </si>
  <si>
    <t>Rounded to nearest $25 (MROUND)</t>
  </si>
  <si>
    <t>FOAK alternative-chemistry actuals (context only, not used in export)</t>
  </si>
  <si>
    <t>Brimstone $/t</t>
  </si>
  <si>
    <t>Sublime Holyoke $/t</t>
  </si>
  <si>
    <t>dry kiln with precalciner</t>
  </si>
  <si>
    <t>dry kiln with CCS</t>
  </si>
  <si>
    <t>electric kiln</t>
  </si>
  <si>
    <t>alternative chemistry cement</t>
  </si>
  <si>
    <t>Capital Cost</t>
  </si>
  <si>
    <t>Conventional dry kiln cost (starting point)</t>
  </si>
  <si>
    <t>European Cement Research Academy (ECRA)</t>
  </si>
  <si>
    <t>Technical Report TR-042/2009: Development of State of the Art Techniques in Cement Manufacturing</t>
  </si>
  <si>
    <t>As summarized in secondary literature, ECRA gives $180-350 per metric ton of annual capacity (2009 dollars, depending on plant size) for a new dry-process plant with a precalciner. We could not read the ECRA report itself, so the range is second-hand. The low and high ends are on the 'Source Data' tab.</t>
  </si>
  <si>
    <t>Cross-check on the dry kiln cost</t>
  </si>
  <si>
    <t>International Energy Agency (IEA)</t>
  </si>
  <si>
    <t>Cement Technology Roadmap</t>
  </si>
  <si>
    <t>(no public link)</t>
  </si>
  <si>
    <t>A cited figure of about EUR 263 per metric ton of annual capacity (2010, plant of about 1 million metric tons per year). It is shown on the 'Source Data' tab for context and is not converted or used in the calculation; we only checked that it is broadly consistent with ECRA's range. The figure comes from secondary citations of the roadmap.</t>
  </si>
  <si>
    <t>Converting 2009 dollars to the model's 2012 dollars</t>
  </si>
  <si>
    <t>Engineering News-Record (ENR)</t>
  </si>
  <si>
    <t>Construction Cost Index, annual values for 2009 and 2012</t>
  </si>
  <si>
    <t>(subscription data)</t>
  </si>
  <si>
    <t>The index moves from 8,570 to 9,308 between 2009 and 2012, a factor of 1.086, on the 'Source Data' tab.</t>
  </si>
  <si>
    <t>Plant-level cost with carbon capture (cross-check only)</t>
  </si>
  <si>
    <t>Princeton University, Net-Zero America (NZA) project</t>
  </si>
  <si>
    <t>Net-Zero America, Annex K, Table 3</t>
  </si>
  <si>
    <t>Total capital cost of $3.5 billion for a 3.75 million metric tons per year clinker plant with CO2 capture, about $933 per metric ton of annual capacity in NZA's dollars. The 'Calc' tab shows this division for comparison. It is not used in the export, because the model prices capture equipment separately.</t>
  </si>
  <si>
    <t>Demonstration-scale alternative cement plants (context only)</t>
  </si>
  <si>
    <t>U.S. Department of Energy, Office of Clean Energy Demonstrations (with company disclosures for Brimstone and Sublime Systems)</t>
  </si>
  <si>
    <t>Cement and concrete industrial demonstrations</t>
  </si>
  <si>
    <t>Brimstone: about $378 million for about 140,000 metric tons per year (roughly $2,700 per metric ton). Sublime Systems, Holyoke: about $150 million for about 30,000 metric tons per year (roughly $5,000 per metric ton). Both are first-of-a-kind demonstration plants and neither feeds the shipped value; they sit on the 'Source Data' and 'Calc' tabs to show how far demonstration costs are above the assumption we use.</t>
  </si>
  <si>
    <t>Purpose and layout</t>
  </si>
  <si>
    <t>This file gives the cost of building a new cement kiln, in dollars per metric ton of annual clinker capacity, for each production pathway. The model turns it into a yearly capital charge (at the industry's cost of capital, over the asset life in the CPAL file) and compares it, together with operating costs, across pathways to decide which kind of kiln to build. It is also the basis for the overhaul cost in the CRCC file.
All values are in the model's 2012 U.S. dollars. They cover the kiln only. For the CCS pathway, the cost of the capture equipment is added inside the model from the CCS sector's own capital cost inputs, so the CCS pathway here costs the same as a conventional kiln.
The workbook has these tabs. 'Source Data' holds the pasted source figures. 'Calc' does the arithmetic for the dry kiln. 'Parameters' holds the two values that are our own judgment, and is where a user would change them. The 'CPCC' tab reads from 'Calc' and 'Parameters' by formula and is exported to CPCC.csv.</t>
  </si>
  <si>
    <t>Dry kiln with precalciner and with CCS</t>
  </si>
  <si>
    <t>We took a single 2009-dollar starting point of $235 per metric ton of annual capacity. It is our own blend of the low end of ECRA's range and the IEA figure, not a published number. We multiplied it by 1.086 to move from 2009 to 2012 dollars and rounded to the nearest $25, which gives $250. The CCS pathway uses the same $250, since only the kiln is priced here.</t>
  </si>
  <si>
    <t>Electric kiln and alternative chemistry cement</t>
  </si>
  <si>
    <t>These two values are our own judgment, because no public cost data exists for either. Electric kilns are pilot-only today. We set the electric kiln at $300, between the conventional kiln and a capture-equipped plant, and alternative chemistry cement at $400, an assumption for a plant built after the technology has matured. The demonstration plants listed under Sources cost roughly seven to twelve times that, so $400 assumes large cost reductions that no published learning curve supports. Treat both as placeholders until real commercial-scale cost data appears.</t>
  </si>
  <si>
    <t>Cautions on use</t>
  </si>
  <si>
    <t>The ECRA range behind the dry kiln value varies a lot with plant size, so $250 is a rough cost for a typical new plant. The Net-Zero America whole-plant figure for a capture-equipped kiln is high compared with other published capture cost estimates, possibly because it includes transport and storage or assumes no cost reductions. We have not reconciled it with the model's separately priced capture equipment, which is why it is shown only as a cross-check.</t>
  </si>
  <si>
    <t>Construction-cost index, 2009$ -&gt; 2012$ (ENR CCI 8570 -&gt; 9308); the model runs in 2012 USD</t>
  </si>
  <si>
    <t>Unit: 2012 USD per (metric ton clinker/year)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</si>
</sst>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1"/>
      <name val="Calibri"/>
      <family val="2"/>
    </font>
    <font>
      <u/>
      <sz val="11"/>
      <color theme="10"/>
      <name val="Calibri"/>
      <family val="2"/>
      <scheme val="minor"/>
    </font>
    <font>
      <b/>
      <sz val="11"/>
      <color theme="1"/>
      <name val="Calibri"/>
      <family val="2"/>
      <scheme val="minor"/>
    </font>
    <font>
      <u/>
      <sz val="11"/>
      <color rgb="FF0563C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7">
    <xf numFmtId="0" fontId="0" fillId="0" borderId="0" xfId="0"/>
    <xf numFmtId="0" fontId="1" fillId="0" borderId="0" xfId="0" applyFont="1"/>
    <xf numFmtId="0" fontId="3" fillId="0" borderId="0" xfId="0" applyFont="1" applyAlignment="1">
      <alignment horizontal="left" vertical="top" wrapText="1"/>
    </xf>
    <xf numFmtId="0" fontId="3" fillId="0" borderId="0" xfId="0" applyFont="1" applyAlignment="1">
      <alignment horizontal="left" vertical="top"/>
    </xf>
    <xf numFmtId="0" fontId="3" fillId="2" borderId="0" xfId="0" applyFont="1" applyFill="1" applyAlignment="1">
      <alignment horizontal="left" vertical="top" wrapText="1"/>
    </xf>
    <xf numFmtId="0" fontId="0" fillId="0" borderId="0" xfId="0" applyAlignment="1">
      <alignment horizontal="left" vertical="top" wrapText="1"/>
    </xf>
    <xf numFmtId="0" fontId="4" fillId="0" borderId="0" xfId="1" applyFont="1" applyAlignment="1">
      <alignment horizontal="left" vertical="top" wrapText="1"/>
    </xf>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www.energy.gov/oced/oced-cement-and-concrete-industrial-demonstrations" TargetMode="External"/><Relationship Id="rId2" Type="http://schemas.openxmlformats.org/officeDocument/2006/relationships/hyperlink" Target="https://netzeroamerica.princeton.edu/img/Princeton_NZA_Annex_K.pdf" TargetMode="External"/><Relationship Id="rId1" Type="http://schemas.openxmlformats.org/officeDocument/2006/relationships/hyperlink" Target="https://www.wbcsdcement.org/pdf/technology/ECRA%20Technical%20Report%20on%20State%20of%20the%20Art%20Technique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43"/>
  <sheetViews>
    <sheetView tabSelected="1" workbookViewId="0"/>
  </sheetViews>
  <sheetFormatPr defaultRowHeight="15" x14ac:dyDescent="0.25"/>
  <cols>
    <col min="1" max="1" width="14.7109375" customWidth="1"/>
    <col min="2" max="2" width="110.7109375" customWidth="1"/>
    <col min="3" max="3" width="3.7109375" customWidth="1"/>
  </cols>
  <sheetData>
    <row r="1" spans="1:2" x14ac:dyDescent="0.25">
      <c r="A1" s="3" t="s">
        <v>0</v>
      </c>
    </row>
    <row r="3" spans="1:2" x14ac:dyDescent="0.25">
      <c r="A3" s="2" t="s">
        <v>1</v>
      </c>
      <c r="B3" s="4" t="s">
        <v>40</v>
      </c>
    </row>
    <row r="4" spans="1:2" x14ac:dyDescent="0.25">
      <c r="B4" s="5" t="s">
        <v>41</v>
      </c>
    </row>
    <row r="5" spans="1:2" x14ac:dyDescent="0.25">
      <c r="B5" s="5" t="s">
        <v>42</v>
      </c>
    </row>
    <row r="6" spans="1:2" x14ac:dyDescent="0.25">
      <c r="B6" s="5">
        <v>2009</v>
      </c>
    </row>
    <row r="7" spans="1:2" ht="30" x14ac:dyDescent="0.25">
      <c r="B7" s="6" t="s">
        <v>3</v>
      </c>
    </row>
    <row r="8" spans="1:2" ht="45" x14ac:dyDescent="0.25">
      <c r="B8" s="5" t="s">
        <v>43</v>
      </c>
    </row>
    <row r="10" spans="1:2" x14ac:dyDescent="0.25">
      <c r="B10" s="4" t="s">
        <v>44</v>
      </c>
    </row>
    <row r="11" spans="1:2" x14ac:dyDescent="0.25">
      <c r="B11" s="5" t="s">
        <v>45</v>
      </c>
    </row>
    <row r="12" spans="1:2" x14ac:dyDescent="0.25">
      <c r="B12" s="5" t="s">
        <v>46</v>
      </c>
    </row>
    <row r="13" spans="1:2" x14ac:dyDescent="0.25">
      <c r="B13" s="5">
        <v>2010</v>
      </c>
    </row>
    <row r="14" spans="1:2" x14ac:dyDescent="0.25">
      <c r="B14" s="5" t="s">
        <v>47</v>
      </c>
    </row>
    <row r="15" spans="1:2" ht="45" x14ac:dyDescent="0.25">
      <c r="B15" s="5" t="s">
        <v>48</v>
      </c>
    </row>
    <row r="17" spans="2:2" x14ac:dyDescent="0.25">
      <c r="B17" s="4" t="s">
        <v>49</v>
      </c>
    </row>
    <row r="18" spans="2:2" x14ac:dyDescent="0.25">
      <c r="B18" s="5" t="s">
        <v>50</v>
      </c>
    </row>
    <row r="19" spans="2:2" x14ac:dyDescent="0.25">
      <c r="B19" s="5" t="s">
        <v>51</v>
      </c>
    </row>
    <row r="20" spans="2:2" x14ac:dyDescent="0.25">
      <c r="B20" s="5">
        <v>2012</v>
      </c>
    </row>
    <row r="21" spans="2:2" x14ac:dyDescent="0.25">
      <c r="B21" s="5" t="s">
        <v>52</v>
      </c>
    </row>
    <row r="22" spans="2:2" x14ac:dyDescent="0.25">
      <c r="B22" s="5" t="s">
        <v>53</v>
      </c>
    </row>
    <row r="24" spans="2:2" x14ac:dyDescent="0.25">
      <c r="B24" s="4" t="s">
        <v>54</v>
      </c>
    </row>
    <row r="25" spans="2:2" x14ac:dyDescent="0.25">
      <c r="B25" s="5" t="s">
        <v>55</v>
      </c>
    </row>
    <row r="26" spans="2:2" x14ac:dyDescent="0.25">
      <c r="B26" s="5" t="s">
        <v>56</v>
      </c>
    </row>
    <row r="27" spans="2:2" x14ac:dyDescent="0.25">
      <c r="B27" s="5">
        <v>2021</v>
      </c>
    </row>
    <row r="28" spans="2:2" x14ac:dyDescent="0.25">
      <c r="B28" s="6" t="s">
        <v>2</v>
      </c>
    </row>
    <row r="29" spans="2:2" ht="45" x14ac:dyDescent="0.25">
      <c r="B29" s="5" t="s">
        <v>57</v>
      </c>
    </row>
    <row r="31" spans="2:2" x14ac:dyDescent="0.25">
      <c r="B31" s="4" t="s">
        <v>58</v>
      </c>
    </row>
    <row r="32" spans="2:2" ht="30" x14ac:dyDescent="0.25">
      <c r="B32" s="5" t="s">
        <v>59</v>
      </c>
    </row>
    <row r="33" spans="1:2" x14ac:dyDescent="0.25">
      <c r="B33" s="5" t="s">
        <v>60</v>
      </c>
    </row>
    <row r="34" spans="1:2" x14ac:dyDescent="0.25">
      <c r="B34" s="5">
        <v>2024</v>
      </c>
    </row>
    <row r="35" spans="1:2" x14ac:dyDescent="0.25">
      <c r="B35" s="6" t="s">
        <v>4</v>
      </c>
    </row>
    <row r="36" spans="1:2" ht="60" x14ac:dyDescent="0.25">
      <c r="B36" s="5" t="s">
        <v>61</v>
      </c>
    </row>
    <row r="39" spans="1:2" x14ac:dyDescent="0.25">
      <c r="A39" s="2" t="s">
        <v>5</v>
      </c>
    </row>
    <row r="40" spans="1:2" ht="180" x14ac:dyDescent="0.25">
      <c r="A40" s="2" t="s">
        <v>62</v>
      </c>
      <c r="B40" s="5" t="s">
        <v>63</v>
      </c>
    </row>
    <row r="41" spans="1:2" ht="45" x14ac:dyDescent="0.25">
      <c r="A41" s="2" t="s">
        <v>64</v>
      </c>
      <c r="B41" s="5" t="s">
        <v>65</v>
      </c>
    </row>
    <row r="42" spans="1:2" ht="75" x14ac:dyDescent="0.25">
      <c r="A42" s="2" t="s">
        <v>66</v>
      </c>
      <c r="B42" s="5" t="s">
        <v>67</v>
      </c>
    </row>
    <row r="43" spans="1:2" ht="60" x14ac:dyDescent="0.25">
      <c r="A43" s="2" t="s">
        <v>68</v>
      </c>
      <c r="B43" s="5" t="s">
        <v>69</v>
      </c>
    </row>
  </sheetData>
  <hyperlinks>
    <hyperlink ref="B7" r:id="rId1" xr:uid="{23F58E7B-2327-470E-A63B-5825A7F3F760}"/>
    <hyperlink ref="B28" r:id="rId2" xr:uid="{1817F0BE-7B46-4EE1-A12E-02CAAE19B368}"/>
    <hyperlink ref="B35" r:id="rId3" xr:uid="{5B4E8762-1BBD-494B-8573-45997C2363A2}"/>
  </hyperlink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6"/>
  <sheetViews>
    <sheetView workbookViewId="0"/>
  </sheetViews>
  <sheetFormatPr defaultRowHeight="15" x14ac:dyDescent="0.25"/>
  <cols>
    <col min="1" max="1" width="46" customWidth="1"/>
    <col min="2" max="2" width="22" customWidth="1"/>
    <col min="3" max="3" width="60" customWidth="1"/>
  </cols>
  <sheetData>
    <row r="1" spans="1:3" x14ac:dyDescent="0.25">
      <c r="A1" s="1" t="s">
        <v>6</v>
      </c>
    </row>
    <row r="2" spans="1:3" x14ac:dyDescent="0.25">
      <c r="A2" t="s">
        <v>7</v>
      </c>
      <c r="B2">
        <v>3500000000</v>
      </c>
    </row>
    <row r="3" spans="1:3" x14ac:dyDescent="0.25">
      <c r="A3" t="s">
        <v>8</v>
      </c>
      <c r="B3">
        <v>3750000</v>
      </c>
    </row>
    <row r="5" spans="1:3" x14ac:dyDescent="0.25">
      <c r="A5" s="1" t="s">
        <v>9</v>
      </c>
    </row>
    <row r="6" spans="1:3" x14ac:dyDescent="0.25">
      <c r="A6" t="s">
        <v>10</v>
      </c>
      <c r="B6">
        <v>180</v>
      </c>
    </row>
    <row r="7" spans="1:3" x14ac:dyDescent="0.25">
      <c r="A7" t="s">
        <v>11</v>
      </c>
      <c r="B7">
        <v>350</v>
      </c>
    </row>
    <row r="8" spans="1:3" x14ac:dyDescent="0.25">
      <c r="A8" t="s">
        <v>12</v>
      </c>
      <c r="B8">
        <v>263</v>
      </c>
      <c r="C8" t="s">
        <v>13</v>
      </c>
    </row>
    <row r="9" spans="1:3" x14ac:dyDescent="0.25">
      <c r="A9" t="s">
        <v>14</v>
      </c>
      <c r="B9">
        <v>235</v>
      </c>
    </row>
    <row r="10" spans="1:3" x14ac:dyDescent="0.25">
      <c r="A10" t="s">
        <v>70</v>
      </c>
      <c r="B10">
        <v>1.0860000000000001</v>
      </c>
    </row>
    <row r="11" spans="1:3" x14ac:dyDescent="0.25">
      <c r="A11" t="s">
        <v>15</v>
      </c>
      <c r="B11">
        <v>0.67869999999999997</v>
      </c>
    </row>
    <row r="12" spans="1:3" x14ac:dyDescent="0.25">
      <c r="A12" s="1" t="s">
        <v>16</v>
      </c>
    </row>
    <row r="13" spans="1:3" x14ac:dyDescent="0.25">
      <c r="A13" t="s">
        <v>17</v>
      </c>
      <c r="B13">
        <v>378000000</v>
      </c>
    </row>
    <row r="14" spans="1:3" x14ac:dyDescent="0.25">
      <c r="A14" t="s">
        <v>18</v>
      </c>
      <c r="B14">
        <v>140000</v>
      </c>
    </row>
    <row r="15" spans="1:3" x14ac:dyDescent="0.25">
      <c r="A15" t="s">
        <v>19</v>
      </c>
      <c r="B15">
        <v>150000000</v>
      </c>
    </row>
    <row r="16" spans="1:3" x14ac:dyDescent="0.25">
      <c r="A16" t="s">
        <v>20</v>
      </c>
      <c r="B16">
        <v>30000</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4"/>
  <sheetViews>
    <sheetView workbookViewId="0"/>
  </sheetViews>
  <sheetFormatPr defaultRowHeight="15" x14ac:dyDescent="0.25"/>
  <cols>
    <col min="1" max="1" width="46" customWidth="1"/>
    <col min="2" max="2" width="16" customWidth="1"/>
    <col min="3" max="3" width="60" customWidth="1"/>
  </cols>
  <sheetData>
    <row r="1" spans="1:3" x14ac:dyDescent="0.25">
      <c r="A1" s="1" t="s">
        <v>21</v>
      </c>
    </row>
    <row r="3" spans="1:3" x14ac:dyDescent="0.25">
      <c r="A3" t="s">
        <v>22</v>
      </c>
      <c r="B3">
        <v>300</v>
      </c>
      <c r="C3" t="s">
        <v>23</v>
      </c>
    </row>
    <row r="4" spans="1:3" x14ac:dyDescent="0.25">
      <c r="A4" t="s">
        <v>24</v>
      </c>
      <c r="B4">
        <v>400</v>
      </c>
      <c r="C4" t="s">
        <v>25</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B11"/>
  <sheetViews>
    <sheetView workbookViewId="0"/>
  </sheetViews>
  <sheetFormatPr defaultRowHeight="15" x14ac:dyDescent="0.25"/>
  <cols>
    <col min="1" max="1" width="46" customWidth="1"/>
    <col min="2" max="2" width="22" customWidth="1"/>
  </cols>
  <sheetData>
    <row r="1" spans="1:2" x14ac:dyDescent="0.25">
      <c r="A1" s="1" t="s">
        <v>26</v>
      </c>
    </row>
    <row r="2" spans="1:2" x14ac:dyDescent="0.25">
      <c r="A2" t="s">
        <v>27</v>
      </c>
      <c r="B2">
        <f>'Source Data'!B2/'Source Data'!B3</f>
        <v>933.33333333333337</v>
      </c>
    </row>
    <row r="3" spans="1:2" x14ac:dyDescent="0.25">
      <c r="A3" t="s">
        <v>28</v>
      </c>
      <c r="B3">
        <f>B7</f>
        <v>250</v>
      </c>
    </row>
    <row r="5" spans="1:2" x14ac:dyDescent="0.25">
      <c r="A5" s="1" t="s">
        <v>29</v>
      </c>
    </row>
    <row r="6" spans="1:2" x14ac:dyDescent="0.25">
      <c r="A6" t="s">
        <v>30</v>
      </c>
      <c r="B6">
        <f>'Source Data'!B9*'Source Data'!B10</f>
        <v>255.21</v>
      </c>
    </row>
    <row r="7" spans="1:2" x14ac:dyDescent="0.25">
      <c r="A7" t="s">
        <v>31</v>
      </c>
      <c r="B7">
        <f>MROUND(B6,25)</f>
        <v>250</v>
      </c>
    </row>
    <row r="9" spans="1:2" x14ac:dyDescent="0.25">
      <c r="A9" s="1" t="s">
        <v>32</v>
      </c>
    </row>
    <row r="10" spans="1:2" x14ac:dyDescent="0.25">
      <c r="A10" t="s">
        <v>33</v>
      </c>
      <c r="B10">
        <f>'Source Data'!B13/'Source Data'!B14</f>
        <v>2700</v>
      </c>
    </row>
    <row r="11" spans="1:2" x14ac:dyDescent="0.25">
      <c r="A11" t="s">
        <v>34</v>
      </c>
      <c r="B11">
        <f>'Source Data'!B15/'Source Data'!B16</f>
        <v>5000</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F3864"/>
  </sheetPr>
  <dimension ref="A1:B5"/>
  <sheetViews>
    <sheetView workbookViewId="0"/>
  </sheetViews>
  <sheetFormatPr defaultRowHeight="15" x14ac:dyDescent="0.25"/>
  <sheetData>
    <row r="1" spans="1:2" x14ac:dyDescent="0.25">
      <c r="A1" t="s">
        <v>71</v>
      </c>
      <c r="B1" t="s">
        <v>39</v>
      </c>
    </row>
    <row r="2" spans="1:2" x14ac:dyDescent="0.25">
      <c r="A2" t="s">
        <v>35</v>
      </c>
      <c r="B2">
        <f>Calc!B7</f>
        <v>250</v>
      </c>
    </row>
    <row r="3" spans="1:2" x14ac:dyDescent="0.25">
      <c r="A3" t="s">
        <v>36</v>
      </c>
      <c r="B3">
        <f>Calc!B3</f>
        <v>250</v>
      </c>
    </row>
    <row r="4" spans="1:2" x14ac:dyDescent="0.25">
      <c r="A4" t="s">
        <v>37</v>
      </c>
      <c r="B4">
        <f>Parameters!B3</f>
        <v>300</v>
      </c>
    </row>
    <row r="5" spans="1:2" x14ac:dyDescent="0.25">
      <c r="A5" t="s">
        <v>38</v>
      </c>
      <c r="B5">
        <f>Parameters!B4</f>
        <v>400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About</vt:lpstr>
      <vt:lpstr>Source Data</vt:lpstr>
      <vt:lpstr>Parameters</vt:lpstr>
      <vt:lpstr>Calc</vt:lpstr>
      <vt:lpstr>CPCC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Dan O'Brien</cp:lastModifiedBy>
  <dcterms:created xsi:type="dcterms:W3CDTF">2026-08-26T11:52:47Z</dcterms:created>
  <dcterms:modified xsi:type="dcterms:W3CDTF">2026-10-05T17:22:11Z</dcterms:modified>
</cp:coreProperties>
</file>