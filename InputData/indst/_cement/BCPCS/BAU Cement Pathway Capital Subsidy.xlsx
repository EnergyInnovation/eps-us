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BCPCS\"/>
    </mc:Choice>
  </mc:AlternateContent>
  <xr:revisionPtr revIDLastSave="0" documentId="13_ncr:1_{23FFF9A3-4EFF-43A4-A462-4565B4000446}" xr6:coauthVersionLast="47" xr6:coauthVersionMax="47" xr10:uidLastSave="{00000000-0000-0000-0000-000000000000}"/>
  <bookViews>
    <workbookView xWindow="3510" yWindow="3510" windowWidth="21600" windowHeight="12525" xr2:uid="{00000000-000D-0000-FFFF-FFFF00000000}"/>
  </bookViews>
  <sheets>
    <sheet name="About" sheetId="1" r:id="rId1"/>
    <sheet name="Subsidy Rates" sheetId="2" r:id="rId2"/>
    <sheet name="Checks" sheetId="3" r:id="rId3"/>
    <sheet name="BCPC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K5" i="4"/>
  <c r="J5" i="4"/>
  <c r="B5"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6" i="4"/>
  <c r="AE4" i="4"/>
  <c r="AE5" i="4" s="1"/>
  <c r="AD4" i="4"/>
  <c r="AD5" i="4" s="1"/>
  <c r="AC4" i="4"/>
  <c r="AC5" i="4" s="1"/>
  <c r="AB4" i="4"/>
  <c r="AB5" i="4" s="1"/>
  <c r="AA4" i="4"/>
  <c r="AA5" i="4" s="1"/>
  <c r="Z4" i="4"/>
  <c r="Z5" i="4" s="1"/>
  <c r="Y4" i="4"/>
  <c r="Y5" i="4" s="1"/>
  <c r="X4" i="4"/>
  <c r="X5" i="4" s="1"/>
  <c r="W4" i="4"/>
  <c r="W5" i="4" s="1"/>
  <c r="V4" i="4"/>
  <c r="V5" i="4" s="1"/>
  <c r="U4" i="4"/>
  <c r="U5" i="4" s="1"/>
  <c r="T4" i="4"/>
  <c r="T5" i="4" s="1"/>
  <c r="S4" i="4"/>
  <c r="S5" i="4" s="1"/>
  <c r="R4" i="4"/>
  <c r="R5" i="4" s="1"/>
  <c r="Q4" i="4"/>
  <c r="Q5" i="4" s="1"/>
  <c r="P4" i="4"/>
  <c r="P5" i="4" s="1"/>
  <c r="O4" i="4"/>
  <c r="O5" i="4" s="1"/>
  <c r="N4" i="4"/>
  <c r="N5" i="4" s="1"/>
  <c r="M4" i="4"/>
  <c r="M5" i="4" s="1"/>
  <c r="L4" i="4"/>
  <c r="K4" i="4"/>
  <c r="J4" i="4"/>
  <c r="I4" i="4"/>
  <c r="I5" i="4" s="1"/>
  <c r="H4" i="4"/>
  <c r="H5" i="4" s="1"/>
  <c r="G4" i="4"/>
  <c r="G5" i="4" s="1"/>
  <c r="F4" i="4"/>
  <c r="F5" i="4" s="1"/>
  <c r="E4" i="4"/>
  <c r="E5" i="4" s="1"/>
  <c r="D4" i="4"/>
  <c r="D5" i="4" s="1"/>
  <c r="C4" i="4"/>
  <c r="C5" i="4" s="1"/>
  <c r="B4" i="4"/>
  <c r="A4" i="4"/>
  <c r="AE3" i="4"/>
  <c r="AD3" i="4"/>
  <c r="AC3" i="4"/>
  <c r="AB3" i="4"/>
  <c r="AA3" i="4"/>
  <c r="Z3" i="4"/>
  <c r="Y3" i="4"/>
  <c r="X3" i="4"/>
  <c r="W3" i="4"/>
  <c r="V3" i="4"/>
  <c r="U3" i="4"/>
  <c r="T3" i="4"/>
  <c r="S3" i="4"/>
  <c r="R3" i="4"/>
  <c r="Q3" i="4"/>
  <c r="P3" i="4"/>
  <c r="O3" i="4"/>
  <c r="N3" i="4"/>
  <c r="M3" i="4"/>
  <c r="L3" i="4"/>
  <c r="K3" i="4"/>
  <c r="J3" i="4"/>
  <c r="I3" i="4"/>
  <c r="H3" i="4"/>
  <c r="G3" i="4"/>
  <c r="F3" i="4"/>
  <c r="E3" i="4"/>
  <c r="D3" i="4"/>
  <c r="C3" i="4"/>
  <c r="B3" i="4"/>
  <c r="A3" i="4"/>
  <c r="AE2" i="4"/>
  <c r="AD2" i="4"/>
  <c r="AC2" i="4"/>
  <c r="AB2" i="4"/>
  <c r="AA2" i="4"/>
  <c r="Z2" i="4"/>
  <c r="Y2" i="4"/>
  <c r="X2" i="4"/>
  <c r="W2" i="4"/>
  <c r="V2" i="4"/>
  <c r="U2" i="4"/>
  <c r="T2" i="4"/>
  <c r="S2" i="4"/>
  <c r="R2" i="4"/>
  <c r="Q2" i="4"/>
  <c r="P2" i="4"/>
  <c r="O2" i="4"/>
  <c r="N2" i="4"/>
  <c r="M2" i="4"/>
  <c r="L2" i="4"/>
  <c r="K2" i="4"/>
  <c r="J2" i="4"/>
  <c r="I2" i="4"/>
  <c r="H2" i="4"/>
  <c r="G2" i="4"/>
  <c r="F2" i="4"/>
  <c r="E2" i="4"/>
  <c r="D2" i="4"/>
  <c r="C2" i="4"/>
  <c r="B2" i="4"/>
  <c r="A2" i="4"/>
  <c r="B3" i="3"/>
  <c r="C3" i="3" s="1"/>
</calcChain>
</file>

<file path=xl/sharedStrings.xml><?xml version="1.0" encoding="utf-8"?>
<sst xmlns="http://schemas.openxmlformats.org/spreadsheetml/2006/main" count="37" uniqueCount="37">
  <si>
    <t>BCPCS BAU Cement Pathway Capital Subsidy</t>
  </si>
  <si>
    <t>Sources:</t>
  </si>
  <si>
    <t>U.S. federal capital support for low-carbon cement plants</t>
  </si>
  <si>
    <t>Canary Media</t>
  </si>
  <si>
    <t>Trump cut funding for clean industry projects (U.S. DOE Office of Clean Energy Demonstrations award terminations)</t>
  </si>
  <si>
    <t>https://www.canarymedia.com/articles/clean-industry/trump-cut-funding-oced</t>
  </si>
  <si>
    <t>Reports the May 30, 2025 termination of 24 Office of Clean Energy Demonstrations awards, including the Industrial Demonstrations Program cement awards (Heidelberg Materials Mitchell, National Cement Lebec, Brimstone, Sublime Systems), which would have paid part of the capital cost of those plants. With them cancelled, no U.S. federal program pays a share of cement plant capital, so the U.S. values are zero. Per-ton support for captured CO2 (the 45Q credit) is not a capital subsidy and enters the model through the industry CCS subsidy instead.</t>
  </si>
  <si>
    <t>Example of a capital subsidy other regions may need to enter</t>
  </si>
  <si>
    <t>Government of Canada (summarized by Leyton)</t>
  </si>
  <si>
    <t>Clean technology tax credits: federal budget 2025, what is new (Investment Tax Credit for Carbon Capture, Utilization and Storage)</t>
  </si>
  <si>
    <t>https://leyton.com/ca/en/insights/articles/clean-technology-tax-credits-federal-budget-2025-whats-new/</t>
  </si>
  <si>
    <t>Canada credits 50 percent of the cost of carbon capture equipment and 37.5 percent of transport, storage and use equipment, with full rates extended to the end of 2035 in Budget 2025 (the legislative status of the extension should be checked). A credit on capture equipment only covers part of a CCS cement plant, so convert it to a share of the whole pathway capital cost before entering it (see Notes). Secondary source; not used for the U.S. values.</t>
  </si>
  <si>
    <t>Notes:</t>
  </si>
  <si>
    <t>Purpose and layout</t>
  </si>
  <si>
    <t>BCPCS is the share of the capital cost of new clinker production capacity that government already pays, by production pathway and year, under policies in place before any new policy. It lowers the capital cost investors weigh when they choose which kind of kiln to build, in both the business-as-usual and policy cases, and the model books the payments as government spending. The cement pathway capital subsidy policy adds to it (the two together are capped at the whole cost). Edit the 'Subsidy Rates' tab; the 'BCPCS' tab is exported to BCPCS.csv.</t>
  </si>
  <si>
    <t>U.S. values</t>
  </si>
  <si>
    <t>Zero for every pathway and year: the federal cement demonstration awards were cancelled in 2025 and no other program pays a share of cement plant capital.</t>
  </si>
  <si>
    <t>Entering a credit that covers only part of the plant</t>
  </si>
  <si>
    <t>The model's pathway capital cost includes the kiln and, for the CCS pathway, the capture equipment. A credit that covers only the capture equipment should be entered as the credit rate times the capture equipment's share of the CCS pathway's capital cost. With the U.S. cost inputs, capture equipment is a little under 40 percent of the CCS pathway's greenfield capital, so a 50 percent capture-equipment credit is about 0.2.</t>
  </si>
  <si>
    <t>Other regions</t>
  </si>
  <si>
    <t>Enter grants or investment tax credits that are in force and open to cement plants (for example EU Innovation Fund grants for named projects, or Canada's carbon capture credit), and end them in the year the program closes.</t>
  </si>
  <si>
    <t>BAU share of pathway capital cost paid by government (edit here)</t>
  </si>
  <si>
    <t>Fraction of the capital cost of new clinker capacity (kiln plus any capture equipment) paid under policies already in place, by pathway and year, between 0 and 1.</t>
  </si>
  <si>
    <t>Pathway</t>
  </si>
  <si>
    <t>dry kiln with precalciner</t>
  </si>
  <si>
    <t>dry kiln with CCS</t>
  </si>
  <si>
    <t>electric kiln</t>
  </si>
  <si>
    <t>alternative chemistry cement</t>
  </si>
  <si>
    <t>Live checks</t>
  </si>
  <si>
    <t>Check</t>
  </si>
  <si>
    <t>Value</t>
  </si>
  <si>
    <t>Result</t>
  </si>
  <si>
    <t>Values below 0 or above 1 (count)</t>
  </si>
  <si>
    <t>Unit: dimensionless</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</si>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</sst>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color rgb="FFFFFFFF"/>
      <name val="Calibri"/>
    </font>
    <font>
      <b/>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xf numFmtId="0" fontId="0" fillId="0" borderId="0" xfId="0" applyAlignment="1">
      <alignment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leyton.com/ca/en/insights/articles/clean-technology-tax-credits-federal-budget-2025-whats-new/" TargetMode="External"/><Relationship Id="rId1" Type="http://schemas.openxmlformats.org/officeDocument/2006/relationships/hyperlink" Target="https://www.canarymedia.com/articles/clean-industry/trump-cut-funding-oc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workbookViewId="0"/>
  </sheetViews>
  <sheetFormatPr defaultRowHeight="15" x14ac:dyDescent="0.25"/>
  <cols>
    <col min="1" max="1" width="22"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2025</v>
      </c>
    </row>
    <row r="7" spans="1:2" x14ac:dyDescent="0.25">
      <c r="B7" s="4" t="s">
        <v>5</v>
      </c>
    </row>
    <row r="8" spans="1:2" ht="75" x14ac:dyDescent="0.25">
      <c r="B8" s="3" t="s">
        <v>6</v>
      </c>
    </row>
    <row r="10" spans="1:2" x14ac:dyDescent="0.25">
      <c r="B10" s="2" t="s">
        <v>7</v>
      </c>
    </row>
    <row r="11" spans="1:2" x14ac:dyDescent="0.25">
      <c r="B11" s="3" t="s">
        <v>8</v>
      </c>
    </row>
    <row r="12" spans="1:2" ht="30" x14ac:dyDescent="0.25">
      <c r="B12" s="3" t="s">
        <v>9</v>
      </c>
    </row>
    <row r="13" spans="1:2" x14ac:dyDescent="0.25">
      <c r="B13" s="3">
        <v>2025</v>
      </c>
    </row>
    <row r="14" spans="1:2" x14ac:dyDescent="0.25">
      <c r="B14" s="4" t="s">
        <v>10</v>
      </c>
    </row>
    <row r="15" spans="1:2" ht="60" x14ac:dyDescent="0.25">
      <c r="B15" s="3" t="s">
        <v>11</v>
      </c>
    </row>
    <row r="18" spans="1:2" x14ac:dyDescent="0.25">
      <c r="A18" s="1" t="s">
        <v>12</v>
      </c>
    </row>
    <row r="19" spans="1:2" ht="75" x14ac:dyDescent="0.25">
      <c r="A19" s="5" t="s">
        <v>13</v>
      </c>
      <c r="B19" s="3" t="s">
        <v>14</v>
      </c>
    </row>
    <row r="20" spans="1:2" ht="30" x14ac:dyDescent="0.25">
      <c r="A20" s="5" t="s">
        <v>15</v>
      </c>
      <c r="B20" s="3" t="s">
        <v>16</v>
      </c>
    </row>
    <row r="21" spans="1:2" ht="60" x14ac:dyDescent="0.25">
      <c r="A21" s="5" t="s">
        <v>17</v>
      </c>
      <c r="B21" s="3" t="s">
        <v>18</v>
      </c>
    </row>
    <row r="22" spans="1:2" ht="30" x14ac:dyDescent="0.25">
      <c r="A22" s="5" t="s">
        <v>19</v>
      </c>
      <c r="B22" s="3" t="s">
        <v>20</v>
      </c>
    </row>
    <row r="23" spans="1:2" ht="45" x14ac:dyDescent="0.25">
      <c r="A23" s="10" t="s">
        <v>35</v>
      </c>
      <c r="B23" s="9" t="s">
        <v>36</v>
      </c>
    </row>
  </sheetData>
  <hyperlinks>
    <hyperlink ref="B7" r:id="rId1" xr:uid="{00000000-0004-0000-0000-000000000000}"/>
    <hyperlink ref="B14"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7"/>
  <sheetViews>
    <sheetView workbookViewId="0"/>
  </sheetViews>
  <sheetFormatPr defaultRowHeight="15" x14ac:dyDescent="0.25"/>
  <cols>
    <col min="1" max="1" width="30" customWidth="1"/>
  </cols>
  <sheetData>
    <row r="1" spans="1:31" x14ac:dyDescent="0.25">
      <c r="A1" s="1" t="s">
        <v>21</v>
      </c>
    </row>
    <row r="2" spans="1:31" ht="32.1" customHeight="1" x14ac:dyDescent="0.25">
      <c r="A2" s="7" t="s">
        <v>22</v>
      </c>
      <c r="B2" s="8"/>
      <c r="C2" s="8"/>
      <c r="D2" s="8"/>
      <c r="E2" s="8"/>
      <c r="F2" s="8"/>
      <c r="G2" s="8"/>
      <c r="H2" s="8"/>
    </row>
    <row r="3" spans="1:31" ht="20.100000000000001" customHeight="1" x14ac:dyDescent="0.25">
      <c r="A3" s="6" t="s">
        <v>23</v>
      </c>
      <c r="B3" s="6">
        <v>2021</v>
      </c>
      <c r="C3" s="6">
        <v>2022</v>
      </c>
      <c r="D3" s="6">
        <v>2023</v>
      </c>
      <c r="E3" s="6">
        <v>2024</v>
      </c>
      <c r="F3" s="6">
        <v>2025</v>
      </c>
      <c r="G3" s="6">
        <v>2026</v>
      </c>
      <c r="H3" s="6">
        <v>2027</v>
      </c>
      <c r="I3" s="6">
        <v>2028</v>
      </c>
      <c r="J3" s="6">
        <v>2029</v>
      </c>
      <c r="K3" s="6">
        <v>2030</v>
      </c>
      <c r="L3" s="6">
        <v>2031</v>
      </c>
      <c r="M3" s="6">
        <v>2032</v>
      </c>
      <c r="N3" s="6">
        <v>2033</v>
      </c>
      <c r="O3" s="6">
        <v>2034</v>
      </c>
      <c r="P3" s="6">
        <v>2035</v>
      </c>
      <c r="Q3" s="6">
        <v>2036</v>
      </c>
      <c r="R3" s="6">
        <v>2037</v>
      </c>
      <c r="S3" s="6">
        <v>2038</v>
      </c>
      <c r="T3" s="6">
        <v>2039</v>
      </c>
      <c r="U3" s="6">
        <v>2040</v>
      </c>
      <c r="V3" s="6">
        <v>2041</v>
      </c>
      <c r="W3" s="6">
        <v>2042</v>
      </c>
      <c r="X3" s="6">
        <v>2043</v>
      </c>
      <c r="Y3" s="6">
        <v>2044</v>
      </c>
      <c r="Z3" s="6">
        <v>2045</v>
      </c>
      <c r="AA3" s="6">
        <v>2046</v>
      </c>
      <c r="AB3" s="6">
        <v>2047</v>
      </c>
      <c r="AC3" s="6">
        <v>2048</v>
      </c>
      <c r="AD3" s="6">
        <v>2049</v>
      </c>
      <c r="AE3" s="6">
        <v>2050</v>
      </c>
    </row>
    <row r="4" spans="1:31" x14ac:dyDescent="0.25">
      <c r="A4" t="s">
        <v>24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25">
      <c r="A5" t="s">
        <v>25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x14ac:dyDescent="0.25">
      <c r="A6" t="s">
        <v>26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x14ac:dyDescent="0.25">
      <c r="A7" t="s">
        <v>27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sheetData>
  <mergeCells count="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heetViews>
  <sheetFormatPr defaultRowHeight="15" x14ac:dyDescent="0.25"/>
  <cols>
    <col min="1" max="1" width="50" customWidth="1"/>
  </cols>
  <sheetData>
    <row r="1" spans="1:3" x14ac:dyDescent="0.25">
      <c r="A1" s="1" t="s">
        <v>28</v>
      </c>
    </row>
    <row r="2" spans="1:3" ht="20.100000000000001" customHeight="1" x14ac:dyDescent="0.25">
      <c r="A2" s="6" t="s">
        <v>29</v>
      </c>
      <c r="B2" s="6" t="s">
        <v>30</v>
      </c>
      <c r="C2" s="6" t="s">
        <v>31</v>
      </c>
    </row>
    <row r="3" spans="1:3" x14ac:dyDescent="0.25">
      <c r="A3" t="s">
        <v>32</v>
      </c>
      <c r="B3">
        <f>COUNTIF('Subsidy Rates'!B4:AE7,"&lt;0")+COUNTIF('Subsidy Rates'!B4:AE7,"&gt;1")</f>
        <v>0</v>
      </c>
      <c r="C3" t="str">
        <f>IF(B3=0,"PASS","FAIL")</f>
        <v>PASS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E6"/>
  <sheetViews>
    <sheetView workbookViewId="0"/>
  </sheetViews>
  <sheetFormatPr defaultRowHeight="15" x14ac:dyDescent="0.25"/>
  <cols>
    <col min="1" max="1" width="30" customWidth="1"/>
  </cols>
  <sheetData>
    <row r="1" spans="1:31" x14ac:dyDescent="0.25">
      <c r="A1" t="s">
        <v>33</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tr">
        <f>'Subsidy Rates'!A4</f>
        <v>dry kiln with precalciner</v>
      </c>
      <c r="B2">
        <f>'Subsidy Rates'!B4</f>
        <v>0</v>
      </c>
      <c r="C2">
        <f>'Subsidy Rates'!C4</f>
        <v>0</v>
      </c>
      <c r="D2">
        <f>'Subsidy Rates'!D4</f>
        <v>0</v>
      </c>
      <c r="E2">
        <f>'Subsidy Rates'!E4</f>
        <v>0</v>
      </c>
      <c r="F2">
        <f>'Subsidy Rates'!F4</f>
        <v>0</v>
      </c>
      <c r="G2">
        <f>'Subsidy Rates'!G4</f>
        <v>0</v>
      </c>
      <c r="H2">
        <f>'Subsidy Rates'!H4</f>
        <v>0</v>
      </c>
      <c r="I2">
        <f>'Subsidy Rates'!I4</f>
        <v>0</v>
      </c>
      <c r="J2">
        <f>'Subsidy Rates'!J4</f>
        <v>0</v>
      </c>
      <c r="K2">
        <f>'Subsidy Rates'!K4</f>
        <v>0</v>
      </c>
      <c r="L2">
        <f>'Subsidy Rates'!L4</f>
        <v>0</v>
      </c>
      <c r="M2">
        <f>'Subsidy Rates'!M4</f>
        <v>0</v>
      </c>
      <c r="N2">
        <f>'Subsidy Rates'!N4</f>
        <v>0</v>
      </c>
      <c r="O2">
        <f>'Subsidy Rates'!O4</f>
        <v>0</v>
      </c>
      <c r="P2">
        <f>'Subsidy Rates'!P4</f>
        <v>0</v>
      </c>
      <c r="Q2">
        <f>'Subsidy Rates'!Q4</f>
        <v>0</v>
      </c>
      <c r="R2">
        <f>'Subsidy Rates'!R4</f>
        <v>0</v>
      </c>
      <c r="S2">
        <f>'Subsidy Rates'!S4</f>
        <v>0</v>
      </c>
      <c r="T2">
        <f>'Subsidy Rates'!T4</f>
        <v>0</v>
      </c>
      <c r="U2">
        <f>'Subsidy Rates'!U4</f>
        <v>0</v>
      </c>
      <c r="V2">
        <f>'Subsidy Rates'!V4</f>
        <v>0</v>
      </c>
      <c r="W2">
        <f>'Subsidy Rates'!W4</f>
        <v>0</v>
      </c>
      <c r="X2">
        <f>'Subsidy Rates'!X4</f>
        <v>0</v>
      </c>
      <c r="Y2">
        <f>'Subsidy Rates'!Y4</f>
        <v>0</v>
      </c>
      <c r="Z2">
        <f>'Subsidy Rates'!Z4</f>
        <v>0</v>
      </c>
      <c r="AA2">
        <f>'Subsidy Rates'!AA4</f>
        <v>0</v>
      </c>
      <c r="AB2">
        <f>'Subsidy Rates'!AB4</f>
        <v>0</v>
      </c>
      <c r="AC2">
        <f>'Subsidy Rates'!AC4</f>
        <v>0</v>
      </c>
      <c r="AD2">
        <f>'Subsidy Rates'!AD4</f>
        <v>0</v>
      </c>
      <c r="AE2">
        <f>'Subsidy Rates'!AE4</f>
        <v>0</v>
      </c>
    </row>
    <row r="3" spans="1:31" x14ac:dyDescent="0.25">
      <c r="A3" t="str">
        <f>'Subsidy Rates'!A5</f>
        <v>dry kiln with CCS</v>
      </c>
      <c r="B3">
        <f>'Subsidy Rates'!B5</f>
        <v>0</v>
      </c>
      <c r="C3">
        <f>'Subsidy Rates'!C5</f>
        <v>0</v>
      </c>
      <c r="D3">
        <f>'Subsidy Rates'!D5</f>
        <v>0</v>
      </c>
      <c r="E3">
        <f>'Subsidy Rates'!E5</f>
        <v>0</v>
      </c>
      <c r="F3">
        <f>'Subsidy Rates'!F5</f>
        <v>0</v>
      </c>
      <c r="G3">
        <f>'Subsidy Rates'!G5</f>
        <v>0</v>
      </c>
      <c r="H3">
        <f>'Subsidy Rates'!H5</f>
        <v>0</v>
      </c>
      <c r="I3">
        <f>'Subsidy Rates'!I5</f>
        <v>0</v>
      </c>
      <c r="J3">
        <f>'Subsidy Rates'!J5</f>
        <v>0</v>
      </c>
      <c r="K3">
        <f>'Subsidy Rates'!K5</f>
        <v>0</v>
      </c>
      <c r="L3">
        <f>'Subsidy Rates'!L5</f>
        <v>0</v>
      </c>
      <c r="M3">
        <f>'Subsidy Rates'!M5</f>
        <v>0</v>
      </c>
      <c r="N3">
        <f>'Subsidy Rates'!N5</f>
        <v>0</v>
      </c>
      <c r="O3">
        <f>'Subsidy Rates'!O5</f>
        <v>0</v>
      </c>
      <c r="P3">
        <f>'Subsidy Rates'!P5</f>
        <v>0</v>
      </c>
      <c r="Q3">
        <f>'Subsidy Rates'!Q5</f>
        <v>0</v>
      </c>
      <c r="R3">
        <f>'Subsidy Rates'!R5</f>
        <v>0</v>
      </c>
      <c r="S3">
        <f>'Subsidy Rates'!S5</f>
        <v>0</v>
      </c>
      <c r="T3">
        <f>'Subsidy Rates'!T5</f>
        <v>0</v>
      </c>
      <c r="U3">
        <f>'Subsidy Rates'!U5</f>
        <v>0</v>
      </c>
      <c r="V3">
        <f>'Subsidy Rates'!V5</f>
        <v>0</v>
      </c>
      <c r="W3">
        <f>'Subsidy Rates'!W5</f>
        <v>0</v>
      </c>
      <c r="X3">
        <f>'Subsidy Rates'!X5</f>
        <v>0</v>
      </c>
      <c r="Y3">
        <f>'Subsidy Rates'!Y5</f>
        <v>0</v>
      </c>
      <c r="Z3">
        <f>'Subsidy Rates'!Z5</f>
        <v>0</v>
      </c>
      <c r="AA3">
        <f>'Subsidy Rates'!AA5</f>
        <v>0</v>
      </c>
      <c r="AB3">
        <f>'Subsidy Rates'!AB5</f>
        <v>0</v>
      </c>
      <c r="AC3">
        <f>'Subsidy Rates'!AC5</f>
        <v>0</v>
      </c>
      <c r="AD3">
        <f>'Subsidy Rates'!AD5</f>
        <v>0</v>
      </c>
      <c r="AE3">
        <f>'Subsidy Rates'!AE5</f>
        <v>0</v>
      </c>
    </row>
    <row r="4" spans="1:31" x14ac:dyDescent="0.25">
      <c r="A4" t="str">
        <f>'Subsidy Rates'!A6</f>
        <v>electric kiln</v>
      </c>
      <c r="B4">
        <f>'Subsidy Rates'!B6</f>
        <v>0</v>
      </c>
      <c r="C4">
        <f>'Subsidy Rates'!C6</f>
        <v>0</v>
      </c>
      <c r="D4">
        <f>'Subsidy Rates'!D6</f>
        <v>0</v>
      </c>
      <c r="E4">
        <f>'Subsidy Rates'!E6</f>
        <v>0</v>
      </c>
      <c r="F4">
        <f>'Subsidy Rates'!F6</f>
        <v>0</v>
      </c>
      <c r="G4">
        <f>'Subsidy Rates'!G6</f>
        <v>0</v>
      </c>
      <c r="H4">
        <f>'Subsidy Rates'!H6</f>
        <v>0</v>
      </c>
      <c r="I4">
        <f>'Subsidy Rates'!I6</f>
        <v>0</v>
      </c>
      <c r="J4">
        <f>'Subsidy Rates'!J6</f>
        <v>0</v>
      </c>
      <c r="K4">
        <f>'Subsidy Rates'!K6</f>
        <v>0</v>
      </c>
      <c r="L4">
        <f>'Subsidy Rates'!L6</f>
        <v>0</v>
      </c>
      <c r="M4">
        <f>'Subsidy Rates'!M6</f>
        <v>0</v>
      </c>
      <c r="N4">
        <f>'Subsidy Rates'!N6</f>
        <v>0</v>
      </c>
      <c r="O4">
        <f>'Subsidy Rates'!O6</f>
        <v>0</v>
      </c>
      <c r="P4">
        <f>'Subsidy Rates'!P6</f>
        <v>0</v>
      </c>
      <c r="Q4">
        <f>'Subsidy Rates'!Q6</f>
        <v>0</v>
      </c>
      <c r="R4">
        <f>'Subsidy Rates'!R6</f>
        <v>0</v>
      </c>
      <c r="S4">
        <f>'Subsidy Rates'!S6</f>
        <v>0</v>
      </c>
      <c r="T4">
        <f>'Subsidy Rates'!T6</f>
        <v>0</v>
      </c>
      <c r="U4">
        <f>'Subsidy Rates'!U6</f>
        <v>0</v>
      </c>
      <c r="V4">
        <f>'Subsidy Rates'!V6</f>
        <v>0</v>
      </c>
      <c r="W4">
        <f>'Subsidy Rates'!W6</f>
        <v>0</v>
      </c>
      <c r="X4">
        <f>'Subsidy Rates'!X6</f>
        <v>0</v>
      </c>
      <c r="Y4">
        <f>'Subsidy Rates'!Y6</f>
        <v>0</v>
      </c>
      <c r="Z4">
        <f>'Subsidy Rates'!Z6</f>
        <v>0</v>
      </c>
      <c r="AA4">
        <f>'Subsidy Rates'!AA6</f>
        <v>0</v>
      </c>
      <c r="AB4">
        <f>'Subsidy Rates'!AB6</f>
        <v>0</v>
      </c>
      <c r="AC4">
        <f>'Subsidy Rates'!AC6</f>
        <v>0</v>
      </c>
      <c r="AD4">
        <f>'Subsidy Rates'!AD6</f>
        <v>0</v>
      </c>
      <c r="AE4">
        <f>'Subsidy Rates'!AE6</f>
        <v>0</v>
      </c>
    </row>
    <row r="5" spans="1:31" x14ac:dyDescent="0.25">
      <c r="A5" t="s">
        <v>34</v>
      </c>
      <c r="B5">
        <f>B4</f>
        <v>0</v>
      </c>
      <c r="C5">
        <f>C4</f>
        <v>0</v>
      </c>
      <c r="D5">
        <f>D4</f>
        <v>0</v>
      </c>
      <c r="E5">
        <f>E4</f>
        <v>0</v>
      </c>
      <c r="F5">
        <f>F4</f>
        <v>0</v>
      </c>
      <c r="G5">
        <f>G4</f>
        <v>0</v>
      </c>
      <c r="H5">
        <f>H4</f>
        <v>0</v>
      </c>
      <c r="I5">
        <f>I4</f>
        <v>0</v>
      </c>
      <c r="J5">
        <f>J4</f>
        <v>0</v>
      </c>
      <c r="K5">
        <f>K4</f>
        <v>0</v>
      </c>
      <c r="L5">
        <f>L4</f>
        <v>0</v>
      </c>
      <c r="M5">
        <f>M4</f>
        <v>0</v>
      </c>
      <c r="N5">
        <f>N4</f>
        <v>0</v>
      </c>
      <c r="O5">
        <f>O4</f>
        <v>0</v>
      </c>
      <c r="P5">
        <f>P4</f>
        <v>0</v>
      </c>
      <c r="Q5">
        <f>Q4</f>
        <v>0</v>
      </c>
      <c r="R5">
        <f>R4</f>
        <v>0</v>
      </c>
      <c r="S5">
        <f>S4</f>
        <v>0</v>
      </c>
      <c r="T5">
        <f>T4</f>
        <v>0</v>
      </c>
      <c r="U5">
        <f>U4</f>
        <v>0</v>
      </c>
      <c r="V5">
        <f>V4</f>
        <v>0</v>
      </c>
      <c r="W5">
        <f>W4</f>
        <v>0</v>
      </c>
      <c r="X5">
        <f>X4</f>
        <v>0</v>
      </c>
      <c r="Y5">
        <f>Y4</f>
        <v>0</v>
      </c>
      <c r="Z5">
        <f>Z4</f>
        <v>0</v>
      </c>
      <c r="AA5">
        <f>AA4</f>
        <v>0</v>
      </c>
      <c r="AB5">
        <f>AB4</f>
        <v>0</v>
      </c>
      <c r="AC5">
        <f>AC4</f>
        <v>0</v>
      </c>
      <c r="AD5">
        <f>AD4</f>
        <v>0</v>
      </c>
      <c r="AE5">
        <f>AE4</f>
        <v>0</v>
      </c>
    </row>
    <row r="6" spans="1:31" x14ac:dyDescent="0.25">
      <c r="A6" t="str">
        <f>'Subsidy Rates'!A7</f>
        <v>alternative chemistry cement</v>
      </c>
      <c r="B6">
        <f>'Subsidy Rates'!B7</f>
        <v>0</v>
      </c>
      <c r="C6">
        <f>'Subsidy Rates'!C7</f>
        <v>0</v>
      </c>
      <c r="D6">
        <f>'Subsidy Rates'!D7</f>
        <v>0</v>
      </c>
      <c r="E6">
        <f>'Subsidy Rates'!E7</f>
        <v>0</v>
      </c>
      <c r="F6">
        <f>'Subsidy Rates'!F7</f>
        <v>0</v>
      </c>
      <c r="G6">
        <f>'Subsidy Rates'!G7</f>
        <v>0</v>
      </c>
      <c r="H6">
        <f>'Subsidy Rates'!H7</f>
        <v>0</v>
      </c>
      <c r="I6">
        <f>'Subsidy Rates'!I7</f>
        <v>0</v>
      </c>
      <c r="J6">
        <f>'Subsidy Rates'!J7</f>
        <v>0</v>
      </c>
      <c r="K6">
        <f>'Subsidy Rates'!K7</f>
        <v>0</v>
      </c>
      <c r="L6">
        <f>'Subsidy Rates'!L7</f>
        <v>0</v>
      </c>
      <c r="M6">
        <f>'Subsidy Rates'!M7</f>
        <v>0</v>
      </c>
      <c r="N6">
        <f>'Subsidy Rates'!N7</f>
        <v>0</v>
      </c>
      <c r="O6">
        <f>'Subsidy Rates'!O7</f>
        <v>0</v>
      </c>
      <c r="P6">
        <f>'Subsidy Rates'!P7</f>
        <v>0</v>
      </c>
      <c r="Q6">
        <f>'Subsidy Rates'!Q7</f>
        <v>0</v>
      </c>
      <c r="R6">
        <f>'Subsidy Rates'!R7</f>
        <v>0</v>
      </c>
      <c r="S6">
        <f>'Subsidy Rates'!S7</f>
        <v>0</v>
      </c>
      <c r="T6">
        <f>'Subsidy Rates'!T7</f>
        <v>0</v>
      </c>
      <c r="U6">
        <f>'Subsidy Rates'!U7</f>
        <v>0</v>
      </c>
      <c r="V6">
        <f>'Subsidy Rates'!V7</f>
        <v>0</v>
      </c>
      <c r="W6">
        <f>'Subsidy Rates'!W7</f>
        <v>0</v>
      </c>
      <c r="X6">
        <f>'Subsidy Rates'!X7</f>
        <v>0</v>
      </c>
      <c r="Y6">
        <f>'Subsidy Rates'!Y7</f>
        <v>0</v>
      </c>
      <c r="Z6">
        <f>'Subsidy Rates'!Z7</f>
        <v>0</v>
      </c>
      <c r="AA6">
        <f>'Subsidy Rates'!AA7</f>
        <v>0</v>
      </c>
      <c r="AB6">
        <f>'Subsidy Rates'!AB7</f>
        <v>0</v>
      </c>
      <c r="AC6">
        <f>'Subsidy Rates'!AC7</f>
        <v>0</v>
      </c>
      <c r="AD6">
        <f>'Subsidy Rates'!AD7</f>
        <v>0</v>
      </c>
      <c r="AE6">
        <f>'Subsidy Rates'!AE7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Subsidy Rates</vt:lpstr>
      <vt:lpstr>Checks</vt:lpstr>
      <vt:lpstr>BCPCS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2026-10-14T15:15:28Z</dcterms:created>
  <dcterms:modified xsi:type="dcterms:W3CDTF">2026-10-19T18:19:47Z</dcterms:modified>
</cp:coreProperties>
</file>