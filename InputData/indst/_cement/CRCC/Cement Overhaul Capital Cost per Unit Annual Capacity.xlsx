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RCC\"/>
    </mc:Choice>
  </mc:AlternateContent>
  <xr:revisionPtr revIDLastSave="0" documentId="13_ncr:1_{40D8A3C4-72AA-494B-9405-B41039C93C69}" xr6:coauthVersionLast="47" xr6:coauthVersionMax="47" xr10:uidLastSave="{00000000-0000-0000-0000-000000000000}"/>
  <bookViews>
    <workbookView xWindow="-120" yWindow="-120" windowWidth="29040" windowHeight="17520" xr2:uid="{00000000-000D-0000-FFFF-FFFF00000000}"/>
  </bookViews>
  <sheets>
    <sheet name="About" sheetId="1" r:id="rId1"/>
    <sheet name="CPCC Greenfield (reference)" sheetId="2" r:id="rId2"/>
    <sheet name="Derivation" sheetId="3" r:id="rId3"/>
    <sheet name="CRC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3" l="1"/>
  <c r="C7" i="3" s="1"/>
  <c r="B5" i="5" s="1"/>
  <c r="B6" i="3"/>
  <c r="C6" i="3" s="1"/>
  <c r="B4" i="5" s="1"/>
  <c r="B5" i="3"/>
  <c r="C5" i="3" s="1"/>
  <c r="B3" i="5" s="1"/>
  <c r="B4" i="3"/>
  <c r="C4" i="3" s="1"/>
  <c r="B2" i="5" s="1"/>
</calcChain>
</file>

<file path=xl/sharedStrings.xml><?xml version="1.0" encoding="utf-8"?>
<sst xmlns="http://schemas.openxmlformats.org/spreadsheetml/2006/main" count="35" uniqueCount="26">
  <si>
    <t>CRCC Cement Overhaul Capital Cost per Unit Annual Capacity</t>
  </si>
  <si>
    <t>Sources:</t>
  </si>
  <si>
    <t>Notes:</t>
  </si>
  <si>
    <t>Pathway</t>
  </si>
  <si>
    <t>Greenfield capital cost ($/(t/yr))</t>
  </si>
  <si>
    <t>dry kiln with precalciner</t>
  </si>
  <si>
    <t>dry kiln with CCS</t>
  </si>
  <si>
    <t>electric kiln</t>
  </si>
  <si>
    <t>alternative chemistry cement</t>
  </si>
  <si>
    <t>Overhaul capital cost = 10% of greenfield CPCC, rounded</t>
  </si>
  <si>
    <t>Greenfield CPCC ($/(t/yr))</t>
  </si>
  <si>
    <t>10% of greenfield</t>
  </si>
  <si>
    <t>Shipped value ($/(t/yr))</t>
  </si>
  <si>
    <t>Overhaul Capital Cost</t>
  </si>
  <si>
    <t>Greenfield kiln cost that the overhaul cost is a share of</t>
  </si>
  <si>
    <t>Energy Innovation (EPS cement input file)</t>
  </si>
  <si>
    <t>CPCC: Cement Pathway Capital Cost per Unit Annual Capacity</t>
  </si>
  <si>
    <t>InputData/indst/_cement/CPCC (EPS input file)</t>
  </si>
  <si>
    <t>Greenfield kiln costs of 250, 250, 300, and 400 dollars per metric ton of annual capacity (2012 dollars) for the dry kiln with precalciner, dry kiln with CCS, electric kiln, and alternative chemistry cement pathways. They are copied onto the 'CPCC Greenfield (reference)' tab by hand, so they need to be updated here whenever the CPCC file changes. The CPCC file documents its own sources.</t>
  </si>
  <si>
    <t>Purpose and layout</t>
  </si>
  <si>
    <t>This file gives the cost of overhauling a cement kiln for one more campaign (the shell, drive, and controls rebuild), in dollars per metric ton of annual clinker capacity, for each production pathway. In the EPS cement module, a kiln that reaches the end of a campaign is either overhauled at this cost or retired and replaced with a new build, and the model picks whichever is cheaper. Overhaul capital is also paid back over the campaign length in the CPPL file. Values are in the model's 2012 U.S. dollars.
The workbook has three tabs. 'CPCC Greenfield (reference)' holds the new-build costs copied from the CPCC file. 'Derivation' takes 10% of each and rounds to a whole dollar. The 'CRCC' tab reads from 'Derivation' by formula and is exported to CRCC.csv. The 10% is the one judgment value, and it sits in the formulas on the 'Derivation' tab.</t>
  </si>
  <si>
    <t>How the values were set</t>
  </si>
  <si>
    <t>No public source gives the cost of a cement kiln overhaul. We looked for published project costs and found none for a modern precalciner kiln. The nearby benchmarks do not fit: old studies of converting long dry kilns to precalciners describe a different and older retrofit, and general manufacturing figures of 40-70% of greenfield cost describe a full rebuild, not an overhaul of the shell, drive, and controls.
So we set the overhaul at 10% of the greenfield cost of the same pathway. That is our own judgment, placed between a trivial refractory-only replacement (much cheaper) and a full rebuild (much dearer); we consider about 5-20% plausible. The results are $25 for the dry kiln with precalciner and the CCS kiln, $30 for the electric kiln, and $40 for alternative chemistry cement.</t>
  </si>
  <si>
    <t>Cautions on use</t>
  </si>
  <si>
    <t>Because the overhaul cost is simply a share of the new-build cost, it moves with the CPCC values and inherits their uncertainty. A better source, such as cement conference proceedings or member-only ECRA technical reports, would improve this input.</t>
  </si>
  <si>
    <t>Unit: 2012 USD per (metric ton clinker/year)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</si>
</sst>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applyAlignment="1">
      <alignment horizontal="left" vertical="top" wrapText="1"/>
    </xf>
    <xf numFmtId="0" fontId="2" fillId="0" borderId="0" xfId="0" applyFont="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14</v>
      </c>
    </row>
    <row r="4" spans="1:2" x14ac:dyDescent="0.25">
      <c r="B4" s="5" t="s">
        <v>15</v>
      </c>
    </row>
    <row r="5" spans="1:2" x14ac:dyDescent="0.25">
      <c r="B5" s="5" t="s">
        <v>16</v>
      </c>
    </row>
    <row r="6" spans="1:2" x14ac:dyDescent="0.25">
      <c r="B6" s="5">
        <v>2026</v>
      </c>
    </row>
    <row r="7" spans="1:2" x14ac:dyDescent="0.25">
      <c r="B7" s="5" t="s">
        <v>17</v>
      </c>
    </row>
    <row r="8" spans="1:2" ht="60" x14ac:dyDescent="0.25">
      <c r="B8" s="5" t="s">
        <v>18</v>
      </c>
    </row>
    <row r="11" spans="1:2" x14ac:dyDescent="0.25">
      <c r="A11" s="2" t="s">
        <v>2</v>
      </c>
    </row>
    <row r="12" spans="1:2" ht="135" x14ac:dyDescent="0.25">
      <c r="A12" s="2" t="s">
        <v>19</v>
      </c>
      <c r="B12" s="5" t="s">
        <v>20</v>
      </c>
    </row>
    <row r="13" spans="1:2" ht="135" x14ac:dyDescent="0.25">
      <c r="A13" s="2" t="s">
        <v>21</v>
      </c>
      <c r="B13" s="5" t="s">
        <v>22</v>
      </c>
    </row>
    <row r="14" spans="1:2" ht="45" x14ac:dyDescent="0.25">
      <c r="A14" s="2" t="s">
        <v>23</v>
      </c>
      <c r="B14" s="5" t="s">
        <v>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pane ySplit="1" topLeftCell="A2" activePane="bottomLeft" state="frozen"/>
      <selection pane="bottomLeft"/>
    </sheetView>
  </sheetViews>
  <sheetFormatPr defaultRowHeight="15" x14ac:dyDescent="0.25"/>
  <sheetData>
    <row r="1" spans="1:2" x14ac:dyDescent="0.25">
      <c r="A1" s="1" t="s">
        <v>3</v>
      </c>
      <c r="B1" s="1" t="s">
        <v>4</v>
      </c>
    </row>
    <row r="2" spans="1:2" x14ac:dyDescent="0.25">
      <c r="A2" t="s">
        <v>5</v>
      </c>
      <c r="B2">
        <v>250</v>
      </c>
    </row>
    <row r="3" spans="1:2" x14ac:dyDescent="0.25">
      <c r="A3" t="s">
        <v>6</v>
      </c>
      <c r="B3">
        <v>250</v>
      </c>
    </row>
    <row r="4" spans="1:2" x14ac:dyDescent="0.25">
      <c r="A4" t="s">
        <v>7</v>
      </c>
      <c r="B4">
        <v>300</v>
      </c>
    </row>
    <row r="5" spans="1:2" x14ac:dyDescent="0.25">
      <c r="A5" t="s">
        <v>8</v>
      </c>
      <c r="B5">
        <v>400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heetViews>
  <sheetFormatPr defaultRowHeight="15" x14ac:dyDescent="0.25"/>
  <sheetData>
    <row r="1" spans="1:4" x14ac:dyDescent="0.25">
      <c r="A1" s="1" t="s">
        <v>9</v>
      </c>
    </row>
    <row r="3" spans="1:4" x14ac:dyDescent="0.25">
      <c r="A3" s="1" t="s">
        <v>3</v>
      </c>
      <c r="B3" s="1" t="s">
        <v>10</v>
      </c>
      <c r="C3" s="1" t="s">
        <v>11</v>
      </c>
      <c r="D3" s="1" t="s">
        <v>12</v>
      </c>
    </row>
    <row r="4" spans="1:4" x14ac:dyDescent="0.25">
      <c r="A4" t="s">
        <v>5</v>
      </c>
      <c r="B4">
        <f>'CPCC Greenfield (reference)'!B2</f>
        <v>250</v>
      </c>
      <c r="C4">
        <f>ROUND(B4*0.1,0)</f>
        <v>25</v>
      </c>
      <c r="D4">
        <v>25</v>
      </c>
    </row>
    <row r="5" spans="1:4" x14ac:dyDescent="0.25">
      <c r="A5" t="s">
        <v>6</v>
      </c>
      <c r="B5">
        <f>'CPCC Greenfield (reference)'!B3</f>
        <v>250</v>
      </c>
      <c r="C5">
        <f>ROUND(B5*0.1,0)</f>
        <v>25</v>
      </c>
      <c r="D5">
        <v>25</v>
      </c>
    </row>
    <row r="6" spans="1:4" x14ac:dyDescent="0.25">
      <c r="A6" t="s">
        <v>7</v>
      </c>
      <c r="B6">
        <f>'CPCC Greenfield (reference)'!B4</f>
        <v>300</v>
      </c>
      <c r="C6">
        <f>ROUND(B6*0.1,0)</f>
        <v>30</v>
      </c>
      <c r="D6">
        <v>30</v>
      </c>
    </row>
    <row r="7" spans="1:4" x14ac:dyDescent="0.25">
      <c r="A7" t="s">
        <v>8</v>
      </c>
      <c r="B7">
        <f>'CPCC Greenfield (reference)'!B5</f>
        <v>400</v>
      </c>
      <c r="C7">
        <f>ROUND(B7*0.1,0)</f>
        <v>40</v>
      </c>
      <c r="D7">
        <v>40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5"/>
  <sheetViews>
    <sheetView workbookViewId="0"/>
  </sheetViews>
  <sheetFormatPr defaultRowHeight="15" x14ac:dyDescent="0.25"/>
  <sheetData>
    <row r="1" spans="1:2" x14ac:dyDescent="0.25">
      <c r="A1" t="s">
        <v>25</v>
      </c>
      <c r="B1" t="s">
        <v>13</v>
      </c>
    </row>
    <row r="2" spans="1:2" x14ac:dyDescent="0.25">
      <c r="A2" t="s">
        <v>5</v>
      </c>
      <c r="B2">
        <f>Derivation!C4</f>
        <v>25</v>
      </c>
    </row>
    <row r="3" spans="1:2" x14ac:dyDescent="0.25">
      <c r="A3" t="s">
        <v>6</v>
      </c>
      <c r="B3">
        <f>Derivation!C5</f>
        <v>25</v>
      </c>
    </row>
    <row r="4" spans="1:2" x14ac:dyDescent="0.25">
      <c r="A4" t="s">
        <v>7</v>
      </c>
      <c r="B4">
        <f>Derivation!C6</f>
        <v>30</v>
      </c>
    </row>
    <row r="5" spans="1:2" x14ac:dyDescent="0.25">
      <c r="A5" t="s">
        <v>8</v>
      </c>
      <c r="B5">
        <f>Derivation!C7</f>
        <v>40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CPCC Greenfield (reference)</vt:lpstr>
      <vt:lpstr>Derivation</vt:lpstr>
      <vt:lpstr>CRCC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2026-10-05T17:22:12Z</dcterms:modified>
</cp:coreProperties>
</file>