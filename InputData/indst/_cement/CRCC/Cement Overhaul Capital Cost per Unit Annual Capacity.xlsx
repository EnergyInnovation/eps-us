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CPCC Greenfield (reference)" sheetId="2" state="visible" r:id="rId2"/>
    <sheet name="Derivation" sheetId="3" state="visible" r:id="rId3"/>
    <sheet name="Checks" sheetId="4" state="visible" r:id="rId4"/>
    <sheet name="CR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InputData/indst/CPCC/CPCC.cs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CRCC Cement Overhaul Capital Cost per Unit Annual Capacity</t>
        </is>
      </c>
    </row>
    <row r="3">
      <c r="A3" s="1" t="inlineStr">
        <is>
          <t>Sources:</t>
        </is>
      </c>
      <c r="B3" s="2" t="inlineStr">
        <is>
          <t>Greenfield capital cost reference (10% multiplier base)</t>
        </is>
      </c>
    </row>
    <row r="4">
      <c r="B4" s="3" t="inlineStr">
        <is>
          <t>EI-internal companion workbook</t>
        </is>
      </c>
    </row>
    <row r="5">
      <c r="B5" s="3" t="inlineStr">
        <is>
          <t>CPCC (Cement Pathway Capital Cost per Unit Annual Capacity), InputData/indst/CPCC/CPCC.csv</t>
        </is>
      </c>
    </row>
    <row r="6">
      <c r="B6" s="3" t="n">
        <v>2026</v>
      </c>
    </row>
    <row r="7">
      <c r="B7" s="4" t="inlineStr">
        <is>
          <t>file://InputData/indst/CPCC/CPCC.csv</t>
        </is>
      </c>
    </row>
    <row r="8">
      <c r="B8" s="3" t="inlineStr">
        <is>
          <t>CPCC's shipped greenfield capital costs (375/933/450/600 $/(t/yr) for dry kiln with precalciner / dry kiln with CCS / electric kiln / alternative chemistry cement) are the base this workbook multiplies by 10% to obtain a DRAFT overhaul cost. CPCC itself is documented and sourced in its own workbook (NZA Annex K for CCS; ECRA-inflated SNIPPET tier for dry kiln; EI judgment for electric/alt-chem) - not re-derived here. Values pasted verbatim from the shipped CPCC.csv, 2026-08-26.</t>
        </is>
      </c>
    </row>
    <row r="11">
      <c r="A11" s="1" t="inlineStr">
        <is>
          <t>Notes:</t>
        </is>
      </c>
    </row>
    <row r="12">
      <c r="A12" s="1" t="inlineStr">
        <is>
          <t>No public overhaul-cost source exists</t>
        </is>
      </c>
      <c r="B12" s="3" t="inlineStr">
        <is>
          <t>A targeted search (GCCA, IEEE-IAS/PCA Cement Conference proceedings, company capital-project disclosures) found NO authoritative kiln shell/drive/controls overhaul or shell-replacement cost in public literature. 1990s-era long-dry-to-precalciner CONVERSION studies ran $9-29/(t/yr) in then-year dollars, but describe a different (and older) retrofit than a modern precalciner-kiln overhaul. Generic manufacturing brownfield-modernization benchmarks run 40-70% of greenfield cost, but that describes a FULL rebuild/modernization, not the narrower kiln shell/drive/controls overhaul this parameter represents.</t>
        </is>
      </c>
    </row>
    <row r="13">
      <c r="A13" s="1" t="inlineStr">
        <is>
          <t>10% of greenfield - EI judgment</t>
        </is>
      </c>
      <c r="B13" s="3" t="inlineStr">
        <is>
          <t>CRCC is set to ~10% of the pathway's CPCC greenfield capital cost, positioned between a trivial refractory-only replacement (much cheaper) and a full modernization/rebuild (40-70% of greenfield). Dry kiln with precalciner: 0.1 x $375/(t/yr) = $37.50, rounded to the shipped $38/(t/yr). See the Derivation tab for all four pathways. This is UNVERIFIED EI engineering judgment, not grounded in a specific project cost.</t>
        </is>
      </c>
    </row>
    <row r="14">
      <c r="A14" s="1" t="inlineStr">
        <is>
          <t>Resolving data</t>
        </is>
      </c>
      <c r="B14" s="3" t="inlineStr">
        <is>
          <t>Likely lives in PCA Cement Conference proceedings or ECRA member-only technical reports - not accessible in this research pass. Flagged for team review / future access request.</t>
        </is>
      </c>
    </row>
    <row r="15">
      <c r="A15" s="1" t="inlineStr">
        <is>
          <t>DRAFT status</t>
        </is>
      </c>
      <c r="B15" s="3" t="inlineStr">
        <is>
          <t>DRAFT - verify against primary sources before release. This workbook is an input for staff review, not a finished or approved EI position.</t>
        </is>
      </c>
    </row>
    <row r="16">
      <c r="A16" s="1" t="inlineStr">
        <is>
          <t>Provenance</t>
        </is>
      </c>
      <c r="B16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Greenfield capital cost ($/(t/yr))</t>
        </is>
      </c>
    </row>
    <row r="2">
      <c r="A2" t="inlineStr">
        <is>
          <t>dry kiln with precalciner</t>
        </is>
      </c>
      <c r="B2" t="n">
        <v>250</v>
      </c>
    </row>
    <row r="3">
      <c r="A3" t="inlineStr">
        <is>
          <t>dry kiln with CCS</t>
        </is>
      </c>
      <c r="B3" t="n">
        <v>250</v>
      </c>
    </row>
    <row r="4">
      <c r="A4" t="inlineStr">
        <is>
          <t>electric kiln</t>
        </is>
      </c>
      <c r="B4" t="n">
        <v>300</v>
      </c>
    </row>
    <row r="5">
      <c r="A5" t="inlineStr">
        <is>
          <t>alternative chemistry cement</t>
        </is>
      </c>
      <c r="B5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Overhaul capital cost = 10% of greenfield CPCC, rounded</t>
        </is>
      </c>
    </row>
    <row r="3">
      <c r="A3" s="1" t="inlineStr">
        <is>
          <t>Pathway</t>
        </is>
      </c>
      <c r="B3" s="1" t="inlineStr">
        <is>
          <t>Greenfield CPCC ($/(t/yr))</t>
        </is>
      </c>
      <c r="C3" s="1" t="inlineStr">
        <is>
          <t>10% of greenfield</t>
        </is>
      </c>
      <c r="D3" s="1" t="inlineStr">
        <is>
          <t>Shipped value ($/(t/yr))</t>
        </is>
      </c>
    </row>
    <row r="4">
      <c r="A4" t="inlineStr">
        <is>
          <t>dry kiln with precalciner</t>
        </is>
      </c>
      <c r="B4">
        <f>'CPCC Greenfield (reference)'!B2</f>
        <v/>
      </c>
      <c r="C4">
        <f>ROUND(B4*0.1,0)</f>
        <v/>
      </c>
      <c r="D4" t="n">
        <v>25</v>
      </c>
    </row>
    <row r="5">
      <c r="A5" t="inlineStr">
        <is>
          <t>dry kiln with CCS</t>
        </is>
      </c>
      <c r="B5">
        <f>'CPCC Greenfield (reference)'!B3</f>
        <v/>
      </c>
      <c r="C5">
        <f>ROUND(B5*0.1,0)</f>
        <v/>
      </c>
      <c r="D5" t="n">
        <v>25</v>
      </c>
    </row>
    <row r="6">
      <c r="A6" t="inlineStr">
        <is>
          <t>electric kiln</t>
        </is>
      </c>
      <c r="B6">
        <f>'CPCC Greenfield (reference)'!B4</f>
        <v/>
      </c>
      <c r="C6">
        <f>ROUND(B6*0.1,0)</f>
        <v/>
      </c>
      <c r="D6" t="n">
        <v>30</v>
      </c>
    </row>
    <row r="7">
      <c r="A7" t="inlineStr">
        <is>
          <t>alternative chemistry cement</t>
        </is>
      </c>
      <c r="B7">
        <f>'CPCC Greenfield (reference)'!B5</f>
        <v/>
      </c>
      <c r="C7">
        <f>ROUND(B7*0.1,0)</f>
        <v/>
      </c>
      <c r="D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Derivation 10%-of-greenfield formula vs. shipped CRCC.csv</t>
        </is>
      </c>
    </row>
    <row r="3">
      <c r="A3" t="inlineStr">
        <is>
          <t>Pathway</t>
        </is>
      </c>
      <c r="B3" t="inlineStr">
        <is>
          <t>Computed (Derivation)</t>
        </is>
      </c>
      <c r="C3" t="inlineStr">
        <is>
          <t>Shipped</t>
        </is>
      </c>
      <c r="D3" t="inlineStr">
        <is>
          <t>Result</t>
        </is>
      </c>
    </row>
    <row r="4">
      <c r="A4" t="inlineStr">
        <is>
          <t>dry kiln with precalciner</t>
        </is>
      </c>
      <c r="B4">
        <f>Derivation!C4</f>
        <v/>
      </c>
      <c r="C4" t="n">
        <v>25</v>
      </c>
      <c r="D4">
        <f>IF(ABS(B4-C4)&lt;0.5,"PASS","FAIL")</f>
        <v/>
      </c>
    </row>
    <row r="5">
      <c r="A5" t="inlineStr">
        <is>
          <t>dry kiln with CCS</t>
        </is>
      </c>
      <c r="B5">
        <f>Derivation!C5</f>
        <v/>
      </c>
      <c r="C5" t="n">
        <v>25</v>
      </c>
      <c r="D5">
        <f>IF(ABS(B5-C5)&lt;0.5,"PASS","FAIL")</f>
        <v/>
      </c>
    </row>
    <row r="6">
      <c r="A6" t="inlineStr">
        <is>
          <t>electric kiln</t>
        </is>
      </c>
      <c r="B6">
        <f>Derivation!C6</f>
        <v/>
      </c>
      <c r="C6" t="n">
        <v>30</v>
      </c>
      <c r="D6">
        <f>IF(ABS(B6-C6)&lt;0.5,"PASS","FAIL")</f>
        <v/>
      </c>
    </row>
    <row r="7">
      <c r="A7" t="inlineStr">
        <is>
          <t>alternative chemistry cement</t>
        </is>
      </c>
      <c r="B7">
        <f>Derivation!C7</f>
        <v/>
      </c>
      <c r="C7" t="n">
        <v>40</v>
      </c>
      <c r="D7">
        <f>IF(ABS(B7-C7)&lt;0.5,"PASS","FAIL")</f>
        <v/>
      </c>
    </row>
    <row r="9">
      <c r="A9" s="1" t="inlineStr">
        <is>
          <t>Overall</t>
        </is>
      </c>
      <c r="B9">
        <f>IF(COUNTIF(D4:D7,"FAIL")=0,"ALL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$/(metric ton/yr) overhaul, 2012 USD (EI judgment ~10% of greenfield CPCC; research 2026-10-01 range 5-20%; follows the CPCC dollar-year fix)</t>
        </is>
      </c>
      <c r="B1" t="inlineStr">
        <is>
          <t>Overhaul Capital Cost</t>
        </is>
      </c>
    </row>
    <row r="2">
      <c r="A2" t="inlineStr">
        <is>
          <t>dry kiln with precalciner</t>
        </is>
      </c>
      <c r="B2" t="n">
        <v>25</v>
      </c>
    </row>
    <row r="3">
      <c r="A3" t="inlineStr">
        <is>
          <t>dry kiln with CCS</t>
        </is>
      </c>
      <c r="B3" t="n">
        <v>25</v>
      </c>
    </row>
    <row r="4">
      <c r="A4" t="inlineStr">
        <is>
          <t>electric kiln</t>
        </is>
      </c>
      <c r="B4" t="n">
        <v>30</v>
      </c>
    </row>
    <row r="5">
      <c r="A5" t="inlineStr">
        <is>
          <t>alternative chemistry cement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2026-10-01T19:24:37Z</dcterms:modified>
</cp:coreProperties>
</file>