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CF\"/>
    </mc:Choice>
  </mc:AlternateContent>
  <xr:revisionPtr revIDLastSave="0" documentId="13_ncr:1_{34D7A59E-6FDA-47A4-8D09-AA9322A92489}" xr6:coauthVersionLast="47" xr6:coauthVersionMax="47" xr10:uidLastSave="{00000000-0000-0000-0000-000000000000}"/>
  <bookViews>
    <workbookView xWindow="-110" yWindow="-110" windowWidth="19420" windowHeight="11500" xr2:uid="{00000000-000D-0000-FFFF-FFFF00000000}"/>
  </bookViews>
  <sheets>
    <sheet name="About" sheetId="1" r:id="rId1"/>
    <sheet name="Source Data" sheetId="2" r:id="rId2"/>
    <sheet name="Parameters" sheetId="3" r:id="rId3"/>
    <sheet name="Calc" sheetId="4" r:id="rId4"/>
    <sheet name="CCF"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B3" i="4" s="1"/>
  <c r="B4" i="4" s="1"/>
  <c r="B4" i="6" l="1"/>
  <c r="B2" i="6"/>
  <c r="B7" i="4"/>
  <c r="B3" i="6" s="1"/>
</calcChain>
</file>

<file path=xl/sharedStrings.xml><?xml version="1.0" encoding="utf-8"?>
<sst xmlns="http://schemas.openxmlformats.org/spreadsheetml/2006/main" count="41" uniqueCount="40">
  <si>
    <t>CCF Calcination CO2 Factor by Pathway</t>
  </si>
  <si>
    <t>Sources:</t>
  </si>
  <si>
    <t>https://www.epa.gov/ghgemissions/inventory-us-greenhouse-gas-emissions-and-sinks</t>
  </si>
  <si>
    <t>Notes:</t>
  </si>
  <si>
    <t>EPA GHGI Equation 4-1 inputs</t>
  </si>
  <si>
    <t>CaO fraction of clinker (EPA default)</t>
  </si>
  <si>
    <t>Molar mass of CO2 (g/mol)</t>
  </si>
  <si>
    <t>Molar mass of CaO (g/mol)</t>
  </si>
  <si>
    <t>2023 GHGI anchors (context only, not used in the formula)</t>
  </si>
  <si>
    <t>Cement process CO2, 2023 (MMT)</t>
  </si>
  <si>
    <t>Lime process CO2, 2023 (MMT)</t>
  </si>
  <si>
    <t>Judgment parameters</t>
  </si>
  <si>
    <t>Dry kiln with CCS capture rate</t>
  </si>
  <si>
    <t>Unmitigated calcination emission factor (EPA GHGI Eq. 4-1)</t>
  </si>
  <si>
    <t>t CO2 / t clinker</t>
  </si>
  <si>
    <t>Dry kiln with CCS: unmitigated x (1 - capture rate)</t>
  </si>
  <si>
    <t>g CO2 / t clinker</t>
  </si>
  <si>
    <t>dry kiln with precalciner</t>
  </si>
  <si>
    <t>dry kiln with CCS</t>
  </si>
  <si>
    <t>electric kiln</t>
  </si>
  <si>
    <t>alternative chemistry cement</t>
  </si>
  <si>
    <t>Calcination CO2 Factor</t>
  </si>
  <si>
    <t>Calcination emission factor method and inputs</t>
  </si>
  <si>
    <t>U.S. Environmental Protection Agency</t>
  </si>
  <si>
    <t>Inventory of U.S. Greenhouse Gas Emissions and Sinks, Cement Production chapter, Equation 4-1 (1990-2022 edition)</t>
  </si>
  <si>
    <t>The factor is the CaO content of clinker times the ratio of the molar masses of CO2 and CaO: 0.650 x (44.01 / 56.08) = 0.510 metric tons of CO2 per metric ton of clinker. EPA's default CaO content is 0.650 (65.0% by mass). The inputs are on the 'Source Data' tab. The tab also lists EPA's 2023 inventory totals for cement process CO2 (40.6 million metric tons) and lime process CO2 (11.5 million metric tons) for context; they are not used in the calculation.</t>
  </si>
  <si>
    <t>Purpose and layout</t>
  </si>
  <si>
    <t>How the values are built</t>
  </si>
  <si>
    <t>Dry kiln with CCS</t>
  </si>
  <si>
    <t>Unit: g CO2/metric ton clinker</t>
  </si>
  <si>
    <t>NETL cement CCS baseline (2023) and DOE-funded US FEED studies (Ste. Genevieve, Mitchell, Balcones): 95% of CO2 in the treated flue gas</t>
  </si>
  <si>
    <t>Capture rate for a cement kiln with CCS</t>
  </si>
  <si>
    <t>U.S. Department of Energy, National Energy Technology Laboratory (reviewed by the Portland Cement Association)</t>
  </si>
  <si>
    <t>Analysis of Carbon Capture Retrofits for Cement Plants (DOE/NETL-2023/3856)</t>
  </si>
  <si>
    <t>https://www.netl.doe.gov/projects/files/AnalysisofCarbonCaptureRetrofitsforCementPlants_033123.pdf</t>
  </si>
  <si>
    <t>Base case 95% capture of the CO2 in the treated flue gas (kiln combustion and calcination CO2 together, plus the steam boiler), with a 99% sensitivity. DOE-funded U.S. front-end engineering studies agree: Holcim Ste. Genevieve, Missouri (95% of total emissions), Heidelberg Mitchell, Indiana (95%), and Cemex Balcones, Texas (95%). The older IEAGHG 2013 study assumed 90%.</t>
  </si>
  <si>
    <t>g CO2 / t clinker (value used)</t>
  </si>
  <si>
    <t>The unabated factor is EPA's calcination equation, which gives 0.510 metric tons of CO2 per metric ton of clinker. In grams that is 510,071 per metric ton. The dry kiln with precalciner and the electric kiln both get this full value: switching a kiln from fuel to electricity changes the combustion emissions, not the chemistry of the limestone, and neither pathway captures CO2. Alternative chemistry cement is set to zero, because those binders are made from non-carbonate materials and release no calcination CO2 by design.</t>
  </si>
  <si>
    <t>This file gives the CO2 released by the carbonate chemistry of clinker-making (limestone breaking down into lime and CO2), per metric ton of clinker, for each cement production pathway. The EPS cement module uses it to calculate process emissions, and for the dry kiln with CCS it also reads the capture rate from the gap between this value and the unabated kiln value. The model applies that rate to the calcination CO2 and to the CO2 from burning kiln fuel, to size the CO2 the capture unit has to handle. Values are in grams of CO2 per metric ton of clinker.
The tabs run from inputs to output. 'Source Data' holds the EPA inputs. 'Parameters' holds the one judgment value you might change, the capture rate for the CCS pathway. 'Calc' does the arithmetic, and the 'CCF' tab reads from it by formula and is what gets exported to CCF.csv.</t>
  </si>
  <si>
    <t>The CCS pathway takes the unabated value times one minus the capture rate. We use 95%, the design basis of the NETL baseline and the U.S. engineering studies (range 90-99%), so the pathway releases 25,504 grams per metric ton. The captured 95% is priced in the CCS sector (capital, operation, transport and storage, energy, and the 45Q tax credit), which also books the capture unit's energy.
Real capture plants treat the whole kiln flue gas, so they capture the CO2 from burning kiln fuel at the same rate as the calcination CO2. The model does the same: it works out the capture rate from this file (the gap between the unabated and CCS values, divided by the unabated value) and applies it to the kiln's fuel CO2 as well, using the fuel use and fuel emission factors already in the model. If you change the capture rate here, the fuel CO2 capture follows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</si>
</sst>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3" fillId="2" borderId="0" xfId="0" applyFont="1" applyFill="1" applyAlignment="1">
      <alignment horizontal="left" vertical="top" wrapText="1"/>
    </xf>
    <xf numFmtId="0" fontId="4" fillId="0" borderId="0" xfId="1" applyFont="1" applyAlignment="1">
      <alignment horizontal="left" vertical="top" wrapText="1"/>
    </xf>
    <xf numFmtId="0" fontId="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netl.doe.gov/projects/files/AnalysisofCarbonCaptureRetrofitsforCementPlants_033123.pdf" TargetMode="External"/><Relationship Id="rId1" Type="http://schemas.openxmlformats.org/officeDocument/2006/relationships/hyperlink" Target="https://www.epa.gov/ghgemissions/inventory-us-greenhouse-gas-emissions-and-sin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workbookViewId="0"/>
  </sheetViews>
  <sheetFormatPr defaultRowHeight="14.5" x14ac:dyDescent="0.35"/>
  <cols>
    <col min="1" max="1" width="14.6328125" customWidth="1"/>
    <col min="2" max="2" width="110.6328125" customWidth="1"/>
    <col min="3" max="3" width="3.6328125" customWidth="1"/>
    <col min="4" max="4" width="9.08984375" customWidth="1"/>
  </cols>
  <sheetData>
    <row r="1" spans="1:2" x14ac:dyDescent="0.35">
      <c r="A1" s="3" t="s">
        <v>0</v>
      </c>
    </row>
    <row r="3" spans="1:2" x14ac:dyDescent="0.35">
      <c r="A3" s="2" t="s">
        <v>1</v>
      </c>
      <c r="B3" s="4" t="s">
        <v>22</v>
      </c>
    </row>
    <row r="4" spans="1:2" x14ac:dyDescent="0.35">
      <c r="B4" s="6" t="s">
        <v>23</v>
      </c>
    </row>
    <row r="5" spans="1:2" x14ac:dyDescent="0.35">
      <c r="B5" s="6" t="s">
        <v>24</v>
      </c>
    </row>
    <row r="6" spans="1:2" x14ac:dyDescent="0.35">
      <c r="B6" s="6">
        <v>2024</v>
      </c>
    </row>
    <row r="7" spans="1:2" x14ac:dyDescent="0.35">
      <c r="B7" s="5" t="s">
        <v>2</v>
      </c>
    </row>
    <row r="8" spans="1:2" ht="58" x14ac:dyDescent="0.35">
      <c r="B8" s="6" t="s">
        <v>25</v>
      </c>
    </row>
    <row r="10" spans="1:2" x14ac:dyDescent="0.35">
      <c r="B10" s="4" t="s">
        <v>31</v>
      </c>
    </row>
    <row r="11" spans="1:2" x14ac:dyDescent="0.35">
      <c r="B11" s="6" t="s">
        <v>32</v>
      </c>
    </row>
    <row r="12" spans="1:2" x14ac:dyDescent="0.35">
      <c r="B12" s="6" t="s">
        <v>33</v>
      </c>
    </row>
    <row r="13" spans="1:2" x14ac:dyDescent="0.35">
      <c r="B13" s="6">
        <v>2023</v>
      </c>
    </row>
    <row r="14" spans="1:2" x14ac:dyDescent="0.35">
      <c r="B14" s="5" t="s">
        <v>34</v>
      </c>
    </row>
    <row r="15" spans="1:2" ht="43.5" x14ac:dyDescent="0.35">
      <c r="B15" s="6" t="s">
        <v>35</v>
      </c>
    </row>
    <row r="18" spans="1:2" x14ac:dyDescent="0.35">
      <c r="A18" s="2" t="s">
        <v>3</v>
      </c>
    </row>
    <row r="19" spans="1:2" ht="130.5" x14ac:dyDescent="0.35">
      <c r="A19" s="2" t="s">
        <v>26</v>
      </c>
      <c r="B19" s="6" t="s">
        <v>38</v>
      </c>
    </row>
    <row r="20" spans="1:2" ht="72.5" x14ac:dyDescent="0.35">
      <c r="A20" s="2" t="s">
        <v>27</v>
      </c>
      <c r="B20" s="6" t="s">
        <v>37</v>
      </c>
    </row>
    <row r="21" spans="1:2" ht="130.5" x14ac:dyDescent="0.35">
      <c r="A21" s="2" t="s">
        <v>28</v>
      </c>
      <c r="B21" s="6" t="s">
        <v>39</v>
      </c>
    </row>
  </sheetData>
  <hyperlinks>
    <hyperlink ref="B7" r:id="rId1" xr:uid="{42B0E0B6-9F9A-4BE9-91D2-1E7FD9B637D7}"/>
    <hyperlink ref="B14" r:id="rId2" xr:uid="{89F0C0B8-5B2B-4F3C-B800-61BB96D150F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5" x14ac:dyDescent="0.35"/>
  <cols>
    <col min="1" max="1" width="46" customWidth="1"/>
    <col min="2" max="2" width="18" customWidth="1"/>
  </cols>
  <sheetData>
    <row r="1" spans="1:2" x14ac:dyDescent="0.35">
      <c r="A1" s="1" t="s">
        <v>4</v>
      </c>
    </row>
    <row r="2" spans="1:2" x14ac:dyDescent="0.35">
      <c r="A2" t="s">
        <v>5</v>
      </c>
      <c r="B2">
        <v>0.65</v>
      </c>
    </row>
    <row r="3" spans="1:2" x14ac:dyDescent="0.35">
      <c r="A3" t="s">
        <v>6</v>
      </c>
      <c r="B3">
        <v>44.01</v>
      </c>
    </row>
    <row r="4" spans="1:2" x14ac:dyDescent="0.35">
      <c r="A4" t="s">
        <v>7</v>
      </c>
      <c r="B4">
        <v>56.08</v>
      </c>
    </row>
    <row r="6" spans="1:2" x14ac:dyDescent="0.35">
      <c r="A6" s="1" t="s">
        <v>8</v>
      </c>
    </row>
    <row r="7" spans="1:2" x14ac:dyDescent="0.35">
      <c r="A7" t="s">
        <v>9</v>
      </c>
      <c r="B7">
        <v>40.6</v>
      </c>
    </row>
    <row r="8" spans="1:2" x14ac:dyDescent="0.35">
      <c r="A8" t="s">
        <v>10</v>
      </c>
      <c r="B8">
        <v>11.5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workbookViewId="0"/>
  </sheetViews>
  <sheetFormatPr defaultRowHeight="14.5" x14ac:dyDescent="0.35"/>
  <cols>
    <col min="1" max="1" width="46" customWidth="1"/>
    <col min="2" max="2" width="14" customWidth="1"/>
    <col min="3" max="3" width="60" customWidth="1"/>
  </cols>
  <sheetData>
    <row r="1" spans="1:3" x14ac:dyDescent="0.35">
      <c r="A1" s="1" t="s">
        <v>11</v>
      </c>
    </row>
    <row r="3" spans="1:3" x14ac:dyDescent="0.35">
      <c r="A3" t="s">
        <v>12</v>
      </c>
      <c r="B3">
        <v>0.95</v>
      </c>
      <c r="C3" t="s">
        <v>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4.5" x14ac:dyDescent="0.35"/>
  <cols>
    <col min="1" max="1" width="46" customWidth="1"/>
    <col min="2" max="2" width="18" customWidth="1"/>
  </cols>
  <sheetData>
    <row r="1" spans="1:2" x14ac:dyDescent="0.35">
      <c r="A1" s="1" t="s">
        <v>13</v>
      </c>
    </row>
    <row r="2" spans="1:2" x14ac:dyDescent="0.35">
      <c r="A2" t="s">
        <v>14</v>
      </c>
      <c r="B2">
        <f>'Source Data'!B2*('Source Data'!B3/'Source Data'!B4)</f>
        <v>0.51010164051355211</v>
      </c>
    </row>
    <row r="3" spans="1:2" x14ac:dyDescent="0.35">
      <c r="A3" t="s">
        <v>16</v>
      </c>
      <c r="B3">
        <f>B2*1000000</f>
        <v>510101.64051355212</v>
      </c>
    </row>
    <row r="4" spans="1:2" x14ac:dyDescent="0.35">
      <c r="A4" t="s">
        <v>36</v>
      </c>
      <c r="B4">
        <f>(B3)</f>
        <v>510101.64051355212</v>
      </c>
    </row>
    <row r="6" spans="1:2" x14ac:dyDescent="0.35">
      <c r="A6" s="1" t="s">
        <v>15</v>
      </c>
    </row>
    <row r="7" spans="1:2" x14ac:dyDescent="0.35">
      <c r="A7" t="s">
        <v>16</v>
      </c>
      <c r="B7">
        <f>B4*(1-Parameters!B3)</f>
        <v>25505.082025677628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B5"/>
  <sheetViews>
    <sheetView workbookViewId="0"/>
  </sheetViews>
  <sheetFormatPr defaultRowHeight="14.5" x14ac:dyDescent="0.35"/>
  <sheetData>
    <row r="1" spans="1:2" x14ac:dyDescent="0.35">
      <c r="A1" t="s">
        <v>29</v>
      </c>
      <c r="B1" t="s">
        <v>21</v>
      </c>
    </row>
    <row r="2" spans="1:2" x14ac:dyDescent="0.35">
      <c r="A2" t="s">
        <v>17</v>
      </c>
      <c r="B2">
        <f>Calc!B4</f>
        <v>510101.64051355212</v>
      </c>
    </row>
    <row r="3" spans="1:2" x14ac:dyDescent="0.35">
      <c r="A3" t="s">
        <v>18</v>
      </c>
      <c r="B3">
        <f>Calc!B7</f>
        <v>25505.082025677628</v>
      </c>
    </row>
    <row r="4" spans="1:2" x14ac:dyDescent="0.35">
      <c r="A4" t="s">
        <v>19</v>
      </c>
      <c r="B4">
        <f>Calc!B4</f>
        <v>510101.64051355212</v>
      </c>
    </row>
    <row r="5" spans="1:2" x14ac:dyDescent="0.35">
      <c r="A5" t="s">
        <v>20</v>
      </c>
      <c r="B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Source Data</vt:lpstr>
      <vt:lpstr>Parameters</vt:lpstr>
      <vt:lpstr>Calc</vt:lpstr>
      <vt:lpstr>CCF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2026-08-26T11:52:49Z</dcterms:created>
  <dcterms:modified xsi:type="dcterms:W3CDTF">2026-10-12T14:03:59Z</dcterms:modified>
</cp:coreProperties>
</file>