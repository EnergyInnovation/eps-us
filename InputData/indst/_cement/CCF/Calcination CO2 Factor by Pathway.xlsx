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CF\"/>
    </mc:Choice>
  </mc:AlternateContent>
  <xr:revisionPtr revIDLastSave="0" documentId="13_ncr:1_{13EEB7CB-4F13-43C1-A518-0CA3BEB66585}" xr6:coauthVersionLast="47" xr6:coauthVersionMax="47" xr10:uidLastSave="{00000000-0000-0000-0000-000000000000}"/>
  <bookViews>
    <workbookView xWindow="-120" yWindow="-120" windowWidth="29040" windowHeight="17520" xr2:uid="{00000000-000D-0000-FFFF-FFFF00000000}"/>
  </bookViews>
  <sheets>
    <sheet name="About" sheetId="1" r:id="rId1"/>
    <sheet name="Source Data" sheetId="2" r:id="rId2"/>
    <sheet name="Parameters" sheetId="3" r:id="rId3"/>
    <sheet name="Calc" sheetId="4" r:id="rId4"/>
    <sheet name="CCF"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4" l="1"/>
  <c r="B3" i="4" s="1"/>
  <c r="B4" i="4" s="1"/>
  <c r="B4" i="6" s="1"/>
  <c r="B2" i="6" l="1"/>
  <c r="B7" i="4"/>
  <c r="B3" i="6" s="1"/>
</calcChain>
</file>

<file path=xl/sharedStrings.xml><?xml version="1.0" encoding="utf-8"?>
<sst xmlns="http://schemas.openxmlformats.org/spreadsheetml/2006/main" count="36" uniqueCount="36">
  <si>
    <t>CCF Calcination CO2 Factor by Pathway</t>
  </si>
  <si>
    <t>Sources:</t>
  </si>
  <si>
    <t>https://www.epa.gov/ghgemissions/inventory-us-greenhouse-gas-emissions-and-sinks</t>
  </si>
  <si>
    <t>Notes:</t>
  </si>
  <si>
    <t>EPA GHGI Equation 4-1 inputs</t>
  </si>
  <si>
    <t>CaO fraction of clinker (EPA default)</t>
  </si>
  <si>
    <t>Molar mass of CO2 (g/mol)</t>
  </si>
  <si>
    <t>Molar mass of CaO (g/mol)</t>
  </si>
  <si>
    <t>2023 GHGI anchors (context only, not used in the formula)</t>
  </si>
  <si>
    <t>Cement process CO2, 2023 (MMT)</t>
  </si>
  <si>
    <t>Lime process CO2, 2023 (MMT)</t>
  </si>
  <si>
    <t>Judgment parameters</t>
  </si>
  <si>
    <t>Dry kiln with CCS capture rate</t>
  </si>
  <si>
    <t>UNVERIFIED - EI judgment; common CCS design-basis capture-rate assumption</t>
  </si>
  <si>
    <t>Unmitigated calcination emission factor (EPA GHGI Eq. 4-1)</t>
  </si>
  <si>
    <t>t CO2 / t clinker</t>
  </si>
  <si>
    <t>g CO2 / t clinker, unrounded</t>
  </si>
  <si>
    <t>g CO2 / t clinker, rounded to nearest 1,000</t>
  </si>
  <si>
    <t>Dry kiln with CCS: unmitigated x (1 - capture rate)</t>
  </si>
  <si>
    <t>g CO2 / t clinker</t>
  </si>
  <si>
    <t>dry kiln with precalciner</t>
  </si>
  <si>
    <t>dry kiln with CCS</t>
  </si>
  <si>
    <t>electric kiln</t>
  </si>
  <si>
    <t>alternative chemistry cement</t>
  </si>
  <si>
    <t>Calcination CO2 Factor</t>
  </si>
  <si>
    <t>Calcination emission factor method and inputs</t>
  </si>
  <si>
    <t>U.S. Environmental Protection Agency</t>
  </si>
  <si>
    <t>Inventory of U.S. Greenhouse Gas Emissions and Sinks, Cement Production chapter, Equation 4-1 (1990-2022 edition)</t>
  </si>
  <si>
    <t>The factor is the CaO content of clinker times the ratio of the molar masses of CO2 and CaO: 0.650 x (44.01 / 56.08) = 0.510 metric tons of CO2 per metric ton of clinker. EPA's default CaO content is 0.650 (65.0% by mass). The inputs are on the 'Source Data' tab. The tab also lists EPA's 2023 inventory totals for cement process CO2 (40.6 million metric tons) and lime process CO2 (11.5 million metric tons) for context; they are not used in the calculation.</t>
  </si>
  <si>
    <t>Purpose and layout</t>
  </si>
  <si>
    <t>This file gives the CO2 released by the carbonate chemistry of clinker-making (limestone breaking down into lime and CO2), per metric ton of clinker, for each cement production pathway. The EPS cement module uses it to calculate process emissions, and for the dry kiln with CCS it also uses the gap between this value and the unabated kiln value to size the CO2 the capture unit has to handle. Values are in grams of CO2 per metric ton of clinker.
The tabs run from inputs to output. 'Source Data' holds the EPA inputs. 'Parameters' holds the one judgment value you might change, the capture rate for the CCS pathway. 'Calc' does the arithmetic, and the 'CCF' tab reads from it by formula and is what gets exported to CCF.csv.</t>
  </si>
  <si>
    <t>How the values are built</t>
  </si>
  <si>
    <t>The unabated factor is EPA's calcination equation, which gives 0.510 metric tons of CO2 per metric ton of clinker. We convert it to grams and round to the nearest 1,000 grams, which gives 510,000. The dry kiln with precalciner and the electric kiln both get this full value: switching a kiln from fuel to electricity changes the combustion emissions, not the chemistry of the limestone, and neither pathway captures CO2. Alternative chemistry cement is set to zero, because those binders are made from non-carbonate materials and release no calcination CO2 by design.</t>
  </si>
  <si>
    <t>Dry kiln with CCS</t>
  </si>
  <si>
    <t>The CCS pathway takes the unabated value times one minus the capture rate. We assume the capture unit removes 90% of the calcination CO2, which is a common design-basis figure and our own judgment (no plant-specific figure is used), so the pathway releases 51,000 grams per metric ton. The captured 90% is not lost from the accounting: the CCS sector prices it (capital, operation, transport and storage, energy, and the 45Q tax credit). The energy the capture unit needs is also booked in the CCS sector, not in this file.</t>
  </si>
  <si>
    <t>Unit: g CO2/metric ton clinker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</si>
</sst>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25</v>
      </c>
    </row>
    <row r="4" spans="1:2" x14ac:dyDescent="0.25">
      <c r="B4" s="5" t="s">
        <v>26</v>
      </c>
    </row>
    <row r="5" spans="1:2" x14ac:dyDescent="0.25">
      <c r="B5" s="5" t="s">
        <v>27</v>
      </c>
    </row>
    <row r="6" spans="1:2" x14ac:dyDescent="0.25">
      <c r="B6" s="5">
        <v>2024</v>
      </c>
    </row>
    <row r="7" spans="1:2" x14ac:dyDescent="0.25">
      <c r="B7" s="6" t="s">
        <v>2</v>
      </c>
    </row>
    <row r="8" spans="1:2" ht="60" x14ac:dyDescent="0.25">
      <c r="B8" s="5" t="s">
        <v>28</v>
      </c>
    </row>
    <row r="11" spans="1:2" x14ac:dyDescent="0.25">
      <c r="A11" s="2" t="s">
        <v>3</v>
      </c>
    </row>
    <row r="12" spans="1:2" ht="120" x14ac:dyDescent="0.25">
      <c r="A12" s="2" t="s">
        <v>29</v>
      </c>
      <c r="B12" s="5" t="s">
        <v>30</v>
      </c>
    </row>
    <row r="13" spans="1:2" ht="75" x14ac:dyDescent="0.25">
      <c r="A13" s="2" t="s">
        <v>31</v>
      </c>
      <c r="B13" s="5" t="s">
        <v>32</v>
      </c>
    </row>
    <row r="14" spans="1:2" ht="75" x14ac:dyDescent="0.25">
      <c r="A14" s="2" t="s">
        <v>33</v>
      </c>
      <c r="B14" s="5" t="s">
        <v>34</v>
      </c>
    </row>
  </sheetData>
  <hyperlinks>
    <hyperlink ref="B7" r:id="rId1" xr:uid="{32D7BEDE-147F-4965-890D-32A88BC98D8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defaultRowHeight="15" x14ac:dyDescent="0.25"/>
  <cols>
    <col min="1" max="1" width="46" customWidth="1"/>
    <col min="2" max="2" width="18" customWidth="1"/>
  </cols>
  <sheetData>
    <row r="1" spans="1:2" x14ac:dyDescent="0.25">
      <c r="A1" s="1" t="s">
        <v>4</v>
      </c>
    </row>
    <row r="2" spans="1:2" x14ac:dyDescent="0.25">
      <c r="A2" t="s">
        <v>5</v>
      </c>
      <c r="B2">
        <v>0.65</v>
      </c>
    </row>
    <row r="3" spans="1:2" x14ac:dyDescent="0.25">
      <c r="A3" t="s">
        <v>6</v>
      </c>
      <c r="B3">
        <v>44.01</v>
      </c>
    </row>
    <row r="4" spans="1:2" x14ac:dyDescent="0.25">
      <c r="A4" t="s">
        <v>7</v>
      </c>
      <c r="B4">
        <v>56.08</v>
      </c>
    </row>
    <row r="6" spans="1:2" x14ac:dyDescent="0.25">
      <c r="A6" s="1" t="s">
        <v>8</v>
      </c>
    </row>
    <row r="7" spans="1:2" x14ac:dyDescent="0.25">
      <c r="A7" t="s">
        <v>9</v>
      </c>
      <c r="B7">
        <v>40.6</v>
      </c>
    </row>
    <row r="8" spans="1:2" x14ac:dyDescent="0.25">
      <c r="A8" t="s">
        <v>10</v>
      </c>
      <c r="B8">
        <v>11.5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
  <sheetViews>
    <sheetView workbookViewId="0"/>
  </sheetViews>
  <sheetFormatPr defaultRowHeight="15" x14ac:dyDescent="0.25"/>
  <cols>
    <col min="1" max="1" width="46" customWidth="1"/>
    <col min="2" max="2" width="14" customWidth="1"/>
    <col min="3" max="3" width="60" customWidth="1"/>
  </cols>
  <sheetData>
    <row r="1" spans="1:3" x14ac:dyDescent="0.25">
      <c r="A1" s="1" t="s">
        <v>11</v>
      </c>
    </row>
    <row r="3" spans="1:3" x14ac:dyDescent="0.25">
      <c r="A3" t="s">
        <v>12</v>
      </c>
      <c r="B3">
        <v>0.9</v>
      </c>
      <c r="C3" t="s">
        <v>13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7"/>
  <sheetViews>
    <sheetView workbookViewId="0"/>
  </sheetViews>
  <sheetFormatPr defaultRowHeight="15" x14ac:dyDescent="0.25"/>
  <cols>
    <col min="1" max="1" width="46" customWidth="1"/>
    <col min="2" max="2" width="18" customWidth="1"/>
  </cols>
  <sheetData>
    <row r="1" spans="1:2" x14ac:dyDescent="0.25">
      <c r="A1" s="1" t="s">
        <v>14</v>
      </c>
    </row>
    <row r="2" spans="1:2" x14ac:dyDescent="0.25">
      <c r="A2" t="s">
        <v>15</v>
      </c>
      <c r="B2">
        <f>'Source Data'!B2*('Source Data'!B3/'Source Data'!B4)</f>
        <v>0.51010164051355211</v>
      </c>
    </row>
    <row r="3" spans="1:2" x14ac:dyDescent="0.25">
      <c r="A3" t="s">
        <v>16</v>
      </c>
      <c r="B3">
        <f>B2*1000000</f>
        <v>510101.64051355212</v>
      </c>
    </row>
    <row r="4" spans="1:2" x14ac:dyDescent="0.25">
      <c r="A4" t="s">
        <v>17</v>
      </c>
      <c r="B4">
        <f>ROUND(B3,-3)</f>
        <v>510000</v>
      </c>
    </row>
    <row r="6" spans="1:2" x14ac:dyDescent="0.25">
      <c r="A6" s="1" t="s">
        <v>18</v>
      </c>
    </row>
    <row r="7" spans="1:2" x14ac:dyDescent="0.25">
      <c r="A7" t="s">
        <v>19</v>
      </c>
      <c r="B7">
        <f>B4*(1-Parameters!B3)</f>
        <v>50999.999999999985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B5"/>
  <sheetViews>
    <sheetView workbookViewId="0"/>
  </sheetViews>
  <sheetFormatPr defaultRowHeight="15" x14ac:dyDescent="0.25"/>
  <sheetData>
    <row r="1" spans="1:2" x14ac:dyDescent="0.25">
      <c r="A1" t="s">
        <v>35</v>
      </c>
      <c r="B1" t="s">
        <v>24</v>
      </c>
    </row>
    <row r="2" spans="1:2" x14ac:dyDescent="0.25">
      <c r="A2" t="s">
        <v>20</v>
      </c>
      <c r="B2">
        <f>Calc!B4</f>
        <v>510000</v>
      </c>
    </row>
    <row r="3" spans="1:2" x14ac:dyDescent="0.25">
      <c r="A3" t="s">
        <v>21</v>
      </c>
      <c r="B3">
        <f>Calc!B7</f>
        <v>50999.999999999985</v>
      </c>
    </row>
    <row r="4" spans="1:2" x14ac:dyDescent="0.25">
      <c r="A4" t="s">
        <v>22</v>
      </c>
      <c r="B4">
        <f>Calc!B4</f>
        <v>510000</v>
      </c>
    </row>
    <row r="5" spans="1:2" x14ac:dyDescent="0.25">
      <c r="A5" t="s">
        <v>23</v>
      </c>
      <c r="B5">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Source Data</vt:lpstr>
      <vt:lpstr>Parameters</vt:lpstr>
      <vt:lpstr>Calc</vt:lpstr>
      <vt:lpstr>CCF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2026-08-26T11:52:49Z</dcterms:created>
  <dcterms:modified xsi:type="dcterms:W3CDTF">2026-10-05T17:22:10Z</dcterms:modified>
</cp:coreProperties>
</file>