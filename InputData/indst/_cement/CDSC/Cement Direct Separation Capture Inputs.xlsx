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DSC\"/>
    </mc:Choice>
  </mc:AlternateContent>
  <xr:revisionPtr revIDLastSave="0" documentId="13_ncr:1_{D11AEE48-7E60-4229-92EC-79A28B00479A}" xr6:coauthVersionLast="47" xr6:coauthVersionMax="47" xr10:uidLastSave="{00000000-0000-0000-0000-000000000000}"/>
  <bookViews>
    <workbookView xWindow="3510" yWindow="3510" windowWidth="21600" windowHeight="12525" xr2:uid="{00000000-000D-0000-FFFF-FFFF00000000}"/>
  </bookViews>
  <sheets>
    <sheet name="About" sheetId="1" r:id="rId1"/>
    <sheet name="Assumptions" sheetId="2" r:id="rId2"/>
    <sheet name="Checks" sheetId="3" r:id="rId3"/>
    <sheet name="CDSC"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4" l="1"/>
  <c r="B3" i="4"/>
  <c r="B2" i="4"/>
  <c r="B3" i="3"/>
  <c r="C3" i="3" s="1"/>
</calcChain>
</file>

<file path=xl/sharedStrings.xml><?xml version="1.0" encoding="utf-8"?>
<sst xmlns="http://schemas.openxmlformats.org/spreadsheetml/2006/main" count="49" uniqueCount="47">
  <si>
    <t>CDSC Cement Direct Separation Capture Inputs</t>
  </si>
  <si>
    <t>Sources:</t>
  </si>
  <si>
    <t>Electrified kiln with calcination-CO2 capture: design, capital and cost (central capital add-on)</t>
  </si>
  <si>
    <t>Cementa (Heidelberg Materials) and Vattenfall</t>
  </si>
  <si>
    <t>CemZero: a feasibility study evaluating ways to reach sustainable cement production via the use of electricity (public version 2.0)</t>
  </si>
  <si>
    <t>https://www.cement.heidelbergmaterials.se/sites/default/files/assets/document/65/de/final_cemzero_2018_public_version_2.0.pdf.pdf</t>
  </si>
  <si>
    <t>Plasma-heated kiln: electric heating leaves the calciner gas nearly pure CO2, captured with a purification and compression unit. Total capital 303.8 million EUR (2018) per million tonnes of clinker a year; the purification unit 19.2 million EUR and other capture items 5.0 million EUR, about $29 per tonne of annual clinker capacity in 2012 dollars with 10 percent owner's cost and contingency. Production cost about 1.9 times a conventional plant.</t>
  </si>
  <si>
    <t>Direct-separation capture: compression energy and operating cost</t>
  </si>
  <si>
    <t>Calix (LEILAC project)</t>
  </si>
  <si>
    <t>LEILAC Techno-economic Summary (2021)</t>
  </si>
  <si>
    <t>https://calix.global/wp-content/uploads/2021/10/LEILAC-Techno-economic-Summary-2021.pdf</t>
  </si>
  <si>
    <t>Compression of the nearly pure CO2 stream costs EUR 8.39 per tonne at EUR 80 per MWh, about 105 kWh per tonne of CO2; non-compressor fixed and variable operating cost EUR 10.29 per tonne of CO2 (about $10.3 in 2012 dollars). Capture add-on capital EUR 27-44 million per million tonnes of clinker a year.</t>
  </si>
  <si>
    <t>Independent cross-check of the purification and compression energy</t>
  </si>
  <si>
    <t>Varnier et al., Journal of Cleaner Production</t>
  </si>
  <si>
    <t>Varnier et al. (2025), Journal of Cleaner Production; open-access copy, Zenodo record 17242514 (check the title and DOI against the journal)</t>
  </si>
  <si>
    <t>https://zenodo.org/records/17242514/files/Varnier_et_al_2025_JCP.pdf</t>
  </si>
  <si>
    <t>CO2 processing unit 8.3 MW for 80 tonnes of CO2 an hour, about 104 kWh per tonne, against 3.7-3.95 GJ of reboiler heat per tonne for amine capture; 97.5 percent overall capture.</t>
  </si>
  <si>
    <t>Demonstration status (why the pathway opens late)</t>
  </si>
  <si>
    <t>Calix; Global Cement</t>
  </si>
  <si>
    <t>FY26 results release (June 2026) and Update on electric cement kilns</t>
  </si>
  <si>
    <t>https://www.globalcement.com/news/analysis/14916-update-on-electric-cement-kilns</t>
  </si>
  <si>
    <t>No electric kiln with integrated capture runs at industrial scale: LEILAC-2 delayed with no timeline, the ZETA electric calciner demonstration paused after pre-FEED, the EU ELECTRA kilns at pilot scale.</t>
  </si>
  <si>
    <t>Notes:</t>
  </si>
  <si>
    <t>Purpose and layout</t>
  </si>
  <si>
    <t>CDSC holds the capture inputs for the electric kiln with CCS. Heating a kiln with electricity removes the fuel combustion gases, so the CO2 released from the limestone leaves almost pure: capturing it means drying, purifying and compressing it rather than scrubbing a dilute flue gas with amines. The model's general industrial CCS costs (amine capture) would overstate both the energy and the cost, so this pathway uses these three numbers instead: the capital for the capture unit per tonne of annual clinker capacity, the capture operating cost per tonne of CO2 (excluding electricity), and the electricity per tonne of CO2. Transport and storage, subsidies and the carbon tax rebate on captured CO2 are the same as for any captured tonne. Edit the 'Assumptions' tab; the 'CDSC' tab is exported to CDSC.csv.</t>
  </si>
  <si>
    <t>U.S. values</t>
  </si>
  <si>
    <t>Capture capital $29 per tonne of annual clinker capacity (CemZero, 2012 dollars), on top of the electric kiln's $299; capture operating cost $10.3 per tonne of CO2 (LEILAC); electricity 105 kWh per tonne of CO2 (LEILAC and Varnier agree). About 51 kWh per tonne of clinker, 4 percent on top of the electric kiln's own electricity.</t>
  </si>
  <si>
    <t>Confidence</t>
  </si>
  <si>
    <t>Low. The capital rests on one 2018 pre-feasibility study (+/-25 percent); LEILAC's figures run to $45 per tonne of capacity. The operating cost is from one source; a purification-unit-only estimate is $2.5-5 per tonne of CO2. Currency conversions use 2018 and 2021 euro-dollar averages and the CPI-U.</t>
  </si>
  <si>
    <t>Values (edit here)</t>
  </si>
  <si>
    <t>Quantity</t>
  </si>
  <si>
    <t>Value</t>
  </si>
  <si>
    <t>Basis</t>
  </si>
  <si>
    <t>Capture unit capital cost (2012 USD per metric ton of annual clinker capacity)</t>
  </si>
  <si>
    <t>CemZero 2018: purification unit plus other capture items, with 10 percent owner's cost</t>
  </si>
  <si>
    <t>Capture operating cost excluding electricity (2012 USD per metric ton CO2)</t>
  </si>
  <si>
    <t>LEILAC 2021: non-compressor fixed and variable cost</t>
  </si>
  <si>
    <t>Capture electricity (kWh per metric ton CO2)</t>
  </si>
  <si>
    <t>LEILAC 2021 and Varnier 2025, purification and compression</t>
  </si>
  <si>
    <t>Live checks</t>
  </si>
  <si>
    <t>Check</t>
  </si>
  <si>
    <t>Result</t>
  </si>
  <si>
    <t>Exported values positive (count failing)</t>
  </si>
  <si>
    <t>Unit: see rows</t>
  </si>
  <si>
    <t>Capture Unit Capital Cost (2012 USD per metric ton of annual clinker capacity)</t>
  </si>
  <si>
    <t>Capture Operating Cost (2012 USD per metric ton CO2)</t>
  </si>
  <si>
    <t>Capture Electricity (kWh per metric ton 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</si>
</sst>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zenodo.org/records/17242514/files/Varnier_et_al_2025_JCP.pdf" TargetMode="External"/><Relationship Id="rId2" Type="http://schemas.openxmlformats.org/officeDocument/2006/relationships/hyperlink" Target="https://calix.global/wp-content/uploads/2021/10/LEILAC-Techno-economic-Summary-2021.pdf" TargetMode="External"/><Relationship Id="rId1" Type="http://schemas.openxmlformats.org/officeDocument/2006/relationships/hyperlink" Target="https://www.cement.heidelbergmaterials.se/sites/default/files/assets/document/65/de/final_cemzero_2018_public_version_2.0.pdf.pdf" TargetMode="External"/><Relationship Id="rId4" Type="http://schemas.openxmlformats.org/officeDocument/2006/relationships/hyperlink" Target="https://www.globalcement.com/news/analysis/14916-update-on-electric-cement-kil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tabSelected="1" workbookViewId="0"/>
  </sheetViews>
  <sheetFormatPr defaultRowHeight="15" x14ac:dyDescent="0.25"/>
  <cols>
    <col min="1" max="1" width="22" customWidth="1"/>
    <col min="2" max="2" width="110" customWidth="1"/>
  </cols>
  <sheetData>
    <row r="1" spans="1:2" x14ac:dyDescent="0.25">
      <c r="A1" s="1" t="s">
        <v>0</v>
      </c>
    </row>
    <row r="3" spans="1:2" x14ac:dyDescent="0.25">
      <c r="A3" s="1" t="s">
        <v>1</v>
      </c>
      <c r="B3" s="2" t="s">
        <v>2</v>
      </c>
    </row>
    <row r="4" spans="1:2" x14ac:dyDescent="0.25">
      <c r="B4" s="3" t="s">
        <v>3</v>
      </c>
    </row>
    <row r="5" spans="1:2" ht="30" x14ac:dyDescent="0.25">
      <c r="B5" s="3" t="s">
        <v>4</v>
      </c>
    </row>
    <row r="6" spans="1:2" x14ac:dyDescent="0.25">
      <c r="B6" s="3">
        <v>2018</v>
      </c>
    </row>
    <row r="7" spans="1:2" ht="30" x14ac:dyDescent="0.25">
      <c r="B7" s="4" t="s">
        <v>5</v>
      </c>
    </row>
    <row r="8" spans="1:2" ht="60" x14ac:dyDescent="0.25">
      <c r="B8" s="3" t="s">
        <v>6</v>
      </c>
    </row>
    <row r="10" spans="1:2" x14ac:dyDescent="0.25">
      <c r="B10" s="2" t="s">
        <v>7</v>
      </c>
    </row>
    <row r="11" spans="1:2" x14ac:dyDescent="0.25">
      <c r="B11" s="3" t="s">
        <v>8</v>
      </c>
    </row>
    <row r="12" spans="1:2" x14ac:dyDescent="0.25">
      <c r="B12" s="3" t="s">
        <v>9</v>
      </c>
    </row>
    <row r="13" spans="1:2" x14ac:dyDescent="0.25">
      <c r="B13" s="3">
        <v>2021</v>
      </c>
    </row>
    <row r="14" spans="1:2" x14ac:dyDescent="0.25">
      <c r="B14" s="4" t="s">
        <v>10</v>
      </c>
    </row>
    <row r="15" spans="1:2" ht="45" x14ac:dyDescent="0.25">
      <c r="B15" s="3" t="s">
        <v>11</v>
      </c>
    </row>
    <row r="17" spans="1:2" x14ac:dyDescent="0.25">
      <c r="B17" s="2" t="s">
        <v>12</v>
      </c>
    </row>
    <row r="18" spans="1:2" x14ac:dyDescent="0.25">
      <c r="B18" s="3" t="s">
        <v>13</v>
      </c>
    </row>
    <row r="19" spans="1:2" ht="30" x14ac:dyDescent="0.25">
      <c r="B19" s="3" t="s">
        <v>14</v>
      </c>
    </row>
    <row r="20" spans="1:2" x14ac:dyDescent="0.25">
      <c r="B20" s="3">
        <v>2025</v>
      </c>
    </row>
    <row r="21" spans="1:2" x14ac:dyDescent="0.25">
      <c r="B21" s="4" t="s">
        <v>15</v>
      </c>
    </row>
    <row r="22" spans="1:2" ht="30" x14ac:dyDescent="0.25">
      <c r="B22" s="3" t="s">
        <v>16</v>
      </c>
    </row>
    <row r="24" spans="1:2" x14ac:dyDescent="0.25">
      <c r="B24" s="2" t="s">
        <v>17</v>
      </c>
    </row>
    <row r="25" spans="1:2" x14ac:dyDescent="0.25">
      <c r="B25" s="3" t="s">
        <v>18</v>
      </c>
    </row>
    <row r="26" spans="1:2" x14ac:dyDescent="0.25">
      <c r="B26" s="3" t="s">
        <v>19</v>
      </c>
    </row>
    <row r="27" spans="1:2" x14ac:dyDescent="0.25">
      <c r="B27" s="3">
        <v>2026</v>
      </c>
    </row>
    <row r="28" spans="1:2" x14ac:dyDescent="0.25">
      <c r="B28" s="4" t="s">
        <v>20</v>
      </c>
    </row>
    <row r="29" spans="1:2" ht="30" x14ac:dyDescent="0.25">
      <c r="B29" s="3" t="s">
        <v>21</v>
      </c>
    </row>
    <row r="32" spans="1:2" x14ac:dyDescent="0.25">
      <c r="A32" s="1" t="s">
        <v>22</v>
      </c>
    </row>
    <row r="33" spans="1:2" ht="105" x14ac:dyDescent="0.25">
      <c r="A33" s="5" t="s">
        <v>23</v>
      </c>
      <c r="B33" s="3" t="s">
        <v>24</v>
      </c>
    </row>
    <row r="34" spans="1:2" ht="45" x14ac:dyDescent="0.25">
      <c r="A34" s="5" t="s">
        <v>25</v>
      </c>
      <c r="B34" s="3" t="s">
        <v>26</v>
      </c>
    </row>
    <row r="35" spans="1:2" ht="45" x14ac:dyDescent="0.25">
      <c r="A35" s="5" t="s">
        <v>27</v>
      </c>
      <c r="B35" s="3" t="s">
        <v>28</v>
      </c>
    </row>
  </sheetData>
  <hyperlinks>
    <hyperlink ref="B7" r:id="rId1" xr:uid="{00000000-0004-0000-0000-000000000000}"/>
    <hyperlink ref="B14" r:id="rId2" xr:uid="{00000000-0004-0000-0000-000001000000}"/>
    <hyperlink ref="B21" r:id="rId3" xr:uid="{00000000-0004-0000-0000-000002000000}"/>
    <hyperlink ref="B28"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defaultRowHeight="15" x14ac:dyDescent="0.25"/>
  <cols>
    <col min="1" max="1" width="72" customWidth="1"/>
    <col min="2" max="2" width="12" customWidth="1"/>
    <col min="3" max="3" width="70" customWidth="1"/>
  </cols>
  <sheetData>
    <row r="1" spans="1:3" x14ac:dyDescent="0.25">
      <c r="A1" s="1" t="s">
        <v>29</v>
      </c>
    </row>
    <row r="3" spans="1:3" ht="20.100000000000001" customHeight="1" x14ac:dyDescent="0.25">
      <c r="A3" s="6" t="s">
        <v>30</v>
      </c>
      <c r="B3" s="6" t="s">
        <v>31</v>
      </c>
      <c r="C3" s="6" t="s">
        <v>32</v>
      </c>
    </row>
    <row r="4" spans="1:3" ht="30" x14ac:dyDescent="0.25">
      <c r="A4" t="s">
        <v>33</v>
      </c>
      <c r="B4">
        <v>28.7</v>
      </c>
      <c r="C4" s="3" t="s">
        <v>34</v>
      </c>
    </row>
    <row r="5" spans="1:3" x14ac:dyDescent="0.25">
      <c r="A5" t="s">
        <v>35</v>
      </c>
      <c r="B5">
        <v>10.3</v>
      </c>
      <c r="C5" s="3" t="s">
        <v>36</v>
      </c>
    </row>
    <row r="6" spans="1:3" x14ac:dyDescent="0.25">
      <c r="A6" t="s">
        <v>37</v>
      </c>
      <c r="B6">
        <v>105</v>
      </c>
      <c r="C6" s="3" t="s">
        <v>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workbookViewId="0"/>
  </sheetViews>
  <sheetFormatPr defaultRowHeight="15" x14ac:dyDescent="0.25"/>
  <cols>
    <col min="1" max="1" width="50" customWidth="1"/>
  </cols>
  <sheetData>
    <row r="1" spans="1:3" x14ac:dyDescent="0.25">
      <c r="A1" s="1" t="s">
        <v>39</v>
      </c>
    </row>
    <row r="2" spans="1:3" ht="20.100000000000001" customHeight="1" x14ac:dyDescent="0.25">
      <c r="A2" s="6" t="s">
        <v>40</v>
      </c>
      <c r="B2" s="6" t="s">
        <v>31</v>
      </c>
      <c r="C2" s="6" t="s">
        <v>41</v>
      </c>
    </row>
    <row r="3" spans="1:3" x14ac:dyDescent="0.25">
      <c r="A3" t="s">
        <v>42</v>
      </c>
      <c r="B3">
        <f>COUNTIF(CDSC!B2:B4,"&lt;=0")+COUNTBLANK(CDSC!B2:B4)</f>
        <v>0</v>
      </c>
      <c r="C3" t="str">
        <f>IF(B3=0,"PASS","FAIL")</f>
        <v>PASS</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B4"/>
  <sheetViews>
    <sheetView workbookViewId="0"/>
  </sheetViews>
  <sheetFormatPr defaultRowHeight="15" x14ac:dyDescent="0.25"/>
  <cols>
    <col min="1" max="1" width="70" customWidth="1"/>
  </cols>
  <sheetData>
    <row r="1" spans="1:2" x14ac:dyDescent="0.25">
      <c r="A1" t="s">
        <v>43</v>
      </c>
      <c r="B1" t="s">
        <v>31</v>
      </c>
    </row>
    <row r="2" spans="1:2" x14ac:dyDescent="0.25">
      <c r="A2" t="s">
        <v>44</v>
      </c>
      <c r="B2">
        <f>Assumptions!B4</f>
        <v>28.7</v>
      </c>
    </row>
    <row r="3" spans="1:2" x14ac:dyDescent="0.25">
      <c r="A3" t="s">
        <v>45</v>
      </c>
      <c r="B3">
        <f>Assumptions!B5</f>
        <v>10.3</v>
      </c>
    </row>
    <row r="4" spans="1:2" x14ac:dyDescent="0.25">
      <c r="A4" t="s">
        <v>46</v>
      </c>
      <c r="B4">
        <f>Assumptions!B6</f>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Assumptions</vt:lpstr>
      <vt:lpstr>Checks</vt:lpstr>
      <vt:lpstr>CDSC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2026-10-19T18:22:37Z</dcterms:created>
  <dcterms:modified xsi:type="dcterms:W3CDTF">2026-10-19T18:22:40Z</dcterms:modified>
</cp:coreProperties>
</file>