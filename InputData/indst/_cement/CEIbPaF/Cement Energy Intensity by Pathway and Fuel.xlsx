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CEIbPaF\"/>
    </mc:Choice>
  </mc:AlternateContent>
  <xr:revisionPtr revIDLastSave="0" documentId="13_ncr:1_{6313B5F0-528E-4A1F-9BD9-E074577FD069}" xr6:coauthVersionLast="47" xr6:coauthVersionMax="47" xr10:uidLastSave="{00000000-0000-0000-0000-000000000000}"/>
  <bookViews>
    <workbookView xWindow="1560" yWindow="1560" windowWidth="21600" windowHeight="11235" xr2:uid="{00000000-000D-0000-FFFF-FFFF00000000}"/>
  </bookViews>
  <sheets>
    <sheet name="About" sheetId="1" r:id="rId1"/>
    <sheet name="Source Data" sheetId="2" r:id="rId2"/>
    <sheet name="Parameters" sheetId="3" r:id="rId3"/>
    <sheet name="Calc" sheetId="4" r:id="rId4"/>
    <sheet name="CEIbPaF"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6" l="1"/>
  <c r="J5" i="6"/>
  <c r="I5" i="6"/>
  <c r="H5" i="6"/>
  <c r="G5" i="6"/>
  <c r="F5" i="6"/>
  <c r="E5" i="6"/>
  <c r="D5" i="6"/>
  <c r="C5" i="6"/>
  <c r="B13" i="4"/>
  <c r="B45" i="2"/>
  <c r="B3" i="3" s="1"/>
  <c r="B22" i="4"/>
  <c r="B6" i="6" s="1"/>
  <c r="B18" i="4"/>
  <c r="B14" i="4"/>
  <c r="B2" i="4"/>
  <c r="B10" i="4" s="1"/>
  <c r="B11" i="3"/>
  <c r="B11" i="4" l="1"/>
  <c r="B2" i="3"/>
  <c r="B7" i="4" s="1"/>
  <c r="B8" i="4"/>
  <c r="B15" i="4"/>
  <c r="B19" i="4" s="1"/>
  <c r="B4" i="6" s="1"/>
  <c r="B5" i="6" s="1"/>
  <c r="B9" i="4"/>
  <c r="E3" i="6"/>
  <c r="E2" i="6"/>
  <c r="B3" i="4"/>
  <c r="B3" i="6" l="1"/>
  <c r="B2" i="6"/>
  <c r="F2" i="6"/>
  <c r="F3" i="6"/>
  <c r="D3" i="6"/>
  <c r="D2" i="6"/>
  <c r="C3" i="6"/>
  <c r="C2" i="6"/>
  <c r="I3" i="6"/>
  <c r="I2" i="6"/>
</calcChain>
</file>

<file path=xl/sharedStrings.xml><?xml version="1.0" encoding="utf-8"?>
<sst xmlns="http://schemas.openxmlformats.org/spreadsheetml/2006/main" count="130" uniqueCount="127">
  <si>
    <t>CEIbPaF Cement Energy Intensity by Pathway and Fuel</t>
  </si>
  <si>
    <t>Sources:</t>
  </si>
  <si>
    <t>https://www.energy.gov/eere/amo/articles/bandwidth-study-energy-use-and-potential-energy-savings-opportunities-us-1</t>
  </si>
  <si>
    <t>Portland Cement Association (PCA)</t>
  </si>
  <si>
    <t>https://www.cement.org/newsroom</t>
  </si>
  <si>
    <t>https://www.cement.org/</t>
  </si>
  <si>
    <t>Notes:</t>
  </si>
  <si>
    <t>DOE Bandwidth Study 2017, Table 3-2</t>
  </si>
  <si>
    <t>Dry pyroprocessing current typical energy (Btu/lb clinker)</t>
  </si>
  <si>
    <t>Conversion factor (lb/metric ton)</t>
  </si>
  <si>
    <t>PCA 2023 Labor-Energy Input Survey fuel mix (share of onsite thermal fuel)</t>
  </si>
  <si>
    <t>Natural gas share</t>
  </si>
  <si>
    <t>Alternative fuels share</t>
  </si>
  <si>
    <t>Coal + petroleum coke combined share</t>
  </si>
  <si>
    <t>PCA electricity intensity (kWh/metric ton CEMENT)</t>
  </si>
  <si>
    <t>BTU per kWh</t>
  </si>
  <si>
    <t>Coal share of total thermal energy</t>
  </si>
  <si>
    <t>Petroleum coke share of total thermal energy (rides "heavy or residual fuel oil if")</t>
  </si>
  <si>
    <t>Petcoke split between EPS fuel elements, following BIFU: AEO cement block 2025 petroleum coke 24.6 TBtu (filed as petroleum diesel) vs other petroleum 35.4 TBtu (filed as residual-oil feedstock)</t>
  </si>
  <si>
    <t>Share of module petcoke on petroleum diesel</t>
  </si>
  <si>
    <t>Share on heavy or residual fuel oil</t>
  </si>
  <si>
    <t>Thermal energy intensity conversion</t>
  </si>
  <si>
    <t>Thermal MMBtu/metric ton clinker (display)</t>
  </si>
  <si>
    <t>Fuel</t>
  </si>
  <si>
    <t>BTU/t clinker</t>
  </si>
  <si>
    <t>hard coal if</t>
  </si>
  <si>
    <t>natural gas if</t>
  </si>
  <si>
    <t>heavy or residual fuel oil if (petroleum coke, 59%)</t>
  </si>
  <si>
    <t>biomass if (alternative fuels)</t>
  </si>
  <si>
    <t>petroleum diesel if (petroleum coke, 41%)</t>
  </si>
  <si>
    <t>Electricity</t>
  </si>
  <si>
    <t>dry kiln with precalciner</t>
  </si>
  <si>
    <t>electricity if</t>
  </si>
  <si>
    <t>biomass if</t>
  </si>
  <si>
    <t>heavy or residual fuel oil if</t>
  </si>
  <si>
    <t>dry kiln with CCS</t>
  </si>
  <si>
    <t>electric kiln</t>
  </si>
  <si>
    <t>alternative chemistry cement</t>
  </si>
  <si>
    <t>petroleum diesel if</t>
  </si>
  <si>
    <t>heat if</t>
  </si>
  <si>
    <t>crude oil if</t>
  </si>
  <si>
    <t>LPG propane or butane if</t>
  </si>
  <si>
    <t>hydrogen if</t>
  </si>
  <si>
    <t>Total kiln thermal energy per ton of clinker</t>
  </si>
  <si>
    <t>U.S. Department of Energy, Advanced Manufacturing Office</t>
  </si>
  <si>
    <t>Bandwidth Study on Energy Use and Potential Energy Savings Opportunities in U.S. Cement Manufacturing, Table 3-2</t>
  </si>
  <si>
    <t>Table 3-2 gives 'current typical' dry-kiln-with-precalciner pyroprocessing energy of 1,554 Btu per pound of clinker. Multiplied by 2,204.62 pounds per metric ton, that is about 3.43 million BTU per metric ton of clinker, the thermal total split across fuels on the 'Calc' tab.</t>
  </si>
  <si>
    <t>Fuel shares of kiln thermal energy</t>
  </si>
  <si>
    <t>2023 Labor-Energy Input Survey, as summarized in a PCA press release</t>
  </si>
  <si>
    <t>Natural gas 31% of onsite thermal fuel, alternative fuels 16%, and coal plus petroleum coke together 53%. PCA does not break out coal from petroleum coke. We read these from the press release summary, not the full survey.</t>
  </si>
  <si>
    <t>U.S. Energy Information Administration</t>
  </si>
  <si>
    <t>PCA plant energy survey, as cited for 142 kWh per metric ton of cement</t>
  </si>
  <si>
    <t>Petroleum coke split between two fuel columns</t>
  </si>
  <si>
    <t>EPS internal input, based on EIA Annual Energy Outlook data</t>
  </si>
  <si>
    <t>BAU Industrial Fuel Use (BIFU) input file, cement block, 2025</t>
  </si>
  <si>
    <t>InputData/indst/BIFU (EPS input file)</t>
  </si>
  <si>
    <t>In BIFU's cement block, petroleum coke (24.6 trillion BTU) is filed under petroleum diesel and other petroleum (35.4 trillion BTU) under heavy or residual fuel oil. We split our petroleum coke the same way, 41% and 59%, so this module reconciles with that file. The shares are on the 'Parameters' tab.</t>
  </si>
  <si>
    <t>Purpose and layout</t>
  </si>
  <si>
    <t>U.S. values for the conventional kiln</t>
  </si>
  <si>
    <t>Where petroleum coke and alternative fuels sit</t>
  </si>
  <si>
    <t>Dry kiln with CCS</t>
  </si>
  <si>
    <t>This row covers the kiln only and is identical to the dry kiln with precalciner. The energy used by the capture unit (steam and electricity for solvent regeneration and compression) comes from the CCS sector's energy-use-per-ton-captured inputs, scaled by the CO2 actually captured, so it is not added here.</t>
  </si>
  <si>
    <t>Electric kiln and alternative chemistry cement</t>
  </si>
  <si>
    <t>Unit: BTU/metric ton clinker</t>
  </si>
  <si>
    <t>Clinker per ton of cement for US plants, 2025 (USGS domestic clinker 69 Mt / cement 84 Mt)</t>
  </si>
  <si>
    <t>Electric kiln heat, engineering estimates (GJ electricity per metric ton clinker)</t>
  </si>
  <si>
    <t>CemZero 2018: plasma kiln, optimized</t>
  </si>
  <si>
    <t>CemZero 2018: electric flow heater (151.2 MW per 1 Mt/yr at 8,000 h)</t>
  </si>
  <si>
    <t>CemZero 2018: electric calciner plus plasma kiln</t>
  </si>
  <si>
    <t>Quevedo Parra &amp; Romano 2023: fully electric plant, excluding CO2 compression and plant auxiliaries</t>
  </si>
  <si>
    <t>Alternative chemistry cement (GJ electricity per metric ton binder)</t>
  </si>
  <si>
    <t>Electrochemical calcium extraction from silicate rock (Lu et al. 2024; Prancevic et al. 2026)</t>
  </si>
  <si>
    <t>Auxiliary plant electricity (BTU per metric ton; EI estimate)</t>
  </si>
  <si>
    <t>BTU per GJ</t>
  </si>
  <si>
    <t>Electric kiln (all electricity)</t>
  </si>
  <si>
    <t>Kiln heat: mean of the four engineering estimates (GJ/t)</t>
  </si>
  <si>
    <t>Alternative chemistry cement (all electricity)</t>
  </si>
  <si>
    <t>Electric kiln energy use</t>
  </si>
  <si>
    <t>Vattenfall and Cementa (Heidelberg Materials)</t>
  </si>
  <si>
    <t>CemZero: A feasibility study evaluating ways to reach sustainable cement production via the use of electricity</t>
  </si>
  <si>
    <t>https://www.cement.heidelbergmaterials.se/sites/default/files/assets/document/65/de/final_cemzero_2018_public_version_2.0.pdf.pdf</t>
  </si>
  <si>
    <t>Electricity for kiln heat of about 4.4 GJ per metric ton of clinker for an optimized plasma kiln, 4.35 GJ for an electric flow-heater design (151.2 MW for 1 million metric tons a year at 8,000 hours), and 3.3 GJ for an electric calciner combined with a plasma kiln. On the 'Source Data' tab.</t>
  </si>
  <si>
    <t>Electric kiln energy use (cross-check)</t>
  </si>
  <si>
    <t>Quevedo Parra and Romano, Journal of Cleaner Production</t>
  </si>
  <si>
    <t>Decarbonization of cement production by electrification</t>
  </si>
  <si>
    <t>https://doi.org/10.1016/j.jclepro.2023.138913</t>
  </si>
  <si>
    <t>A fully electric cement plant uses about 1,341 kWh per metric ton of clinker including plant auxiliaries and CO2 compression; we use about 4.15 GJ for the kiln heat alone after removing those. We could not open the full paper, so this figure comes from the abstract and a secondary summary.</t>
  </si>
  <si>
    <t>Alternative chemistry energy use</t>
  </si>
  <si>
    <t>Lu et al., Energy &amp; Environmental Science</t>
  </si>
  <si>
    <t>Electrochemical production of cement from silicate rock (calcium extraction)</t>
  </si>
  <si>
    <t>https://www.osti.gov/servlets/purl/2483753</t>
  </si>
  <si>
    <t>Electrochemical extraction of calcium from silicate rock needs about 4.5 GJ of electricity per metric ton of portland-cement equivalent. Prancevic et al. (Communications Sustainability, 2026; https://www.nature.com/articles/s44458-026-00056-4) reach the same 4.5 GJ by a different method; one of its co-authors leads Brimstone.</t>
  </si>
  <si>
    <t>This file gives the final energy used to make one metric ton of clinker, in BTU, for each cement production pathway and each fuel. The EPS cement module multiplies it by clinker output to get kiln fuel and electricity use, and from that fuel costs and combustion emissions. The boundary is the kiln itself.
The tabs run from inputs to output. 'Source Data' holds the published figures, including the electric kiln and alternative chemistry estimates. 'Parameters' holds our judgment values: the coal and petroleum coke shares and the petroleum coke split. 'Calc' does the arithmetic, and the 'CEIbPaF' tab reads from it by formula and is what gets exported to CEIbPaF.csv.</t>
  </si>
  <si>
    <t>Electricity cross-check (context only): PCA plant energy survey</t>
  </si>
  <si>
    <t>EIA Manufacturing Energy Consumption Survey 2022, cement (NAICS 327310)</t>
  </si>
  <si>
    <t>Total fuel consumption (trillion Btu, Table 3.2)</t>
  </si>
  <si>
    <t>Net electricity (trillion Btu, Table 3.2)</t>
  </si>
  <si>
    <t>Natural gas (trillion Btu, Table 3.2)</t>
  </si>
  <si>
    <t>Coal (trillion Btu, Table 3.2)</t>
  </si>
  <si>
    <t>Petroleum coke (trillion Btu, Table 3.5 byproducts)</t>
  </si>
  <si>
    <t>Net electricity (million kWh, Table 3.1)</t>
  </si>
  <si>
    <t>U.S. clinker production, 2022 (million metric tons; USGS Mineral Commodity Summaries 2026)</t>
  </si>
  <si>
    <t>Coal share of coal + petroleum coke</t>
  </si>
  <si>
    <t>Split of PCA's combined 53% coal + petroleum coke share, using the MECS 2022 coal-to-petroleum-coke ratio</t>
  </si>
  <si>
    <t>PCA 53% x MECS 2022 coal share (121 / (121 + 38))</t>
  </si>
  <si>
    <t>PCA 53% x MECS 2022 petroleum coke share</t>
  </si>
  <si>
    <t>kWh per metric ton clinker (MECS 2022 net electricity / USGS 2022 clinker production)</t>
  </si>
  <si>
    <t>BTU per metric ton clinker</t>
  </si>
  <si>
    <t>BTU per metric ton clinker (value used)</t>
  </si>
  <si>
    <t>Thermal BTU/metric ton clinker</t>
  </si>
  <si>
    <t>Fuel splits</t>
  </si>
  <si>
    <t>Electric kiln BTU/t = heat x BTU per GJ + ordinary plant electricity (B15)</t>
  </si>
  <si>
    <t>BTU/t = process electricity x BTU per GJ + auxiliary electricity</t>
  </si>
  <si>
    <t>Coal versus petroleum coke split, and plant electricity</t>
  </si>
  <si>
    <t>Manufacturing Energy Consumption Survey (MECS) 2022, Tables 3.1, 3.2 and 3.5, NAICS 327310 (cement)</t>
  </si>
  <si>
    <t>https://www.eia.gov/consumption/manufacturing/data/2022/</t>
  </si>
  <si>
    <t>Cement plants used 121 trillion Btu of coal and 38 trillion Btu of petroleum coke (Table 3.5, byproducts) in 2022, a coal share of 76% of the two; we use that ratio to split PCA's combined 53%. Net electricity was 13,035 million kWh (Table 3.1); divided by USGS 2022 clinker production of 79.489 million metric tons that is 164 kWh, or 559,517 BTU, per metric ton of clinker. Total fuel use was 362 trillion Btu including electricity. The figures are on the 'Source Data' tab.</t>
  </si>
  <si>
    <t>Electricity cross-check</t>
  </si>
  <si>
    <t>142 kWh per metric ton of cement (not clinker), a secondary citation of the PCA survey. On a clinker basis (divided by USGS 2025 domestic clinker over cement production, 69/84) that is about 173 kWh per metric ton of clinker, above MECS 2022's 164; MECS is used.</t>
  </si>
  <si>
    <t>We take the DOE thermal total of about 3.43 million BTU per metric ton of clinker and split it with the PCA 2023 fuel mix: natural gas 31%, alternative fuels 16%, and coal plus petroleum coke 53%. PCA does not separate coal from petroleum coke, so we divide the 53% using MECS 2022's coal-to-petroleum-coke ratio (121 to 38): coal 40.3% and petroleum coke 12.7%. Results are about 1,382,000 BTU of coal, 1,062,000 of natural gas, 548,000 of alternative fuels and 434,000 of petroleum coke, plus 559,517 BTU of electricity from MECS 2022. The dry kiln with precalciner and the dry kiln with CCS carry identical rows.</t>
  </si>
  <si>
    <t>The model's fuel list has no petroleum coke entry. We book it in two columns, 41% under 'petroleum diesel if' and 59% under 'heavy or residual fuel oil if', following how the BAU Industrial Fuel Use file labels cement-sector petroleum fuels. The 434,000 BTU of petroleum coke splits into about 178,000 and 256,000. Alternative fuels (tires and waste-derived fuels) go in the 'biomass if' column as the nearest fit; the fossil part of their carbon is handled separately by the cement module's alternative fuel CO2 intensity. Heat, crude oil, LPG, and the three hydrogen columns are zero because the sources show no material use of them in cement kilns today.</t>
  </si>
  <si>
    <t>Both are electricity-only. The electric kiln is 4,398,176 BTU per metric ton: the average of four engineering estimates of kiln heat (4.05 GJ, about 3,839,000 BTU) plus the 559,517 BTU of ordinary plant electricity a conventional kiln uses. Alternative chemistry cement is 4,565,177 BTU per metric ton: 4.5 GJ of process electricity plus about 300,000 BTU of auxiliary electricity (our estimate). No commercial plant exists for either, so these are design-stage estimates; reasonable ranges are 3.7-5.0 million BTU for the electric kiln and 2.5-6.7 million for alternative chemistry. First-generation electric kilns may still burn some fuel (about 1.3 million BTU per ton) because today's plasma torches are only a few megawatts; the file treats the mature design as fully electric.</t>
  </si>
  <si>
    <t>Open question on the thermal total</t>
  </si>
  <si>
    <t>MECS 2022 implies about 4.0 million BTU of fuel per metric ton of clinker for U.S. cement plants (318 trillion Btu of fuel over 79.5 million metric tons), about 17% above the DOE kiln figure used here. Part of the gap is fuel used outside the kiln (raw material drying, mobile equipment, space heat), but the two have not been reconciled.</t>
  </si>
  <si>
    <t>electric kiln with CCS</t>
  </si>
  <si>
    <t>Electric kiln with CCS</t>
  </si>
  <si>
    <t>The electric kiln with CCS is the electric kiln with a capture unit on its nearly pure CO2 stream, so it uses the electric kiln's value here (same kiln). Its capture is added through CCF (95 percent of calcination CO2 captured) and the CDSC capture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</si>
</sst>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u/>
      <sz val="11"/>
      <color theme="10"/>
      <name val="Calibri"/>
      <family val="2"/>
      <scheme val="minor"/>
    </font>
    <font>
      <b/>
      <sz val="11"/>
      <color theme="1"/>
      <name val="Calibri"/>
      <family val="2"/>
      <scheme val="minor"/>
    </font>
    <font>
      <u/>
      <sz val="11"/>
      <color rgb="FF0563C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0" borderId="0" xfId="0" applyFont="1"/>
    <xf numFmtId="0" fontId="3" fillId="0" borderId="0" xfId="0" applyFont="1" applyAlignment="1">
      <alignment horizontal="left" vertical="top" wrapText="1"/>
    </xf>
    <xf numFmtId="0" fontId="3" fillId="0" borderId="0" xfId="0" applyFont="1" applyAlignment="1">
      <alignment horizontal="left" vertical="top"/>
    </xf>
    <xf numFmtId="0" fontId="3" fillId="2" borderId="0" xfId="0" applyFont="1" applyFill="1" applyAlignment="1">
      <alignment horizontal="left" vertical="top" wrapText="1"/>
    </xf>
    <xf numFmtId="0" fontId="4" fillId="0" borderId="0" xfId="1" applyFont="1" applyAlignment="1">
      <alignment horizontal="left" vertical="top" wrapText="1"/>
    </xf>
    <xf numFmtId="0" fontId="3" fillId="0" borderId="0" xfId="0" applyFont="1"/>
    <xf numFmtId="0" fontId="0" fillId="0" borderId="0" xfId="0" applyAlignment="1">
      <alignment horizontal="left" vertical="top" wrapText="1"/>
    </xf>
    <xf numFmtId="0" fontId="0" fillId="0" borderId="0" xfId="0" applyAlignment="1">
      <alignment wrapText="1"/>
    </xf>
    <xf numFmtId="0" fontId="3" fillId="0" borderId="0" xfId="0" applyFont="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manufacturing/data/2022/" TargetMode="External"/><Relationship Id="rId7" Type="http://schemas.openxmlformats.org/officeDocument/2006/relationships/hyperlink" Target="https://www.osti.gov/servlets/purl/2483753" TargetMode="External"/><Relationship Id="rId2" Type="http://schemas.openxmlformats.org/officeDocument/2006/relationships/hyperlink" Target="https://www.cement.org/newsroom" TargetMode="External"/><Relationship Id="rId1" Type="http://schemas.openxmlformats.org/officeDocument/2006/relationships/hyperlink" Target="https://www.energy.gov/eere/amo/articles/bandwidth-study-energy-use-and-potential-energy-savings-opportunities-us-1" TargetMode="External"/><Relationship Id="rId6" Type="http://schemas.openxmlformats.org/officeDocument/2006/relationships/hyperlink" Target="https://doi.org/10.1016/j.jclepro.2023.138913" TargetMode="External"/><Relationship Id="rId5" Type="http://schemas.openxmlformats.org/officeDocument/2006/relationships/hyperlink" Target="https://www.cement.heidelbergmaterials.se/sites/default/files/assets/document/65/de/final_cemzero_2018_public_version_2.0.pdf.pdf" TargetMode="External"/><Relationship Id="rId4" Type="http://schemas.openxmlformats.org/officeDocument/2006/relationships/hyperlink" Target="https://www.cement.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9"/>
  <sheetViews>
    <sheetView tabSelected="1" workbookViewId="0"/>
  </sheetViews>
  <sheetFormatPr defaultRowHeight="15" x14ac:dyDescent="0.25"/>
  <cols>
    <col min="1" max="1" width="14.5703125" customWidth="1"/>
    <col min="2" max="2" width="110.5703125" customWidth="1"/>
    <col min="3" max="3" width="3.5703125" customWidth="1"/>
    <col min="4" max="4" width="110.5703125" customWidth="1"/>
  </cols>
  <sheetData>
    <row r="1" spans="1:4" x14ac:dyDescent="0.25">
      <c r="A1" s="3" t="s">
        <v>0</v>
      </c>
    </row>
    <row r="3" spans="1:4" x14ac:dyDescent="0.25">
      <c r="A3" s="2" t="s">
        <v>1</v>
      </c>
      <c r="B3" s="4" t="s">
        <v>43</v>
      </c>
      <c r="D3" s="4" t="s">
        <v>52</v>
      </c>
    </row>
    <row r="4" spans="1:4" x14ac:dyDescent="0.25">
      <c r="B4" s="7" t="s">
        <v>44</v>
      </c>
      <c r="D4" s="7" t="s">
        <v>53</v>
      </c>
    </row>
    <row r="5" spans="1:4" x14ac:dyDescent="0.25">
      <c r="B5" s="7" t="s">
        <v>45</v>
      </c>
      <c r="D5" s="7" t="s">
        <v>54</v>
      </c>
    </row>
    <row r="6" spans="1:4" x14ac:dyDescent="0.25">
      <c r="B6" s="7">
        <v>2017</v>
      </c>
      <c r="D6" s="7">
        <v>2026</v>
      </c>
    </row>
    <row r="7" spans="1:4" ht="30" x14ac:dyDescent="0.25">
      <c r="B7" s="5" t="s">
        <v>2</v>
      </c>
      <c r="D7" s="7" t="s">
        <v>55</v>
      </c>
    </row>
    <row r="8" spans="1:4" ht="45" x14ac:dyDescent="0.25">
      <c r="B8" s="7" t="s">
        <v>46</v>
      </c>
      <c r="D8" s="7" t="s">
        <v>56</v>
      </c>
    </row>
    <row r="10" spans="1:4" x14ac:dyDescent="0.25">
      <c r="B10" s="4" t="s">
        <v>47</v>
      </c>
      <c r="D10" s="4" t="s">
        <v>77</v>
      </c>
    </row>
    <row r="11" spans="1:4" x14ac:dyDescent="0.25">
      <c r="B11" s="7" t="s">
        <v>3</v>
      </c>
      <c r="D11" s="7" t="s">
        <v>78</v>
      </c>
    </row>
    <row r="12" spans="1:4" x14ac:dyDescent="0.25">
      <c r="B12" s="7" t="s">
        <v>48</v>
      </c>
      <c r="D12" s="7" t="s">
        <v>79</v>
      </c>
    </row>
    <row r="13" spans="1:4" x14ac:dyDescent="0.25">
      <c r="B13" s="7">
        <v>2023</v>
      </c>
      <c r="D13" s="7">
        <v>2018</v>
      </c>
    </row>
    <row r="14" spans="1:4" ht="30" x14ac:dyDescent="0.25">
      <c r="B14" s="5" t="s">
        <v>4</v>
      </c>
      <c r="D14" s="5" t="s">
        <v>80</v>
      </c>
    </row>
    <row r="15" spans="1:4" ht="45" x14ac:dyDescent="0.25">
      <c r="B15" s="7" t="s">
        <v>49</v>
      </c>
      <c r="D15" s="7" t="s">
        <v>81</v>
      </c>
    </row>
    <row r="17" spans="1:4" x14ac:dyDescent="0.25">
      <c r="B17" s="4" t="s">
        <v>113</v>
      </c>
      <c r="D17" s="4" t="s">
        <v>82</v>
      </c>
    </row>
    <row r="18" spans="1:4" x14ac:dyDescent="0.25">
      <c r="B18" s="7" t="s">
        <v>50</v>
      </c>
      <c r="D18" s="7" t="s">
        <v>83</v>
      </c>
    </row>
    <row r="19" spans="1:4" x14ac:dyDescent="0.25">
      <c r="B19" s="7" t="s">
        <v>114</v>
      </c>
      <c r="D19" s="7" t="s">
        <v>84</v>
      </c>
    </row>
    <row r="20" spans="1:4" x14ac:dyDescent="0.25">
      <c r="B20" s="7">
        <v>2025</v>
      </c>
      <c r="D20" s="7">
        <v>2023</v>
      </c>
    </row>
    <row r="21" spans="1:4" x14ac:dyDescent="0.25">
      <c r="B21" s="5" t="s">
        <v>115</v>
      </c>
      <c r="D21" s="5" t="s">
        <v>85</v>
      </c>
    </row>
    <row r="22" spans="1:4" ht="60" x14ac:dyDescent="0.25">
      <c r="B22" s="7" t="s">
        <v>116</v>
      </c>
      <c r="D22" s="7" t="s">
        <v>86</v>
      </c>
    </row>
    <row r="24" spans="1:4" x14ac:dyDescent="0.25">
      <c r="B24" s="4" t="s">
        <v>117</v>
      </c>
      <c r="D24" s="4" t="s">
        <v>87</v>
      </c>
    </row>
    <row r="25" spans="1:4" x14ac:dyDescent="0.25">
      <c r="B25" s="7" t="s">
        <v>3</v>
      </c>
      <c r="D25" s="7" t="s">
        <v>88</v>
      </c>
    </row>
    <row r="26" spans="1:4" x14ac:dyDescent="0.25">
      <c r="B26" s="7" t="s">
        <v>51</v>
      </c>
      <c r="D26" s="7" t="s">
        <v>89</v>
      </c>
    </row>
    <row r="27" spans="1:4" x14ac:dyDescent="0.25">
      <c r="B27" s="7">
        <v>2008</v>
      </c>
      <c r="D27" s="7">
        <v>2024</v>
      </c>
    </row>
    <row r="28" spans="1:4" x14ac:dyDescent="0.25">
      <c r="B28" s="5" t="s">
        <v>5</v>
      </c>
      <c r="D28" s="5" t="s">
        <v>90</v>
      </c>
    </row>
    <row r="29" spans="1:4" ht="45" x14ac:dyDescent="0.25">
      <c r="B29" s="7" t="s">
        <v>118</v>
      </c>
      <c r="D29" s="7" t="s">
        <v>91</v>
      </c>
    </row>
    <row r="32" spans="1:4" x14ac:dyDescent="0.25">
      <c r="A32" s="2" t="s">
        <v>6</v>
      </c>
    </row>
    <row r="33" spans="1:2" ht="120" x14ac:dyDescent="0.25">
      <c r="A33" s="2" t="s">
        <v>57</v>
      </c>
      <c r="B33" s="7" t="s">
        <v>92</v>
      </c>
    </row>
    <row r="34" spans="1:2" ht="90" x14ac:dyDescent="0.25">
      <c r="A34" s="2" t="s">
        <v>58</v>
      </c>
      <c r="B34" s="7" t="s">
        <v>119</v>
      </c>
    </row>
    <row r="35" spans="1:2" ht="90" x14ac:dyDescent="0.25">
      <c r="A35" s="2" t="s">
        <v>59</v>
      </c>
      <c r="B35" s="7" t="s">
        <v>120</v>
      </c>
    </row>
    <row r="36" spans="1:2" ht="45" x14ac:dyDescent="0.25">
      <c r="A36" s="2" t="s">
        <v>60</v>
      </c>
      <c r="B36" s="7" t="s">
        <v>61</v>
      </c>
    </row>
    <row r="37" spans="1:2" ht="105" x14ac:dyDescent="0.25">
      <c r="A37" s="2" t="s">
        <v>62</v>
      </c>
      <c r="B37" s="7" t="s">
        <v>121</v>
      </c>
    </row>
    <row r="38" spans="1:2" ht="45" x14ac:dyDescent="0.25">
      <c r="A38" s="2" t="s">
        <v>122</v>
      </c>
      <c r="B38" s="7" t="s">
        <v>123</v>
      </c>
    </row>
    <row r="39" spans="1:2" ht="45" x14ac:dyDescent="0.25">
      <c r="A39" s="9" t="s">
        <v>125</v>
      </c>
      <c r="B39" s="8" t="s">
        <v>126</v>
      </c>
    </row>
  </sheetData>
  <hyperlinks>
    <hyperlink ref="B7" r:id="rId1" xr:uid="{752428E1-43DB-417D-95F4-11CF06003EB6}"/>
    <hyperlink ref="B14" r:id="rId2" xr:uid="{05E3BA6A-E112-4D5A-B9A5-9051A5CBADDE}"/>
    <hyperlink ref="B21" r:id="rId3" xr:uid="{80A56CCA-59C6-47FB-B6D0-7C8449356FA4}"/>
    <hyperlink ref="B28" r:id="rId4" xr:uid="{65679F05-373A-4D0A-A229-B2CA263AE21F}"/>
    <hyperlink ref="D14" r:id="rId5" xr:uid="{9C9874A3-226F-42FB-B8CF-088485F765CF}"/>
    <hyperlink ref="D21" r:id="rId6" xr:uid="{12A50DFC-FE28-4675-81D7-7AA081830597}"/>
    <hyperlink ref="D28" r:id="rId7" xr:uid="{C30C675E-D442-4CEF-B5A2-4323DB1F02CF}"/>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5"/>
  <sheetViews>
    <sheetView workbookViewId="0"/>
  </sheetViews>
  <sheetFormatPr defaultRowHeight="15" x14ac:dyDescent="0.25"/>
  <cols>
    <col min="1" max="1" width="52" customWidth="1"/>
    <col min="2" max="2" width="16" customWidth="1"/>
    <col min="3" max="3" width="60" customWidth="1"/>
  </cols>
  <sheetData>
    <row r="1" spans="1:2" x14ac:dyDescent="0.25">
      <c r="A1" s="1" t="s">
        <v>7</v>
      </c>
    </row>
    <row r="2" spans="1:2" x14ac:dyDescent="0.25">
      <c r="A2" t="s">
        <v>8</v>
      </c>
      <c r="B2">
        <v>1554</v>
      </c>
    </row>
    <row r="3" spans="1:2" x14ac:dyDescent="0.25">
      <c r="A3" t="s">
        <v>9</v>
      </c>
      <c r="B3">
        <v>2204.62</v>
      </c>
    </row>
    <row r="5" spans="1:2" x14ac:dyDescent="0.25">
      <c r="A5" s="1" t="s">
        <v>10</v>
      </c>
    </row>
    <row r="6" spans="1:2" x14ac:dyDescent="0.25">
      <c r="A6" t="s">
        <v>11</v>
      </c>
      <c r="B6">
        <v>0.31</v>
      </c>
    </row>
    <row r="7" spans="1:2" x14ac:dyDescent="0.25">
      <c r="A7" t="s">
        <v>12</v>
      </c>
      <c r="B7">
        <v>0.16</v>
      </c>
    </row>
    <row r="8" spans="1:2" x14ac:dyDescent="0.25">
      <c r="A8" t="s">
        <v>13</v>
      </c>
      <c r="B8">
        <v>0.53</v>
      </c>
    </row>
    <row r="15" spans="1:2" x14ac:dyDescent="0.25">
      <c r="A15" s="1" t="s">
        <v>93</v>
      </c>
    </row>
    <row r="16" spans="1:2" x14ac:dyDescent="0.25">
      <c r="A16" t="s">
        <v>14</v>
      </c>
      <c r="B16">
        <v>142</v>
      </c>
    </row>
    <row r="17" spans="1:2" x14ac:dyDescent="0.25">
      <c r="A17" t="s">
        <v>64</v>
      </c>
      <c r="B17">
        <v>0.82140000000000002</v>
      </c>
    </row>
    <row r="18" spans="1:2" x14ac:dyDescent="0.25">
      <c r="A18" t="s">
        <v>15</v>
      </c>
      <c r="B18">
        <v>3412</v>
      </c>
    </row>
    <row r="24" spans="1:2" x14ac:dyDescent="0.25">
      <c r="A24" s="6" t="s">
        <v>65</v>
      </c>
    </row>
    <row r="25" spans="1:2" x14ac:dyDescent="0.25">
      <c r="A25" t="s">
        <v>66</v>
      </c>
      <c r="B25">
        <v>4.4000000000000004</v>
      </c>
    </row>
    <row r="26" spans="1:2" x14ac:dyDescent="0.25">
      <c r="A26" t="s">
        <v>67</v>
      </c>
      <c r="B26">
        <v>4.3499999999999996</v>
      </c>
    </row>
    <row r="27" spans="1:2" x14ac:dyDescent="0.25">
      <c r="A27" t="s">
        <v>68</v>
      </c>
      <c r="B27">
        <v>3.3</v>
      </c>
    </row>
    <row r="28" spans="1:2" x14ac:dyDescent="0.25">
      <c r="A28" t="s">
        <v>69</v>
      </c>
      <c r="B28">
        <v>4.1500000000000004</v>
      </c>
    </row>
    <row r="30" spans="1:2" x14ac:dyDescent="0.25">
      <c r="A30" s="6" t="s">
        <v>70</v>
      </c>
    </row>
    <row r="31" spans="1:2" x14ac:dyDescent="0.25">
      <c r="A31" t="s">
        <v>71</v>
      </c>
      <c r="B31">
        <v>4.5</v>
      </c>
    </row>
    <row r="32" spans="1:2" x14ac:dyDescent="0.25">
      <c r="A32" t="s">
        <v>72</v>
      </c>
      <c r="B32">
        <v>300000</v>
      </c>
    </row>
    <row r="34" spans="1:2" x14ac:dyDescent="0.25">
      <c r="A34" t="s">
        <v>73</v>
      </c>
      <c r="B34">
        <v>947817</v>
      </c>
    </row>
    <row r="37" spans="1:2" x14ac:dyDescent="0.25">
      <c r="A37" s="6" t="s">
        <v>94</v>
      </c>
    </row>
    <row r="38" spans="1:2" x14ac:dyDescent="0.25">
      <c r="A38" t="s">
        <v>95</v>
      </c>
      <c r="B38">
        <v>362</v>
      </c>
    </row>
    <row r="39" spans="1:2" x14ac:dyDescent="0.25">
      <c r="A39" t="s">
        <v>96</v>
      </c>
      <c r="B39">
        <v>44</v>
      </c>
    </row>
    <row r="40" spans="1:2" x14ac:dyDescent="0.25">
      <c r="A40" t="s">
        <v>97</v>
      </c>
      <c r="B40">
        <v>90</v>
      </c>
    </row>
    <row r="41" spans="1:2" x14ac:dyDescent="0.25">
      <c r="A41" t="s">
        <v>98</v>
      </c>
      <c r="B41">
        <v>121</v>
      </c>
    </row>
    <row r="42" spans="1:2" x14ac:dyDescent="0.25">
      <c r="A42" t="s">
        <v>99</v>
      </c>
      <c r="B42">
        <v>38</v>
      </c>
    </row>
    <row r="43" spans="1:2" x14ac:dyDescent="0.25">
      <c r="A43" t="s">
        <v>100</v>
      </c>
      <c r="B43">
        <v>13035</v>
      </c>
    </row>
    <row r="44" spans="1:2" x14ac:dyDescent="0.25">
      <c r="A44" t="s">
        <v>101</v>
      </c>
      <c r="B44">
        <v>79.489000000000004</v>
      </c>
    </row>
    <row r="45" spans="1:2" x14ac:dyDescent="0.25">
      <c r="A45" t="s">
        <v>102</v>
      </c>
      <c r="B45">
        <f>B41/(B41+B42)</f>
        <v>0.76100628930817615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workbookViewId="0"/>
  </sheetViews>
  <sheetFormatPr defaultRowHeight="15" x14ac:dyDescent="0.25"/>
  <cols>
    <col min="1" max="1" width="52" customWidth="1"/>
    <col min="2" max="2" width="16" customWidth="1"/>
    <col min="3" max="3" width="60" customWidth="1"/>
  </cols>
  <sheetData>
    <row r="1" spans="1:3" x14ac:dyDescent="0.25">
      <c r="A1" s="1" t="s">
        <v>103</v>
      </c>
    </row>
    <row r="2" spans="1:3" x14ac:dyDescent="0.25">
      <c r="A2" t="s">
        <v>16</v>
      </c>
      <c r="B2">
        <f>'Source Data'!B8*'Source Data'!B45</f>
        <v>0.40333333333333338</v>
      </c>
      <c r="C2" t="s">
        <v>104</v>
      </c>
    </row>
    <row r="3" spans="1:3" x14ac:dyDescent="0.25">
      <c r="A3" t="s">
        <v>17</v>
      </c>
      <c r="B3">
        <f>'Source Data'!B8*(1-'Source Data'!B45)</f>
        <v>0.12666666666666665</v>
      </c>
      <c r="C3" t="s">
        <v>105</v>
      </c>
    </row>
    <row r="9" spans="1:3" x14ac:dyDescent="0.25">
      <c r="A9" t="s">
        <v>18</v>
      </c>
    </row>
    <row r="10" spans="1:3" x14ac:dyDescent="0.25">
      <c r="A10" t="s">
        <v>19</v>
      </c>
      <c r="B10">
        <v>0.41</v>
      </c>
    </row>
    <row r="11" spans="1:3" x14ac:dyDescent="0.25">
      <c r="A11" t="s">
        <v>20</v>
      </c>
      <c r="B11">
        <f>1-B10</f>
        <v>0.59000000000000008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2"/>
  <sheetViews>
    <sheetView workbookViewId="0"/>
  </sheetViews>
  <sheetFormatPr defaultRowHeight="15" x14ac:dyDescent="0.25"/>
  <cols>
    <col min="1" max="1" width="52" customWidth="1"/>
    <col min="2" max="2" width="18" customWidth="1"/>
  </cols>
  <sheetData>
    <row r="1" spans="1:2" x14ac:dyDescent="0.25">
      <c r="A1" s="1" t="s">
        <v>21</v>
      </c>
    </row>
    <row r="2" spans="1:2" x14ac:dyDescent="0.25">
      <c r="A2" t="s">
        <v>109</v>
      </c>
      <c r="B2">
        <f>'Source Data'!B2*'Source Data'!B3</f>
        <v>3425979.48</v>
      </c>
    </row>
    <row r="3" spans="1:2" x14ac:dyDescent="0.25">
      <c r="A3" t="s">
        <v>22</v>
      </c>
      <c r="B3">
        <f>B2/1000000</f>
        <v>3.4259794800000001</v>
      </c>
    </row>
    <row r="5" spans="1:2" x14ac:dyDescent="0.25">
      <c r="A5" s="1" t="s">
        <v>110</v>
      </c>
    </row>
    <row r="6" spans="1:2" x14ac:dyDescent="0.25">
      <c r="A6" t="s">
        <v>23</v>
      </c>
      <c r="B6" t="s">
        <v>24</v>
      </c>
    </row>
    <row r="7" spans="1:2" x14ac:dyDescent="0.25">
      <c r="A7" t="s">
        <v>25</v>
      </c>
      <c r="B7">
        <f>($B$2*Parameters!$B$2)</f>
        <v>1381811.7236000001</v>
      </c>
    </row>
    <row r="8" spans="1:2" x14ac:dyDescent="0.25">
      <c r="A8" t="s">
        <v>26</v>
      </c>
      <c r="B8">
        <f>($B$2*'Source Data'!$B$6)</f>
        <v>1062053.6388000001</v>
      </c>
    </row>
    <row r="9" spans="1:2" x14ac:dyDescent="0.25">
      <c r="A9" t="s">
        <v>27</v>
      </c>
      <c r="B9">
        <f>(($B$2*Parameters!$B$3)*Parameters!$B$11)</f>
        <v>256034.86647199999</v>
      </c>
    </row>
    <row r="10" spans="1:2" x14ac:dyDescent="0.25">
      <c r="A10" t="s">
        <v>28</v>
      </c>
      <c r="B10">
        <f>($B$2*'Source Data'!$B$7)</f>
        <v>548156.71680000005</v>
      </c>
    </row>
    <row r="11" spans="1:2" x14ac:dyDescent="0.25">
      <c r="A11" t="s">
        <v>29</v>
      </c>
      <c r="B11">
        <f>(($B$2*Parameters!$B$3)*Parameters!$B$10)</f>
        <v>177922.53432799998</v>
      </c>
    </row>
    <row r="12" spans="1:2" x14ac:dyDescent="0.25">
      <c r="A12" s="1" t="s">
        <v>30</v>
      </c>
    </row>
    <row r="13" spans="1:2" x14ac:dyDescent="0.25">
      <c r="A13" t="s">
        <v>106</v>
      </c>
      <c r="B13">
        <f>'Source Data'!B43/'Source Data'!B44</f>
        <v>163.98495389299148</v>
      </c>
    </row>
    <row r="14" spans="1:2" x14ac:dyDescent="0.25">
      <c r="A14" t="s">
        <v>107</v>
      </c>
      <c r="B14">
        <f>B13*'Source Data'!B18</f>
        <v>559516.66268288693</v>
      </c>
    </row>
    <row r="15" spans="1:2" x14ac:dyDescent="0.25">
      <c r="A15" t="s">
        <v>108</v>
      </c>
      <c r="B15">
        <f>(B14)</f>
        <v>559516.66268288693</v>
      </c>
    </row>
    <row r="17" spans="1:2" x14ac:dyDescent="0.25">
      <c r="A17" s="6" t="s">
        <v>74</v>
      </c>
    </row>
    <row r="18" spans="1:2" x14ac:dyDescent="0.25">
      <c r="A18" t="s">
        <v>75</v>
      </c>
      <c r="B18">
        <f>AVERAGE('Source Data'!B25:B28)</f>
        <v>4.0500000000000007</v>
      </c>
    </row>
    <row r="19" spans="1:2" x14ac:dyDescent="0.25">
      <c r="A19" t="s">
        <v>111</v>
      </c>
      <c r="B19">
        <f>(B18*'Source Data'!B34+B15)</f>
        <v>4398175.5126828877</v>
      </c>
    </row>
    <row r="21" spans="1:2" x14ac:dyDescent="0.25">
      <c r="A21" s="6" t="s">
        <v>76</v>
      </c>
    </row>
    <row r="22" spans="1:2" x14ac:dyDescent="0.25">
      <c r="A22" t="s">
        <v>112</v>
      </c>
      <c r="B22">
        <f>('Source Data'!B31*'Source Data'!B34+'Source Data'!B32)</f>
        <v>4565176.5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K6"/>
  <sheetViews>
    <sheetView workbookViewId="0"/>
  </sheetViews>
  <sheetFormatPr defaultRowHeight="15" x14ac:dyDescent="0.25"/>
  <sheetData>
    <row r="1" spans="1:11" x14ac:dyDescent="0.25">
      <c r="A1" t="s">
        <v>63</v>
      </c>
      <c r="B1" t="s">
        <v>32</v>
      </c>
      <c r="C1" t="s">
        <v>25</v>
      </c>
      <c r="D1" t="s">
        <v>26</v>
      </c>
      <c r="E1" t="s">
        <v>33</v>
      </c>
      <c r="F1" t="s">
        <v>38</v>
      </c>
      <c r="G1" t="s">
        <v>39</v>
      </c>
      <c r="H1" t="s">
        <v>40</v>
      </c>
      <c r="I1" t="s">
        <v>34</v>
      </c>
      <c r="J1" t="s">
        <v>41</v>
      </c>
      <c r="K1" t="s">
        <v>42</v>
      </c>
    </row>
    <row r="2" spans="1:11" x14ac:dyDescent="0.25">
      <c r="A2" t="s">
        <v>31</v>
      </c>
      <c r="B2">
        <f>Calc!B15</f>
        <v>559516.66268288693</v>
      </c>
      <c r="C2">
        <f>Calc!B7</f>
        <v>1381811.7236000001</v>
      </c>
      <c r="D2">
        <f>Calc!B8</f>
        <v>1062053.6388000001</v>
      </c>
      <c r="E2">
        <f>Calc!B10</f>
        <v>548156.71680000005</v>
      </c>
      <c r="F2">
        <f>Calc!B11</f>
        <v>177922.53432799998</v>
      </c>
      <c r="G2">
        <v>0</v>
      </c>
      <c r="H2">
        <v>0</v>
      </c>
      <c r="I2">
        <f>Calc!B9</f>
        <v>256034.86647199999</v>
      </c>
      <c r="J2">
        <v>0</v>
      </c>
      <c r="K2">
        <v>0</v>
      </c>
    </row>
    <row r="3" spans="1:11" x14ac:dyDescent="0.25">
      <c r="A3" t="s">
        <v>35</v>
      </c>
      <c r="B3">
        <f>Calc!B15</f>
        <v>559516.66268288693</v>
      </c>
      <c r="C3">
        <f>Calc!B7</f>
        <v>1381811.7236000001</v>
      </c>
      <c r="D3">
        <f>Calc!B8</f>
        <v>1062053.6388000001</v>
      </c>
      <c r="E3">
        <f>Calc!B10</f>
        <v>548156.71680000005</v>
      </c>
      <c r="F3">
        <f>Calc!B11</f>
        <v>177922.53432799998</v>
      </c>
      <c r="G3">
        <v>0</v>
      </c>
      <c r="H3">
        <v>0</v>
      </c>
      <c r="I3">
        <f>Calc!B9</f>
        <v>256034.86647199999</v>
      </c>
      <c r="J3">
        <v>0</v>
      </c>
      <c r="K3">
        <v>0</v>
      </c>
    </row>
    <row r="4" spans="1:11" x14ac:dyDescent="0.25">
      <c r="A4" t="s">
        <v>36</v>
      </c>
      <c r="B4">
        <f>Calc!B19</f>
        <v>4398175.5126828877</v>
      </c>
      <c r="C4">
        <v>0</v>
      </c>
      <c r="D4">
        <v>0</v>
      </c>
      <c r="E4">
        <v>0</v>
      </c>
      <c r="F4">
        <v>0</v>
      </c>
      <c r="G4">
        <v>0</v>
      </c>
      <c r="H4">
        <v>0</v>
      </c>
      <c r="I4">
        <v>0</v>
      </c>
      <c r="J4">
        <v>0</v>
      </c>
      <c r="K4">
        <v>0</v>
      </c>
    </row>
    <row r="5" spans="1:11" x14ac:dyDescent="0.25">
      <c r="A5" t="s">
        <v>124</v>
      </c>
      <c r="B5">
        <f t="shared" ref="B5:K5" si="0">B4</f>
        <v>4398175.5126828877</v>
      </c>
      <c r="C5">
        <f t="shared" si="0"/>
        <v>0</v>
      </c>
      <c r="D5">
        <f t="shared" si="0"/>
        <v>0</v>
      </c>
      <c r="E5">
        <f t="shared" si="0"/>
        <v>0</v>
      </c>
      <c r="F5">
        <f t="shared" si="0"/>
        <v>0</v>
      </c>
      <c r="G5">
        <f t="shared" si="0"/>
        <v>0</v>
      </c>
      <c r="H5">
        <f t="shared" si="0"/>
        <v>0</v>
      </c>
      <c r="I5">
        <f t="shared" si="0"/>
        <v>0</v>
      </c>
      <c r="J5">
        <f t="shared" si="0"/>
        <v>0</v>
      </c>
      <c r="K5">
        <f t="shared" si="0"/>
        <v>0</v>
      </c>
    </row>
    <row r="6" spans="1:11" x14ac:dyDescent="0.25">
      <c r="A6" t="s">
        <v>37</v>
      </c>
      <c r="B6">
        <f>Calc!B22</f>
        <v>4565176.5</v>
      </c>
      <c r="C6">
        <v>0</v>
      </c>
      <c r="D6">
        <v>0</v>
      </c>
      <c r="E6">
        <v>0</v>
      </c>
      <c r="F6">
        <v>0</v>
      </c>
      <c r="G6">
        <v>0</v>
      </c>
      <c r="H6">
        <v>0</v>
      </c>
      <c r="I6">
        <v>0</v>
      </c>
      <c r="J6">
        <v>0</v>
      </c>
      <c r="K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Source Data</vt:lpstr>
      <vt:lpstr>Parameters</vt:lpstr>
      <vt:lpstr>Calc</vt:lpstr>
      <vt:lpstr>CEIbPaF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2026-08-26T11:52:49Z</dcterms:created>
  <dcterms:modified xsi:type="dcterms:W3CDTF">2026-10-20T19:24:27Z</dcterms:modified>
</cp:coreProperties>
</file>