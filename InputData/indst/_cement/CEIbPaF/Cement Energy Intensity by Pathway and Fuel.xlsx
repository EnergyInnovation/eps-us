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EIbPaF\"/>
    </mc:Choice>
  </mc:AlternateContent>
  <xr:revisionPtr revIDLastSave="0" documentId="13_ncr:1_{8F9B1087-CBA0-47D7-B662-C39F5E393856}" xr6:coauthVersionLast="47" xr6:coauthVersionMax="47" xr10:uidLastSave="{00000000-0000-0000-0000-000000000000}"/>
  <bookViews>
    <workbookView xWindow="-120" yWindow="-120" windowWidth="29040" windowHeight="17520" xr2:uid="{00000000-000D-0000-FFFF-FFFF00000000}"/>
  </bookViews>
  <sheets>
    <sheet name="About" sheetId="1" r:id="rId1"/>
    <sheet name="Source Data" sheetId="2" r:id="rId2"/>
    <sheet name="Parameters" sheetId="3" r:id="rId3"/>
    <sheet name="Calc" sheetId="4" r:id="rId4"/>
    <sheet name="CEIbPaF"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B4" i="6"/>
  <c r="B13" i="4"/>
  <c r="B14" i="4" s="1"/>
  <c r="B15" i="4" s="1"/>
  <c r="B2" i="6" s="1"/>
  <c r="B2" i="4"/>
  <c r="B10" i="4" s="1"/>
  <c r="E3" i="6" s="1"/>
  <c r="B11" i="3"/>
  <c r="B13" i="2"/>
  <c r="B11" i="4" l="1"/>
  <c r="E2" i="6"/>
  <c r="B3" i="6"/>
  <c r="B9" i="4"/>
  <c r="B18" i="4"/>
  <c r="B3" i="4"/>
  <c r="B7" i="4"/>
  <c r="B8" i="4"/>
  <c r="F2" i="6" l="1"/>
  <c r="F3" i="6"/>
  <c r="D3" i="6"/>
  <c r="D2" i="6"/>
  <c r="C3" i="6"/>
  <c r="C2" i="6"/>
  <c r="I3" i="6"/>
  <c r="I2" i="6"/>
  <c r="B19" i="4"/>
</calcChain>
</file>

<file path=xl/sharedStrings.xml><?xml version="1.0" encoding="utf-8"?>
<sst xmlns="http://schemas.openxmlformats.org/spreadsheetml/2006/main" count="104" uniqueCount="100">
  <si>
    <t>CEIbPaF Cement Energy Intensity by Pathway and Fuel</t>
  </si>
  <si>
    <t>Sources:</t>
  </si>
  <si>
    <t>https://www.energy.gov/eere/amo/articles/bandwidth-study-energy-use-and-potential-energy-savings-opportunities-us-1</t>
  </si>
  <si>
    <t>Portland Cement Association (PCA)</t>
  </si>
  <si>
    <t>https://www.cement.org/newsroom</t>
  </si>
  <si>
    <t>Manufacturing Energy Consumption Survey (MECS) 2018, Table 3.2, NAICS 3273 (cement)</t>
  </si>
  <si>
    <t>https://www.eia.gov/consumption/manufacturing/data/2018/</t>
  </si>
  <si>
    <t>https://www.cement.org/</t>
  </si>
  <si>
    <t>Notes:</t>
  </si>
  <si>
    <t>DOE Bandwidth Study 2017, Table 3-2</t>
  </si>
  <si>
    <t>Dry pyroprocessing current typical energy (Btu/lb clinker)</t>
  </si>
  <si>
    <t>Conversion factor (lb/metric ton)</t>
  </si>
  <si>
    <t>PCA 2023 Labor-Energy Input Survey fuel mix (share of onsite thermal fuel)</t>
  </si>
  <si>
    <t>Natural gas share</t>
  </si>
  <si>
    <t>Alternative fuels share</t>
  </si>
  <si>
    <t>Coal + petroleum coke combined share</t>
  </si>
  <si>
    <t>MECS 2018 cross-check (context only, not used numerically)</t>
  </si>
  <si>
    <t>Coal share of onsite fuel</t>
  </si>
  <si>
    <t>Petroleum coke share of onsite fuel</t>
  </si>
  <si>
    <t>Implied coal:petcoke ratio</t>
  </si>
  <si>
    <t>Electricity intensity</t>
  </si>
  <si>
    <t>PCA electricity intensity (kWh/metric ton CEMENT)</t>
  </si>
  <si>
    <t>BAU Clinker to Cement Ratio, 2025 (from the BCtCR input file - cross-variable reference)</t>
  </si>
  <si>
    <t>BTU per kWh</t>
  </si>
  <si>
    <t>Natural gas adder (BTU/t clinker)</t>
  </si>
  <si>
    <t>Electricity adder (BTU/t clinker)</t>
  </si>
  <si>
    <t>Judgment split of PCA's combined 53% coal+petcoke share</t>
  </si>
  <si>
    <t>Coal share of total thermal energy</t>
  </si>
  <si>
    <t>EI judgment, within PCA 53%; ~62:38 coal:petcoke ratio, MECS-consistent (MECS implies ~63:37)</t>
  </si>
  <si>
    <t>Petroleum coke share of total thermal energy (rides "heavy or residual fuel oil if")</t>
  </si>
  <si>
    <t>EI judgment, within PCA 53%; see coal row</t>
  </si>
  <si>
    <t>Electric kiln and alternative-chemistry literal energy intensities [UNVERIFIED]</t>
  </si>
  <si>
    <t>Electric kiln electricity intensity (BTU/t clinker)</t>
  </si>
  <si>
    <t>EI internal engineering estimate; no company disclosure</t>
  </si>
  <si>
    <t>Alternative chemistry cement electricity intensity (BTU/t clinker)</t>
  </si>
  <si>
    <t>Petcoke split between EPS fuel elements, following BIFU: AEO cement block 2025 petroleum coke 24.6 TBtu (filed as petroleum diesel) vs other petroleum 35.4 TBtu (filed as residual-oil feedstock)</t>
  </si>
  <si>
    <t>Share of module petcoke on petroleum diesel</t>
  </si>
  <si>
    <t>Share on heavy or residual fuel oil</t>
  </si>
  <si>
    <t>Thermal energy intensity conversion</t>
  </si>
  <si>
    <t>Thermal BTU/metric ton clinker, unrounded</t>
  </si>
  <si>
    <t>Thermal MMBtu/metric ton clinker (display)</t>
  </si>
  <si>
    <t>Fuel splits (rounded to nearest 10,000 BTU)</t>
  </si>
  <si>
    <t>Fuel</t>
  </si>
  <si>
    <t>BTU/t clinker</t>
  </si>
  <si>
    <t>hard coal if</t>
  </si>
  <si>
    <t>natural gas if</t>
  </si>
  <si>
    <t>heavy or residual fuel oil if (petroleum coke, 59%)</t>
  </si>
  <si>
    <t>biomass if (alternative fuels)</t>
  </si>
  <si>
    <t>petroleum diesel if (petroleum coke, 41%)</t>
  </si>
  <si>
    <t>Electricity</t>
  </si>
  <si>
    <t>kWh/t clinker, unrounded</t>
  </si>
  <si>
    <t>BTU/t clinker, unrounded</t>
  </si>
  <si>
    <t>BTU/t clinker, rounded to nearest 10,000</t>
  </si>
  <si>
    <t>Electricity BTU/t</t>
  </si>
  <si>
    <t>Natural gas BTU/t</t>
  </si>
  <si>
    <t>dry kiln with precalciner</t>
  </si>
  <si>
    <t>electricity if</t>
  </si>
  <si>
    <t>biomass if</t>
  </si>
  <si>
    <t>heavy or residual fuel oil if</t>
  </si>
  <si>
    <t>dry kiln with CCS</t>
  </si>
  <si>
    <t>electric kiln</t>
  </si>
  <si>
    <t>alternative chemistry cement</t>
  </si>
  <si>
    <t>petroleum diesel if</t>
  </si>
  <si>
    <t>heat if</t>
  </si>
  <si>
    <t>crude oil if</t>
  </si>
  <si>
    <t>LPG propane or butane if</t>
  </si>
  <si>
    <t>hydrogen if</t>
  </si>
  <si>
    <t>green hydrogen if</t>
  </si>
  <si>
    <t>low carbon hydrogen if</t>
  </si>
  <si>
    <t>Total kiln thermal energy per ton of clinker</t>
  </si>
  <si>
    <t>U.S. Department of Energy, Advanced Manufacturing Office</t>
  </si>
  <si>
    <t>Bandwidth Study on Energy Use and Potential Energy Savings Opportunities in U.S. Cement Manufacturing, Table 3-2</t>
  </si>
  <si>
    <t>Table 3-2 gives 'current typical' dry-kiln-with-precalciner pyroprocessing energy of 1,554 Btu per pound of clinker. Multiplied by 2,204.62 pounds per metric ton, that is about 3.43 million BTU per metric ton of clinker, the thermal total split across fuels on the 'Calc' tab.</t>
  </si>
  <si>
    <t>Fuel shares of kiln thermal energy</t>
  </si>
  <si>
    <t>2023 Labor-Energy Input Survey, as summarized in a PCA press release</t>
  </si>
  <si>
    <t>Natural gas 31% of onsite thermal fuel, alternative fuels 16%, and coal plus petroleum coke together 53%. PCA does not break out coal from petroleum coke. We read these from the press release summary, not the full survey.</t>
  </si>
  <si>
    <t>Cross-check on the coal versus petroleum coke split</t>
  </si>
  <si>
    <t>U.S. Energy Information Administration</t>
  </si>
  <si>
    <t>MECS shows onsite fuel of roughly 41% coal and 24% petroleum coke, a ratio of about 63 to 37. We used it only to sanity-check our split of PCA's 53% (about 62 to 38); the numbers are on the 'Source Data' tab and are not part of the calculation. No 2023 coal-versus-petcoke split has been published.</t>
  </si>
  <si>
    <t>Electricity per ton of clinker</t>
  </si>
  <si>
    <t>PCA plant energy survey, as cited for 142 kWh per metric ton of cement</t>
  </si>
  <si>
    <t>142 kWh per metric ton of cement (not clinker). We converted it to a clinker basis by dividing by 0.8214 metric tons of clinker per metric ton of cement (USGS 2025 domestic clinker production of 69 million tons over cement production of 84 million tons) and multiplying by 3,412 BTU per kWh, giving about 590,000 BTU per metric ton of clinker. 142 is the top of a plausible 132-142 kWh range from MECS-based cross-checks. The figure comes from a secondary citation of the PCA survey.</t>
  </si>
  <si>
    <t>Petroleum coke split between two fuel columns</t>
  </si>
  <si>
    <t>EPS internal input, based on EIA Annual Energy Outlook data</t>
  </si>
  <si>
    <t>BAU Industrial Fuel Use (BIFU) input file, cement block, 2025</t>
  </si>
  <si>
    <t>InputData/indst/BIFU (EPS input file)</t>
  </si>
  <si>
    <t>In BIFU's cement block, petroleum coke (24.6 trillion BTU) is filed under petroleum diesel and other petroleum (35.4 trillion BTU) under heavy or residual fuel oil. We split our petroleum coke the same way, 41% and 59%, so this module reconciles with that file. The shares are on the 'Parameters' tab.</t>
  </si>
  <si>
    <t>Purpose and layout</t>
  </si>
  <si>
    <t>This file gives the final energy used to make one metric ton of clinker, in BTU, for each cement production pathway and each fuel. The EPS cement module multiplies it by clinker output to get kiln fuel and electricity use, and from that fuel costs and combustion emissions. The boundary is the kiln itself.
The tabs run from inputs to output. 'Source Data' holds the published figures. 'Parameters' holds our judgment values: the coal and petroleum coke shares, the petroleum coke split, and the energy use of the electric kiln and alternative chemistry pathways. 'Calc' does the arithmetic, and the 'CEIbPaF' tab reads from it by formula and is what gets exported to CEIbPaF.csv.</t>
  </si>
  <si>
    <t>U.S. values for the conventional kiln</t>
  </si>
  <si>
    <t>We take the DOE thermal total of about 3.43 million BTU per metric ton of clinker and split it with the PCA 2023 fuel mix: coal 33%, natural gas 31%, petroleum coke 20%, and alternative fuels 16%. PCA only reports coal and petroleum coke together (53%), so the 33/20 division is our own judgment, chosen to be close to the MECS ratio. Each fuel's share is rounded to the nearest 10,000 BTU (petroleum coke is rounded before it is split between two columns, below). Results are about 1,130,000 BTU of coal, 1,060,000 of natural gas, and 550,000 of alternative fuels, plus 590,000 of electricity. The dry kiln with precalciner and the dry kiln with CCS carry identical rows.</t>
  </si>
  <si>
    <t>Where petroleum coke and alternative fuels sit</t>
  </si>
  <si>
    <t>The model's fuel list has no petroleum coke entry. We book it in two columns, 41% under 'petroleum diesel if' and 59% under 'heavy or residual fuel oil if', following how the BAU Industrial Fuel Use file labels cement-sector petroleum fuels. About 690,000 BTU of petroleum coke is split into roughly 283,000 and 407,000. Alternative fuels (tires and waste-derived fuels) go in the 'biomass if' column as the nearest fit; the fossil part of their carbon is handled separately by the cement module's alternative fuel CO2 intensity. Heat, crude oil, LPG, and the three hydrogen columns are zero because the sources show no material use of them in cement kilns today.</t>
  </si>
  <si>
    <t>Dry kiln with CCS</t>
  </si>
  <si>
    <t>This row covers the kiln only and is identical to the dry kiln with precalciner. The energy used by the capture unit (steam and electricity for solvent regeneration and compression) comes from the CCS sector's energy-use-per-ton-captured inputs, scaled by the CO2 actually captured, so it is not added here.</t>
  </si>
  <si>
    <t>Electric kiln and alternative chemistry cement</t>
  </si>
  <si>
    <t>These are electricity-only: 4,000,000 BTU per metric ton for the electric kiln and 2,500,000 for alternative chemistry cement. Both are our own engineering estimates. No developer of either technology has published an energy intensity, so treat them as placeholders until real disclosures exist.</t>
  </si>
  <si>
    <t>CCS amine-capture energy adders (reference only; not used, because the CCS row is kiln only)</t>
  </si>
  <si>
    <t>CCS pathway: kiln only (capture energy comes from the CCS sector's CC Energy Use per Ton Industry CO2 Sequestered x captured tons). The rows below are for reference and are not exported.</t>
  </si>
  <si>
    <t>Unit: BTU/metric ton clinker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</si>
</sst>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manufacturing/data/2018/" TargetMode="External"/><Relationship Id="rId2" Type="http://schemas.openxmlformats.org/officeDocument/2006/relationships/hyperlink" Target="https://www.cement.org/newsroom" TargetMode="External"/><Relationship Id="rId1" Type="http://schemas.openxmlformats.org/officeDocument/2006/relationships/hyperlink" Target="https://www.energy.gov/eere/amo/articles/bandwidth-study-energy-use-and-potential-energy-savings-opportunities-us-1" TargetMode="External"/><Relationship Id="rId4" Type="http://schemas.openxmlformats.org/officeDocument/2006/relationships/hyperlink" Target="https://www.cement.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4"/>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69</v>
      </c>
    </row>
    <row r="4" spans="1:2" x14ac:dyDescent="0.25">
      <c r="B4" s="5" t="s">
        <v>70</v>
      </c>
    </row>
    <row r="5" spans="1:2" x14ac:dyDescent="0.25">
      <c r="B5" s="5" t="s">
        <v>71</v>
      </c>
    </row>
    <row r="6" spans="1:2" x14ac:dyDescent="0.25">
      <c r="B6" s="5">
        <v>2017</v>
      </c>
    </row>
    <row r="7" spans="1:2" ht="30" x14ac:dyDescent="0.25">
      <c r="B7" s="6" t="s">
        <v>2</v>
      </c>
    </row>
    <row r="8" spans="1:2" ht="45" x14ac:dyDescent="0.25">
      <c r="B8" s="5" t="s">
        <v>72</v>
      </c>
    </row>
    <row r="10" spans="1:2" x14ac:dyDescent="0.25">
      <c r="B10" s="4" t="s">
        <v>73</v>
      </c>
    </row>
    <row r="11" spans="1:2" x14ac:dyDescent="0.25">
      <c r="B11" s="5" t="s">
        <v>3</v>
      </c>
    </row>
    <row r="12" spans="1:2" x14ac:dyDescent="0.25">
      <c r="B12" s="5" t="s">
        <v>74</v>
      </c>
    </row>
    <row r="13" spans="1:2" x14ac:dyDescent="0.25">
      <c r="B13" s="5">
        <v>2023</v>
      </c>
    </row>
    <row r="14" spans="1:2" x14ac:dyDescent="0.25">
      <c r="B14" s="6" t="s">
        <v>4</v>
      </c>
    </row>
    <row r="15" spans="1:2" ht="30" x14ac:dyDescent="0.25">
      <c r="B15" s="5" t="s">
        <v>75</v>
      </c>
    </row>
    <row r="17" spans="2:2" x14ac:dyDescent="0.25">
      <c r="B17" s="4" t="s">
        <v>76</v>
      </c>
    </row>
    <row r="18" spans="2:2" x14ac:dyDescent="0.25">
      <c r="B18" s="5" t="s">
        <v>77</v>
      </c>
    </row>
    <row r="19" spans="2:2" x14ac:dyDescent="0.25">
      <c r="B19" s="5" t="s">
        <v>5</v>
      </c>
    </row>
    <row r="20" spans="2:2" x14ac:dyDescent="0.25">
      <c r="B20" s="5">
        <v>2018</v>
      </c>
    </row>
    <row r="21" spans="2:2" x14ac:dyDescent="0.25">
      <c r="B21" s="6" t="s">
        <v>6</v>
      </c>
    </row>
    <row r="22" spans="2:2" ht="45" x14ac:dyDescent="0.25">
      <c r="B22" s="5" t="s">
        <v>78</v>
      </c>
    </row>
    <row r="24" spans="2:2" x14ac:dyDescent="0.25">
      <c r="B24" s="4" t="s">
        <v>79</v>
      </c>
    </row>
    <row r="25" spans="2:2" x14ac:dyDescent="0.25">
      <c r="B25" s="5" t="s">
        <v>3</v>
      </c>
    </row>
    <row r="26" spans="2:2" x14ac:dyDescent="0.25">
      <c r="B26" s="5" t="s">
        <v>80</v>
      </c>
    </row>
    <row r="27" spans="2:2" x14ac:dyDescent="0.25">
      <c r="B27" s="5">
        <v>2008</v>
      </c>
    </row>
    <row r="28" spans="2:2" x14ac:dyDescent="0.25">
      <c r="B28" s="6" t="s">
        <v>7</v>
      </c>
    </row>
    <row r="29" spans="2:2" ht="75" x14ac:dyDescent="0.25">
      <c r="B29" s="5" t="s">
        <v>81</v>
      </c>
    </row>
    <row r="31" spans="2:2" x14ac:dyDescent="0.25">
      <c r="B31" s="4" t="s">
        <v>82</v>
      </c>
    </row>
    <row r="32" spans="2:2" x14ac:dyDescent="0.25">
      <c r="B32" s="5" t="s">
        <v>83</v>
      </c>
    </row>
    <row r="33" spans="1:2" x14ac:dyDescent="0.25">
      <c r="B33" s="5" t="s">
        <v>84</v>
      </c>
    </row>
    <row r="34" spans="1:2" x14ac:dyDescent="0.25">
      <c r="B34" s="5">
        <v>2026</v>
      </c>
    </row>
    <row r="35" spans="1:2" x14ac:dyDescent="0.25">
      <c r="B35" s="5" t="s">
        <v>85</v>
      </c>
    </row>
    <row r="36" spans="1:2" ht="45" x14ac:dyDescent="0.25">
      <c r="B36" s="5" t="s">
        <v>86</v>
      </c>
    </row>
    <row r="39" spans="1:2" x14ac:dyDescent="0.25">
      <c r="A39" s="2" t="s">
        <v>8</v>
      </c>
    </row>
    <row r="40" spans="1:2" ht="120" x14ac:dyDescent="0.25">
      <c r="A40" s="2" t="s">
        <v>87</v>
      </c>
      <c r="B40" s="5" t="s">
        <v>88</v>
      </c>
    </row>
    <row r="41" spans="1:2" ht="90" x14ac:dyDescent="0.25">
      <c r="A41" s="2" t="s">
        <v>89</v>
      </c>
      <c r="B41" s="5" t="s">
        <v>90</v>
      </c>
    </row>
    <row r="42" spans="1:2" ht="90" x14ac:dyDescent="0.25">
      <c r="A42" s="2" t="s">
        <v>91</v>
      </c>
      <c r="B42" s="5" t="s">
        <v>92</v>
      </c>
    </row>
    <row r="43" spans="1:2" ht="45" x14ac:dyDescent="0.25">
      <c r="A43" s="2" t="s">
        <v>93</v>
      </c>
      <c r="B43" s="5" t="s">
        <v>94</v>
      </c>
    </row>
    <row r="44" spans="1:2" ht="60" x14ac:dyDescent="0.25">
      <c r="A44" s="2" t="s">
        <v>95</v>
      </c>
      <c r="B44" s="5" t="s">
        <v>96</v>
      </c>
    </row>
  </sheetData>
  <hyperlinks>
    <hyperlink ref="B7" r:id="rId1" xr:uid="{19775EEB-8905-4EA2-9810-F4B77F6DC501}"/>
    <hyperlink ref="B14" r:id="rId2" xr:uid="{E0527B93-EB50-454C-BF78-79DDA95D9A9C}"/>
    <hyperlink ref="B21" r:id="rId3" xr:uid="{1301635A-A3AA-411F-8F9F-305C214139C0}"/>
    <hyperlink ref="B28" r:id="rId4" xr:uid="{E284EEA5-EF28-429A-B696-7360FA83E95B}"/>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x14ac:dyDescent="0.25"/>
  <cols>
    <col min="1" max="1" width="52" customWidth="1"/>
    <col min="2" max="2" width="16" customWidth="1"/>
    <col min="3" max="3" width="60" customWidth="1"/>
  </cols>
  <sheetData>
    <row r="1" spans="1:2" x14ac:dyDescent="0.25">
      <c r="A1" s="1" t="s">
        <v>9</v>
      </c>
    </row>
    <row r="2" spans="1:2" x14ac:dyDescent="0.25">
      <c r="A2" t="s">
        <v>10</v>
      </c>
      <c r="B2">
        <v>1554</v>
      </c>
    </row>
    <row r="3" spans="1:2" x14ac:dyDescent="0.25">
      <c r="A3" t="s">
        <v>11</v>
      </c>
      <c r="B3">
        <v>2204.62</v>
      </c>
    </row>
    <row r="5" spans="1:2" x14ac:dyDescent="0.25">
      <c r="A5" s="1" t="s">
        <v>12</v>
      </c>
    </row>
    <row r="6" spans="1:2" x14ac:dyDescent="0.25">
      <c r="A6" t="s">
        <v>13</v>
      </c>
      <c r="B6">
        <v>0.31</v>
      </c>
    </row>
    <row r="7" spans="1:2" x14ac:dyDescent="0.25">
      <c r="A7" t="s">
        <v>14</v>
      </c>
      <c r="B7">
        <v>0.16</v>
      </c>
    </row>
    <row r="8" spans="1:2" x14ac:dyDescent="0.25">
      <c r="A8" t="s">
        <v>15</v>
      </c>
      <c r="B8">
        <v>0.53</v>
      </c>
    </row>
    <row r="10" spans="1:2" x14ac:dyDescent="0.25">
      <c r="A10" s="1" t="s">
        <v>16</v>
      </c>
    </row>
    <row r="11" spans="1:2" x14ac:dyDescent="0.25">
      <c r="A11" t="s">
        <v>17</v>
      </c>
      <c r="B11">
        <v>0.41</v>
      </c>
    </row>
    <row r="12" spans="1:2" x14ac:dyDescent="0.25">
      <c r="A12" t="s">
        <v>18</v>
      </c>
      <c r="B12">
        <v>0.24</v>
      </c>
    </row>
    <row r="13" spans="1:2" x14ac:dyDescent="0.25">
      <c r="A13" t="s">
        <v>19</v>
      </c>
      <c r="B13">
        <f>B11/(B11+B12)</f>
        <v>0.63076923076923086</v>
      </c>
    </row>
    <row r="15" spans="1:2" x14ac:dyDescent="0.25">
      <c r="A15" s="1" t="s">
        <v>20</v>
      </c>
    </row>
    <row r="16" spans="1:2" x14ac:dyDescent="0.25">
      <c r="A16" t="s">
        <v>21</v>
      </c>
      <c r="B16">
        <v>142</v>
      </c>
    </row>
    <row r="17" spans="1:2" x14ac:dyDescent="0.25">
      <c r="A17" t="s">
        <v>22</v>
      </c>
      <c r="B17">
        <v>0.82140000000000002</v>
      </c>
    </row>
    <row r="18" spans="1:2" x14ac:dyDescent="0.25">
      <c r="A18" t="s">
        <v>23</v>
      </c>
      <c r="B18">
        <v>3412</v>
      </c>
    </row>
    <row r="20" spans="1:2" x14ac:dyDescent="0.25">
      <c r="A20" s="1" t="s">
        <v>97</v>
      </c>
    </row>
    <row r="21" spans="1:2" x14ac:dyDescent="0.25">
      <c r="A21" t="s">
        <v>24</v>
      </c>
      <c r="B21">
        <v>2100000</v>
      </c>
    </row>
    <row r="22" spans="1:2" x14ac:dyDescent="0.25">
      <c r="A22" t="s">
        <v>25</v>
      </c>
      <c r="B22">
        <v>150000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workbookViewId="0"/>
  </sheetViews>
  <sheetFormatPr defaultRowHeight="15" x14ac:dyDescent="0.25"/>
  <cols>
    <col min="1" max="1" width="52" customWidth="1"/>
    <col min="2" max="2" width="16" customWidth="1"/>
    <col min="3" max="3" width="60" customWidth="1"/>
  </cols>
  <sheetData>
    <row r="1" spans="1:3" x14ac:dyDescent="0.25">
      <c r="A1" s="1" t="s">
        <v>26</v>
      </c>
    </row>
    <row r="2" spans="1:3" x14ac:dyDescent="0.25">
      <c r="A2" t="s">
        <v>27</v>
      </c>
      <c r="B2">
        <v>0.33</v>
      </c>
      <c r="C2" t="s">
        <v>28</v>
      </c>
    </row>
    <row r="3" spans="1:3" x14ac:dyDescent="0.25">
      <c r="A3" t="s">
        <v>29</v>
      </c>
      <c r="B3">
        <v>0.2</v>
      </c>
      <c r="C3" t="s">
        <v>30</v>
      </c>
    </row>
    <row r="5" spans="1:3" x14ac:dyDescent="0.25">
      <c r="A5" s="1" t="s">
        <v>31</v>
      </c>
    </row>
    <row r="6" spans="1:3" x14ac:dyDescent="0.25">
      <c r="A6" t="s">
        <v>32</v>
      </c>
      <c r="B6">
        <v>4000000</v>
      </c>
      <c r="C6" t="s">
        <v>33</v>
      </c>
    </row>
    <row r="7" spans="1:3" x14ac:dyDescent="0.25">
      <c r="A7" t="s">
        <v>34</v>
      </c>
      <c r="B7">
        <v>2500000</v>
      </c>
      <c r="C7" t="s">
        <v>33</v>
      </c>
    </row>
    <row r="9" spans="1:3" x14ac:dyDescent="0.25">
      <c r="A9" t="s">
        <v>35</v>
      </c>
    </row>
    <row r="10" spans="1:3" x14ac:dyDescent="0.25">
      <c r="A10" t="s">
        <v>36</v>
      </c>
      <c r="B10">
        <v>0.41</v>
      </c>
    </row>
    <row r="11" spans="1:3" x14ac:dyDescent="0.25">
      <c r="A11" t="s">
        <v>37</v>
      </c>
      <c r="B11">
        <f>1-B10</f>
        <v>0.59000000000000008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 x14ac:dyDescent="0.25"/>
  <cols>
    <col min="1" max="1" width="52" customWidth="1"/>
    <col min="2" max="2" width="18" customWidth="1"/>
  </cols>
  <sheetData>
    <row r="1" spans="1:2" x14ac:dyDescent="0.25">
      <c r="A1" s="1" t="s">
        <v>38</v>
      </c>
    </row>
    <row r="2" spans="1:2" x14ac:dyDescent="0.25">
      <c r="A2" t="s">
        <v>39</v>
      </c>
      <c r="B2">
        <f>'Source Data'!B2*'Source Data'!B3</f>
        <v>3425979.48</v>
      </c>
    </row>
    <row r="3" spans="1:2" x14ac:dyDescent="0.25">
      <c r="A3" t="s">
        <v>40</v>
      </c>
      <c r="B3">
        <f>B2/1000000</f>
        <v>3.4259794800000001</v>
      </c>
    </row>
    <row r="5" spans="1:2" x14ac:dyDescent="0.25">
      <c r="A5" s="1" t="s">
        <v>41</v>
      </c>
    </row>
    <row r="6" spans="1:2" x14ac:dyDescent="0.25">
      <c r="A6" t="s">
        <v>42</v>
      </c>
      <c r="B6" t="s">
        <v>43</v>
      </c>
    </row>
    <row r="7" spans="1:2" x14ac:dyDescent="0.25">
      <c r="A7" t="s">
        <v>44</v>
      </c>
      <c r="B7">
        <f>ROUND($B$2*Parameters!$B$2,-4)</f>
        <v>1130000</v>
      </c>
    </row>
    <row r="8" spans="1:2" x14ac:dyDescent="0.25">
      <c r="A8" t="s">
        <v>45</v>
      </c>
      <c r="B8">
        <f>ROUND($B$2*'Source Data'!$B$6,-4)</f>
        <v>1060000</v>
      </c>
    </row>
    <row r="9" spans="1:2" x14ac:dyDescent="0.25">
      <c r="A9" t="s">
        <v>46</v>
      </c>
      <c r="B9">
        <f>ROUND(ROUND($B$2*Parameters!$B$3,-4)*Parameters!$B$11,-3)</f>
        <v>407000</v>
      </c>
    </row>
    <row r="10" spans="1:2" x14ac:dyDescent="0.25">
      <c r="A10" t="s">
        <v>47</v>
      </c>
      <c r="B10">
        <f>ROUND($B$2*'Source Data'!$B$7,-4)</f>
        <v>550000</v>
      </c>
    </row>
    <row r="11" spans="1:2" x14ac:dyDescent="0.25">
      <c r="A11" t="s">
        <v>48</v>
      </c>
      <c r="B11">
        <f>ROUND(ROUND($B$2*Parameters!$B$3,-4)*Parameters!$B$10,-3)</f>
        <v>283000</v>
      </c>
    </row>
    <row r="12" spans="1:2" x14ac:dyDescent="0.25">
      <c r="A12" s="1" t="s">
        <v>49</v>
      </c>
    </row>
    <row r="13" spans="1:2" x14ac:dyDescent="0.25">
      <c r="A13" t="s">
        <v>50</v>
      </c>
      <c r="B13">
        <f>'Source Data'!B16/'Source Data'!B17</f>
        <v>172.87557828098369</v>
      </c>
    </row>
    <row r="14" spans="1:2" x14ac:dyDescent="0.25">
      <c r="A14" t="s">
        <v>51</v>
      </c>
      <c r="B14">
        <f>B13*'Source Data'!B18</f>
        <v>589851.47309471632</v>
      </c>
    </row>
    <row r="15" spans="1:2" x14ac:dyDescent="0.25">
      <c r="A15" t="s">
        <v>52</v>
      </c>
      <c r="B15">
        <f>ROUND(B14,-4)</f>
        <v>590000</v>
      </c>
    </row>
    <row r="17" spans="1:2" x14ac:dyDescent="0.25">
      <c r="A17" s="1" t="s">
        <v>98</v>
      </c>
    </row>
    <row r="18" spans="1:2" x14ac:dyDescent="0.25">
      <c r="A18" t="s">
        <v>53</v>
      </c>
      <c r="B18">
        <f>B15+'Source Data'!B22</f>
        <v>740000</v>
      </c>
    </row>
    <row r="19" spans="1:2" x14ac:dyDescent="0.25">
      <c r="A19" t="s">
        <v>54</v>
      </c>
      <c r="B19">
        <f>B8+'Source Data'!B21</f>
        <v>3160000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M5"/>
  <sheetViews>
    <sheetView workbookViewId="0"/>
  </sheetViews>
  <sheetFormatPr defaultRowHeight="15" x14ac:dyDescent="0.25"/>
  <sheetData>
    <row r="1" spans="1:13" x14ac:dyDescent="0.25">
      <c r="A1" t="s">
        <v>99</v>
      </c>
      <c r="B1" t="s">
        <v>56</v>
      </c>
      <c r="C1" t="s">
        <v>44</v>
      </c>
      <c r="D1" t="s">
        <v>45</v>
      </c>
      <c r="E1" t="s">
        <v>57</v>
      </c>
      <c r="F1" t="s">
        <v>62</v>
      </c>
      <c r="G1" t="s">
        <v>63</v>
      </c>
      <c r="H1" t="s">
        <v>64</v>
      </c>
      <c r="I1" t="s">
        <v>58</v>
      </c>
      <c r="J1" t="s">
        <v>65</v>
      </c>
      <c r="K1" t="s">
        <v>66</v>
      </c>
      <c r="L1" t="s">
        <v>67</v>
      </c>
      <c r="M1" t="s">
        <v>68</v>
      </c>
    </row>
    <row r="2" spans="1:13" x14ac:dyDescent="0.25">
      <c r="A2" t="s">
        <v>55</v>
      </c>
      <c r="B2">
        <f>Calc!B15</f>
        <v>590000</v>
      </c>
      <c r="C2">
        <f>Calc!B7</f>
        <v>1130000</v>
      </c>
      <c r="D2">
        <f>Calc!B8</f>
        <v>1060000</v>
      </c>
      <c r="E2">
        <f>Calc!B10</f>
        <v>550000</v>
      </c>
      <c r="F2">
        <f>Calc!B11</f>
        <v>283000</v>
      </c>
      <c r="G2">
        <v>0</v>
      </c>
      <c r="H2">
        <v>0</v>
      </c>
      <c r="I2">
        <f>Calc!B9</f>
        <v>407000</v>
      </c>
      <c r="J2">
        <v>0</v>
      </c>
      <c r="K2">
        <v>0</v>
      </c>
      <c r="L2">
        <v>0</v>
      </c>
      <c r="M2">
        <v>0</v>
      </c>
    </row>
    <row r="3" spans="1:13" x14ac:dyDescent="0.25">
      <c r="A3" t="s">
        <v>59</v>
      </c>
      <c r="B3">
        <f>Calc!B15</f>
        <v>590000</v>
      </c>
      <c r="C3">
        <f>Calc!B7</f>
        <v>1130000</v>
      </c>
      <c r="D3">
        <f>Calc!B8</f>
        <v>1060000</v>
      </c>
      <c r="E3">
        <f>Calc!B10</f>
        <v>550000</v>
      </c>
      <c r="F3">
        <f>Calc!B11</f>
        <v>283000</v>
      </c>
      <c r="G3">
        <v>0</v>
      </c>
      <c r="H3">
        <v>0</v>
      </c>
      <c r="I3">
        <f>Calc!B9</f>
        <v>407000</v>
      </c>
      <c r="J3">
        <v>0</v>
      </c>
      <c r="K3">
        <v>0</v>
      </c>
      <c r="L3">
        <v>0</v>
      </c>
      <c r="M3">
        <v>0</v>
      </c>
    </row>
    <row r="4" spans="1:13" x14ac:dyDescent="0.25">
      <c r="A4" t="s">
        <v>60</v>
      </c>
      <c r="B4">
        <f>Parameters!B6</f>
        <v>4000000</v>
      </c>
      <c r="C4">
        <v>0</v>
      </c>
      <c r="D4">
        <v>0</v>
      </c>
      <c r="E4">
        <v>0</v>
      </c>
      <c r="F4">
        <v>0</v>
      </c>
      <c r="G4">
        <v>0</v>
      </c>
      <c r="H4">
        <v>0</v>
      </c>
      <c r="I4">
        <v>0</v>
      </c>
      <c r="J4">
        <v>0</v>
      </c>
      <c r="K4">
        <v>0</v>
      </c>
      <c r="L4">
        <v>0</v>
      </c>
      <c r="M4">
        <v>0</v>
      </c>
    </row>
    <row r="5" spans="1:13" x14ac:dyDescent="0.25">
      <c r="A5" t="s">
        <v>61</v>
      </c>
      <c r="B5">
        <f>Parameters!B7</f>
        <v>2500000</v>
      </c>
      <c r="C5">
        <v>0</v>
      </c>
      <c r="D5">
        <v>0</v>
      </c>
      <c r="E5">
        <v>0</v>
      </c>
      <c r="F5">
        <v>0</v>
      </c>
      <c r="G5">
        <v>0</v>
      </c>
      <c r="H5">
        <v>0</v>
      </c>
      <c r="I5">
        <v>0</v>
      </c>
      <c r="J5">
        <v>0</v>
      </c>
      <c r="K5">
        <v>0</v>
      </c>
      <c r="L5">
        <v>0</v>
      </c>
      <c r="M5">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Source Data</vt:lpstr>
      <vt:lpstr>Parameters</vt:lpstr>
      <vt:lpstr>Calc</vt:lpstr>
      <vt:lpstr>CEIbPaF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2026-08-26T11:52:49Z</dcterms:created>
  <dcterms:modified xsi:type="dcterms:W3CDTF">2026-10-05T17:22:11Z</dcterms:modified>
</cp:coreProperties>
</file>