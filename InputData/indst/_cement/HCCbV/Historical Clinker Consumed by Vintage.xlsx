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anOBrien\Models\EPS\US\eps-us\.claude\worktrees\cement-carbonation\InputData\indst\_cement\HCCbV\"/>
    </mc:Choice>
  </mc:AlternateContent>
  <xr:revisionPtr revIDLastSave="0" documentId="13_ncr:1_{44751BBD-B1FA-40A2-AC37-2E1DD99C42DC}" xr6:coauthVersionLast="47" xr6:coauthVersionMax="47" xr10:uidLastSave="{00000000-0000-0000-0000-000000000000}"/>
  <bookViews>
    <workbookView xWindow="-120" yWindow="-120" windowWidth="29040" windowHeight="17520" xr2:uid="{00000000-000D-0000-FFFF-FFFF00000000}"/>
  </bookViews>
  <sheets>
    <sheet name="About" sheetId="1" r:id="rId1"/>
    <sheet name="Parameters" sheetId="2" r:id="rId2"/>
    <sheet name="USGS DS140" sheetId="3" r:id="rId3"/>
    <sheet name="USGS MCS 2026" sheetId="4" r:id="rId4"/>
    <sheet name="EPA GHGI clinker" sheetId="5" r:id="rId5"/>
    <sheet name="Calculation" sheetId="6" r:id="rId6"/>
    <sheet name="Checks" sheetId="7" r:id="rId7"/>
    <sheet name="HCCbV"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8" i="6" l="1"/>
  <c r="C78" i="6"/>
  <c r="B78" i="6"/>
  <c r="D77" i="6"/>
  <c r="C77" i="6"/>
  <c r="B77" i="6"/>
  <c r="D76" i="6"/>
  <c r="C76" i="6"/>
  <c r="B76" i="6"/>
  <c r="D75" i="6"/>
  <c r="E75" i="6" s="1"/>
  <c r="F75" i="6" s="1"/>
  <c r="C75" i="6"/>
  <c r="B75" i="6"/>
  <c r="D74" i="6"/>
  <c r="C74" i="6"/>
  <c r="B74" i="6"/>
  <c r="D73" i="6"/>
  <c r="C73" i="6"/>
  <c r="B73" i="6"/>
  <c r="D72" i="6"/>
  <c r="C72" i="6"/>
  <c r="B72" i="6"/>
  <c r="C71" i="6"/>
  <c r="B71" i="6"/>
  <c r="C70" i="6"/>
  <c r="B70" i="6"/>
  <c r="C69" i="6"/>
  <c r="B69" i="6"/>
  <c r="C68" i="6"/>
  <c r="B68" i="6"/>
  <c r="C67" i="6"/>
  <c r="B67" i="6"/>
  <c r="C66" i="6"/>
  <c r="B66" i="6"/>
  <c r="C65" i="6"/>
  <c r="B65" i="6"/>
  <c r="C64" i="6"/>
  <c r="B64" i="6"/>
  <c r="C63" i="6"/>
  <c r="B63" i="6"/>
  <c r="C62" i="6"/>
  <c r="B62" i="6"/>
  <c r="C61" i="6"/>
  <c r="B61" i="6"/>
  <c r="C60" i="6"/>
  <c r="B60" i="6"/>
  <c r="D59"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D44"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B2" i="7" s="1"/>
  <c r="E78" i="6" l="1"/>
  <c r="F78" i="6" s="1"/>
  <c r="G78" i="6" s="1"/>
  <c r="B76" i="8" s="1"/>
  <c r="E77" i="6"/>
  <c r="F77" i="6" s="1"/>
  <c r="G77" i="6" s="1"/>
  <c r="B75" i="8" s="1"/>
  <c r="E76" i="6"/>
  <c r="F76" i="6" s="1"/>
  <c r="G76" i="6" s="1"/>
  <c r="B74" i="8" s="1"/>
  <c r="E74" i="6"/>
  <c r="F74" i="6" s="1"/>
  <c r="G74" i="6" s="1"/>
  <c r="B72" i="8" s="1"/>
  <c r="E73" i="6"/>
  <c r="F73" i="6" s="1"/>
  <c r="G73" i="6" s="1"/>
  <c r="B71" i="8" s="1"/>
  <c r="E72" i="6"/>
  <c r="F72" i="6" s="1"/>
  <c r="G72" i="6" s="1"/>
  <c r="B70" i="8" s="1"/>
  <c r="E59" i="6"/>
  <c r="E44" i="6"/>
  <c r="G75" i="6"/>
  <c r="B73" i="8" s="1"/>
  <c r="F69" i="6" l="1"/>
  <c r="G69" i="6" s="1"/>
  <c r="B67" i="8" s="1"/>
  <c r="F70" i="6"/>
  <c r="G70" i="6" s="1"/>
  <c r="B68" i="8" s="1"/>
  <c r="F71" i="6"/>
  <c r="G71" i="6" s="1"/>
  <c r="B69" i="8" s="1"/>
  <c r="F59" i="6"/>
  <c r="G59" i="6" s="1"/>
  <c r="B57" i="8" s="1"/>
  <c r="F65" i="6"/>
  <c r="G65" i="6" s="1"/>
  <c r="B63" i="8" s="1"/>
  <c r="F62" i="6"/>
  <c r="G62" i="6" s="1"/>
  <c r="B60" i="8" s="1"/>
  <c r="F60" i="6"/>
  <c r="G60" i="6" s="1"/>
  <c r="B58" i="8" s="1"/>
  <c r="F61" i="6"/>
  <c r="G61" i="6" s="1"/>
  <c r="B59" i="8" s="1"/>
  <c r="F63" i="6"/>
  <c r="G63" i="6" s="1"/>
  <c r="B61" i="8" s="1"/>
  <c r="F64" i="6"/>
  <c r="G64" i="6" s="1"/>
  <c r="B62" i="8" s="1"/>
  <c r="F66" i="6"/>
  <c r="G66" i="6" s="1"/>
  <c r="B64" i="8" s="1"/>
  <c r="F67" i="6"/>
  <c r="G67" i="6" s="1"/>
  <c r="B65" i="8" s="1"/>
  <c r="F68" i="6"/>
  <c r="G68" i="6" s="1"/>
  <c r="B66" i="8" s="1"/>
  <c r="F4" i="6"/>
  <c r="F5" i="6"/>
  <c r="G5" i="6" s="1"/>
  <c r="B3" i="8" s="1"/>
  <c r="F6" i="6"/>
  <c r="G6" i="6" s="1"/>
  <c r="B4" i="8" s="1"/>
  <c r="F7" i="6"/>
  <c r="G7" i="6" s="1"/>
  <c r="B5" i="8" s="1"/>
  <c r="F8" i="6"/>
  <c r="G8" i="6" s="1"/>
  <c r="B6" i="8" s="1"/>
  <c r="F9" i="6"/>
  <c r="G9" i="6" s="1"/>
  <c r="B7" i="8" s="1"/>
  <c r="F10" i="6"/>
  <c r="G10" i="6" s="1"/>
  <c r="B8" i="8" s="1"/>
  <c r="F11" i="6"/>
  <c r="G11" i="6" s="1"/>
  <c r="B9" i="8" s="1"/>
  <c r="F12" i="6"/>
  <c r="G12" i="6" s="1"/>
  <c r="B10" i="8" s="1"/>
  <c r="F13" i="6"/>
  <c r="G13" i="6" s="1"/>
  <c r="B11" i="8" s="1"/>
  <c r="F14" i="6"/>
  <c r="G14" i="6" s="1"/>
  <c r="B12" i="8" s="1"/>
  <c r="F15" i="6"/>
  <c r="G15" i="6" s="1"/>
  <c r="B13" i="8" s="1"/>
  <c r="F16" i="6"/>
  <c r="G16" i="6" s="1"/>
  <c r="B14" i="8" s="1"/>
  <c r="F26" i="6"/>
  <c r="G26" i="6" s="1"/>
  <c r="B24" i="8" s="1"/>
  <c r="F27" i="6"/>
  <c r="G27" i="6" s="1"/>
  <c r="B25" i="8" s="1"/>
  <c r="F29" i="6"/>
  <c r="G29" i="6" s="1"/>
  <c r="B27" i="8" s="1"/>
  <c r="F20" i="6"/>
  <c r="G20" i="6" s="1"/>
  <c r="B18" i="8" s="1"/>
  <c r="F23" i="6"/>
  <c r="G23" i="6" s="1"/>
  <c r="B21" i="8" s="1"/>
  <c r="F28" i="6"/>
  <c r="G28" i="6" s="1"/>
  <c r="B26" i="8" s="1"/>
  <c r="F53" i="6"/>
  <c r="G53" i="6" s="1"/>
  <c r="B51" i="8" s="1"/>
  <c r="F22" i="6"/>
  <c r="G22" i="6" s="1"/>
  <c r="B20" i="8" s="1"/>
  <c r="F24" i="6"/>
  <c r="G24" i="6" s="1"/>
  <c r="B22" i="8" s="1"/>
  <c r="F25" i="6"/>
  <c r="G25" i="6" s="1"/>
  <c r="B23" i="8" s="1"/>
  <c r="F30" i="6"/>
  <c r="G30" i="6" s="1"/>
  <c r="B28" i="8" s="1"/>
  <c r="F31" i="6"/>
  <c r="G31" i="6" s="1"/>
  <c r="B29" i="8" s="1"/>
  <c r="F32" i="6"/>
  <c r="G32" i="6" s="1"/>
  <c r="B30" i="8" s="1"/>
  <c r="F33" i="6"/>
  <c r="G33" i="6" s="1"/>
  <c r="B31" i="8" s="1"/>
  <c r="F34" i="6"/>
  <c r="G34" i="6" s="1"/>
  <c r="B32" i="8" s="1"/>
  <c r="F35" i="6"/>
  <c r="G35" i="6" s="1"/>
  <c r="B33" i="8" s="1"/>
  <c r="F36" i="6"/>
  <c r="G36" i="6" s="1"/>
  <c r="B34" i="8" s="1"/>
  <c r="F37" i="6"/>
  <c r="G37" i="6" s="1"/>
  <c r="B35" i="8" s="1"/>
  <c r="F38" i="6"/>
  <c r="G38" i="6" s="1"/>
  <c r="B36" i="8" s="1"/>
  <c r="F39" i="6"/>
  <c r="G39" i="6" s="1"/>
  <c r="B37" i="8" s="1"/>
  <c r="F40" i="6"/>
  <c r="G40" i="6" s="1"/>
  <c r="B38" i="8" s="1"/>
  <c r="F41" i="6"/>
  <c r="G41" i="6" s="1"/>
  <c r="B39" i="8" s="1"/>
  <c r="F42" i="6"/>
  <c r="G42" i="6" s="1"/>
  <c r="B40" i="8" s="1"/>
  <c r="F46" i="6"/>
  <c r="G46" i="6" s="1"/>
  <c r="B44" i="8" s="1"/>
  <c r="F18" i="6"/>
  <c r="G18" i="6" s="1"/>
  <c r="B16" i="8" s="1"/>
  <c r="F17" i="6"/>
  <c r="G17" i="6" s="1"/>
  <c r="B15" i="8" s="1"/>
  <c r="F44" i="6"/>
  <c r="G44" i="6" s="1"/>
  <c r="B42" i="8" s="1"/>
  <c r="F48" i="6"/>
  <c r="G48" i="6" s="1"/>
  <c r="B46" i="8" s="1"/>
  <c r="F50" i="6"/>
  <c r="G50" i="6" s="1"/>
  <c r="B48" i="8" s="1"/>
  <c r="F19" i="6"/>
  <c r="G19" i="6" s="1"/>
  <c r="B17" i="8" s="1"/>
  <c r="F47" i="6"/>
  <c r="G47" i="6" s="1"/>
  <c r="B45" i="8" s="1"/>
  <c r="F49" i="6"/>
  <c r="G49" i="6" s="1"/>
  <c r="B47" i="8" s="1"/>
  <c r="F21" i="6"/>
  <c r="G21" i="6" s="1"/>
  <c r="B19" i="8" s="1"/>
  <c r="F52" i="6"/>
  <c r="G52" i="6" s="1"/>
  <c r="B50" i="8" s="1"/>
  <c r="F45" i="6"/>
  <c r="G45" i="6" s="1"/>
  <c r="B43" i="8" s="1"/>
  <c r="F51" i="6"/>
  <c r="G51" i="6" s="1"/>
  <c r="B49" i="8" s="1"/>
  <c r="F54" i="6"/>
  <c r="G54" i="6" s="1"/>
  <c r="B52" i="8" s="1"/>
  <c r="F55" i="6"/>
  <c r="G55" i="6" s="1"/>
  <c r="B53" i="8" s="1"/>
  <c r="F56" i="6"/>
  <c r="G56" i="6" s="1"/>
  <c r="B54" i="8" s="1"/>
  <c r="F57" i="6"/>
  <c r="G57" i="6" s="1"/>
  <c r="B55" i="8" s="1"/>
  <c r="F58" i="6"/>
  <c r="G58" i="6" s="1"/>
  <c r="B56" i="8" s="1"/>
  <c r="F43" i="6"/>
  <c r="G43" i="6" s="1"/>
  <c r="B41" i="8" s="1"/>
  <c r="G4" i="6"/>
  <c r="B2" i="8" s="1"/>
  <c r="B1" i="7"/>
</calcChain>
</file>

<file path=xl/sharedStrings.xml><?xml version="1.0" encoding="utf-8"?>
<sst xmlns="http://schemas.openxmlformats.org/spreadsheetml/2006/main" count="208" uniqueCount="168">
  <si>
    <t>HCCbV Historical Clinker Consumed by Vintage</t>
  </si>
  <si>
    <t>Sources:</t>
  </si>
  <si>
    <t>U.S. cement apparent consumption and production, 1950-2021</t>
  </si>
  <si>
    <t>U.S. Geological Survey</t>
  </si>
  <si>
    <t>Cement Statistics, Historical Statistics for Mineral and Material Commodities in the United States (Data Series 140)</t>
  </si>
  <si>
    <t>https://www.usgs.gov/media/files/cement-historical-statistics-data-series-140</t>
  </si>
  <si>
    <t>The 'Cement' sheet of ds140-cement-2021.xlsx (last modified May 3, 2023) is pasted verbatim on the 'USGS DS140' tab. We use the Apparent consumption column (production plus imports minus exports, adjusted for stocks) and the Production column. Values cover portland and masonry cement. USGS notes that the figures are calculated, estimated or reported; the series is a national total and cannot be split by end use or by state.</t>
  </si>
  <si>
    <t>U.S. cement apparent consumption, production and clinker production, 2021-2024</t>
  </si>
  <si>
    <t>Mineral Commodity Summaries 2026: Cement</t>
  </si>
  <si>
    <t>https://pubs.usgs.gov/periodicals/mcs2026/mcs2026-cement.pdf</t>
  </si>
  <si>
    <t>Salient statistics pasted on the 'USGS MCS 2026' tab. We use apparent consumption for 2022-2024 (DS140 ends in 2021), and clinker and cement production for 2021-2024 to compute the clinker ratio. USGS rounds apparent consumption to the nearest million tons.</t>
  </si>
  <si>
    <t>U.S. clinker production, 1990, 2005 and 2018-2020</t>
  </si>
  <si>
    <t>U.S. Environmental Protection Agency</t>
  </si>
  <si>
    <t>Inventory of U.S. Greenhouse Gas Emissions and Sinks: 1990-2022, Chapter 4 (Industrial Processes and Product Use), Table 4-5</t>
  </si>
  <si>
    <t>https://www.epa.gov/system/files/documents/2024-02/us-ghg-inventory-2024-chapter-4-industrial-processes-and-product-use.pdf</t>
  </si>
  <si>
    <t>Table 4-5 (Clinker Production, kt) is typed on the 'EPA GHGI clinker' tab. It includes Puerto Rico, which the USGS production figures also include in recent years; the small mismatch in earlier years is well inside the uncertainty of the clinker ratio. The inventory publishes only these anchor years, so the clinker ratio between them is interpolated.</t>
  </si>
  <si>
    <t>Notes:</t>
  </si>
  <si>
    <t>Purpose</t>
  </si>
  <si>
    <t>This file gives the EPS the clinker contained in the cement used in the United States in each year before the model starts, by year of use (the 'vintage'). The EPS uses it to work out how much CO2 the concrete and mortar already in place will take back up from the air through carbonation during the model run. Cement used during the model run comes from the model's own cement demand, so every vintage from the model's start year on is zero here.</t>
  </si>
  <si>
    <t>Layout</t>
  </si>
  <si>
    <t>The 'Parameters' tab holds the model start year. The 'Calculation' tab lines up consumption and the clinker ratio year by year and multiplies them. The dark blue 'HCCbV' tab is the exported file, one row per vintage from 1950 to 2050.</t>
  </si>
  <si>
    <t>Clinker ratio</t>
  </si>
  <si>
    <t>Clinker per ton of cement is clinker production divided by cement production in the years where both are published (EPA for 1990, 2005 and 2018-2020; USGS for 2021-2024), with straight lines between those years. Before 1990 we hold the 1990 ratio. The ratio counts clinker made in the United States against cement made here; imported cement is assumed to contain clinker in the same proportion. Cement from imported clinker makes the domestic ratio slightly low (by about 1-2 percent in recent years).</t>
  </si>
  <si>
    <t>Why 1950</t>
  </si>
  <si>
    <t>The EPS tracks vintages from 1950. Cement used before then matters little: concrete takes up most of its CO2 within its service life (about 65 years in the U.S.), so cement used before 1950 had finished its in-use uptake before the model starts.</t>
  </si>
  <si>
    <t>Model start year (first year the model computes cement use itself)</t>
  </si>
  <si>
    <t>CEMENT STATISTICS1</t>
  </si>
  <si>
    <t>U.S. GEOLOGICAL SURVEY</t>
  </si>
  <si>
    <t>[All values in metric tons (t) gross weight unless otherwise noted]</t>
  </si>
  <si>
    <t>Last modification: May 3, 2023</t>
  </si>
  <si>
    <t>Year</t>
  </si>
  <si>
    <t>Production</t>
  </si>
  <si>
    <t>Imports</t>
  </si>
  <si>
    <t>Exports</t>
  </si>
  <si>
    <t>Stocks</t>
  </si>
  <si>
    <t>Apparent consumption</t>
  </si>
  <si>
    <t>Unit value ($/t)</t>
  </si>
  <si>
    <t>Unit value (98$/t)</t>
  </si>
  <si>
    <t>World production</t>
  </si>
  <si>
    <t>NA</t>
  </si>
  <si>
    <t/>
  </si>
  <si>
    <t xml:space="preserve">NA Not available. </t>
  </si>
  <si>
    <t>1Compiled by H.G. van Oss, Kenneth C. Curry, and Ashley K. Hatfield.</t>
  </si>
  <si>
    <t>Data are calculated, estimated, or reported.  See embedded notes document for more information.</t>
  </si>
  <si>
    <t>USGS Mineral Commodity Summaries 2026 - Cement. Salient Statistics - United States, pasted from the PDF ('e' = estimated). Thousand metric tons.</t>
  </si>
  <si>
    <t>Item</t>
  </si>
  <si>
    <t>2025e</t>
  </si>
  <si>
    <t>Production: Portland, blended, and masonry cement (includes cement made from imported clinker)</t>
  </si>
  <si>
    <t>Production: Clinker</t>
  </si>
  <si>
    <t>Shipments to final customers, includes exports</t>
  </si>
  <si>
    <t>Imports for consumption: Hydraulic cement</t>
  </si>
  <si>
    <t>Imports for consumption: Clinker</t>
  </si>
  <si>
    <t>Exports, hydraulic cement and clinker</t>
  </si>
  <si>
    <t>Consumption, apparent</t>
  </si>
  <si>
    <t>EPA GHG Inventory 1990-2022, Table 4-5: Clinker Production (kt). Includes Puerto Rico.</t>
  </si>
  <si>
    <t>Clinker (kt)</t>
  </si>
  <si>
    <t>How much clinker was in the cement used each year? Consumption x clinker ratio. Column G is what the output file reads.</t>
  </si>
  <si>
    <t>Cement used
apparent consumption, t</t>
  </si>
  <si>
    <t>Cement produced
t</t>
  </si>
  <si>
    <t>Clinker produced
t (anchor years only)</t>
  </si>
  <si>
    <t>Clinker ratio in anchor years
clinker / cement produced</t>
  </si>
  <si>
    <t>Clinker ratio used
anchors, straight lines between, 1990 held before</t>
  </si>
  <si>
    <t>CLINKER IN CEMENT USED
t (USED IN THE OUTPUT FILE)</t>
  </si>
  <si>
    <t>CHECK: is every clinker ratio between 0.75 and 1? (1 = problem)</t>
  </si>
  <si>
    <t>CHECK: does every year before the start year have consumption? (1 = problem)</t>
  </si>
  <si>
    <t>Unit: metric tons clinker</t>
  </si>
  <si>
    <t>Clinker in Cement Used</t>
  </si>
  <si>
    <t>ModeledVintage1950</t>
  </si>
  <si>
    <t>ModeledVintage1951</t>
  </si>
  <si>
    <t>ModeledVintage1952</t>
  </si>
  <si>
    <t>ModeledVintage1953</t>
  </si>
  <si>
    <t>ModeledVintage1954</t>
  </si>
  <si>
    <t>ModeledVintage1955</t>
  </si>
  <si>
    <t>ModeledVintage1956</t>
  </si>
  <si>
    <t>ModeledVintage1957</t>
  </si>
  <si>
    <t>ModeledVintage1958</t>
  </si>
  <si>
    <t>ModeledVintage1959</t>
  </si>
  <si>
    <t>ModeledVintage1960</t>
  </si>
  <si>
    <t>ModeledVintage1961</t>
  </si>
  <si>
    <t>ModeledVintage1962</t>
  </si>
  <si>
    <t>ModeledVintage1963</t>
  </si>
  <si>
    <t>ModeledVintage1964</t>
  </si>
  <si>
    <t>ModeledVintage1965</t>
  </si>
  <si>
    <t>ModeledVintage1966</t>
  </si>
  <si>
    <t>ModeledVintage1967</t>
  </si>
  <si>
    <t>ModeledVintage1968</t>
  </si>
  <si>
    <t>ModeledVintage1969</t>
  </si>
  <si>
    <t>ModeledVintage1970</t>
  </si>
  <si>
    <t>ModeledVintage1971</t>
  </si>
  <si>
    <t>ModeledVintage1972</t>
  </si>
  <si>
    <t>ModeledVintage1973</t>
  </si>
  <si>
    <t>ModeledVintage1974</t>
  </si>
  <si>
    <t>ModeledVintage1975</t>
  </si>
  <si>
    <t>ModeledVintage1976</t>
  </si>
  <si>
    <t>ModeledVintage1977</t>
  </si>
  <si>
    <t>ModeledVintage1978</t>
  </si>
  <si>
    <t>ModeledVintage1979</t>
  </si>
  <si>
    <t>ModeledVintage1980</t>
  </si>
  <si>
    <t>ModeledVintage1981</t>
  </si>
  <si>
    <t>ModeledVintage1982</t>
  </si>
  <si>
    <t>ModeledVintage1983</t>
  </si>
  <si>
    <t>ModeledVintage1984</t>
  </si>
  <si>
    <t>ModeledVintage1985</t>
  </si>
  <si>
    <t>ModeledVintage1986</t>
  </si>
  <si>
    <t>ModeledVintage1987</t>
  </si>
  <si>
    <t>ModeledVintage1988</t>
  </si>
  <si>
    <t>ModeledVintage1989</t>
  </si>
  <si>
    <t>ModeledVintage1990</t>
  </si>
  <si>
    <t>ModeledVintage1991</t>
  </si>
  <si>
    <t>ModeledVintage1992</t>
  </si>
  <si>
    <t>ModeledVintage1993</t>
  </si>
  <si>
    <t>ModeledVintage1994</t>
  </si>
  <si>
    <t>ModeledVintage1995</t>
  </si>
  <si>
    <t>ModeledVintage1996</t>
  </si>
  <si>
    <t>ModeledVintage1997</t>
  </si>
  <si>
    <t>ModeledVintage1998</t>
  </si>
  <si>
    <t>ModeledVintage1999</t>
  </si>
  <si>
    <t>ModeledVintage2000</t>
  </si>
  <si>
    <t>ModeledVintage2001</t>
  </si>
  <si>
    <t>ModeledVintage2002</t>
  </si>
  <si>
    <t>ModeledVintage2003</t>
  </si>
  <si>
    <t>ModeledVintage2004</t>
  </si>
  <si>
    <t>ModeledVintage2005</t>
  </si>
  <si>
    <t>ModeledVintage2006</t>
  </si>
  <si>
    <t>ModeledVintage2007</t>
  </si>
  <si>
    <t>ModeledVintage2008</t>
  </si>
  <si>
    <t>ModeledVintage2009</t>
  </si>
  <si>
    <t>ModeledVintage2010</t>
  </si>
  <si>
    <t>ModeledVintage2011</t>
  </si>
  <si>
    <t>ModeledVintage2012</t>
  </si>
  <si>
    <t>ModeledVintage2013</t>
  </si>
  <si>
    <t>ModeledVintage2014</t>
  </si>
  <si>
    <t>ModeledVintage2015</t>
  </si>
  <si>
    <t>ModeledVintage2016</t>
  </si>
  <si>
    <t>ModeledVintage2017</t>
  </si>
  <si>
    <t>ModeledVintage2018</t>
  </si>
  <si>
    <t>ModeledVintage2019</t>
  </si>
  <si>
    <t>ModeledVintage2020</t>
  </si>
  <si>
    <t>ModeledVintage2021</t>
  </si>
  <si>
    <t>ModeledVintage2022</t>
  </si>
  <si>
    <t>ModeledVintage2023</t>
  </si>
  <si>
    <t>ModeledVintage2024</t>
  </si>
  <si>
    <t>ModeledVintage2025</t>
  </si>
  <si>
    <t>ModeledVintage2026</t>
  </si>
  <si>
    <t>ModeledVintage2027</t>
  </si>
  <si>
    <t>ModeledVintage2028</t>
  </si>
  <si>
    <t>ModeledVintage2029</t>
  </si>
  <si>
    <t>ModeledVintage2030</t>
  </si>
  <si>
    <t>ModeledVintage2031</t>
  </si>
  <si>
    <t>ModeledVintage2032</t>
  </si>
  <si>
    <t>ModeledVintage2033</t>
  </si>
  <si>
    <t>ModeledVintage2034</t>
  </si>
  <si>
    <t>ModeledVintage2035</t>
  </si>
  <si>
    <t>ModeledVintage2036</t>
  </si>
  <si>
    <t>ModeledVintage2037</t>
  </si>
  <si>
    <t>ModeledVintage2038</t>
  </si>
  <si>
    <t>ModeledVintage2039</t>
  </si>
  <si>
    <t>ModeledVintage2040</t>
  </si>
  <si>
    <t>ModeledVintage2041</t>
  </si>
  <si>
    <t>ModeledVintage2042</t>
  </si>
  <si>
    <t>ModeledVintage2043</t>
  </si>
  <si>
    <t>ModeledVintage2044</t>
  </si>
  <si>
    <t>ModeledVintage2045</t>
  </si>
  <si>
    <t>ModeledVintage2046</t>
  </si>
  <si>
    <t>ModeledVintage2047</t>
  </si>
  <si>
    <t>ModeledVintage2048</t>
  </si>
  <si>
    <t>ModeledVintage2049</t>
  </si>
  <si>
    <t>ModeledVintage2050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</si>
</sst>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rgb="FF0563C1"/>
      <name val="Calibri"/>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pa.gov/system/files/documents/2024-02/us-ghg-inventory-2024-chapter-4-industrial-processes-and-product-use.pdf" TargetMode="External"/><Relationship Id="rId2" Type="http://schemas.openxmlformats.org/officeDocument/2006/relationships/hyperlink" Target="https://pubs.usgs.gov/periodicals/mcs2026/mcs2026-cement.pdf" TargetMode="External"/><Relationship Id="rId1" Type="http://schemas.openxmlformats.org/officeDocument/2006/relationships/hyperlink" Target="https://www.usgs.gov/media/files/cement-historical-statistics-data-series-1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workbookViewId="0"/>
  </sheetViews>
  <sheetFormatPr defaultRowHeight="15" x14ac:dyDescent="0.25"/>
  <cols>
    <col min="1" max="1" width="14" customWidth="1"/>
    <col min="2" max="2" width="110" customWidth="1"/>
  </cols>
  <sheetData>
    <row r="1" spans="1:2" x14ac:dyDescent="0.25">
      <c r="A1" s="1" t="s">
        <v>0</v>
      </c>
    </row>
    <row r="3" spans="1:2" x14ac:dyDescent="0.25">
      <c r="A3" s="1" t="s">
        <v>1</v>
      </c>
      <c r="B3" s="2" t="s">
        <v>2</v>
      </c>
    </row>
    <row r="4" spans="1:2" x14ac:dyDescent="0.25">
      <c r="B4" s="3" t="s">
        <v>3</v>
      </c>
    </row>
    <row r="5" spans="1:2" x14ac:dyDescent="0.25">
      <c r="B5" s="3" t="s">
        <v>4</v>
      </c>
    </row>
    <row r="6" spans="1:2" x14ac:dyDescent="0.25">
      <c r="B6" s="3">
        <v>2023</v>
      </c>
    </row>
    <row r="7" spans="1:2" x14ac:dyDescent="0.25">
      <c r="B7" s="4" t="s">
        <v>5</v>
      </c>
    </row>
    <row r="8" spans="1:2" ht="60" x14ac:dyDescent="0.25">
      <c r="B8" s="3" t="s">
        <v>6</v>
      </c>
    </row>
    <row r="10" spans="1:2" x14ac:dyDescent="0.25">
      <c r="B10" s="2" t="s">
        <v>7</v>
      </c>
    </row>
    <row r="11" spans="1:2" x14ac:dyDescent="0.25">
      <c r="B11" s="3" t="s">
        <v>3</v>
      </c>
    </row>
    <row r="12" spans="1:2" x14ac:dyDescent="0.25">
      <c r="B12" s="3" t="s">
        <v>8</v>
      </c>
    </row>
    <row r="13" spans="1:2" x14ac:dyDescent="0.25">
      <c r="B13" s="3">
        <v>2026</v>
      </c>
    </row>
    <row r="14" spans="1:2" x14ac:dyDescent="0.25">
      <c r="B14" s="4" t="s">
        <v>9</v>
      </c>
    </row>
    <row r="15" spans="1:2" ht="45" x14ac:dyDescent="0.25">
      <c r="B15" s="3" t="s">
        <v>10</v>
      </c>
    </row>
    <row r="17" spans="1:2" x14ac:dyDescent="0.25">
      <c r="B17" s="2" t="s">
        <v>11</v>
      </c>
    </row>
    <row r="18" spans="1:2" x14ac:dyDescent="0.25">
      <c r="B18" s="3" t="s">
        <v>12</v>
      </c>
    </row>
    <row r="19" spans="1:2" ht="30" x14ac:dyDescent="0.25">
      <c r="B19" s="3" t="s">
        <v>13</v>
      </c>
    </row>
    <row r="20" spans="1:2" x14ac:dyDescent="0.25">
      <c r="B20" s="3">
        <v>2024</v>
      </c>
    </row>
    <row r="21" spans="1:2" ht="30" x14ac:dyDescent="0.25">
      <c r="B21" s="4" t="s">
        <v>14</v>
      </c>
    </row>
    <row r="22" spans="1:2" ht="45" x14ac:dyDescent="0.25">
      <c r="B22" s="3" t="s">
        <v>15</v>
      </c>
    </row>
    <row r="25" spans="1:2" x14ac:dyDescent="0.25">
      <c r="A25" s="1" t="s">
        <v>16</v>
      </c>
    </row>
    <row r="26" spans="1:2" ht="60" x14ac:dyDescent="0.25">
      <c r="A26" s="1" t="s">
        <v>17</v>
      </c>
      <c r="B26" s="3" t="s">
        <v>18</v>
      </c>
    </row>
    <row r="27" spans="1:2" ht="30" x14ac:dyDescent="0.25">
      <c r="A27" s="1" t="s">
        <v>19</v>
      </c>
      <c r="B27" s="3" t="s">
        <v>20</v>
      </c>
    </row>
    <row r="28" spans="1:2" ht="75" x14ac:dyDescent="0.25">
      <c r="A28" s="1" t="s">
        <v>21</v>
      </c>
      <c r="B28" s="3" t="s">
        <v>22</v>
      </c>
    </row>
    <row r="29" spans="1:2" ht="45" x14ac:dyDescent="0.25">
      <c r="A29" s="1" t="s">
        <v>23</v>
      </c>
      <c r="B29" s="3" t="s">
        <v>24</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
  <sheetViews>
    <sheetView workbookViewId="0"/>
  </sheetViews>
  <sheetFormatPr defaultRowHeight="15" x14ac:dyDescent="0.25"/>
  <cols>
    <col min="1" max="1" width="40" customWidth="1"/>
  </cols>
  <sheetData>
    <row r="1" spans="1:2" ht="30" x14ac:dyDescent="0.25">
      <c r="A1" s="3" t="s">
        <v>25</v>
      </c>
      <c r="B1">
        <v>2025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6"/>
  <sheetViews>
    <sheetView workbookViewId="0"/>
  </sheetViews>
  <sheetFormatPr defaultRowHeight="15" x14ac:dyDescent="0.25"/>
  <sheetData>
    <row r="1" spans="1:9" x14ac:dyDescent="0.25">
      <c r="A1" t="s">
        <v>26</v>
      </c>
    </row>
    <row r="2" spans="1:9" x14ac:dyDescent="0.25">
      <c r="A2" t="s">
        <v>27</v>
      </c>
    </row>
    <row r="3" spans="1:9" x14ac:dyDescent="0.25">
      <c r="A3" t="s">
        <v>28</v>
      </c>
    </row>
    <row r="4" spans="1:9" x14ac:dyDescent="0.25">
      <c r="A4" t="s">
        <v>29</v>
      </c>
    </row>
    <row r="5" spans="1:9" x14ac:dyDescent="0.25">
      <c r="A5" t="s">
        <v>30</v>
      </c>
      <c r="B5" t="s">
        <v>31</v>
      </c>
      <c r="C5" t="s">
        <v>32</v>
      </c>
      <c r="D5" t="s">
        <v>33</v>
      </c>
      <c r="E5" t="s">
        <v>34</v>
      </c>
      <c r="F5" t="s">
        <v>35</v>
      </c>
      <c r="G5" t="s">
        <v>36</v>
      </c>
      <c r="H5" t="s">
        <v>37</v>
      </c>
      <c r="I5" t="s">
        <v>38</v>
      </c>
    </row>
    <row r="6" spans="1:9" x14ac:dyDescent="0.25">
      <c r="A6">
        <v>1900</v>
      </c>
      <c r="B6">
        <v>2680400</v>
      </c>
      <c r="C6">
        <v>411440</v>
      </c>
      <c r="D6">
        <v>17200</v>
      </c>
      <c r="E6" t="s">
        <v>39</v>
      </c>
      <c r="F6">
        <v>3074600</v>
      </c>
      <c r="G6">
        <v>4</v>
      </c>
      <c r="H6">
        <v>78</v>
      </c>
      <c r="I6" t="s">
        <v>39</v>
      </c>
    </row>
    <row r="7" spans="1:9" x14ac:dyDescent="0.25">
      <c r="A7">
        <v>1901</v>
      </c>
      <c r="B7">
        <v>3202400</v>
      </c>
      <c r="C7">
        <v>161850</v>
      </c>
      <c r="D7">
        <v>64500</v>
      </c>
      <c r="E7" t="s">
        <v>39</v>
      </c>
      <c r="F7">
        <v>3299800</v>
      </c>
      <c r="G7">
        <v>4.5</v>
      </c>
      <c r="H7">
        <v>88</v>
      </c>
      <c r="I7" t="s">
        <v>39</v>
      </c>
    </row>
    <row r="8" spans="1:9" x14ac:dyDescent="0.25">
      <c r="A8">
        <v>1902</v>
      </c>
      <c r="B8">
        <v>4147600</v>
      </c>
      <c r="C8">
        <v>338350</v>
      </c>
      <c r="D8">
        <v>58800</v>
      </c>
      <c r="E8" t="s">
        <v>39</v>
      </c>
      <c r="F8">
        <v>4427100</v>
      </c>
      <c r="G8">
        <v>5.34</v>
      </c>
      <c r="H8">
        <v>100</v>
      </c>
      <c r="I8" t="s">
        <v>39</v>
      </c>
    </row>
    <row r="9" spans="1:9" x14ac:dyDescent="0.25">
      <c r="A9">
        <v>1903</v>
      </c>
      <c r="B9">
        <v>4898000</v>
      </c>
      <c r="C9">
        <v>388170</v>
      </c>
      <c r="D9">
        <v>49100</v>
      </c>
      <c r="E9" t="s">
        <v>39</v>
      </c>
      <c r="F9">
        <v>5237100</v>
      </c>
      <c r="G9">
        <v>5.88</v>
      </c>
      <c r="H9">
        <v>110</v>
      </c>
      <c r="I9" t="s">
        <v>39</v>
      </c>
    </row>
    <row r="10" spans="1:9" x14ac:dyDescent="0.25">
      <c r="A10">
        <v>1904</v>
      </c>
      <c r="B10">
        <v>5282700</v>
      </c>
      <c r="C10">
        <v>166850</v>
      </c>
      <c r="D10">
        <v>134000</v>
      </c>
      <c r="E10" t="s">
        <v>39</v>
      </c>
      <c r="F10">
        <v>5315900</v>
      </c>
      <c r="G10">
        <v>4.79</v>
      </c>
      <c r="H10">
        <v>87</v>
      </c>
      <c r="I10" t="s">
        <v>39</v>
      </c>
    </row>
    <row r="11" spans="1:9" x14ac:dyDescent="0.25">
      <c r="A11">
        <v>1905</v>
      </c>
      <c r="B11">
        <v>6750300</v>
      </c>
      <c r="C11">
        <v>154610</v>
      </c>
      <c r="D11">
        <v>155000</v>
      </c>
      <c r="E11" t="s">
        <v>39</v>
      </c>
      <c r="F11">
        <v>6750100</v>
      </c>
      <c r="G11">
        <v>5.26</v>
      </c>
      <c r="H11">
        <v>95</v>
      </c>
      <c r="I11" t="s">
        <v>39</v>
      </c>
    </row>
    <row r="12" spans="1:9" x14ac:dyDescent="0.25">
      <c r="A12">
        <v>1906</v>
      </c>
      <c r="B12">
        <v>8643600</v>
      </c>
      <c r="C12">
        <v>391790</v>
      </c>
      <c r="D12">
        <v>100000</v>
      </c>
      <c r="E12" t="s">
        <v>39</v>
      </c>
      <c r="F12">
        <v>8934900</v>
      </c>
      <c r="G12">
        <v>6.16</v>
      </c>
      <c r="H12">
        <v>110</v>
      </c>
      <c r="I12" t="s">
        <v>39</v>
      </c>
    </row>
    <row r="13" spans="1:9" x14ac:dyDescent="0.25">
      <c r="A13">
        <v>1907</v>
      </c>
      <c r="B13">
        <v>8897800</v>
      </c>
      <c r="C13">
        <v>350420</v>
      </c>
      <c r="D13">
        <v>155000</v>
      </c>
      <c r="E13" t="s">
        <v>39</v>
      </c>
      <c r="F13">
        <v>9092900</v>
      </c>
      <c r="G13">
        <v>6.14</v>
      </c>
      <c r="H13">
        <v>110</v>
      </c>
      <c r="I13" t="s">
        <v>39</v>
      </c>
    </row>
    <row r="14" spans="1:9" x14ac:dyDescent="0.25">
      <c r="A14">
        <v>1908</v>
      </c>
      <c r="B14">
        <v>9059000</v>
      </c>
      <c r="C14">
        <v>145130</v>
      </c>
      <c r="D14">
        <v>146000</v>
      </c>
      <c r="E14" t="s">
        <v>39</v>
      </c>
      <c r="F14">
        <v>9058200</v>
      </c>
      <c r="G14">
        <v>4.93</v>
      </c>
      <c r="H14">
        <v>89</v>
      </c>
      <c r="I14" t="s">
        <v>39</v>
      </c>
    </row>
    <row r="15" spans="1:9" x14ac:dyDescent="0.25">
      <c r="A15">
        <v>1909</v>
      </c>
      <c r="B15">
        <v>11437000</v>
      </c>
      <c r="C15">
        <v>76530</v>
      </c>
      <c r="D15">
        <v>182000</v>
      </c>
      <c r="E15" t="s">
        <v>39</v>
      </c>
      <c r="F15">
        <v>11332000</v>
      </c>
      <c r="G15">
        <v>4.76</v>
      </c>
      <c r="H15">
        <v>86</v>
      </c>
      <c r="I15" t="s">
        <v>39</v>
      </c>
    </row>
    <row r="16" spans="1:9" x14ac:dyDescent="0.25">
      <c r="A16">
        <v>1910</v>
      </c>
      <c r="B16">
        <v>13366000</v>
      </c>
      <c r="C16">
        <v>52916</v>
      </c>
      <c r="D16">
        <v>427000</v>
      </c>
      <c r="E16" t="s">
        <v>39</v>
      </c>
      <c r="F16">
        <v>12992000</v>
      </c>
      <c r="G16">
        <v>5.33</v>
      </c>
      <c r="H16">
        <v>93</v>
      </c>
      <c r="I16" t="s">
        <v>39</v>
      </c>
    </row>
    <row r="17" spans="1:9" x14ac:dyDescent="0.25">
      <c r="A17">
        <v>1911</v>
      </c>
      <c r="B17">
        <v>13678000</v>
      </c>
      <c r="C17">
        <v>28440</v>
      </c>
      <c r="D17">
        <v>540000</v>
      </c>
      <c r="E17">
        <v>1791000</v>
      </c>
      <c r="F17">
        <v>13166000</v>
      </c>
      <c r="G17">
        <v>5.32</v>
      </c>
      <c r="H17">
        <v>93</v>
      </c>
      <c r="I17" t="s">
        <v>39</v>
      </c>
    </row>
    <row r="18" spans="1:9" x14ac:dyDescent="0.25">
      <c r="A18">
        <v>1912</v>
      </c>
      <c r="B18">
        <v>14337000</v>
      </c>
      <c r="C18">
        <v>11893</v>
      </c>
      <c r="D18">
        <v>727000</v>
      </c>
      <c r="E18">
        <v>1347000</v>
      </c>
      <c r="F18">
        <v>13623000</v>
      </c>
      <c r="G18">
        <v>4.99</v>
      </c>
      <c r="H18">
        <v>84</v>
      </c>
      <c r="I18" t="s">
        <v>39</v>
      </c>
    </row>
    <row r="19" spans="1:9" x14ac:dyDescent="0.25">
      <c r="A19">
        <v>1913</v>
      </c>
      <c r="B19">
        <v>15994000</v>
      </c>
      <c r="C19">
        <v>14651</v>
      </c>
      <c r="D19">
        <v>511000</v>
      </c>
      <c r="E19">
        <v>1935000</v>
      </c>
      <c r="F19">
        <v>15498000</v>
      </c>
      <c r="G19">
        <v>6.06</v>
      </c>
      <c r="H19">
        <v>99.8</v>
      </c>
      <c r="I19" t="s">
        <v>39</v>
      </c>
    </row>
    <row r="20" spans="1:9" x14ac:dyDescent="0.25">
      <c r="A20">
        <v>1914</v>
      </c>
      <c r="B20">
        <v>15322000</v>
      </c>
      <c r="C20">
        <v>20856</v>
      </c>
      <c r="D20">
        <v>369000</v>
      </c>
      <c r="E20">
        <v>2202000</v>
      </c>
      <c r="F20">
        <v>14974000</v>
      </c>
      <c r="G20">
        <v>5.54</v>
      </c>
      <c r="H20">
        <v>90.3</v>
      </c>
      <c r="I20" t="s">
        <v>39</v>
      </c>
    </row>
    <row r="21" spans="1:9" x14ac:dyDescent="0.25">
      <c r="A21">
        <v>1915</v>
      </c>
      <c r="B21">
        <v>14919000</v>
      </c>
      <c r="C21">
        <v>7239</v>
      </c>
      <c r="D21">
        <v>442000</v>
      </c>
      <c r="E21">
        <v>1976000</v>
      </c>
      <c r="F21">
        <v>14484000</v>
      </c>
      <c r="G21">
        <v>5.18</v>
      </c>
      <c r="H21">
        <v>83.6</v>
      </c>
      <c r="I21" t="s">
        <v>39</v>
      </c>
    </row>
    <row r="22" spans="1:9" x14ac:dyDescent="0.25">
      <c r="A22">
        <v>1916</v>
      </c>
      <c r="B22">
        <v>15890000</v>
      </c>
      <c r="C22">
        <v>345</v>
      </c>
      <c r="D22">
        <v>442000</v>
      </c>
      <c r="E22">
        <v>1441000</v>
      </c>
      <c r="F22">
        <v>15448000</v>
      </c>
      <c r="G22">
        <v>6.61</v>
      </c>
      <c r="H22">
        <v>98.8</v>
      </c>
      <c r="I22" t="s">
        <v>39</v>
      </c>
    </row>
    <row r="23" spans="1:9" x14ac:dyDescent="0.25">
      <c r="A23">
        <v>1917</v>
      </c>
      <c r="B23">
        <v>16085000</v>
      </c>
      <c r="C23">
        <v>345</v>
      </c>
      <c r="D23">
        <v>446000</v>
      </c>
      <c r="E23">
        <v>1785000</v>
      </c>
      <c r="F23">
        <v>15639000</v>
      </c>
      <c r="G23">
        <v>8.14</v>
      </c>
      <c r="H23">
        <v>104</v>
      </c>
      <c r="I23" t="s">
        <v>39</v>
      </c>
    </row>
    <row r="24" spans="1:9" x14ac:dyDescent="0.25">
      <c r="A24">
        <v>1918</v>
      </c>
      <c r="B24">
        <v>12311000</v>
      </c>
      <c r="C24">
        <v>52</v>
      </c>
      <c r="D24">
        <v>388000</v>
      </c>
      <c r="E24">
        <v>1802000</v>
      </c>
      <c r="F24">
        <v>11923000</v>
      </c>
      <c r="G24">
        <v>9.65</v>
      </c>
      <c r="H24">
        <v>104</v>
      </c>
      <c r="I24" t="s">
        <v>39</v>
      </c>
    </row>
    <row r="25" spans="1:9" x14ac:dyDescent="0.25">
      <c r="A25">
        <v>1919</v>
      </c>
      <c r="B25">
        <v>13995000</v>
      </c>
      <c r="C25">
        <v>1551</v>
      </c>
      <c r="D25">
        <v>425000</v>
      </c>
      <c r="E25">
        <v>906000</v>
      </c>
      <c r="F25">
        <v>13572000</v>
      </c>
      <c r="G25">
        <v>10.3</v>
      </c>
      <c r="H25">
        <v>97.2</v>
      </c>
      <c r="I25" t="s">
        <v>39</v>
      </c>
    </row>
    <row r="26" spans="1:9" x14ac:dyDescent="0.25">
      <c r="A26">
        <v>1920</v>
      </c>
      <c r="B26">
        <v>17163000</v>
      </c>
      <c r="C26">
        <v>90492</v>
      </c>
      <c r="D26">
        <v>509000</v>
      </c>
      <c r="E26">
        <v>1507000</v>
      </c>
      <c r="F26">
        <v>16744000</v>
      </c>
      <c r="G26">
        <v>12.1</v>
      </c>
      <c r="H26">
        <v>98.8</v>
      </c>
      <c r="I26" t="s">
        <v>39</v>
      </c>
    </row>
    <row r="27" spans="1:9" x14ac:dyDescent="0.25">
      <c r="A27">
        <v>1921</v>
      </c>
      <c r="B27">
        <v>16950000</v>
      </c>
      <c r="C27">
        <v>20813</v>
      </c>
      <c r="D27">
        <v>201000</v>
      </c>
      <c r="E27">
        <v>2080000</v>
      </c>
      <c r="F27">
        <v>16769000</v>
      </c>
      <c r="G27">
        <v>11.2</v>
      </c>
      <c r="H27">
        <v>102</v>
      </c>
      <c r="I27" t="s">
        <v>39</v>
      </c>
    </row>
    <row r="28" spans="1:9" x14ac:dyDescent="0.25">
      <c r="A28">
        <v>1922</v>
      </c>
      <c r="B28">
        <v>19729000</v>
      </c>
      <c r="C28">
        <v>60734</v>
      </c>
      <c r="D28">
        <v>192000</v>
      </c>
      <c r="E28">
        <v>1595000</v>
      </c>
      <c r="F28">
        <v>19597000</v>
      </c>
      <c r="G28">
        <v>10.4</v>
      </c>
      <c r="H28">
        <v>101</v>
      </c>
      <c r="I28" t="s">
        <v>39</v>
      </c>
    </row>
    <row r="29" spans="1:9" x14ac:dyDescent="0.25">
      <c r="A29">
        <v>1923</v>
      </c>
      <c r="B29">
        <v>23661000</v>
      </c>
      <c r="C29">
        <v>301450</v>
      </c>
      <c r="D29">
        <v>171000</v>
      </c>
      <c r="E29">
        <v>1845000</v>
      </c>
      <c r="F29">
        <v>23791000</v>
      </c>
      <c r="G29">
        <v>11.1</v>
      </c>
      <c r="H29">
        <v>106</v>
      </c>
      <c r="I29" t="s">
        <v>39</v>
      </c>
    </row>
    <row r="30" spans="1:9" x14ac:dyDescent="0.25">
      <c r="A30">
        <v>1924</v>
      </c>
      <c r="B30">
        <v>25715000</v>
      </c>
      <c r="C30">
        <v>345290</v>
      </c>
      <c r="D30">
        <v>150000</v>
      </c>
      <c r="E30">
        <v>2414000</v>
      </c>
      <c r="F30">
        <v>25910000</v>
      </c>
      <c r="G30">
        <v>10.5</v>
      </c>
      <c r="H30">
        <v>100</v>
      </c>
      <c r="I30" t="s">
        <v>39</v>
      </c>
    </row>
    <row r="31" spans="1:9" x14ac:dyDescent="0.25">
      <c r="A31">
        <v>1925</v>
      </c>
      <c r="B31">
        <v>27866000</v>
      </c>
      <c r="C31">
        <v>625590</v>
      </c>
      <c r="D31">
        <v>174000</v>
      </c>
      <c r="E31">
        <v>3153000</v>
      </c>
      <c r="F31">
        <v>28318000</v>
      </c>
      <c r="G31">
        <v>10.199999999999999</v>
      </c>
      <c r="H31">
        <v>95</v>
      </c>
      <c r="I31" t="s">
        <v>39</v>
      </c>
    </row>
    <row r="32" spans="1:9" x14ac:dyDescent="0.25">
      <c r="A32">
        <v>1926</v>
      </c>
      <c r="B32">
        <v>28420000</v>
      </c>
      <c r="C32">
        <v>553430</v>
      </c>
      <c r="D32">
        <v>166000</v>
      </c>
      <c r="E32">
        <v>3569000</v>
      </c>
      <c r="F32">
        <v>28807000</v>
      </c>
      <c r="G32">
        <v>9.89</v>
      </c>
      <c r="H32">
        <v>91.1</v>
      </c>
      <c r="I32">
        <v>62400000</v>
      </c>
    </row>
    <row r="33" spans="1:9" x14ac:dyDescent="0.25">
      <c r="A33">
        <v>1927</v>
      </c>
      <c r="B33">
        <v>29903000</v>
      </c>
      <c r="C33">
        <v>349730</v>
      </c>
      <c r="D33">
        <v>139000</v>
      </c>
      <c r="E33">
        <v>3856000</v>
      </c>
      <c r="F33">
        <v>29540000</v>
      </c>
      <c r="G33">
        <v>9.43</v>
      </c>
      <c r="H33">
        <v>88.3</v>
      </c>
      <c r="I33">
        <v>67800000</v>
      </c>
    </row>
    <row r="34" spans="1:9" x14ac:dyDescent="0.25">
      <c r="A34">
        <v>1928</v>
      </c>
      <c r="B34">
        <v>30445000</v>
      </c>
      <c r="C34">
        <v>392720</v>
      </c>
      <c r="D34">
        <v>141000</v>
      </c>
      <c r="E34">
        <v>3906000</v>
      </c>
      <c r="F34">
        <v>30231000</v>
      </c>
      <c r="G34">
        <v>9.11</v>
      </c>
      <c r="H34">
        <v>86.8</v>
      </c>
      <c r="I34">
        <v>72200000</v>
      </c>
    </row>
    <row r="35" spans="1:9" x14ac:dyDescent="0.25">
      <c r="A35">
        <v>1929</v>
      </c>
      <c r="B35">
        <v>29481000</v>
      </c>
      <c r="C35">
        <v>297700</v>
      </c>
      <c r="D35">
        <v>151000</v>
      </c>
      <c r="E35">
        <v>4076000</v>
      </c>
      <c r="F35">
        <v>29202000</v>
      </c>
      <c r="G35">
        <v>8.66</v>
      </c>
      <c r="H35">
        <v>82.5</v>
      </c>
      <c r="I35">
        <v>74900000</v>
      </c>
    </row>
    <row r="36" spans="1:9" x14ac:dyDescent="0.25">
      <c r="A36">
        <v>1930</v>
      </c>
      <c r="B36">
        <v>27798000</v>
      </c>
      <c r="C36">
        <v>167990</v>
      </c>
      <c r="D36">
        <v>129000</v>
      </c>
      <c r="E36">
        <v>4437000</v>
      </c>
      <c r="F36">
        <v>27227000</v>
      </c>
      <c r="G36">
        <v>8.42</v>
      </c>
      <c r="H36">
        <v>82.2</v>
      </c>
      <c r="I36">
        <v>72300000</v>
      </c>
    </row>
    <row r="37" spans="1:9" x14ac:dyDescent="0.25">
      <c r="A37">
        <v>1931</v>
      </c>
      <c r="B37">
        <v>21604000</v>
      </c>
      <c r="C37">
        <v>80159</v>
      </c>
      <c r="D37">
        <v>73300</v>
      </c>
      <c r="E37">
        <v>4191000</v>
      </c>
      <c r="F37">
        <v>21745000</v>
      </c>
      <c r="G37">
        <v>6.51</v>
      </c>
      <c r="H37">
        <v>69.8</v>
      </c>
      <c r="I37">
        <v>62100000</v>
      </c>
    </row>
    <row r="38" spans="1:9" x14ac:dyDescent="0.25">
      <c r="A38">
        <v>1932</v>
      </c>
      <c r="B38">
        <v>13166000</v>
      </c>
      <c r="C38">
        <v>79818</v>
      </c>
      <c r="D38">
        <v>64000</v>
      </c>
      <c r="E38">
        <v>3453000</v>
      </c>
      <c r="F38">
        <v>13729000</v>
      </c>
      <c r="G38">
        <v>5.95</v>
      </c>
      <c r="H38">
        <v>70.8</v>
      </c>
      <c r="I38">
        <v>49300000</v>
      </c>
    </row>
    <row r="39" spans="1:9" x14ac:dyDescent="0.25">
      <c r="A39">
        <v>1933</v>
      </c>
      <c r="B39">
        <v>10913000</v>
      </c>
      <c r="C39">
        <v>81353</v>
      </c>
      <c r="D39">
        <v>116000</v>
      </c>
      <c r="E39">
        <v>3334000</v>
      </c>
      <c r="F39">
        <v>10860000</v>
      </c>
      <c r="G39">
        <v>7.83</v>
      </c>
      <c r="H39">
        <v>98.2</v>
      </c>
      <c r="I39">
        <v>48200000</v>
      </c>
    </row>
    <row r="40" spans="1:9" x14ac:dyDescent="0.25">
      <c r="A40">
        <v>1934</v>
      </c>
      <c r="B40">
        <v>13375000</v>
      </c>
      <c r="C40">
        <v>45367</v>
      </c>
      <c r="D40">
        <v>96500</v>
      </c>
      <c r="E40">
        <v>3658000</v>
      </c>
      <c r="F40">
        <v>12877000</v>
      </c>
      <c r="G40">
        <v>9.06</v>
      </c>
      <c r="H40">
        <v>110</v>
      </c>
      <c r="I40">
        <v>58300000</v>
      </c>
    </row>
    <row r="41" spans="1:9" x14ac:dyDescent="0.25">
      <c r="A41">
        <v>1935</v>
      </c>
      <c r="B41">
        <v>13260000</v>
      </c>
      <c r="C41">
        <v>105570</v>
      </c>
      <c r="D41">
        <v>70900</v>
      </c>
      <c r="E41">
        <v>3935000</v>
      </c>
      <c r="F41">
        <v>12745000</v>
      </c>
      <c r="G41">
        <v>8.81</v>
      </c>
      <c r="H41">
        <v>105</v>
      </c>
      <c r="I41">
        <v>65400000</v>
      </c>
    </row>
    <row r="42" spans="1:9" x14ac:dyDescent="0.25">
      <c r="A42">
        <v>1936</v>
      </c>
      <c r="B42">
        <v>19523000</v>
      </c>
      <c r="C42">
        <v>282940</v>
      </c>
      <c r="D42">
        <v>57100</v>
      </c>
      <c r="E42">
        <v>3850000</v>
      </c>
      <c r="F42">
        <v>19129000</v>
      </c>
      <c r="G42">
        <v>8.61</v>
      </c>
      <c r="H42">
        <v>101</v>
      </c>
      <c r="I42">
        <v>62800000</v>
      </c>
    </row>
    <row r="43" spans="1:9" x14ac:dyDescent="0.25">
      <c r="A43">
        <v>1937</v>
      </c>
      <c r="B43">
        <v>20138000</v>
      </c>
      <c r="C43">
        <v>323020</v>
      </c>
      <c r="D43">
        <v>64600</v>
      </c>
      <c r="E43">
        <v>4250000</v>
      </c>
      <c r="F43">
        <v>19469000</v>
      </c>
      <c r="G43">
        <v>8.4499999999999993</v>
      </c>
      <c r="H43">
        <v>95.6</v>
      </c>
      <c r="I43">
        <v>82700000</v>
      </c>
    </row>
    <row r="44" spans="1:9" x14ac:dyDescent="0.25">
      <c r="A44">
        <v>1938</v>
      </c>
      <c r="B44">
        <v>18279000</v>
      </c>
      <c r="C44">
        <v>294540</v>
      </c>
      <c r="D44">
        <v>95200</v>
      </c>
      <c r="E44">
        <v>4093000</v>
      </c>
      <c r="F44">
        <v>18211000</v>
      </c>
      <c r="G44">
        <v>8.26</v>
      </c>
      <c r="H44">
        <v>95.5</v>
      </c>
      <c r="I44">
        <v>85900000</v>
      </c>
    </row>
    <row r="45" spans="1:9" x14ac:dyDescent="0.25">
      <c r="A45">
        <v>1939</v>
      </c>
      <c r="B45">
        <v>21212000</v>
      </c>
      <c r="C45">
        <v>326430</v>
      </c>
      <c r="D45">
        <v>195000</v>
      </c>
      <c r="E45">
        <v>4034000</v>
      </c>
      <c r="F45">
        <v>21046000</v>
      </c>
      <c r="G45">
        <v>8.43</v>
      </c>
      <c r="H45">
        <v>98.9</v>
      </c>
      <c r="I45">
        <v>93000000</v>
      </c>
    </row>
    <row r="46" spans="1:9" x14ac:dyDescent="0.25">
      <c r="A46">
        <v>1940</v>
      </c>
      <c r="B46">
        <v>22575000</v>
      </c>
      <c r="C46">
        <v>91756</v>
      </c>
      <c r="D46">
        <v>284000</v>
      </c>
      <c r="E46">
        <v>3986000</v>
      </c>
      <c r="F46">
        <v>21793000</v>
      </c>
      <c r="G46">
        <v>8.4499999999999993</v>
      </c>
      <c r="H46">
        <v>98.4</v>
      </c>
      <c r="I46">
        <v>81000000</v>
      </c>
    </row>
    <row r="47" spans="1:9" x14ac:dyDescent="0.25">
      <c r="A47">
        <v>1941</v>
      </c>
      <c r="B47">
        <v>28387000</v>
      </c>
      <c r="C47">
        <v>7334</v>
      </c>
      <c r="D47">
        <v>436000</v>
      </c>
      <c r="E47">
        <v>3406000</v>
      </c>
      <c r="F47">
        <v>28378000</v>
      </c>
      <c r="G47">
        <v>8.61</v>
      </c>
      <c r="H47">
        <v>95.5</v>
      </c>
      <c r="I47">
        <v>88000000</v>
      </c>
    </row>
    <row r="48" spans="1:9" x14ac:dyDescent="0.25">
      <c r="A48">
        <v>1942</v>
      </c>
      <c r="B48">
        <v>31496000</v>
      </c>
      <c r="C48">
        <v>110</v>
      </c>
      <c r="D48">
        <v>188000</v>
      </c>
      <c r="E48">
        <v>2965000</v>
      </c>
      <c r="F48">
        <v>31045000</v>
      </c>
      <c r="G48">
        <v>8.89</v>
      </c>
      <c r="H48">
        <v>88.9</v>
      </c>
      <c r="I48">
        <v>80900000</v>
      </c>
    </row>
    <row r="49" spans="1:9" x14ac:dyDescent="0.25">
      <c r="A49">
        <v>1943</v>
      </c>
      <c r="B49">
        <v>22901000</v>
      </c>
      <c r="C49">
        <v>2388</v>
      </c>
      <c r="D49">
        <v>295000</v>
      </c>
      <c r="E49">
        <v>3956000</v>
      </c>
      <c r="F49">
        <v>21226000</v>
      </c>
      <c r="G49">
        <v>9.16</v>
      </c>
      <c r="H49">
        <v>86.3</v>
      </c>
      <c r="I49">
        <v>71200000</v>
      </c>
    </row>
    <row r="50" spans="1:9" x14ac:dyDescent="0.25">
      <c r="A50">
        <v>1944</v>
      </c>
      <c r="B50">
        <v>15542000</v>
      </c>
      <c r="C50">
        <v>0</v>
      </c>
      <c r="D50">
        <v>689000</v>
      </c>
      <c r="E50">
        <v>3404000</v>
      </c>
      <c r="F50">
        <v>15497000</v>
      </c>
      <c r="G50">
        <v>9.6</v>
      </c>
      <c r="H50">
        <v>88.9</v>
      </c>
      <c r="I50">
        <v>54900000</v>
      </c>
    </row>
    <row r="51" spans="1:9" x14ac:dyDescent="0.25">
      <c r="A51">
        <v>1945</v>
      </c>
      <c r="B51">
        <v>17537000</v>
      </c>
      <c r="C51">
        <v>55</v>
      </c>
      <c r="D51">
        <v>1100000</v>
      </c>
      <c r="E51">
        <v>2836000</v>
      </c>
      <c r="F51">
        <v>17378000</v>
      </c>
      <c r="G51">
        <v>9.56</v>
      </c>
      <c r="H51">
        <v>86.5</v>
      </c>
      <c r="I51">
        <v>49500000</v>
      </c>
    </row>
    <row r="52" spans="1:9" x14ac:dyDescent="0.25">
      <c r="A52">
        <v>1946</v>
      </c>
      <c r="B52">
        <v>28102000</v>
      </c>
      <c r="C52">
        <v>682</v>
      </c>
      <c r="D52">
        <v>881000</v>
      </c>
      <c r="E52">
        <v>1891000</v>
      </c>
      <c r="F52">
        <v>19493000</v>
      </c>
      <c r="G52">
        <v>10.1</v>
      </c>
      <c r="H52">
        <v>84.3</v>
      </c>
      <c r="I52">
        <v>72500000</v>
      </c>
    </row>
    <row r="53" spans="1:9" x14ac:dyDescent="0.25">
      <c r="A53">
        <v>1947</v>
      </c>
      <c r="B53">
        <v>31995000</v>
      </c>
      <c r="C53">
        <v>853</v>
      </c>
      <c r="D53">
        <v>1150000</v>
      </c>
      <c r="E53">
        <v>1733000</v>
      </c>
      <c r="F53">
        <v>32634000</v>
      </c>
      <c r="G53">
        <v>11.1</v>
      </c>
      <c r="H53">
        <v>81.400000000000006</v>
      </c>
      <c r="I53">
        <v>85800000</v>
      </c>
    </row>
    <row r="54" spans="1:9" x14ac:dyDescent="0.25">
      <c r="A54">
        <v>1948</v>
      </c>
      <c r="B54">
        <v>35210000</v>
      </c>
      <c r="C54">
        <v>48266</v>
      </c>
      <c r="D54">
        <v>1010000</v>
      </c>
      <c r="E54">
        <v>1928000</v>
      </c>
      <c r="F54">
        <v>35856000</v>
      </c>
      <c r="G54">
        <v>12.8</v>
      </c>
      <c r="H54">
        <v>86.5</v>
      </c>
      <c r="I54">
        <v>102000000</v>
      </c>
    </row>
    <row r="55" spans="1:9" x14ac:dyDescent="0.25">
      <c r="A55">
        <v>1949</v>
      </c>
      <c r="B55">
        <v>35939000</v>
      </c>
      <c r="C55">
        <v>18761</v>
      </c>
      <c r="D55">
        <v>778000</v>
      </c>
      <c r="E55">
        <v>2545000</v>
      </c>
      <c r="F55">
        <v>36265000</v>
      </c>
      <c r="G55">
        <v>13.5</v>
      </c>
      <c r="H55">
        <v>92.4</v>
      </c>
      <c r="I55">
        <v>115000000</v>
      </c>
    </row>
    <row r="56" spans="1:9" x14ac:dyDescent="0.25">
      <c r="A56">
        <v>1950</v>
      </c>
      <c r="B56">
        <v>38724000</v>
      </c>
      <c r="C56">
        <v>237750</v>
      </c>
      <c r="D56">
        <v>412000</v>
      </c>
      <c r="E56">
        <v>2270000</v>
      </c>
      <c r="F56">
        <v>40891000</v>
      </c>
      <c r="G56">
        <v>13.8</v>
      </c>
      <c r="H56">
        <v>93.2</v>
      </c>
      <c r="I56">
        <v>133000000</v>
      </c>
    </row>
    <row r="57" spans="1:9" x14ac:dyDescent="0.25">
      <c r="A57">
        <v>1951</v>
      </c>
      <c r="B57">
        <v>41825000</v>
      </c>
      <c r="C57">
        <v>151960</v>
      </c>
      <c r="D57">
        <v>500000</v>
      </c>
      <c r="E57">
        <v>3109000</v>
      </c>
      <c r="F57">
        <v>42695000</v>
      </c>
      <c r="G57">
        <v>14.9</v>
      </c>
      <c r="H57">
        <v>93.4</v>
      </c>
      <c r="I57">
        <v>149000000</v>
      </c>
    </row>
    <row r="58" spans="1:9" x14ac:dyDescent="0.25">
      <c r="A58">
        <v>1952</v>
      </c>
      <c r="B58">
        <v>42394000</v>
      </c>
      <c r="C58">
        <v>81182</v>
      </c>
      <c r="D58">
        <v>541000</v>
      </c>
      <c r="E58">
        <v>2737000</v>
      </c>
      <c r="F58">
        <v>44335000</v>
      </c>
      <c r="G58">
        <v>14.9</v>
      </c>
      <c r="H58">
        <v>91.6</v>
      </c>
      <c r="I58">
        <v>161000000</v>
      </c>
    </row>
    <row r="59" spans="1:9" x14ac:dyDescent="0.25">
      <c r="A59">
        <v>1953</v>
      </c>
      <c r="B59">
        <v>45021000</v>
      </c>
      <c r="C59">
        <v>65321</v>
      </c>
      <c r="D59">
        <v>435000</v>
      </c>
      <c r="E59">
        <v>3312000</v>
      </c>
      <c r="F59">
        <v>46047000</v>
      </c>
      <c r="G59">
        <v>15.7</v>
      </c>
      <c r="H59">
        <v>95.9</v>
      </c>
      <c r="I59">
        <v>178000000</v>
      </c>
    </row>
    <row r="60" spans="1:9" x14ac:dyDescent="0.25">
      <c r="A60">
        <v>1954</v>
      </c>
      <c r="B60">
        <v>46434000</v>
      </c>
      <c r="C60">
        <v>76740</v>
      </c>
      <c r="D60">
        <v>317000</v>
      </c>
      <c r="E60">
        <v>2827000</v>
      </c>
      <c r="F60">
        <v>48897000</v>
      </c>
      <c r="G60">
        <v>16.3</v>
      </c>
      <c r="H60">
        <v>98.8</v>
      </c>
      <c r="I60">
        <v>194900000</v>
      </c>
    </row>
    <row r="61" spans="1:9" x14ac:dyDescent="0.25">
      <c r="A61">
        <v>1955</v>
      </c>
      <c r="B61">
        <v>52994000</v>
      </c>
      <c r="C61">
        <v>810630</v>
      </c>
      <c r="D61">
        <v>306000</v>
      </c>
      <c r="E61">
        <v>2982000</v>
      </c>
      <c r="F61">
        <v>53589000</v>
      </c>
      <c r="G61">
        <v>17</v>
      </c>
      <c r="H61">
        <v>103</v>
      </c>
      <c r="I61">
        <v>217300000</v>
      </c>
    </row>
    <row r="62" spans="1:9" x14ac:dyDescent="0.25">
      <c r="A62">
        <v>1956</v>
      </c>
      <c r="B62">
        <v>56153000</v>
      </c>
      <c r="C62">
        <v>677600</v>
      </c>
      <c r="D62">
        <v>338000</v>
      </c>
      <c r="E62">
        <v>3822000</v>
      </c>
      <c r="F62">
        <v>55225000</v>
      </c>
      <c r="G62">
        <v>18.100000000000001</v>
      </c>
      <c r="H62">
        <v>108</v>
      </c>
      <c r="I62">
        <v>235400000</v>
      </c>
    </row>
    <row r="63" spans="1:9" x14ac:dyDescent="0.25">
      <c r="A63">
        <v>1957</v>
      </c>
      <c r="B63">
        <v>52574000</v>
      </c>
      <c r="C63">
        <v>734220</v>
      </c>
      <c r="D63">
        <v>227000</v>
      </c>
      <c r="E63">
        <v>4903000</v>
      </c>
      <c r="F63">
        <v>51638000</v>
      </c>
      <c r="G63">
        <v>18.8</v>
      </c>
      <c r="H63">
        <v>109</v>
      </c>
      <c r="I63">
        <v>246900000</v>
      </c>
    </row>
    <row r="64" spans="1:9" x14ac:dyDescent="0.25">
      <c r="A64">
        <v>1958</v>
      </c>
      <c r="B64">
        <v>54831000</v>
      </c>
      <c r="C64">
        <v>576290</v>
      </c>
      <c r="D64">
        <v>109000</v>
      </c>
      <c r="E64">
        <v>5230000</v>
      </c>
      <c r="F64">
        <v>54542000</v>
      </c>
      <c r="G64">
        <v>19.2</v>
      </c>
      <c r="H64">
        <v>108</v>
      </c>
      <c r="I64">
        <v>262500000</v>
      </c>
    </row>
    <row r="65" spans="1:9" x14ac:dyDescent="0.25">
      <c r="A65">
        <v>1959</v>
      </c>
      <c r="B65">
        <v>59764000</v>
      </c>
      <c r="C65">
        <v>896930</v>
      </c>
      <c r="D65">
        <v>47200</v>
      </c>
      <c r="E65">
        <v>5362000</v>
      </c>
      <c r="F65">
        <v>59899000</v>
      </c>
      <c r="G65">
        <v>19.399999999999999</v>
      </c>
      <c r="H65">
        <v>108</v>
      </c>
      <c r="I65">
        <v>294300000</v>
      </c>
    </row>
    <row r="66" spans="1:9" x14ac:dyDescent="0.25">
      <c r="A66">
        <v>1960</v>
      </c>
      <c r="B66">
        <v>56063000</v>
      </c>
      <c r="C66">
        <v>700620</v>
      </c>
      <c r="D66">
        <v>31900</v>
      </c>
      <c r="E66">
        <v>6082000</v>
      </c>
      <c r="F66">
        <v>55526000</v>
      </c>
      <c r="G66">
        <v>19.8</v>
      </c>
      <c r="H66">
        <v>109</v>
      </c>
      <c r="I66">
        <v>316500000</v>
      </c>
    </row>
    <row r="67" spans="1:9" x14ac:dyDescent="0.25">
      <c r="A67">
        <v>1961</v>
      </c>
      <c r="B67">
        <v>56718000</v>
      </c>
      <c r="C67">
        <v>617560</v>
      </c>
      <c r="D67">
        <v>48800</v>
      </c>
      <c r="E67">
        <v>6211000</v>
      </c>
      <c r="F67">
        <v>56826000</v>
      </c>
      <c r="G67">
        <v>19.600000000000001</v>
      </c>
      <c r="H67">
        <v>107</v>
      </c>
      <c r="I67">
        <v>333200000</v>
      </c>
    </row>
    <row r="68" spans="1:9" x14ac:dyDescent="0.25">
      <c r="A68">
        <v>1962</v>
      </c>
      <c r="B68">
        <v>58908000</v>
      </c>
      <c r="C68">
        <v>880210</v>
      </c>
      <c r="D68">
        <v>64800</v>
      </c>
      <c r="E68">
        <v>5557000</v>
      </c>
      <c r="F68">
        <v>58983000</v>
      </c>
      <c r="G68">
        <v>19.399999999999999</v>
      </c>
      <c r="H68">
        <v>105</v>
      </c>
      <c r="I68">
        <v>358500000</v>
      </c>
    </row>
    <row r="69" spans="1:9" x14ac:dyDescent="0.25">
      <c r="A69">
        <v>1963</v>
      </c>
      <c r="B69">
        <v>61733000</v>
      </c>
      <c r="C69">
        <v>678450</v>
      </c>
      <c r="D69">
        <v>78600</v>
      </c>
      <c r="E69">
        <v>6736000</v>
      </c>
      <c r="F69">
        <v>63648000</v>
      </c>
      <c r="G69">
        <v>18.899999999999999</v>
      </c>
      <c r="H69">
        <v>101</v>
      </c>
      <c r="I69">
        <v>378000000</v>
      </c>
    </row>
    <row r="70" spans="1:9" x14ac:dyDescent="0.25">
      <c r="A70">
        <v>1964</v>
      </c>
      <c r="B70">
        <v>64379000</v>
      </c>
      <c r="C70">
        <v>599830</v>
      </c>
      <c r="D70">
        <v>122000</v>
      </c>
      <c r="E70">
        <v>6781000</v>
      </c>
      <c r="F70">
        <v>66149000</v>
      </c>
      <c r="G70">
        <v>18.899999999999999</v>
      </c>
      <c r="H70">
        <v>99.3</v>
      </c>
      <c r="I70">
        <v>415600000</v>
      </c>
    </row>
    <row r="71" spans="1:9" x14ac:dyDescent="0.25">
      <c r="A71">
        <v>1965</v>
      </c>
      <c r="B71">
        <v>65078000</v>
      </c>
      <c r="C71">
        <v>874410</v>
      </c>
      <c r="D71">
        <v>128000</v>
      </c>
      <c r="E71">
        <v>5618000</v>
      </c>
      <c r="F71">
        <v>67589000</v>
      </c>
      <c r="G71">
        <v>18.7</v>
      </c>
      <c r="H71">
        <v>96.5</v>
      </c>
      <c r="I71">
        <v>433400000</v>
      </c>
    </row>
    <row r="72" spans="1:9" x14ac:dyDescent="0.25">
      <c r="A72">
        <v>1966</v>
      </c>
      <c r="B72">
        <v>67146000</v>
      </c>
      <c r="C72">
        <v>1094600</v>
      </c>
      <c r="D72">
        <v>182000</v>
      </c>
      <c r="E72">
        <v>6941000</v>
      </c>
      <c r="F72">
        <v>68490000</v>
      </c>
      <c r="G72">
        <v>18.5</v>
      </c>
      <c r="H72">
        <v>92.9</v>
      </c>
      <c r="I72">
        <v>464200000</v>
      </c>
    </row>
    <row r="73" spans="1:9" x14ac:dyDescent="0.25">
      <c r="A73">
        <v>1967</v>
      </c>
      <c r="B73">
        <v>64449000</v>
      </c>
      <c r="C73">
        <v>985440</v>
      </c>
      <c r="D73">
        <v>167000</v>
      </c>
      <c r="E73">
        <v>7083000</v>
      </c>
      <c r="F73">
        <v>67459000</v>
      </c>
      <c r="G73">
        <v>18.600000000000001</v>
      </c>
      <c r="H73">
        <v>90.7</v>
      </c>
      <c r="I73">
        <v>479800000</v>
      </c>
    </row>
    <row r="74" spans="1:9" x14ac:dyDescent="0.25">
      <c r="A74">
        <v>1968</v>
      </c>
      <c r="B74">
        <v>68791000</v>
      </c>
      <c r="C74">
        <v>1231000</v>
      </c>
      <c r="D74">
        <v>161000</v>
      </c>
      <c r="E74">
        <v>7892000</v>
      </c>
      <c r="F74">
        <v>71220000</v>
      </c>
      <c r="G74">
        <v>18.7</v>
      </c>
      <c r="H74">
        <v>87.6</v>
      </c>
      <c r="I74">
        <v>515200000</v>
      </c>
    </row>
    <row r="75" spans="1:9" x14ac:dyDescent="0.25">
      <c r="A75">
        <v>1969</v>
      </c>
      <c r="B75">
        <v>71086000</v>
      </c>
      <c r="C75">
        <v>1548400</v>
      </c>
      <c r="D75">
        <v>100000</v>
      </c>
      <c r="E75">
        <v>7129000</v>
      </c>
      <c r="F75">
        <v>71101000</v>
      </c>
      <c r="G75">
        <v>18.899999999999999</v>
      </c>
      <c r="H75">
        <v>84.11</v>
      </c>
      <c r="I75">
        <v>543100000</v>
      </c>
    </row>
    <row r="76" spans="1:9" x14ac:dyDescent="0.25">
      <c r="A76">
        <v>1970</v>
      </c>
      <c r="B76">
        <v>67427000</v>
      </c>
      <c r="C76">
        <v>1991300</v>
      </c>
      <c r="D76">
        <v>144000</v>
      </c>
      <c r="E76">
        <v>7574000</v>
      </c>
      <c r="F76">
        <v>67476000</v>
      </c>
      <c r="G76">
        <v>19.7</v>
      </c>
      <c r="H76">
        <v>82.8</v>
      </c>
      <c r="I76">
        <v>571800000</v>
      </c>
    </row>
    <row r="77" spans="1:9" x14ac:dyDescent="0.25">
      <c r="A77">
        <v>1971</v>
      </c>
      <c r="B77">
        <v>71054000</v>
      </c>
      <c r="C77">
        <v>2141000</v>
      </c>
      <c r="D77">
        <v>99800</v>
      </c>
      <c r="E77">
        <v>6425000</v>
      </c>
      <c r="F77">
        <v>72842000</v>
      </c>
      <c r="G77">
        <v>21</v>
      </c>
      <c r="H77">
        <v>84.34</v>
      </c>
      <c r="I77">
        <v>590000000</v>
      </c>
    </row>
    <row r="78" spans="1:9" x14ac:dyDescent="0.25">
      <c r="A78">
        <v>1972</v>
      </c>
      <c r="B78">
        <v>74931000</v>
      </c>
      <c r="C78">
        <v>2921100</v>
      </c>
      <c r="D78">
        <v>91600</v>
      </c>
      <c r="E78">
        <v>7036000</v>
      </c>
      <c r="F78">
        <v>76768000</v>
      </c>
      <c r="G78">
        <v>22.7</v>
      </c>
      <c r="H78">
        <v>88.5</v>
      </c>
      <c r="I78">
        <v>661000000</v>
      </c>
    </row>
    <row r="79" spans="1:9" x14ac:dyDescent="0.25">
      <c r="A79">
        <v>1973</v>
      </c>
      <c r="B79">
        <v>77576000</v>
      </c>
      <c r="C79">
        <v>3577000</v>
      </c>
      <c r="D79">
        <v>295000</v>
      </c>
      <c r="E79">
        <v>5512000</v>
      </c>
      <c r="F79">
        <v>81941000</v>
      </c>
      <c r="G79">
        <v>24.5</v>
      </c>
      <c r="H79">
        <v>89.96</v>
      </c>
      <c r="I79">
        <v>702000000</v>
      </c>
    </row>
    <row r="80" spans="1:9" x14ac:dyDescent="0.25">
      <c r="A80">
        <v>1974</v>
      </c>
      <c r="B80">
        <v>73688000</v>
      </c>
      <c r="C80">
        <v>3540700</v>
      </c>
      <c r="D80">
        <v>263000</v>
      </c>
      <c r="E80">
        <v>7467000</v>
      </c>
      <c r="F80">
        <v>74844000</v>
      </c>
      <c r="G80">
        <v>29.5</v>
      </c>
      <c r="H80">
        <v>97.64</v>
      </c>
      <c r="I80">
        <v>703200000</v>
      </c>
    </row>
    <row r="81" spans="1:9" x14ac:dyDescent="0.25">
      <c r="A81">
        <v>1975</v>
      </c>
      <c r="B81">
        <v>61815000</v>
      </c>
      <c r="C81">
        <v>2263400</v>
      </c>
      <c r="D81">
        <v>448000</v>
      </c>
      <c r="E81">
        <v>6930000</v>
      </c>
      <c r="F81">
        <v>63608000</v>
      </c>
      <c r="G81">
        <v>34.6</v>
      </c>
      <c r="H81">
        <v>104.9</v>
      </c>
      <c r="I81">
        <v>702200000</v>
      </c>
    </row>
    <row r="82" spans="1:9" x14ac:dyDescent="0.25">
      <c r="A82">
        <v>1976</v>
      </c>
      <c r="B82">
        <v>66179000</v>
      </c>
      <c r="C82">
        <v>1945900</v>
      </c>
      <c r="D82">
        <v>423000</v>
      </c>
      <c r="E82">
        <v>7154000</v>
      </c>
      <c r="F82">
        <v>67509000</v>
      </c>
      <c r="G82">
        <v>37.799999999999997</v>
      </c>
      <c r="H82">
        <v>108.2</v>
      </c>
      <c r="I82">
        <v>735400000</v>
      </c>
    </row>
    <row r="83" spans="1:9" x14ac:dyDescent="0.25">
      <c r="A83">
        <v>1977</v>
      </c>
      <c r="B83">
        <v>70939000</v>
      </c>
      <c r="C83">
        <v>2180000</v>
      </c>
      <c r="D83">
        <v>217000</v>
      </c>
      <c r="E83">
        <v>6041000</v>
      </c>
      <c r="F83">
        <v>73427000</v>
      </c>
      <c r="G83">
        <v>40.5</v>
      </c>
      <c r="H83">
        <v>109</v>
      </c>
      <c r="I83">
        <v>797100000</v>
      </c>
    </row>
    <row r="84" spans="1:9" x14ac:dyDescent="0.25">
      <c r="A84">
        <v>1978</v>
      </c>
      <c r="B84">
        <v>76190000</v>
      </c>
      <c r="C84">
        <v>3292200</v>
      </c>
      <c r="D84">
        <v>52600</v>
      </c>
      <c r="E84">
        <v>5320000</v>
      </c>
      <c r="F84">
        <v>79288000</v>
      </c>
      <c r="G84">
        <v>45.4</v>
      </c>
      <c r="H84">
        <v>113.5</v>
      </c>
      <c r="I84">
        <v>853000000</v>
      </c>
    </row>
    <row r="85" spans="1:9" x14ac:dyDescent="0.25">
      <c r="A85">
        <v>1979</v>
      </c>
      <c r="B85">
        <v>76649000</v>
      </c>
      <c r="C85">
        <v>4304600</v>
      </c>
      <c r="D85">
        <v>137000</v>
      </c>
      <c r="E85">
        <v>6600000</v>
      </c>
      <c r="F85">
        <v>78964000</v>
      </c>
      <c r="G85">
        <v>51.4</v>
      </c>
      <c r="H85">
        <v>115.4</v>
      </c>
      <c r="I85">
        <v>872400000</v>
      </c>
    </row>
    <row r="86" spans="1:9" x14ac:dyDescent="0.25">
      <c r="A86">
        <v>1980</v>
      </c>
      <c r="B86">
        <v>68242000</v>
      </c>
      <c r="C86">
        <v>3035400</v>
      </c>
      <c r="D86">
        <v>169000</v>
      </c>
      <c r="E86">
        <v>6825000</v>
      </c>
      <c r="F86">
        <v>70173000</v>
      </c>
      <c r="G86">
        <v>56.6</v>
      </c>
      <c r="H86">
        <v>111.9</v>
      </c>
      <c r="I86">
        <v>883100000</v>
      </c>
    </row>
    <row r="87" spans="1:9" x14ac:dyDescent="0.25">
      <c r="A87">
        <v>1981</v>
      </c>
      <c r="B87">
        <v>65054000</v>
      </c>
      <c r="C87">
        <v>2513800</v>
      </c>
      <c r="D87">
        <v>275000</v>
      </c>
      <c r="E87">
        <v>6688000</v>
      </c>
      <c r="F87">
        <v>66092000</v>
      </c>
      <c r="G87">
        <v>57.8</v>
      </c>
      <c r="H87">
        <v>103.7</v>
      </c>
      <c r="I87">
        <v>886700000</v>
      </c>
    </row>
    <row r="88" spans="1:9" x14ac:dyDescent="0.25">
      <c r="A88">
        <v>1982</v>
      </c>
      <c r="B88">
        <v>57475000</v>
      </c>
      <c r="C88">
        <v>2230800</v>
      </c>
      <c r="D88">
        <v>184000</v>
      </c>
      <c r="E88">
        <v>6753000</v>
      </c>
      <c r="F88">
        <v>59572000</v>
      </c>
      <c r="G88">
        <v>56.7</v>
      </c>
      <c r="H88">
        <v>95.8</v>
      </c>
      <c r="I88">
        <v>887400000</v>
      </c>
    </row>
    <row r="89" spans="1:9" x14ac:dyDescent="0.25">
      <c r="A89">
        <v>1983</v>
      </c>
      <c r="B89">
        <v>63884000</v>
      </c>
      <c r="C89">
        <v>2960100</v>
      </c>
      <c r="D89">
        <v>107000</v>
      </c>
      <c r="E89">
        <v>6711000</v>
      </c>
      <c r="F89">
        <v>65838000</v>
      </c>
      <c r="G89">
        <v>55.6</v>
      </c>
      <c r="H89">
        <v>91</v>
      </c>
      <c r="I89">
        <v>916600000</v>
      </c>
    </row>
    <row r="90" spans="1:9" x14ac:dyDescent="0.25">
      <c r="A90">
        <v>1984</v>
      </c>
      <c r="B90">
        <v>70488000</v>
      </c>
      <c r="C90">
        <v>6015500</v>
      </c>
      <c r="D90">
        <v>72600</v>
      </c>
      <c r="E90">
        <v>6866000</v>
      </c>
      <c r="F90">
        <v>76186000</v>
      </c>
      <c r="G90">
        <v>57.2</v>
      </c>
      <c r="H90">
        <v>89.7</v>
      </c>
      <c r="I90">
        <v>941100000</v>
      </c>
    </row>
    <row r="91" spans="1:9" x14ac:dyDescent="0.25">
      <c r="A91">
        <v>1985</v>
      </c>
      <c r="B91">
        <v>70665000</v>
      </c>
      <c r="C91">
        <v>8939400</v>
      </c>
      <c r="D91">
        <v>88900</v>
      </c>
      <c r="E91">
        <v>7232000</v>
      </c>
      <c r="F91">
        <v>78836000</v>
      </c>
      <c r="G91">
        <v>55.9</v>
      </c>
      <c r="H91">
        <v>84.7</v>
      </c>
      <c r="I91">
        <v>959400000</v>
      </c>
    </row>
    <row r="92" spans="1:9" x14ac:dyDescent="0.25">
      <c r="A92">
        <v>1986</v>
      </c>
      <c r="B92">
        <v>71473000</v>
      </c>
      <c r="C92">
        <v>11201000</v>
      </c>
      <c r="D92">
        <v>53500</v>
      </c>
      <c r="E92">
        <v>6725000</v>
      </c>
      <c r="F92">
        <v>82837000</v>
      </c>
      <c r="G92">
        <v>54.8</v>
      </c>
      <c r="H92">
        <v>81.5</v>
      </c>
      <c r="I92">
        <v>1008000000</v>
      </c>
    </row>
    <row r="93" spans="1:9" x14ac:dyDescent="0.25">
      <c r="A93">
        <v>1987</v>
      </c>
      <c r="B93">
        <v>70940000</v>
      </c>
      <c r="C93">
        <v>12753000</v>
      </c>
      <c r="D93">
        <v>47200</v>
      </c>
      <c r="E93">
        <v>6159000</v>
      </c>
      <c r="F93">
        <v>84204000</v>
      </c>
      <c r="G93">
        <v>54.4</v>
      </c>
      <c r="H93">
        <v>78.099999999999994</v>
      </c>
      <c r="I93">
        <v>1053000000</v>
      </c>
    </row>
    <row r="94" spans="1:9" x14ac:dyDescent="0.25">
      <c r="A94">
        <v>1988</v>
      </c>
      <c r="B94">
        <v>69733000</v>
      </c>
      <c r="C94">
        <v>14124000</v>
      </c>
      <c r="D94">
        <v>91600</v>
      </c>
      <c r="E94">
        <v>5997000</v>
      </c>
      <c r="F94">
        <v>83851000</v>
      </c>
      <c r="G94">
        <v>54.8</v>
      </c>
      <c r="H94">
        <v>75.5</v>
      </c>
      <c r="I94">
        <v>1118000000</v>
      </c>
    </row>
    <row r="95" spans="1:9" x14ac:dyDescent="0.25">
      <c r="A95">
        <v>1989</v>
      </c>
      <c r="B95">
        <v>70025000</v>
      </c>
      <c r="C95">
        <v>12697000</v>
      </c>
      <c r="D95">
        <v>464000</v>
      </c>
      <c r="E95">
        <v>5715000</v>
      </c>
      <c r="F95">
        <v>82414000</v>
      </c>
      <c r="G95">
        <v>54.8</v>
      </c>
      <c r="H95">
        <v>72</v>
      </c>
      <c r="I95">
        <v>1149000000</v>
      </c>
    </row>
    <row r="96" spans="1:9" x14ac:dyDescent="0.25">
      <c r="A96">
        <v>1990</v>
      </c>
      <c r="B96">
        <v>69954000</v>
      </c>
      <c r="C96">
        <v>10344000</v>
      </c>
      <c r="D96">
        <v>503000</v>
      </c>
      <c r="E96">
        <v>5637000</v>
      </c>
      <c r="F96">
        <v>80964000</v>
      </c>
      <c r="G96">
        <v>55.3</v>
      </c>
      <c r="H96">
        <v>69</v>
      </c>
      <c r="I96">
        <v>1160000000</v>
      </c>
    </row>
    <row r="97" spans="1:9" x14ac:dyDescent="0.25">
      <c r="A97">
        <v>1991</v>
      </c>
      <c r="B97">
        <v>66755000</v>
      </c>
      <c r="C97">
        <v>6548000</v>
      </c>
      <c r="D97">
        <v>633000</v>
      </c>
      <c r="E97">
        <v>6009000</v>
      </c>
      <c r="F97">
        <v>71800000</v>
      </c>
      <c r="G97">
        <v>55.5</v>
      </c>
      <c r="H97">
        <v>66.400000000000006</v>
      </c>
      <c r="I97">
        <v>1182000000</v>
      </c>
    </row>
    <row r="98" spans="1:9" x14ac:dyDescent="0.25">
      <c r="A98">
        <v>1992</v>
      </c>
      <c r="B98">
        <v>69585000</v>
      </c>
      <c r="C98">
        <v>4582000</v>
      </c>
      <c r="D98">
        <v>746000</v>
      </c>
      <c r="E98">
        <v>5272000</v>
      </c>
      <c r="F98">
        <v>76169000</v>
      </c>
      <c r="G98">
        <v>55.3</v>
      </c>
      <c r="H98">
        <v>64.3</v>
      </c>
      <c r="I98">
        <v>1231000000</v>
      </c>
    </row>
    <row r="99" spans="1:9" x14ac:dyDescent="0.25">
      <c r="A99">
        <v>1993</v>
      </c>
      <c r="B99">
        <v>73807000</v>
      </c>
      <c r="C99">
        <v>5532000</v>
      </c>
      <c r="D99">
        <v>625000</v>
      </c>
      <c r="E99">
        <v>4788000</v>
      </c>
      <c r="F99">
        <v>79701000</v>
      </c>
      <c r="G99">
        <v>56.4</v>
      </c>
      <c r="H99">
        <v>63.6</v>
      </c>
      <c r="I99">
        <v>1291000000</v>
      </c>
    </row>
    <row r="100" spans="1:9" x14ac:dyDescent="0.25">
      <c r="A100">
        <v>1994</v>
      </c>
      <c r="B100">
        <v>77948000</v>
      </c>
      <c r="C100">
        <v>9074000</v>
      </c>
      <c r="D100">
        <v>633000</v>
      </c>
      <c r="E100">
        <v>4701000</v>
      </c>
      <c r="F100">
        <v>86476000</v>
      </c>
      <c r="G100">
        <v>61.9</v>
      </c>
      <c r="H100">
        <v>68.099999999999994</v>
      </c>
      <c r="I100">
        <v>1370000000</v>
      </c>
    </row>
    <row r="101" spans="1:9" x14ac:dyDescent="0.25">
      <c r="A101">
        <v>1995</v>
      </c>
      <c r="B101">
        <v>76906000</v>
      </c>
      <c r="C101">
        <v>10969000</v>
      </c>
      <c r="D101">
        <v>759000</v>
      </c>
      <c r="E101">
        <v>5814000</v>
      </c>
      <c r="F101">
        <v>86003000</v>
      </c>
      <c r="G101">
        <v>67.8</v>
      </c>
      <c r="H101">
        <v>72.599999999999994</v>
      </c>
      <c r="I101">
        <v>1445000000</v>
      </c>
    </row>
    <row r="102" spans="1:9" x14ac:dyDescent="0.25">
      <c r="A102">
        <v>1996</v>
      </c>
      <c r="B102">
        <v>79266000</v>
      </c>
      <c r="C102">
        <v>11565000</v>
      </c>
      <c r="D102">
        <v>803000</v>
      </c>
      <c r="E102">
        <v>5488000</v>
      </c>
      <c r="F102">
        <v>90355000</v>
      </c>
      <c r="G102">
        <v>70.900000000000006</v>
      </c>
      <c r="H102">
        <v>73.599999999999994</v>
      </c>
      <c r="I102">
        <v>1493000000</v>
      </c>
    </row>
    <row r="103" spans="1:9" x14ac:dyDescent="0.25">
      <c r="A103">
        <v>1997</v>
      </c>
      <c r="B103">
        <v>82582000</v>
      </c>
      <c r="C103">
        <v>14523000</v>
      </c>
      <c r="D103">
        <v>791000</v>
      </c>
      <c r="E103">
        <v>5784000</v>
      </c>
      <c r="F103">
        <v>96018000</v>
      </c>
      <c r="G103">
        <v>73.5</v>
      </c>
      <c r="H103">
        <v>74.599999999999994</v>
      </c>
      <c r="I103">
        <v>1547000000</v>
      </c>
    </row>
    <row r="104" spans="1:9" x14ac:dyDescent="0.25">
      <c r="A104">
        <v>1998</v>
      </c>
      <c r="B104">
        <v>83931000</v>
      </c>
      <c r="C104">
        <v>19878000</v>
      </c>
      <c r="D104">
        <v>743000</v>
      </c>
      <c r="E104">
        <v>5393000</v>
      </c>
      <c r="F104">
        <v>103457000</v>
      </c>
      <c r="G104">
        <v>76.5</v>
      </c>
      <c r="H104">
        <v>76.5</v>
      </c>
      <c r="I104">
        <v>1540000000</v>
      </c>
    </row>
    <row r="105" spans="1:9" x14ac:dyDescent="0.25">
      <c r="A105">
        <v>1999</v>
      </c>
      <c r="B105">
        <v>85952000</v>
      </c>
      <c r="C105">
        <v>24578000</v>
      </c>
      <c r="D105">
        <v>694000</v>
      </c>
      <c r="E105">
        <v>6367000</v>
      </c>
      <c r="F105">
        <v>108862000</v>
      </c>
      <c r="G105">
        <v>78.3</v>
      </c>
      <c r="H105">
        <v>76.599999999999994</v>
      </c>
      <c r="I105">
        <v>1600000000</v>
      </c>
    </row>
    <row r="106" spans="1:9" x14ac:dyDescent="0.25">
      <c r="A106">
        <v>2000</v>
      </c>
      <c r="B106">
        <v>87846000</v>
      </c>
      <c r="C106">
        <v>24561000</v>
      </c>
      <c r="D106">
        <v>738000</v>
      </c>
      <c r="E106">
        <v>7566000</v>
      </c>
      <c r="F106">
        <v>110470000</v>
      </c>
      <c r="G106">
        <v>78.599999999999994</v>
      </c>
      <c r="H106">
        <v>74.400000000000006</v>
      </c>
      <c r="I106">
        <v>1660000000</v>
      </c>
    </row>
    <row r="107" spans="1:9" x14ac:dyDescent="0.25">
      <c r="A107">
        <v>2001</v>
      </c>
      <c r="B107">
        <v>88900000</v>
      </c>
      <c r="C107">
        <v>23694000</v>
      </c>
      <c r="D107">
        <v>746000</v>
      </c>
      <c r="E107">
        <v>6600000</v>
      </c>
      <c r="F107">
        <v>112800000</v>
      </c>
      <c r="G107">
        <v>76.5</v>
      </c>
      <c r="H107">
        <v>70.400000000000006</v>
      </c>
      <c r="I107">
        <v>1750000000</v>
      </c>
    </row>
    <row r="108" spans="1:9" x14ac:dyDescent="0.25">
      <c r="A108">
        <v>2002</v>
      </c>
      <c r="B108">
        <v>89732000</v>
      </c>
      <c r="C108">
        <v>22198000</v>
      </c>
      <c r="D108">
        <v>834000</v>
      </c>
      <c r="E108">
        <v>7680000</v>
      </c>
      <c r="F108">
        <v>110020000</v>
      </c>
      <c r="G108">
        <v>76</v>
      </c>
      <c r="H108">
        <v>68.900000000000006</v>
      </c>
      <c r="I108">
        <v>1850000000</v>
      </c>
    </row>
    <row r="109" spans="1:9" x14ac:dyDescent="0.25">
      <c r="A109">
        <v>2003</v>
      </c>
      <c r="B109">
        <v>92843000</v>
      </c>
      <c r="C109">
        <v>21015000</v>
      </c>
      <c r="D109">
        <v>837000</v>
      </c>
      <c r="E109">
        <v>6610000</v>
      </c>
      <c r="F109">
        <v>114090000</v>
      </c>
      <c r="G109">
        <v>75</v>
      </c>
      <c r="H109">
        <v>66.400000000000006</v>
      </c>
      <c r="I109">
        <v>2020000000</v>
      </c>
    </row>
    <row r="110" spans="1:9" x14ac:dyDescent="0.25">
      <c r="A110">
        <v>2004</v>
      </c>
      <c r="B110">
        <v>97434000</v>
      </c>
      <c r="C110">
        <v>25396000</v>
      </c>
      <c r="D110">
        <v>749000</v>
      </c>
      <c r="E110">
        <v>6710000</v>
      </c>
      <c r="F110">
        <v>121980000</v>
      </c>
      <c r="G110">
        <v>79.5</v>
      </c>
      <c r="H110">
        <v>68.599999999999994</v>
      </c>
      <c r="I110">
        <v>2190000000</v>
      </c>
    </row>
    <row r="111" spans="1:9" x14ac:dyDescent="0.25">
      <c r="A111">
        <v>2005</v>
      </c>
      <c r="B111">
        <v>99319000</v>
      </c>
      <c r="C111">
        <v>30403000</v>
      </c>
      <c r="D111">
        <v>766000</v>
      </c>
      <c r="E111">
        <v>7450000</v>
      </c>
      <c r="F111">
        <v>128250000</v>
      </c>
      <c r="G111">
        <v>91</v>
      </c>
      <c r="H111">
        <v>75.900000000000006</v>
      </c>
      <c r="I111">
        <v>2350000000</v>
      </c>
    </row>
    <row r="112" spans="1:9" x14ac:dyDescent="0.25">
      <c r="A112">
        <v>2006</v>
      </c>
      <c r="B112">
        <v>98167000</v>
      </c>
      <c r="C112">
        <v>32141000</v>
      </c>
      <c r="D112">
        <v>723000</v>
      </c>
      <c r="E112">
        <v>9380000</v>
      </c>
      <c r="F112">
        <v>127660000</v>
      </c>
      <c r="G112">
        <v>101.5</v>
      </c>
      <c r="H112">
        <v>82.1</v>
      </c>
      <c r="I112">
        <v>2620000000</v>
      </c>
    </row>
    <row r="113" spans="1:13" x14ac:dyDescent="0.25">
      <c r="A113">
        <v>2007</v>
      </c>
      <c r="B113">
        <v>95464000</v>
      </c>
      <c r="C113">
        <v>21496000</v>
      </c>
      <c r="D113">
        <v>886000</v>
      </c>
      <c r="E113">
        <v>8890000</v>
      </c>
      <c r="F113">
        <v>116550000</v>
      </c>
      <c r="G113">
        <v>104</v>
      </c>
      <c r="H113">
        <v>81.8</v>
      </c>
      <c r="I113">
        <v>2810000000</v>
      </c>
    </row>
    <row r="114" spans="1:13" x14ac:dyDescent="0.25">
      <c r="A114">
        <v>2008</v>
      </c>
      <c r="B114">
        <v>86310000</v>
      </c>
      <c r="C114">
        <v>10744000</v>
      </c>
      <c r="D114">
        <v>823000</v>
      </c>
      <c r="E114">
        <v>8360000</v>
      </c>
      <c r="F114">
        <v>96760000</v>
      </c>
      <c r="G114">
        <v>103.5</v>
      </c>
      <c r="H114">
        <v>78.400000000000006</v>
      </c>
      <c r="I114">
        <v>2850000000</v>
      </c>
    </row>
    <row r="115" spans="1:13" x14ac:dyDescent="0.25">
      <c r="A115">
        <v>2009</v>
      </c>
      <c r="B115">
        <v>63929000</v>
      </c>
      <c r="C115">
        <v>6211000</v>
      </c>
      <c r="D115">
        <v>884000</v>
      </c>
      <c r="E115">
        <v>6080000</v>
      </c>
      <c r="F115">
        <v>71540000</v>
      </c>
      <c r="G115">
        <v>99</v>
      </c>
      <c r="H115">
        <v>75.2</v>
      </c>
      <c r="I115">
        <v>3050000000</v>
      </c>
    </row>
    <row r="116" spans="1:13" x14ac:dyDescent="0.25">
      <c r="A116">
        <v>2010</v>
      </c>
      <c r="B116">
        <v>66447000</v>
      </c>
      <c r="C116">
        <v>6013000</v>
      </c>
      <c r="D116">
        <v>1178000</v>
      </c>
      <c r="E116">
        <v>6180000</v>
      </c>
      <c r="F116">
        <v>71180000</v>
      </c>
      <c r="G116">
        <v>92</v>
      </c>
      <c r="H116">
        <v>68.8</v>
      </c>
      <c r="I116">
        <v>3290000000</v>
      </c>
    </row>
    <row r="117" spans="1:13" x14ac:dyDescent="0.25">
      <c r="A117">
        <v>2011</v>
      </c>
      <c r="B117">
        <v>67895000</v>
      </c>
      <c r="C117">
        <v>5812000</v>
      </c>
      <c r="D117">
        <v>1414000</v>
      </c>
      <c r="E117">
        <v>6270000</v>
      </c>
      <c r="F117">
        <v>72200000</v>
      </c>
      <c r="G117">
        <v>89.5</v>
      </c>
      <c r="H117">
        <v>64.900000000000006</v>
      </c>
      <c r="I117">
        <v>3630000000</v>
      </c>
      <c r="M117" t="s">
        <v>40</v>
      </c>
    </row>
    <row r="118" spans="1:13" x14ac:dyDescent="0.25">
      <c r="A118">
        <v>2012</v>
      </c>
      <c r="B118">
        <v>74151000</v>
      </c>
      <c r="C118">
        <v>6107000</v>
      </c>
      <c r="D118">
        <v>1749000</v>
      </c>
      <c r="E118">
        <v>6900000</v>
      </c>
      <c r="F118">
        <v>77880000</v>
      </c>
      <c r="G118">
        <v>89.5</v>
      </c>
      <c r="H118">
        <v>63.5</v>
      </c>
      <c r="I118">
        <v>3820000000</v>
      </c>
    </row>
    <row r="119" spans="1:13" x14ac:dyDescent="0.25">
      <c r="A119">
        <v>2013</v>
      </c>
      <c r="B119">
        <v>76804000</v>
      </c>
      <c r="C119">
        <v>6289000</v>
      </c>
      <c r="D119">
        <v>1670000</v>
      </c>
      <c r="E119">
        <v>6570000</v>
      </c>
      <c r="F119">
        <v>81750000</v>
      </c>
      <c r="G119">
        <v>95</v>
      </c>
      <c r="H119">
        <v>66.5</v>
      </c>
      <c r="I119">
        <v>4030000000</v>
      </c>
    </row>
    <row r="120" spans="1:13" x14ac:dyDescent="0.25">
      <c r="A120">
        <v>2014</v>
      </c>
      <c r="B120">
        <v>82535000</v>
      </c>
      <c r="C120">
        <v>7584000</v>
      </c>
      <c r="D120">
        <v>1397000</v>
      </c>
      <c r="E120">
        <v>6140000</v>
      </c>
      <c r="F120">
        <v>89220000</v>
      </c>
      <c r="G120">
        <v>100.5</v>
      </c>
      <c r="H120">
        <v>69.2</v>
      </c>
      <c r="I120">
        <v>4150000000</v>
      </c>
    </row>
    <row r="121" spans="1:13" x14ac:dyDescent="0.25">
      <c r="A121">
        <v>2015</v>
      </c>
      <c r="B121">
        <v>84405000</v>
      </c>
      <c r="C121">
        <v>10376000</v>
      </c>
      <c r="D121">
        <v>1543000</v>
      </c>
      <c r="E121">
        <v>7230000</v>
      </c>
      <c r="F121">
        <v>92150000</v>
      </c>
      <c r="G121">
        <v>106.5</v>
      </c>
      <c r="H121">
        <v>73.3</v>
      </c>
      <c r="I121">
        <v>4060000000</v>
      </c>
    </row>
    <row r="122" spans="1:13" x14ac:dyDescent="0.25">
      <c r="A122">
        <v>2016</v>
      </c>
      <c r="B122">
        <v>84695000</v>
      </c>
      <c r="C122">
        <v>11742000</v>
      </c>
      <c r="D122">
        <v>1097000</v>
      </c>
      <c r="E122">
        <v>7420000</v>
      </c>
      <c r="F122">
        <v>95150000</v>
      </c>
      <c r="G122">
        <v>111</v>
      </c>
      <c r="H122">
        <v>75.400000000000006</v>
      </c>
      <c r="I122">
        <v>4140000000</v>
      </c>
    </row>
    <row r="123" spans="1:13" x14ac:dyDescent="0.25">
      <c r="A123">
        <v>2017</v>
      </c>
      <c r="B123">
        <v>86356000</v>
      </c>
      <c r="C123">
        <v>12288000</v>
      </c>
      <c r="D123">
        <v>1035000</v>
      </c>
      <c r="E123">
        <v>7870000</v>
      </c>
      <c r="F123">
        <v>97160000</v>
      </c>
      <c r="G123">
        <v>117</v>
      </c>
      <c r="H123">
        <v>77.8</v>
      </c>
      <c r="I123">
        <v>4120000000</v>
      </c>
    </row>
    <row r="124" spans="1:13" x14ac:dyDescent="0.25">
      <c r="A124">
        <v>2018</v>
      </c>
      <c r="B124">
        <v>86400000</v>
      </c>
      <c r="C124">
        <v>13693000</v>
      </c>
      <c r="D124">
        <v>919000</v>
      </c>
      <c r="E124">
        <v>8580000</v>
      </c>
      <c r="F124">
        <v>98500000</v>
      </c>
      <c r="G124">
        <v>121</v>
      </c>
      <c r="H124">
        <v>78.5</v>
      </c>
      <c r="I124">
        <v>4060000000</v>
      </c>
    </row>
    <row r="125" spans="1:13" x14ac:dyDescent="0.25">
      <c r="A125">
        <v>2019</v>
      </c>
      <c r="B125">
        <v>87600000</v>
      </c>
      <c r="C125">
        <v>14836000</v>
      </c>
      <c r="D125">
        <v>1024000</v>
      </c>
      <c r="E125">
        <v>7990000</v>
      </c>
      <c r="F125">
        <v>102000000</v>
      </c>
      <c r="G125">
        <v>123.5</v>
      </c>
      <c r="H125">
        <v>78.7</v>
      </c>
      <c r="I125">
        <v>4200000000</v>
      </c>
    </row>
    <row r="126" spans="1:13" x14ac:dyDescent="0.25">
      <c r="A126">
        <v>2020</v>
      </c>
      <c r="B126">
        <v>89300000</v>
      </c>
      <c r="C126">
        <v>15531000</v>
      </c>
      <c r="D126">
        <v>884000</v>
      </c>
      <c r="E126">
        <v>7180000</v>
      </c>
      <c r="F126">
        <v>105000000</v>
      </c>
      <c r="G126">
        <v>125</v>
      </c>
      <c r="H126">
        <v>78.7</v>
      </c>
      <c r="I126">
        <v>4210000000</v>
      </c>
    </row>
    <row r="127" spans="1:13" x14ac:dyDescent="0.25">
      <c r="A127">
        <v>2021</v>
      </c>
      <c r="B127">
        <v>91000000</v>
      </c>
      <c r="C127">
        <v>19937000</v>
      </c>
      <c r="D127">
        <v>940000</v>
      </c>
      <c r="E127">
        <v>6280000</v>
      </c>
      <c r="F127">
        <v>111000000</v>
      </c>
      <c r="G127">
        <v>127</v>
      </c>
      <c r="H127">
        <v>76.400000000000006</v>
      </c>
      <c r="I127">
        <v>4360000000</v>
      </c>
    </row>
    <row r="128" spans="1:13" x14ac:dyDescent="0.25">
      <c r="A128" t="s">
        <v>41</v>
      </c>
    </row>
    <row r="129" spans="1:10" x14ac:dyDescent="0.25">
      <c r="A129" t="s">
        <v>42</v>
      </c>
    </row>
    <row r="130" spans="1:10" x14ac:dyDescent="0.25">
      <c r="A130" t="s">
        <v>43</v>
      </c>
    </row>
    <row r="136" spans="1:10" x14ac:dyDescent="0.25">
      <c r="J136" t="s">
        <v>40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heetViews>
  <sheetFormatPr defaultRowHeight="15" x14ac:dyDescent="0.25"/>
  <cols>
    <col min="1" max="1" width="60" customWidth="1"/>
  </cols>
  <sheetData>
    <row r="1" spans="1:6" x14ac:dyDescent="0.25">
      <c r="A1" t="s">
        <v>44</v>
      </c>
    </row>
    <row r="2" spans="1:6" x14ac:dyDescent="0.25">
      <c r="A2" t="s">
        <v>45</v>
      </c>
      <c r="B2">
        <v>2021</v>
      </c>
      <c r="C2">
        <v>2022</v>
      </c>
      <c r="D2">
        <v>2023</v>
      </c>
      <c r="E2">
        <v>2024</v>
      </c>
      <c r="F2" t="s">
        <v>46</v>
      </c>
    </row>
    <row r="3" spans="1:6" x14ac:dyDescent="0.25">
      <c r="A3" t="s">
        <v>47</v>
      </c>
      <c r="B3">
        <v>91000</v>
      </c>
      <c r="C3">
        <v>91200</v>
      </c>
      <c r="D3">
        <v>89700</v>
      </c>
      <c r="E3">
        <v>85000</v>
      </c>
      <c r="F3">
        <v>84000</v>
      </c>
    </row>
    <row r="4" spans="1:6" x14ac:dyDescent="0.25">
      <c r="A4" t="s">
        <v>48</v>
      </c>
      <c r="B4">
        <v>79616</v>
      </c>
      <c r="C4">
        <v>79489</v>
      </c>
      <c r="D4">
        <v>76789</v>
      </c>
      <c r="E4">
        <v>72000</v>
      </c>
      <c r="F4">
        <v>69000</v>
      </c>
    </row>
    <row r="5" spans="1:6" x14ac:dyDescent="0.25">
      <c r="A5" t="s">
        <v>49</v>
      </c>
      <c r="B5">
        <v>108969</v>
      </c>
      <c r="C5">
        <v>111092</v>
      </c>
      <c r="D5">
        <v>110290</v>
      </c>
      <c r="E5">
        <v>100000</v>
      </c>
      <c r="F5">
        <v>100000</v>
      </c>
    </row>
    <row r="6" spans="1:6" x14ac:dyDescent="0.25">
      <c r="A6" t="s">
        <v>50</v>
      </c>
      <c r="B6">
        <v>19937</v>
      </c>
      <c r="C6">
        <v>24985</v>
      </c>
      <c r="D6">
        <v>24986</v>
      </c>
      <c r="E6">
        <v>23675</v>
      </c>
      <c r="F6">
        <v>23000</v>
      </c>
    </row>
    <row r="7" spans="1:6" x14ac:dyDescent="0.25">
      <c r="A7" t="s">
        <v>51</v>
      </c>
      <c r="B7">
        <v>1563</v>
      </c>
      <c r="C7">
        <v>1021</v>
      </c>
      <c r="D7">
        <v>921</v>
      </c>
      <c r="E7">
        <v>685</v>
      </c>
      <c r="F7">
        <v>660</v>
      </c>
    </row>
    <row r="8" spans="1:6" x14ac:dyDescent="0.25">
      <c r="A8" t="s">
        <v>52</v>
      </c>
      <c r="B8">
        <v>939</v>
      </c>
      <c r="C8">
        <v>904</v>
      </c>
      <c r="D8">
        <v>889</v>
      </c>
      <c r="E8">
        <v>932</v>
      </c>
      <c r="F8">
        <v>1000</v>
      </c>
    </row>
    <row r="9" spans="1:6" x14ac:dyDescent="0.25">
      <c r="A9" t="s">
        <v>53</v>
      </c>
      <c r="B9">
        <v>111000</v>
      </c>
      <c r="C9">
        <v>114000</v>
      </c>
      <c r="D9">
        <v>113000</v>
      </c>
      <c r="E9">
        <v>110000</v>
      </c>
      <c r="F9">
        <v>110000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workbookViewId="0"/>
  </sheetViews>
  <sheetFormatPr defaultRowHeight="15" x14ac:dyDescent="0.25"/>
  <sheetData>
    <row r="1" spans="1:2" x14ac:dyDescent="0.25">
      <c r="A1" t="s">
        <v>54</v>
      </c>
    </row>
    <row r="2" spans="1:2" x14ac:dyDescent="0.25">
      <c r="A2" t="s">
        <v>30</v>
      </c>
      <c r="B2" t="s">
        <v>55</v>
      </c>
    </row>
    <row r="3" spans="1:2" x14ac:dyDescent="0.25">
      <c r="A3">
        <v>1990</v>
      </c>
      <c r="B3">
        <v>64355</v>
      </c>
    </row>
    <row r="4" spans="1:2" x14ac:dyDescent="0.25">
      <c r="A4">
        <v>2005</v>
      </c>
      <c r="B4">
        <v>88783</v>
      </c>
    </row>
    <row r="5" spans="1:2" x14ac:dyDescent="0.25">
      <c r="A5">
        <v>2018</v>
      </c>
      <c r="B5">
        <v>74900</v>
      </c>
    </row>
    <row r="6" spans="1:2" x14ac:dyDescent="0.25">
      <c r="A6">
        <v>2019</v>
      </c>
      <c r="B6">
        <v>78600</v>
      </c>
    </row>
    <row r="7" spans="1:2" x14ac:dyDescent="0.25">
      <c r="A7">
        <v>2020</v>
      </c>
      <c r="B7">
        <v>78200</v>
      </c>
    </row>
    <row r="8" spans="1:2" x14ac:dyDescent="0.25">
      <c r="A8">
        <v>2021</v>
      </c>
      <c r="B8">
        <v>79400</v>
      </c>
    </row>
    <row r="9" spans="1:2" x14ac:dyDescent="0.25">
      <c r="A9">
        <v>2022</v>
      </c>
      <c r="B9">
        <v>80500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8"/>
  <sheetViews>
    <sheetView workbookViewId="0"/>
  </sheetViews>
  <sheetFormatPr defaultRowHeight="15" x14ac:dyDescent="0.25"/>
  <cols>
    <col min="1" max="1" width="8" customWidth="1"/>
    <col min="2" max="3" width="18" customWidth="1"/>
    <col min="4" max="5" width="20" customWidth="1"/>
    <col min="6" max="6" width="26" customWidth="1"/>
    <col min="7" max="7" width="24" customWidth="1"/>
  </cols>
  <sheetData>
    <row r="1" spans="1:7" x14ac:dyDescent="0.25">
      <c r="A1" t="s">
        <v>56</v>
      </c>
    </row>
    <row r="3" spans="1:7" ht="72" customHeight="1" x14ac:dyDescent="0.25">
      <c r="A3" s="5" t="s">
        <v>30</v>
      </c>
      <c r="B3" s="5" t="s">
        <v>57</v>
      </c>
      <c r="C3" s="5" t="s">
        <v>58</v>
      </c>
      <c r="D3" s="5" t="s">
        <v>59</v>
      </c>
      <c r="E3" s="5" t="s">
        <v>60</v>
      </c>
      <c r="F3" s="5" t="s">
        <v>61</v>
      </c>
      <c r="G3" s="5" t="s">
        <v>62</v>
      </c>
    </row>
    <row r="4" spans="1:7" x14ac:dyDescent="0.25">
      <c r="A4">
        <v>1950</v>
      </c>
      <c r="B4">
        <f>'USGS DS140'!F56</f>
        <v>40891000</v>
      </c>
      <c r="C4">
        <f>'USGS DS140'!B56</f>
        <v>38724000</v>
      </c>
      <c r="F4">
        <f t="shared" ref="F4:F43" si="0">$E$44</f>
        <v>0.91996168910998655</v>
      </c>
      <c r="G4">
        <f t="shared" ref="G4:G35" si="1">B4*F4</f>
        <v>37618153.429396458</v>
      </c>
    </row>
    <row r="5" spans="1:7" x14ac:dyDescent="0.25">
      <c r="A5">
        <v>1951</v>
      </c>
      <c r="B5">
        <f>'USGS DS140'!F57</f>
        <v>42695000</v>
      </c>
      <c r="C5">
        <f>'USGS DS140'!B57</f>
        <v>41825000</v>
      </c>
      <c r="F5">
        <f t="shared" si="0"/>
        <v>0.91996168910998655</v>
      </c>
      <c r="G5">
        <f t="shared" si="1"/>
        <v>39277764.316550873</v>
      </c>
    </row>
    <row r="6" spans="1:7" x14ac:dyDescent="0.25">
      <c r="A6">
        <v>1952</v>
      </c>
      <c r="B6">
        <f>'USGS DS140'!F58</f>
        <v>44335000</v>
      </c>
      <c r="C6">
        <f>'USGS DS140'!B58</f>
        <v>42394000</v>
      </c>
      <c r="F6">
        <f t="shared" si="0"/>
        <v>0.91996168910998655</v>
      </c>
      <c r="G6">
        <f t="shared" si="1"/>
        <v>40786501.486691251</v>
      </c>
    </row>
    <row r="7" spans="1:7" x14ac:dyDescent="0.25">
      <c r="A7">
        <v>1953</v>
      </c>
      <c r="B7">
        <f>'USGS DS140'!F59</f>
        <v>46047000</v>
      </c>
      <c r="C7">
        <f>'USGS DS140'!B59</f>
        <v>45021000</v>
      </c>
      <c r="F7">
        <f t="shared" si="0"/>
        <v>0.91996168910998655</v>
      </c>
      <c r="G7">
        <f t="shared" si="1"/>
        <v>42361475.898447551</v>
      </c>
    </row>
    <row r="8" spans="1:7" x14ac:dyDescent="0.25">
      <c r="A8">
        <v>1954</v>
      </c>
      <c r="B8">
        <f>'USGS DS140'!F60</f>
        <v>48897000</v>
      </c>
      <c r="C8">
        <f>'USGS DS140'!B60</f>
        <v>46434000</v>
      </c>
      <c r="F8">
        <f t="shared" si="0"/>
        <v>0.91996168910998655</v>
      </c>
      <c r="G8">
        <f t="shared" si="1"/>
        <v>44983366.712411009</v>
      </c>
    </row>
    <row r="9" spans="1:7" x14ac:dyDescent="0.25">
      <c r="A9">
        <v>1955</v>
      </c>
      <c r="B9">
        <f>'USGS DS140'!F61</f>
        <v>53589000</v>
      </c>
      <c r="C9">
        <f>'USGS DS140'!B61</f>
        <v>52994000</v>
      </c>
      <c r="F9">
        <f t="shared" si="0"/>
        <v>0.91996168910998655</v>
      </c>
      <c r="G9">
        <f t="shared" si="1"/>
        <v>49299826.957715072</v>
      </c>
    </row>
    <row r="10" spans="1:7" x14ac:dyDescent="0.25">
      <c r="A10">
        <v>1956</v>
      </c>
      <c r="B10">
        <f>'USGS DS140'!F62</f>
        <v>55225000</v>
      </c>
      <c r="C10">
        <f>'USGS DS140'!B62</f>
        <v>56153000</v>
      </c>
      <c r="F10">
        <f t="shared" si="0"/>
        <v>0.91996168910998655</v>
      </c>
      <c r="G10">
        <f t="shared" si="1"/>
        <v>50804884.281099007</v>
      </c>
    </row>
    <row r="11" spans="1:7" x14ac:dyDescent="0.25">
      <c r="A11">
        <v>1957</v>
      </c>
      <c r="B11">
        <f>'USGS DS140'!F63</f>
        <v>51638000</v>
      </c>
      <c r="C11">
        <f>'USGS DS140'!B63</f>
        <v>52574000</v>
      </c>
      <c r="F11">
        <f t="shared" si="0"/>
        <v>0.91996168910998655</v>
      </c>
      <c r="G11">
        <f t="shared" si="1"/>
        <v>47504981.702261485</v>
      </c>
    </row>
    <row r="12" spans="1:7" x14ac:dyDescent="0.25">
      <c r="A12">
        <v>1958</v>
      </c>
      <c r="B12">
        <f>'USGS DS140'!F64</f>
        <v>54542000</v>
      </c>
      <c r="C12">
        <f>'USGS DS140'!B64</f>
        <v>54831000</v>
      </c>
      <c r="F12">
        <f t="shared" si="0"/>
        <v>0.91996168910998655</v>
      </c>
      <c r="G12">
        <f t="shared" si="1"/>
        <v>50176550.447436884</v>
      </c>
    </row>
    <row r="13" spans="1:7" x14ac:dyDescent="0.25">
      <c r="A13">
        <v>1959</v>
      </c>
      <c r="B13">
        <f>'USGS DS140'!F65</f>
        <v>59899000</v>
      </c>
      <c r="C13">
        <f>'USGS DS140'!B65</f>
        <v>59764000</v>
      </c>
      <c r="F13">
        <f t="shared" si="0"/>
        <v>0.91996168910998655</v>
      </c>
      <c r="G13">
        <f t="shared" si="1"/>
        <v>55104785.215999082</v>
      </c>
    </row>
    <row r="14" spans="1:7" x14ac:dyDescent="0.25">
      <c r="A14">
        <v>1960</v>
      </c>
      <c r="B14">
        <f>'USGS DS140'!F66</f>
        <v>55526000</v>
      </c>
      <c r="C14">
        <f>'USGS DS140'!B66</f>
        <v>56063000</v>
      </c>
      <c r="F14">
        <f t="shared" si="0"/>
        <v>0.91996168910998655</v>
      </c>
      <c r="G14">
        <f t="shared" si="1"/>
        <v>51081792.749521114</v>
      </c>
    </row>
    <row r="15" spans="1:7" x14ac:dyDescent="0.25">
      <c r="A15">
        <v>1961</v>
      </c>
      <c r="B15">
        <f>'USGS DS140'!F67</f>
        <v>56826000</v>
      </c>
      <c r="C15">
        <f>'USGS DS140'!B67</f>
        <v>56718000</v>
      </c>
      <c r="F15">
        <f t="shared" si="0"/>
        <v>0.91996168910998655</v>
      </c>
      <c r="G15">
        <f t="shared" si="1"/>
        <v>52277742.945364095</v>
      </c>
    </row>
    <row r="16" spans="1:7" x14ac:dyDescent="0.25">
      <c r="A16">
        <v>1962</v>
      </c>
      <c r="B16">
        <f>'USGS DS140'!F68</f>
        <v>58983000</v>
      </c>
      <c r="C16">
        <f>'USGS DS140'!B68</f>
        <v>58908000</v>
      </c>
      <c r="F16">
        <f t="shared" si="0"/>
        <v>0.91996168910998655</v>
      </c>
      <c r="G16">
        <f t="shared" si="1"/>
        <v>54262100.308774337</v>
      </c>
    </row>
    <row r="17" spans="1:7" x14ac:dyDescent="0.25">
      <c r="A17">
        <v>1963</v>
      </c>
      <c r="B17">
        <f>'USGS DS140'!F69</f>
        <v>63648000</v>
      </c>
      <c r="C17">
        <f>'USGS DS140'!B69</f>
        <v>61733000</v>
      </c>
      <c r="F17">
        <f t="shared" si="0"/>
        <v>0.91996168910998655</v>
      </c>
      <c r="G17">
        <f t="shared" si="1"/>
        <v>58553721.588472426</v>
      </c>
    </row>
    <row r="18" spans="1:7" x14ac:dyDescent="0.25">
      <c r="A18">
        <v>1964</v>
      </c>
      <c r="B18">
        <f>'USGS DS140'!F70</f>
        <v>66149000</v>
      </c>
      <c r="C18">
        <f>'USGS DS140'!B70</f>
        <v>64379000</v>
      </c>
      <c r="F18">
        <f t="shared" si="0"/>
        <v>0.91996168910998655</v>
      </c>
      <c r="G18">
        <f t="shared" si="1"/>
        <v>60854545.772936501</v>
      </c>
    </row>
    <row r="19" spans="1:7" x14ac:dyDescent="0.25">
      <c r="A19">
        <v>1965</v>
      </c>
      <c r="B19">
        <f>'USGS DS140'!F71</f>
        <v>67589000</v>
      </c>
      <c r="C19">
        <f>'USGS DS140'!B71</f>
        <v>65078000</v>
      </c>
      <c r="F19">
        <f t="shared" si="0"/>
        <v>0.91996168910998655</v>
      </c>
      <c r="G19">
        <f t="shared" si="1"/>
        <v>62179290.605254881</v>
      </c>
    </row>
    <row r="20" spans="1:7" x14ac:dyDescent="0.25">
      <c r="A20">
        <v>1966</v>
      </c>
      <c r="B20">
        <f>'USGS DS140'!F72</f>
        <v>68490000</v>
      </c>
      <c r="C20">
        <f>'USGS DS140'!B72</f>
        <v>67146000</v>
      </c>
      <c r="F20">
        <f t="shared" si="0"/>
        <v>0.91996168910998655</v>
      </c>
      <c r="G20">
        <f t="shared" si="1"/>
        <v>63008176.087142982</v>
      </c>
    </row>
    <row r="21" spans="1:7" x14ac:dyDescent="0.25">
      <c r="A21">
        <v>1967</v>
      </c>
      <c r="B21">
        <f>'USGS DS140'!F73</f>
        <v>67459000</v>
      </c>
      <c r="C21">
        <f>'USGS DS140'!B73</f>
        <v>64449000</v>
      </c>
      <c r="F21">
        <f t="shared" si="0"/>
        <v>0.91996168910998655</v>
      </c>
      <c r="G21">
        <f t="shared" si="1"/>
        <v>62059695.585670583</v>
      </c>
    </row>
    <row r="22" spans="1:7" x14ac:dyDescent="0.25">
      <c r="A22">
        <v>1968</v>
      </c>
      <c r="B22">
        <f>'USGS DS140'!F74</f>
        <v>71220000</v>
      </c>
      <c r="C22">
        <f>'USGS DS140'!B74</f>
        <v>68791000</v>
      </c>
      <c r="F22">
        <f t="shared" si="0"/>
        <v>0.91996168910998655</v>
      </c>
      <c r="G22">
        <f t="shared" si="1"/>
        <v>65519671.498413242</v>
      </c>
    </row>
    <row r="23" spans="1:7" x14ac:dyDescent="0.25">
      <c r="A23">
        <v>1969</v>
      </c>
      <c r="B23">
        <f>'USGS DS140'!F75</f>
        <v>71101000</v>
      </c>
      <c r="C23">
        <f>'USGS DS140'!B75</f>
        <v>71086000</v>
      </c>
      <c r="F23">
        <f t="shared" si="0"/>
        <v>0.91996168910998655</v>
      </c>
      <c r="G23">
        <f t="shared" si="1"/>
        <v>65410196.057409152</v>
      </c>
    </row>
    <row r="24" spans="1:7" x14ac:dyDescent="0.25">
      <c r="A24">
        <v>1970</v>
      </c>
      <c r="B24">
        <f>'USGS DS140'!F76</f>
        <v>67476000</v>
      </c>
      <c r="C24">
        <f>'USGS DS140'!B76</f>
        <v>67427000</v>
      </c>
      <c r="F24">
        <f t="shared" si="0"/>
        <v>0.91996168910998655</v>
      </c>
      <c r="G24">
        <f t="shared" si="1"/>
        <v>62075334.934385449</v>
      </c>
    </row>
    <row r="25" spans="1:7" x14ac:dyDescent="0.25">
      <c r="A25">
        <v>1971</v>
      </c>
      <c r="B25">
        <f>'USGS DS140'!F77</f>
        <v>72842000</v>
      </c>
      <c r="C25">
        <f>'USGS DS140'!B77</f>
        <v>71054000</v>
      </c>
      <c r="F25">
        <f t="shared" si="0"/>
        <v>0.91996168910998655</v>
      </c>
      <c r="G25">
        <f t="shared" si="1"/>
        <v>67011849.35814964</v>
      </c>
    </row>
    <row r="26" spans="1:7" x14ac:dyDescent="0.25">
      <c r="A26">
        <v>1972</v>
      </c>
      <c r="B26">
        <f>'USGS DS140'!F78</f>
        <v>76768000</v>
      </c>
      <c r="C26">
        <f>'USGS DS140'!B78</f>
        <v>74931000</v>
      </c>
      <c r="F26">
        <f t="shared" si="0"/>
        <v>0.91996168910998655</v>
      </c>
      <c r="G26">
        <f t="shared" si="1"/>
        <v>70623618.949595451</v>
      </c>
    </row>
    <row r="27" spans="1:7" x14ac:dyDescent="0.25">
      <c r="A27">
        <v>1973</v>
      </c>
      <c r="B27">
        <f>'USGS DS140'!F79</f>
        <v>81941000</v>
      </c>
      <c r="C27">
        <f>'USGS DS140'!B79</f>
        <v>77576000</v>
      </c>
      <c r="F27">
        <f t="shared" si="0"/>
        <v>0.91996168910998655</v>
      </c>
      <c r="G27">
        <f t="shared" si="1"/>
        <v>75382580.767361403</v>
      </c>
    </row>
    <row r="28" spans="1:7" x14ac:dyDescent="0.25">
      <c r="A28">
        <v>1974</v>
      </c>
      <c r="B28">
        <f>'USGS DS140'!F80</f>
        <v>74844000</v>
      </c>
      <c r="C28">
        <f>'USGS DS140'!B80</f>
        <v>73688000</v>
      </c>
      <c r="F28">
        <f t="shared" si="0"/>
        <v>0.91996168910998655</v>
      </c>
      <c r="G28">
        <f t="shared" si="1"/>
        <v>68853612.659747839</v>
      </c>
    </row>
    <row r="29" spans="1:7" x14ac:dyDescent="0.25">
      <c r="A29">
        <v>1975</v>
      </c>
      <c r="B29">
        <f>'USGS DS140'!F81</f>
        <v>63608000</v>
      </c>
      <c r="C29">
        <f>'USGS DS140'!B81</f>
        <v>61815000</v>
      </c>
      <c r="F29">
        <f t="shared" si="0"/>
        <v>0.91996168910998655</v>
      </c>
      <c r="G29">
        <f t="shared" si="1"/>
        <v>58516923.120908022</v>
      </c>
    </row>
    <row r="30" spans="1:7" x14ac:dyDescent="0.25">
      <c r="A30">
        <v>1976</v>
      </c>
      <c r="B30">
        <f>'USGS DS140'!F82</f>
        <v>67509000</v>
      </c>
      <c r="C30">
        <f>'USGS DS140'!B82</f>
        <v>66179000</v>
      </c>
      <c r="F30">
        <f t="shared" si="0"/>
        <v>0.91996168910998655</v>
      </c>
      <c r="G30">
        <f t="shared" si="1"/>
        <v>62105693.670126081</v>
      </c>
    </row>
    <row r="31" spans="1:7" x14ac:dyDescent="0.25">
      <c r="A31">
        <v>1977</v>
      </c>
      <c r="B31">
        <f>'USGS DS140'!F83</f>
        <v>73427000</v>
      </c>
      <c r="C31">
        <f>'USGS DS140'!B83</f>
        <v>70939000</v>
      </c>
      <c r="F31">
        <f t="shared" si="0"/>
        <v>0.91996168910998655</v>
      </c>
      <c r="G31">
        <f t="shared" si="1"/>
        <v>67550026.946278989</v>
      </c>
    </row>
    <row r="32" spans="1:7" x14ac:dyDescent="0.25">
      <c r="A32">
        <v>1978</v>
      </c>
      <c r="B32">
        <f>'USGS DS140'!F84</f>
        <v>79288000</v>
      </c>
      <c r="C32">
        <f>'USGS DS140'!B84</f>
        <v>76190000</v>
      </c>
      <c r="F32">
        <f t="shared" si="0"/>
        <v>0.91996168910998655</v>
      </c>
      <c r="G32">
        <f t="shared" si="1"/>
        <v>72941922.406152606</v>
      </c>
    </row>
    <row r="33" spans="1:7" x14ac:dyDescent="0.25">
      <c r="A33">
        <v>1979</v>
      </c>
      <c r="B33">
        <f>'USGS DS140'!F85</f>
        <v>78964000</v>
      </c>
      <c r="C33">
        <f>'USGS DS140'!B85</f>
        <v>76649000</v>
      </c>
      <c r="F33">
        <f t="shared" si="0"/>
        <v>0.91996168910998655</v>
      </c>
      <c r="G33">
        <f t="shared" si="1"/>
        <v>72643854.818880975</v>
      </c>
    </row>
    <row r="34" spans="1:7" x14ac:dyDescent="0.25">
      <c r="A34">
        <v>1980</v>
      </c>
      <c r="B34">
        <f>'USGS DS140'!F86</f>
        <v>70173000</v>
      </c>
      <c r="C34">
        <f>'USGS DS140'!B86</f>
        <v>68242000</v>
      </c>
      <c r="F34">
        <f t="shared" si="0"/>
        <v>0.91996168910998655</v>
      </c>
      <c r="G34">
        <f t="shared" si="1"/>
        <v>64556471.609915085</v>
      </c>
    </row>
    <row r="35" spans="1:7" x14ac:dyDescent="0.25">
      <c r="A35">
        <v>1981</v>
      </c>
      <c r="B35">
        <f>'USGS DS140'!F87</f>
        <v>66092000</v>
      </c>
      <c r="C35">
        <f>'USGS DS140'!B87</f>
        <v>65054000</v>
      </c>
      <c r="F35">
        <f t="shared" si="0"/>
        <v>0.91996168910998655</v>
      </c>
      <c r="G35">
        <f t="shared" si="1"/>
        <v>60802107.956657231</v>
      </c>
    </row>
    <row r="36" spans="1:7" x14ac:dyDescent="0.25">
      <c r="A36">
        <v>1982</v>
      </c>
      <c r="B36">
        <f>'USGS DS140'!F88</f>
        <v>59572000</v>
      </c>
      <c r="C36">
        <f>'USGS DS140'!B88</f>
        <v>57475000</v>
      </c>
      <c r="F36">
        <f t="shared" si="0"/>
        <v>0.91996168910998655</v>
      </c>
      <c r="G36">
        <f t="shared" ref="G36:G67" si="2">B36*F36</f>
        <v>54803957.743660122</v>
      </c>
    </row>
    <row r="37" spans="1:7" x14ac:dyDescent="0.25">
      <c r="A37">
        <v>1983</v>
      </c>
      <c r="B37">
        <f>'USGS DS140'!F89</f>
        <v>65838000</v>
      </c>
      <c r="C37">
        <f>'USGS DS140'!B89</f>
        <v>63884000</v>
      </c>
      <c r="F37">
        <f t="shared" si="0"/>
        <v>0.91996168910998655</v>
      </c>
      <c r="G37">
        <f t="shared" si="2"/>
        <v>60568437.687623292</v>
      </c>
    </row>
    <row r="38" spans="1:7" x14ac:dyDescent="0.25">
      <c r="A38">
        <v>1984</v>
      </c>
      <c r="B38">
        <f>'USGS DS140'!F90</f>
        <v>76186000</v>
      </c>
      <c r="C38">
        <f>'USGS DS140'!B90</f>
        <v>70488000</v>
      </c>
      <c r="F38">
        <f t="shared" si="0"/>
        <v>0.91996168910998655</v>
      </c>
      <c r="G38">
        <f t="shared" si="2"/>
        <v>70088201.246533439</v>
      </c>
    </row>
    <row r="39" spans="1:7" x14ac:dyDescent="0.25">
      <c r="A39">
        <v>1985</v>
      </c>
      <c r="B39">
        <f>'USGS DS140'!F91</f>
        <v>78836000</v>
      </c>
      <c r="C39">
        <f>'USGS DS140'!B91</f>
        <v>70665000</v>
      </c>
      <c r="F39">
        <f t="shared" si="0"/>
        <v>0.91996168910998655</v>
      </c>
      <c r="G39">
        <f t="shared" si="2"/>
        <v>72526099.722674906</v>
      </c>
    </row>
    <row r="40" spans="1:7" x14ac:dyDescent="0.25">
      <c r="A40">
        <v>1986</v>
      </c>
      <c r="B40">
        <f>'USGS DS140'!F92</f>
        <v>82837000</v>
      </c>
      <c r="C40">
        <f>'USGS DS140'!B92</f>
        <v>71473000</v>
      </c>
      <c r="F40">
        <f t="shared" si="0"/>
        <v>0.91996168910998655</v>
      </c>
      <c r="G40">
        <f t="shared" si="2"/>
        <v>76206866.44080396</v>
      </c>
    </row>
    <row r="41" spans="1:7" x14ac:dyDescent="0.25">
      <c r="A41">
        <v>1987</v>
      </c>
      <c r="B41">
        <f>'USGS DS140'!F93</f>
        <v>84204000</v>
      </c>
      <c r="C41">
        <f>'USGS DS140'!B93</f>
        <v>70940000</v>
      </c>
      <c r="F41">
        <f t="shared" si="0"/>
        <v>0.91996168910998655</v>
      </c>
      <c r="G41">
        <f t="shared" si="2"/>
        <v>77464454.069817305</v>
      </c>
    </row>
    <row r="42" spans="1:7" x14ac:dyDescent="0.25">
      <c r="A42">
        <v>1988</v>
      </c>
      <c r="B42">
        <f>'USGS DS140'!F94</f>
        <v>83851000</v>
      </c>
      <c r="C42">
        <f>'USGS DS140'!B94</f>
        <v>69733000</v>
      </c>
      <c r="F42">
        <f t="shared" si="0"/>
        <v>0.91996168910998655</v>
      </c>
      <c r="G42">
        <f t="shared" si="2"/>
        <v>77139707.593561485</v>
      </c>
    </row>
    <row r="43" spans="1:7" x14ac:dyDescent="0.25">
      <c r="A43">
        <v>1989</v>
      </c>
      <c r="B43">
        <f>'USGS DS140'!F95</f>
        <v>82414000</v>
      </c>
      <c r="C43">
        <f>'USGS DS140'!B95</f>
        <v>70025000</v>
      </c>
      <c r="F43">
        <f t="shared" si="0"/>
        <v>0.91996168910998655</v>
      </c>
      <c r="G43">
        <f t="shared" si="2"/>
        <v>75817722.646310434</v>
      </c>
    </row>
    <row r="44" spans="1:7" x14ac:dyDescent="0.25">
      <c r="A44">
        <v>1990</v>
      </c>
      <c r="B44">
        <f>'USGS DS140'!F96</f>
        <v>80964000</v>
      </c>
      <c r="C44">
        <f>'USGS DS140'!B96</f>
        <v>69954000</v>
      </c>
      <c r="D44">
        <f>'EPA GHGI clinker'!B3*1000</f>
        <v>64355000</v>
      </c>
      <c r="E44">
        <f>D44/C44</f>
        <v>0.91996168910998655</v>
      </c>
      <c r="F44">
        <f>E44</f>
        <v>0.91996168910998655</v>
      </c>
      <c r="G44">
        <f t="shared" si="2"/>
        <v>74483778.197100952</v>
      </c>
    </row>
    <row r="45" spans="1:7" x14ac:dyDescent="0.25">
      <c r="A45">
        <v>1991</v>
      </c>
      <c r="B45">
        <f>'USGS DS140'!F97</f>
        <v>71800000</v>
      </c>
      <c r="C45">
        <f>'USGS DS140'!B97</f>
        <v>66755000</v>
      </c>
      <c r="F45">
        <f>E44+(E59-E44)*(A45-A44)/(A59-A44)</f>
        <v>0.91822541508338895</v>
      </c>
      <c r="G45">
        <f t="shared" si="2"/>
        <v>65928584.80298733</v>
      </c>
    </row>
    <row r="46" spans="1:7" x14ac:dyDescent="0.25">
      <c r="A46">
        <v>1992</v>
      </c>
      <c r="B46">
        <f>'USGS DS140'!F98</f>
        <v>76169000</v>
      </c>
      <c r="C46">
        <f>'USGS DS140'!B98</f>
        <v>69585000</v>
      </c>
      <c r="F46">
        <f>E44+(E59-E44)*(A46-A44)/(A59-A44)</f>
        <v>0.91648914105679125</v>
      </c>
      <c r="G46">
        <f t="shared" si="2"/>
        <v>69808061.385154739</v>
      </c>
    </row>
    <row r="47" spans="1:7" x14ac:dyDescent="0.25">
      <c r="A47">
        <v>1993</v>
      </c>
      <c r="B47">
        <f>'USGS DS140'!F99</f>
        <v>79701000</v>
      </c>
      <c r="C47">
        <f>'USGS DS140'!B99</f>
        <v>73807000</v>
      </c>
      <c r="F47">
        <f>E44+(E59-E44)*(A47-A44)/(A59-A44)</f>
        <v>0.91475286703019365</v>
      </c>
      <c r="G47">
        <f t="shared" si="2"/>
        <v>72906718.25517346</v>
      </c>
    </row>
    <row r="48" spans="1:7" x14ac:dyDescent="0.25">
      <c r="A48">
        <v>1994</v>
      </c>
      <c r="B48">
        <f>'USGS DS140'!F100</f>
        <v>86476000</v>
      </c>
      <c r="C48">
        <f>'USGS DS140'!B100</f>
        <v>77948000</v>
      </c>
      <c r="F48">
        <f>E44+(E59-E44)*(A48-A44)/(A59-A44)</f>
        <v>0.91301659300359606</v>
      </c>
      <c r="G48">
        <f t="shared" si="2"/>
        <v>78954022.896578968</v>
      </c>
    </row>
    <row r="49" spans="1:7" x14ac:dyDescent="0.25">
      <c r="A49">
        <v>1995</v>
      </c>
      <c r="B49">
        <f>'USGS DS140'!F101</f>
        <v>86003000</v>
      </c>
      <c r="C49">
        <f>'USGS DS140'!B101</f>
        <v>76906000</v>
      </c>
      <c r="F49">
        <f>E44+(E59-E44)*(A49-A44)/(A59-A44)</f>
        <v>0.91128031897699835</v>
      </c>
      <c r="G49">
        <f t="shared" si="2"/>
        <v>78372841.272978783</v>
      </c>
    </row>
    <row r="50" spans="1:7" x14ac:dyDescent="0.25">
      <c r="A50">
        <v>1996</v>
      </c>
      <c r="B50">
        <f>'USGS DS140'!F102</f>
        <v>90355000</v>
      </c>
      <c r="C50">
        <f>'USGS DS140'!B102</f>
        <v>79266000</v>
      </c>
      <c r="F50">
        <f>E44+(E59-E44)*(A50-A44)/(A59-A44)</f>
        <v>0.90954404495040075</v>
      </c>
      <c r="G50">
        <f t="shared" si="2"/>
        <v>82181852.181493461</v>
      </c>
    </row>
    <row r="51" spans="1:7" x14ac:dyDescent="0.25">
      <c r="A51">
        <v>1997</v>
      </c>
      <c r="B51">
        <f>'USGS DS140'!F103</f>
        <v>96018000</v>
      </c>
      <c r="C51">
        <f>'USGS DS140'!B103</f>
        <v>82582000</v>
      </c>
      <c r="F51">
        <f>E44+(E59-E44)*(A51-A44)/(A59-A44)</f>
        <v>0.90780777092380316</v>
      </c>
      <c r="G51">
        <f t="shared" si="2"/>
        <v>87165886.548561737</v>
      </c>
    </row>
    <row r="52" spans="1:7" x14ac:dyDescent="0.25">
      <c r="A52">
        <v>1998</v>
      </c>
      <c r="B52">
        <f>'USGS DS140'!F104</f>
        <v>103457000</v>
      </c>
      <c r="C52">
        <f>'USGS DS140'!B104</f>
        <v>83931000</v>
      </c>
      <c r="F52">
        <f>E44+(E59-E44)*(A52-A44)/(A59-A44)</f>
        <v>0.90607149689720545</v>
      </c>
      <c r="G52">
        <f t="shared" si="2"/>
        <v>93739438.854494184</v>
      </c>
    </row>
    <row r="53" spans="1:7" x14ac:dyDescent="0.25">
      <c r="A53">
        <v>1999</v>
      </c>
      <c r="B53">
        <f>'USGS DS140'!F105</f>
        <v>108862000</v>
      </c>
      <c r="C53">
        <f>'USGS DS140'!B105</f>
        <v>85952000</v>
      </c>
      <c r="F53">
        <f>E44+(E59-E44)*(A53-A44)/(A59-A44)</f>
        <v>0.90433522287060786</v>
      </c>
      <c r="G53">
        <f t="shared" si="2"/>
        <v>98447741.032140106</v>
      </c>
    </row>
    <row r="54" spans="1:7" x14ac:dyDescent="0.25">
      <c r="A54">
        <v>2000</v>
      </c>
      <c r="B54">
        <f>'USGS DS140'!F106</f>
        <v>110470000</v>
      </c>
      <c r="C54">
        <f>'USGS DS140'!B106</f>
        <v>87846000</v>
      </c>
      <c r="F54">
        <f>E44+(E59-E44)*(A54-A44)/(A59-A44)</f>
        <v>0.90259894884401026</v>
      </c>
      <c r="G54">
        <f t="shared" si="2"/>
        <v>99710105.878797814</v>
      </c>
    </row>
    <row r="55" spans="1:7" x14ac:dyDescent="0.25">
      <c r="A55">
        <v>2001</v>
      </c>
      <c r="B55">
        <f>'USGS DS140'!F107</f>
        <v>112800000</v>
      </c>
      <c r="C55">
        <f>'USGS DS140'!B107</f>
        <v>88900000</v>
      </c>
      <c r="F55">
        <f>E44+(E59-E44)*(A55-A44)/(A59-A44)</f>
        <v>0.90086267481741256</v>
      </c>
      <c r="G55">
        <f t="shared" si="2"/>
        <v>101617309.71940413</v>
      </c>
    </row>
    <row r="56" spans="1:7" x14ac:dyDescent="0.25">
      <c r="A56">
        <v>2002</v>
      </c>
      <c r="B56">
        <f>'USGS DS140'!F108</f>
        <v>110020000</v>
      </c>
      <c r="C56">
        <f>'USGS DS140'!B108</f>
        <v>89732000</v>
      </c>
      <c r="F56">
        <f>E44+(E59-E44)*(A56-A44)/(A59-A44)</f>
        <v>0.89912640079081496</v>
      </c>
      <c r="G56">
        <f t="shared" si="2"/>
        <v>98921886.615005463</v>
      </c>
    </row>
    <row r="57" spans="1:7" x14ac:dyDescent="0.25">
      <c r="A57">
        <v>2003</v>
      </c>
      <c r="B57">
        <f>'USGS DS140'!F109</f>
        <v>114090000</v>
      </c>
      <c r="C57">
        <f>'USGS DS140'!B109</f>
        <v>92843000</v>
      </c>
      <c r="F57">
        <f>E44+(E59-E44)*(A57-A44)/(A59-A44)</f>
        <v>0.89739012676421737</v>
      </c>
      <c r="G57">
        <f t="shared" si="2"/>
        <v>102383239.56252956</v>
      </c>
    </row>
    <row r="58" spans="1:7" x14ac:dyDescent="0.25">
      <c r="A58">
        <v>2004</v>
      </c>
      <c r="B58">
        <f>'USGS DS140'!F110</f>
        <v>121980000</v>
      </c>
      <c r="C58">
        <f>'USGS DS140'!B110</f>
        <v>97434000</v>
      </c>
      <c r="F58">
        <f>E44+(E59-E44)*(A58-A44)/(A59-A44)</f>
        <v>0.89565385273761966</v>
      </c>
      <c r="G58">
        <f t="shared" si="2"/>
        <v>109251856.95693484</v>
      </c>
    </row>
    <row r="59" spans="1:7" x14ac:dyDescent="0.25">
      <c r="A59">
        <v>2005</v>
      </c>
      <c r="B59">
        <f>'USGS DS140'!F111</f>
        <v>128250000</v>
      </c>
      <c r="C59">
        <f>'USGS DS140'!B111</f>
        <v>99319000</v>
      </c>
      <c r="D59">
        <f>'EPA GHGI clinker'!B4*1000</f>
        <v>88783000</v>
      </c>
      <c r="E59">
        <f>D59/C59</f>
        <v>0.89391757871102207</v>
      </c>
      <c r="F59">
        <f>E59</f>
        <v>0.89391757871102207</v>
      </c>
      <c r="G59">
        <f t="shared" si="2"/>
        <v>114644929.46968858</v>
      </c>
    </row>
    <row r="60" spans="1:7" x14ac:dyDescent="0.25">
      <c r="A60">
        <v>2006</v>
      </c>
      <c r="B60">
        <f>'USGS DS140'!F112</f>
        <v>127660000</v>
      </c>
      <c r="C60">
        <f>'USGS DS140'!B112</f>
        <v>98167000</v>
      </c>
      <c r="F60">
        <f>E59+(E72-E59)*(A60-A59)/(A72-A59)</f>
        <v>0.89183916097541638</v>
      </c>
      <c r="G60">
        <f t="shared" si="2"/>
        <v>113852187.29012166</v>
      </c>
    </row>
    <row r="61" spans="1:7" x14ac:dyDescent="0.25">
      <c r="A61">
        <v>2007</v>
      </c>
      <c r="B61">
        <f>'USGS DS140'!F113</f>
        <v>116550000</v>
      </c>
      <c r="C61">
        <f>'USGS DS140'!B113</f>
        <v>95464000</v>
      </c>
      <c r="F61">
        <f>E59+(E72-E59)*(A61-A59)/(A72-A59)</f>
        <v>0.88976074323981069</v>
      </c>
      <c r="G61">
        <f t="shared" si="2"/>
        <v>103701614.62459993</v>
      </c>
    </row>
    <row r="62" spans="1:7" x14ac:dyDescent="0.25">
      <c r="A62">
        <v>2008</v>
      </c>
      <c r="B62">
        <f>'USGS DS140'!F114</f>
        <v>96760000</v>
      </c>
      <c r="C62">
        <f>'USGS DS140'!B114</f>
        <v>86310000</v>
      </c>
      <c r="F62">
        <f>E59+(E72-E59)*(A62-A59)/(A72-A59)</f>
        <v>0.88768232550420501</v>
      </c>
      <c r="G62">
        <f t="shared" si="2"/>
        <v>85892141.815786883</v>
      </c>
    </row>
    <row r="63" spans="1:7" x14ac:dyDescent="0.25">
      <c r="A63">
        <v>2009</v>
      </c>
      <c r="B63">
        <f>'USGS DS140'!F115</f>
        <v>71540000</v>
      </c>
      <c r="C63">
        <f>'USGS DS140'!B115</f>
        <v>63929000</v>
      </c>
      <c r="F63">
        <f>E59+(E72-E59)*(A63-A59)/(A72-A59)</f>
        <v>0.88560390776859932</v>
      </c>
      <c r="G63">
        <f t="shared" si="2"/>
        <v>63356103.561765596</v>
      </c>
    </row>
    <row r="64" spans="1:7" x14ac:dyDescent="0.25">
      <c r="A64">
        <v>2010</v>
      </c>
      <c r="B64">
        <f>'USGS DS140'!F116</f>
        <v>71180000</v>
      </c>
      <c r="C64">
        <f>'USGS DS140'!B116</f>
        <v>66447000</v>
      </c>
      <c r="F64">
        <f>E59+(E72-E59)*(A64-A59)/(A72-A59)</f>
        <v>0.88352549003299363</v>
      </c>
      <c r="G64">
        <f t="shared" si="2"/>
        <v>62889344.380548485</v>
      </c>
    </row>
    <row r="65" spans="1:7" x14ac:dyDescent="0.25">
      <c r="A65">
        <v>2011</v>
      </c>
      <c r="B65">
        <f>'USGS DS140'!F117</f>
        <v>72200000</v>
      </c>
      <c r="C65">
        <f>'USGS DS140'!B117</f>
        <v>67895000</v>
      </c>
      <c r="F65">
        <f>E59+(E72-E59)*(A65-A59)/(A72-A59)</f>
        <v>0.88144707229738795</v>
      </c>
      <c r="G65">
        <f t="shared" si="2"/>
        <v>63640478.619871408</v>
      </c>
    </row>
    <row r="66" spans="1:7" x14ac:dyDescent="0.25">
      <c r="A66">
        <v>2012</v>
      </c>
      <c r="B66">
        <f>'USGS DS140'!F118</f>
        <v>77880000</v>
      </c>
      <c r="C66">
        <f>'USGS DS140'!B118</f>
        <v>74151000</v>
      </c>
      <c r="F66">
        <f>E59+(E72-E59)*(A66-A59)/(A72-A59)</f>
        <v>0.87936865456178226</v>
      </c>
      <c r="G66">
        <f t="shared" si="2"/>
        <v>68485230.817271605</v>
      </c>
    </row>
    <row r="67" spans="1:7" x14ac:dyDescent="0.25">
      <c r="A67">
        <v>2013</v>
      </c>
      <c r="B67">
        <f>'USGS DS140'!F119</f>
        <v>81750000</v>
      </c>
      <c r="C67">
        <f>'USGS DS140'!B119</f>
        <v>76804000</v>
      </c>
      <c r="F67">
        <f>E59+(E72-E59)*(A67-A59)/(A72-A59)</f>
        <v>0.87729023682617657</v>
      </c>
      <c r="G67">
        <f t="shared" si="2"/>
        <v>71718476.860539928</v>
      </c>
    </row>
    <row r="68" spans="1:7" x14ac:dyDescent="0.25">
      <c r="A68">
        <v>2014</v>
      </c>
      <c r="B68">
        <f>'USGS DS140'!F120</f>
        <v>89220000</v>
      </c>
      <c r="C68">
        <f>'USGS DS140'!B120</f>
        <v>82535000</v>
      </c>
      <c r="F68">
        <f>E59+(E72-E59)*(A68-A59)/(A72-A59)</f>
        <v>0.87521181909057089</v>
      </c>
      <c r="G68">
        <f t="shared" ref="G68:G99" si="3">B68*F68</f>
        <v>78086398.499260738</v>
      </c>
    </row>
    <row r="69" spans="1:7" x14ac:dyDescent="0.25">
      <c r="A69">
        <v>2015</v>
      </c>
      <c r="B69">
        <f>'USGS DS140'!F121</f>
        <v>92150000</v>
      </c>
      <c r="C69">
        <f>'USGS DS140'!B121</f>
        <v>84405000</v>
      </c>
      <c r="F69">
        <f>E59+(E72-E59)*(A69-A59)/(A72-A59)</f>
        <v>0.8731334013549652</v>
      </c>
      <c r="G69">
        <f t="shared" si="3"/>
        <v>80459242.934860036</v>
      </c>
    </row>
    <row r="70" spans="1:7" x14ac:dyDescent="0.25">
      <c r="A70">
        <v>2016</v>
      </c>
      <c r="B70">
        <f>'USGS DS140'!F122</f>
        <v>95150000</v>
      </c>
      <c r="C70">
        <f>'USGS DS140'!B122</f>
        <v>84695000</v>
      </c>
      <c r="F70">
        <f>E59+(E72-E59)*(A70-A59)/(A72-A59)</f>
        <v>0.87105498361935951</v>
      </c>
      <c r="G70">
        <f t="shared" si="3"/>
        <v>82880881.691382051</v>
      </c>
    </row>
    <row r="71" spans="1:7" x14ac:dyDescent="0.25">
      <c r="A71">
        <v>2017</v>
      </c>
      <c r="B71">
        <f>'USGS DS140'!F123</f>
        <v>97160000</v>
      </c>
      <c r="C71">
        <f>'USGS DS140'!B123</f>
        <v>86356000</v>
      </c>
      <c r="F71">
        <f>E59+(E72-E59)*(A71-A59)/(A72-A59)</f>
        <v>0.86897656588375383</v>
      </c>
      <c r="G71">
        <f t="shared" si="3"/>
        <v>84429763.141265526</v>
      </c>
    </row>
    <row r="72" spans="1:7" x14ac:dyDescent="0.25">
      <c r="A72">
        <v>2018</v>
      </c>
      <c r="B72">
        <f>'USGS DS140'!F124</f>
        <v>98500000</v>
      </c>
      <c r="C72">
        <f>'USGS DS140'!B124</f>
        <v>86400000</v>
      </c>
      <c r="D72">
        <f>'EPA GHGI clinker'!B5*1000</f>
        <v>74900000</v>
      </c>
      <c r="E72">
        <f t="shared" ref="E72:E78" si="4">D72/C72</f>
        <v>0.86689814814814814</v>
      </c>
      <c r="F72">
        <f t="shared" ref="F72:F78" si="5">E72</f>
        <v>0.86689814814814814</v>
      </c>
      <c r="G72">
        <f t="shared" si="3"/>
        <v>85389467.592592597</v>
      </c>
    </row>
    <row r="73" spans="1:7" x14ac:dyDescent="0.25">
      <c r="A73">
        <v>2019</v>
      </c>
      <c r="B73">
        <f>'USGS DS140'!F125</f>
        <v>102000000</v>
      </c>
      <c r="C73">
        <f>'USGS DS140'!B125</f>
        <v>87600000</v>
      </c>
      <c r="D73">
        <f>'EPA GHGI clinker'!B6*1000</f>
        <v>78600000</v>
      </c>
      <c r="E73">
        <f t="shared" si="4"/>
        <v>0.89726027397260277</v>
      </c>
      <c r="F73">
        <f t="shared" si="5"/>
        <v>0.89726027397260277</v>
      </c>
      <c r="G73">
        <f t="shared" si="3"/>
        <v>91520547.94520548</v>
      </c>
    </row>
    <row r="74" spans="1:7" x14ac:dyDescent="0.25">
      <c r="A74">
        <v>2020</v>
      </c>
      <c r="B74">
        <f>'USGS DS140'!F126</f>
        <v>105000000</v>
      </c>
      <c r="C74">
        <f>'USGS DS140'!B126</f>
        <v>89300000</v>
      </c>
      <c r="D74">
        <f>'EPA GHGI clinker'!B7*1000</f>
        <v>78200000</v>
      </c>
      <c r="E74">
        <f t="shared" si="4"/>
        <v>0.87569988801791709</v>
      </c>
      <c r="F74">
        <f t="shared" si="5"/>
        <v>0.87569988801791709</v>
      </c>
      <c r="G74">
        <f t="shared" si="3"/>
        <v>91948488.241881296</v>
      </c>
    </row>
    <row r="75" spans="1:7" x14ac:dyDescent="0.25">
      <c r="A75">
        <v>2021</v>
      </c>
      <c r="B75">
        <f>'USGS DS140'!F127</f>
        <v>111000000</v>
      </c>
      <c r="C75">
        <f>'USGS MCS 2026'!B3*1000</f>
        <v>91000000</v>
      </c>
      <c r="D75">
        <f>'USGS MCS 2026'!B4*1000</f>
        <v>79616000</v>
      </c>
      <c r="E75">
        <f t="shared" si="4"/>
        <v>0.87490109890109891</v>
      </c>
      <c r="F75">
        <f t="shared" si="5"/>
        <v>0.87490109890109891</v>
      </c>
      <c r="G75">
        <f t="shared" si="3"/>
        <v>97114021.978021979</v>
      </c>
    </row>
    <row r="76" spans="1:7" x14ac:dyDescent="0.25">
      <c r="A76">
        <v>2022</v>
      </c>
      <c r="B76">
        <f>'USGS MCS 2026'!C9*1000</f>
        <v>114000000</v>
      </c>
      <c r="C76">
        <f>'USGS MCS 2026'!C3*1000</f>
        <v>91200000</v>
      </c>
      <c r="D76">
        <f>'USGS MCS 2026'!C4*1000</f>
        <v>79489000</v>
      </c>
      <c r="E76">
        <f t="shared" si="4"/>
        <v>0.87158991228070171</v>
      </c>
      <c r="F76">
        <f t="shared" si="5"/>
        <v>0.87158991228070171</v>
      </c>
      <c r="G76">
        <f t="shared" si="3"/>
        <v>99361250</v>
      </c>
    </row>
    <row r="77" spans="1:7" x14ac:dyDescent="0.25">
      <c r="A77">
        <v>2023</v>
      </c>
      <c r="B77">
        <f>'USGS MCS 2026'!D9*1000</f>
        <v>113000000</v>
      </c>
      <c r="C77">
        <f>'USGS MCS 2026'!D3*1000</f>
        <v>89700000</v>
      </c>
      <c r="D77">
        <f>'USGS MCS 2026'!D4*1000</f>
        <v>76789000</v>
      </c>
      <c r="E77">
        <f t="shared" si="4"/>
        <v>0.85606465997770342</v>
      </c>
      <c r="F77">
        <f t="shared" si="5"/>
        <v>0.85606465997770342</v>
      </c>
      <c r="G77">
        <f t="shared" si="3"/>
        <v>96735306.57748048</v>
      </c>
    </row>
    <row r="78" spans="1:7" x14ac:dyDescent="0.25">
      <c r="A78">
        <v>2024</v>
      </c>
      <c r="B78">
        <f>'USGS MCS 2026'!E9*1000</f>
        <v>110000000</v>
      </c>
      <c r="C78">
        <f>'USGS MCS 2026'!E3*1000</f>
        <v>85000000</v>
      </c>
      <c r="D78">
        <f>'USGS MCS 2026'!E4*1000</f>
        <v>72000000</v>
      </c>
      <c r="E78">
        <f t="shared" si="4"/>
        <v>0.84705882352941175</v>
      </c>
      <c r="F78">
        <f t="shared" si="5"/>
        <v>0.84705882352941175</v>
      </c>
      <c r="G78">
        <f t="shared" si="3"/>
        <v>93176470.588235289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5" x14ac:dyDescent="0.25"/>
  <cols>
    <col min="1" max="1" width="70" customWidth="1"/>
  </cols>
  <sheetData>
    <row r="1" spans="1:2" x14ac:dyDescent="0.25">
      <c r="A1" t="s">
        <v>63</v>
      </c>
      <c r="B1">
        <f>IF(OR(MIN(Calculation!F4:F78)&lt;0.75,MAX(Calculation!F4:F78)&gt;1),1,0)</f>
        <v>0</v>
      </c>
    </row>
    <row r="2" spans="1:2" x14ac:dyDescent="0.25">
      <c r="A2" t="s">
        <v>64</v>
      </c>
      <c r="B2">
        <f>IF(COUNT(Calculation!B4:B78)&lt;75,1,0)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B102"/>
  <sheetViews>
    <sheetView workbookViewId="0"/>
  </sheetViews>
  <sheetFormatPr defaultRowHeight="15" x14ac:dyDescent="0.25"/>
  <sheetData>
    <row r="1" spans="1:2" x14ac:dyDescent="0.25">
      <c r="A1" t="s">
        <v>65</v>
      </c>
      <c r="B1" t="s">
        <v>66</v>
      </c>
    </row>
    <row r="2" spans="1:2" x14ac:dyDescent="0.25">
      <c r="A2" t="s">
        <v>67</v>
      </c>
      <c r="B2">
        <f>IF(1950&lt;Parameters!$B$1,Calculation!G4,0)</f>
        <v>37618153.429396458</v>
      </c>
    </row>
    <row r="3" spans="1:2" x14ac:dyDescent="0.25">
      <c r="A3" t="s">
        <v>68</v>
      </c>
      <c r="B3">
        <f>IF(1951&lt;Parameters!$B$1,Calculation!G5,0)</f>
        <v>39277764.316550873</v>
      </c>
    </row>
    <row r="4" spans="1:2" x14ac:dyDescent="0.25">
      <c r="A4" t="s">
        <v>69</v>
      </c>
      <c r="B4">
        <f>IF(1952&lt;Parameters!$B$1,Calculation!G6,0)</f>
        <v>40786501.486691251</v>
      </c>
    </row>
    <row r="5" spans="1:2" x14ac:dyDescent="0.25">
      <c r="A5" t="s">
        <v>70</v>
      </c>
      <c r="B5">
        <f>IF(1953&lt;Parameters!$B$1,Calculation!G7,0)</f>
        <v>42361475.898447551</v>
      </c>
    </row>
    <row r="6" spans="1:2" x14ac:dyDescent="0.25">
      <c r="A6" t="s">
        <v>71</v>
      </c>
      <c r="B6">
        <f>IF(1954&lt;Parameters!$B$1,Calculation!G8,0)</f>
        <v>44983366.712411009</v>
      </c>
    </row>
    <row r="7" spans="1:2" x14ac:dyDescent="0.25">
      <c r="A7" t="s">
        <v>72</v>
      </c>
      <c r="B7">
        <f>IF(1955&lt;Parameters!$B$1,Calculation!G9,0)</f>
        <v>49299826.957715072</v>
      </c>
    </row>
    <row r="8" spans="1:2" x14ac:dyDescent="0.25">
      <c r="A8" t="s">
        <v>73</v>
      </c>
      <c r="B8">
        <f>IF(1956&lt;Parameters!$B$1,Calculation!G10,0)</f>
        <v>50804884.281099007</v>
      </c>
    </row>
    <row r="9" spans="1:2" x14ac:dyDescent="0.25">
      <c r="A9" t="s">
        <v>74</v>
      </c>
      <c r="B9">
        <f>IF(1957&lt;Parameters!$B$1,Calculation!G11,0)</f>
        <v>47504981.702261485</v>
      </c>
    </row>
    <row r="10" spans="1:2" x14ac:dyDescent="0.25">
      <c r="A10" t="s">
        <v>75</v>
      </c>
      <c r="B10">
        <f>IF(1958&lt;Parameters!$B$1,Calculation!G12,0)</f>
        <v>50176550.447436884</v>
      </c>
    </row>
    <row r="11" spans="1:2" x14ac:dyDescent="0.25">
      <c r="A11" t="s">
        <v>76</v>
      </c>
      <c r="B11">
        <f>IF(1959&lt;Parameters!$B$1,Calculation!G13,0)</f>
        <v>55104785.215999082</v>
      </c>
    </row>
    <row r="12" spans="1:2" x14ac:dyDescent="0.25">
      <c r="A12" t="s">
        <v>77</v>
      </c>
      <c r="B12">
        <f>IF(1960&lt;Parameters!$B$1,Calculation!G14,0)</f>
        <v>51081792.749521114</v>
      </c>
    </row>
    <row r="13" spans="1:2" x14ac:dyDescent="0.25">
      <c r="A13" t="s">
        <v>78</v>
      </c>
      <c r="B13">
        <f>IF(1961&lt;Parameters!$B$1,Calculation!G15,0)</f>
        <v>52277742.945364095</v>
      </c>
    </row>
    <row r="14" spans="1:2" x14ac:dyDescent="0.25">
      <c r="A14" t="s">
        <v>79</v>
      </c>
      <c r="B14">
        <f>IF(1962&lt;Parameters!$B$1,Calculation!G16,0)</f>
        <v>54262100.308774337</v>
      </c>
    </row>
    <row r="15" spans="1:2" x14ac:dyDescent="0.25">
      <c r="A15" t="s">
        <v>80</v>
      </c>
      <c r="B15">
        <f>IF(1963&lt;Parameters!$B$1,Calculation!G17,0)</f>
        <v>58553721.588472426</v>
      </c>
    </row>
    <row r="16" spans="1:2" x14ac:dyDescent="0.25">
      <c r="A16" t="s">
        <v>81</v>
      </c>
      <c r="B16">
        <f>IF(1964&lt;Parameters!$B$1,Calculation!G18,0)</f>
        <v>60854545.772936501</v>
      </c>
    </row>
    <row r="17" spans="1:2" x14ac:dyDescent="0.25">
      <c r="A17" t="s">
        <v>82</v>
      </c>
      <c r="B17">
        <f>IF(1965&lt;Parameters!$B$1,Calculation!G19,0)</f>
        <v>62179290.605254881</v>
      </c>
    </row>
    <row r="18" spans="1:2" x14ac:dyDescent="0.25">
      <c r="A18" t="s">
        <v>83</v>
      </c>
      <c r="B18">
        <f>IF(1966&lt;Parameters!$B$1,Calculation!G20,0)</f>
        <v>63008176.087142982</v>
      </c>
    </row>
    <row r="19" spans="1:2" x14ac:dyDescent="0.25">
      <c r="A19" t="s">
        <v>84</v>
      </c>
      <c r="B19">
        <f>IF(1967&lt;Parameters!$B$1,Calculation!G21,0)</f>
        <v>62059695.585670583</v>
      </c>
    </row>
    <row r="20" spans="1:2" x14ac:dyDescent="0.25">
      <c r="A20" t="s">
        <v>85</v>
      </c>
      <c r="B20">
        <f>IF(1968&lt;Parameters!$B$1,Calculation!G22,0)</f>
        <v>65519671.498413242</v>
      </c>
    </row>
    <row r="21" spans="1:2" x14ac:dyDescent="0.25">
      <c r="A21" t="s">
        <v>86</v>
      </c>
      <c r="B21">
        <f>IF(1969&lt;Parameters!$B$1,Calculation!G23,0)</f>
        <v>65410196.057409152</v>
      </c>
    </row>
    <row r="22" spans="1:2" x14ac:dyDescent="0.25">
      <c r="A22" t="s">
        <v>87</v>
      </c>
      <c r="B22">
        <f>IF(1970&lt;Parameters!$B$1,Calculation!G24,0)</f>
        <v>62075334.934385449</v>
      </c>
    </row>
    <row r="23" spans="1:2" x14ac:dyDescent="0.25">
      <c r="A23" t="s">
        <v>88</v>
      </c>
      <c r="B23">
        <f>IF(1971&lt;Parameters!$B$1,Calculation!G25,0)</f>
        <v>67011849.35814964</v>
      </c>
    </row>
    <row r="24" spans="1:2" x14ac:dyDescent="0.25">
      <c r="A24" t="s">
        <v>89</v>
      </c>
      <c r="B24">
        <f>IF(1972&lt;Parameters!$B$1,Calculation!G26,0)</f>
        <v>70623618.949595451</v>
      </c>
    </row>
    <row r="25" spans="1:2" x14ac:dyDescent="0.25">
      <c r="A25" t="s">
        <v>90</v>
      </c>
      <c r="B25">
        <f>IF(1973&lt;Parameters!$B$1,Calculation!G27,0)</f>
        <v>75382580.767361403</v>
      </c>
    </row>
    <row r="26" spans="1:2" x14ac:dyDescent="0.25">
      <c r="A26" t="s">
        <v>91</v>
      </c>
      <c r="B26">
        <f>IF(1974&lt;Parameters!$B$1,Calculation!G28,0)</f>
        <v>68853612.659747839</v>
      </c>
    </row>
    <row r="27" spans="1:2" x14ac:dyDescent="0.25">
      <c r="A27" t="s">
        <v>92</v>
      </c>
      <c r="B27">
        <f>IF(1975&lt;Parameters!$B$1,Calculation!G29,0)</f>
        <v>58516923.120908022</v>
      </c>
    </row>
    <row r="28" spans="1:2" x14ac:dyDescent="0.25">
      <c r="A28" t="s">
        <v>93</v>
      </c>
      <c r="B28">
        <f>IF(1976&lt;Parameters!$B$1,Calculation!G30,0)</f>
        <v>62105693.670126081</v>
      </c>
    </row>
    <row r="29" spans="1:2" x14ac:dyDescent="0.25">
      <c r="A29" t="s">
        <v>94</v>
      </c>
      <c r="B29">
        <f>IF(1977&lt;Parameters!$B$1,Calculation!G31,0)</f>
        <v>67550026.946278989</v>
      </c>
    </row>
    <row r="30" spans="1:2" x14ac:dyDescent="0.25">
      <c r="A30" t="s">
        <v>95</v>
      </c>
      <c r="B30">
        <f>IF(1978&lt;Parameters!$B$1,Calculation!G32,0)</f>
        <v>72941922.406152606</v>
      </c>
    </row>
    <row r="31" spans="1:2" x14ac:dyDescent="0.25">
      <c r="A31" t="s">
        <v>96</v>
      </c>
      <c r="B31">
        <f>IF(1979&lt;Parameters!$B$1,Calculation!G33,0)</f>
        <v>72643854.818880975</v>
      </c>
    </row>
    <row r="32" spans="1:2" x14ac:dyDescent="0.25">
      <c r="A32" t="s">
        <v>97</v>
      </c>
      <c r="B32">
        <f>IF(1980&lt;Parameters!$B$1,Calculation!G34,0)</f>
        <v>64556471.609915085</v>
      </c>
    </row>
    <row r="33" spans="1:2" x14ac:dyDescent="0.25">
      <c r="A33" t="s">
        <v>98</v>
      </c>
      <c r="B33">
        <f>IF(1981&lt;Parameters!$B$1,Calculation!G35,0)</f>
        <v>60802107.956657231</v>
      </c>
    </row>
    <row r="34" spans="1:2" x14ac:dyDescent="0.25">
      <c r="A34" t="s">
        <v>99</v>
      </c>
      <c r="B34">
        <f>IF(1982&lt;Parameters!$B$1,Calculation!G36,0)</f>
        <v>54803957.743660122</v>
      </c>
    </row>
    <row r="35" spans="1:2" x14ac:dyDescent="0.25">
      <c r="A35" t="s">
        <v>100</v>
      </c>
      <c r="B35">
        <f>IF(1983&lt;Parameters!$B$1,Calculation!G37,0)</f>
        <v>60568437.687623292</v>
      </c>
    </row>
    <row r="36" spans="1:2" x14ac:dyDescent="0.25">
      <c r="A36" t="s">
        <v>101</v>
      </c>
      <c r="B36">
        <f>IF(1984&lt;Parameters!$B$1,Calculation!G38,0)</f>
        <v>70088201.246533439</v>
      </c>
    </row>
    <row r="37" spans="1:2" x14ac:dyDescent="0.25">
      <c r="A37" t="s">
        <v>102</v>
      </c>
      <c r="B37">
        <f>IF(1985&lt;Parameters!$B$1,Calculation!G39,0)</f>
        <v>72526099.722674906</v>
      </c>
    </row>
    <row r="38" spans="1:2" x14ac:dyDescent="0.25">
      <c r="A38" t="s">
        <v>103</v>
      </c>
      <c r="B38">
        <f>IF(1986&lt;Parameters!$B$1,Calculation!G40,0)</f>
        <v>76206866.44080396</v>
      </c>
    </row>
    <row r="39" spans="1:2" x14ac:dyDescent="0.25">
      <c r="A39" t="s">
        <v>104</v>
      </c>
      <c r="B39">
        <f>IF(1987&lt;Parameters!$B$1,Calculation!G41,0)</f>
        <v>77464454.069817305</v>
      </c>
    </row>
    <row r="40" spans="1:2" x14ac:dyDescent="0.25">
      <c r="A40" t="s">
        <v>105</v>
      </c>
      <c r="B40">
        <f>IF(1988&lt;Parameters!$B$1,Calculation!G42,0)</f>
        <v>77139707.593561485</v>
      </c>
    </row>
    <row r="41" spans="1:2" x14ac:dyDescent="0.25">
      <c r="A41" t="s">
        <v>106</v>
      </c>
      <c r="B41">
        <f>IF(1989&lt;Parameters!$B$1,Calculation!G43,0)</f>
        <v>75817722.646310434</v>
      </c>
    </row>
    <row r="42" spans="1:2" x14ac:dyDescent="0.25">
      <c r="A42" t="s">
        <v>107</v>
      </c>
      <c r="B42">
        <f>IF(1990&lt;Parameters!$B$1,Calculation!G44,0)</f>
        <v>74483778.197100952</v>
      </c>
    </row>
    <row r="43" spans="1:2" x14ac:dyDescent="0.25">
      <c r="A43" t="s">
        <v>108</v>
      </c>
      <c r="B43">
        <f>IF(1991&lt;Parameters!$B$1,Calculation!G45,0)</f>
        <v>65928584.80298733</v>
      </c>
    </row>
    <row r="44" spans="1:2" x14ac:dyDescent="0.25">
      <c r="A44" t="s">
        <v>109</v>
      </c>
      <c r="B44">
        <f>IF(1992&lt;Parameters!$B$1,Calculation!G46,0)</f>
        <v>69808061.385154739</v>
      </c>
    </row>
    <row r="45" spans="1:2" x14ac:dyDescent="0.25">
      <c r="A45" t="s">
        <v>110</v>
      </c>
      <c r="B45">
        <f>IF(1993&lt;Parameters!$B$1,Calculation!G47,0)</f>
        <v>72906718.25517346</v>
      </c>
    </row>
    <row r="46" spans="1:2" x14ac:dyDescent="0.25">
      <c r="A46" t="s">
        <v>111</v>
      </c>
      <c r="B46">
        <f>IF(1994&lt;Parameters!$B$1,Calculation!G48,0)</f>
        <v>78954022.896578968</v>
      </c>
    </row>
    <row r="47" spans="1:2" x14ac:dyDescent="0.25">
      <c r="A47" t="s">
        <v>112</v>
      </c>
      <c r="B47">
        <f>IF(1995&lt;Parameters!$B$1,Calculation!G49,0)</f>
        <v>78372841.272978783</v>
      </c>
    </row>
    <row r="48" spans="1:2" x14ac:dyDescent="0.25">
      <c r="A48" t="s">
        <v>113</v>
      </c>
      <c r="B48">
        <f>IF(1996&lt;Parameters!$B$1,Calculation!G50,0)</f>
        <v>82181852.181493461</v>
      </c>
    </row>
    <row r="49" spans="1:2" x14ac:dyDescent="0.25">
      <c r="A49" t="s">
        <v>114</v>
      </c>
      <c r="B49">
        <f>IF(1997&lt;Parameters!$B$1,Calculation!G51,0)</f>
        <v>87165886.548561737</v>
      </c>
    </row>
    <row r="50" spans="1:2" x14ac:dyDescent="0.25">
      <c r="A50" t="s">
        <v>115</v>
      </c>
      <c r="B50">
        <f>IF(1998&lt;Parameters!$B$1,Calculation!G52,0)</f>
        <v>93739438.854494184</v>
      </c>
    </row>
    <row r="51" spans="1:2" x14ac:dyDescent="0.25">
      <c r="A51" t="s">
        <v>116</v>
      </c>
      <c r="B51">
        <f>IF(1999&lt;Parameters!$B$1,Calculation!G53,0)</f>
        <v>98447741.032140106</v>
      </c>
    </row>
    <row r="52" spans="1:2" x14ac:dyDescent="0.25">
      <c r="A52" t="s">
        <v>117</v>
      </c>
      <c r="B52">
        <f>IF(2000&lt;Parameters!$B$1,Calculation!G54,0)</f>
        <v>99710105.878797814</v>
      </c>
    </row>
    <row r="53" spans="1:2" x14ac:dyDescent="0.25">
      <c r="A53" t="s">
        <v>118</v>
      </c>
      <c r="B53">
        <f>IF(2001&lt;Parameters!$B$1,Calculation!G55,0)</f>
        <v>101617309.71940413</v>
      </c>
    </row>
    <row r="54" spans="1:2" x14ac:dyDescent="0.25">
      <c r="A54" t="s">
        <v>119</v>
      </c>
      <c r="B54">
        <f>IF(2002&lt;Parameters!$B$1,Calculation!G56,0)</f>
        <v>98921886.615005463</v>
      </c>
    </row>
    <row r="55" spans="1:2" x14ac:dyDescent="0.25">
      <c r="A55" t="s">
        <v>120</v>
      </c>
      <c r="B55">
        <f>IF(2003&lt;Parameters!$B$1,Calculation!G57,0)</f>
        <v>102383239.56252956</v>
      </c>
    </row>
    <row r="56" spans="1:2" x14ac:dyDescent="0.25">
      <c r="A56" t="s">
        <v>121</v>
      </c>
      <c r="B56">
        <f>IF(2004&lt;Parameters!$B$1,Calculation!G58,0)</f>
        <v>109251856.95693484</v>
      </c>
    </row>
    <row r="57" spans="1:2" x14ac:dyDescent="0.25">
      <c r="A57" t="s">
        <v>122</v>
      </c>
      <c r="B57">
        <f>IF(2005&lt;Parameters!$B$1,Calculation!G59,0)</f>
        <v>114644929.46968858</v>
      </c>
    </row>
    <row r="58" spans="1:2" x14ac:dyDescent="0.25">
      <c r="A58" t="s">
        <v>123</v>
      </c>
      <c r="B58">
        <f>IF(2006&lt;Parameters!$B$1,Calculation!G60,0)</f>
        <v>113852187.29012166</v>
      </c>
    </row>
    <row r="59" spans="1:2" x14ac:dyDescent="0.25">
      <c r="A59" t="s">
        <v>124</v>
      </c>
      <c r="B59">
        <f>IF(2007&lt;Parameters!$B$1,Calculation!G61,0)</f>
        <v>103701614.62459993</v>
      </c>
    </row>
    <row r="60" spans="1:2" x14ac:dyDescent="0.25">
      <c r="A60" t="s">
        <v>125</v>
      </c>
      <c r="B60">
        <f>IF(2008&lt;Parameters!$B$1,Calculation!G62,0)</f>
        <v>85892141.815786883</v>
      </c>
    </row>
    <row r="61" spans="1:2" x14ac:dyDescent="0.25">
      <c r="A61" t="s">
        <v>126</v>
      </c>
      <c r="B61">
        <f>IF(2009&lt;Parameters!$B$1,Calculation!G63,0)</f>
        <v>63356103.561765596</v>
      </c>
    </row>
    <row r="62" spans="1:2" x14ac:dyDescent="0.25">
      <c r="A62" t="s">
        <v>127</v>
      </c>
      <c r="B62">
        <f>IF(2010&lt;Parameters!$B$1,Calculation!G64,0)</f>
        <v>62889344.380548485</v>
      </c>
    </row>
    <row r="63" spans="1:2" x14ac:dyDescent="0.25">
      <c r="A63" t="s">
        <v>128</v>
      </c>
      <c r="B63">
        <f>IF(2011&lt;Parameters!$B$1,Calculation!G65,0)</f>
        <v>63640478.619871408</v>
      </c>
    </row>
    <row r="64" spans="1:2" x14ac:dyDescent="0.25">
      <c r="A64" t="s">
        <v>129</v>
      </c>
      <c r="B64">
        <f>IF(2012&lt;Parameters!$B$1,Calculation!G66,0)</f>
        <v>68485230.817271605</v>
      </c>
    </row>
    <row r="65" spans="1:2" x14ac:dyDescent="0.25">
      <c r="A65" t="s">
        <v>130</v>
      </c>
      <c r="B65">
        <f>IF(2013&lt;Parameters!$B$1,Calculation!G67,0)</f>
        <v>71718476.860539928</v>
      </c>
    </row>
    <row r="66" spans="1:2" x14ac:dyDescent="0.25">
      <c r="A66" t="s">
        <v>131</v>
      </c>
      <c r="B66">
        <f>IF(2014&lt;Parameters!$B$1,Calculation!G68,0)</f>
        <v>78086398.499260738</v>
      </c>
    </row>
    <row r="67" spans="1:2" x14ac:dyDescent="0.25">
      <c r="A67" t="s">
        <v>132</v>
      </c>
      <c r="B67">
        <f>IF(2015&lt;Parameters!$B$1,Calculation!G69,0)</f>
        <v>80459242.934860036</v>
      </c>
    </row>
    <row r="68" spans="1:2" x14ac:dyDescent="0.25">
      <c r="A68" t="s">
        <v>133</v>
      </c>
      <c r="B68">
        <f>IF(2016&lt;Parameters!$B$1,Calculation!G70,0)</f>
        <v>82880881.691382051</v>
      </c>
    </row>
    <row r="69" spans="1:2" x14ac:dyDescent="0.25">
      <c r="A69" t="s">
        <v>134</v>
      </c>
      <c r="B69">
        <f>IF(2017&lt;Parameters!$B$1,Calculation!G71,0)</f>
        <v>84429763.141265526</v>
      </c>
    </row>
    <row r="70" spans="1:2" x14ac:dyDescent="0.25">
      <c r="A70" t="s">
        <v>135</v>
      </c>
      <c r="B70">
        <f>IF(2018&lt;Parameters!$B$1,Calculation!G72,0)</f>
        <v>85389467.592592597</v>
      </c>
    </row>
    <row r="71" spans="1:2" x14ac:dyDescent="0.25">
      <c r="A71" t="s">
        <v>136</v>
      </c>
      <c r="B71">
        <f>IF(2019&lt;Parameters!$B$1,Calculation!G73,0)</f>
        <v>91520547.94520548</v>
      </c>
    </row>
    <row r="72" spans="1:2" x14ac:dyDescent="0.25">
      <c r="A72" t="s">
        <v>137</v>
      </c>
      <c r="B72">
        <f>IF(2020&lt;Parameters!$B$1,Calculation!G74,0)</f>
        <v>91948488.241881296</v>
      </c>
    </row>
    <row r="73" spans="1:2" x14ac:dyDescent="0.25">
      <c r="A73" t="s">
        <v>138</v>
      </c>
      <c r="B73">
        <f>IF(2021&lt;Parameters!$B$1,Calculation!G75,0)</f>
        <v>97114021.978021979</v>
      </c>
    </row>
    <row r="74" spans="1:2" x14ac:dyDescent="0.25">
      <c r="A74" t="s">
        <v>139</v>
      </c>
      <c r="B74">
        <f>IF(2022&lt;Parameters!$B$1,Calculation!G76,0)</f>
        <v>99361250</v>
      </c>
    </row>
    <row r="75" spans="1:2" x14ac:dyDescent="0.25">
      <c r="A75" t="s">
        <v>140</v>
      </c>
      <c r="B75">
        <f>IF(2023&lt;Parameters!$B$1,Calculation!G77,0)</f>
        <v>96735306.57748048</v>
      </c>
    </row>
    <row r="76" spans="1:2" x14ac:dyDescent="0.25">
      <c r="A76" t="s">
        <v>141</v>
      </c>
      <c r="B76">
        <f>IF(2024&lt;Parameters!$B$1,Calculation!G78,0)</f>
        <v>93176470.588235289</v>
      </c>
    </row>
    <row r="77" spans="1:2" x14ac:dyDescent="0.25">
      <c r="A77" t="s">
        <v>142</v>
      </c>
      <c r="B77">
        <v>0</v>
      </c>
    </row>
    <row r="78" spans="1:2" x14ac:dyDescent="0.25">
      <c r="A78" t="s">
        <v>143</v>
      </c>
      <c r="B78">
        <v>0</v>
      </c>
    </row>
    <row r="79" spans="1:2" x14ac:dyDescent="0.25">
      <c r="A79" t="s">
        <v>144</v>
      </c>
      <c r="B79">
        <v>0</v>
      </c>
    </row>
    <row r="80" spans="1:2" x14ac:dyDescent="0.25">
      <c r="A80" t="s">
        <v>145</v>
      </c>
      <c r="B80">
        <v>0</v>
      </c>
    </row>
    <row r="81" spans="1:2" x14ac:dyDescent="0.25">
      <c r="A81" t="s">
        <v>146</v>
      </c>
      <c r="B81">
        <v>0</v>
      </c>
    </row>
    <row r="82" spans="1:2" x14ac:dyDescent="0.25">
      <c r="A82" t="s">
        <v>147</v>
      </c>
      <c r="B82">
        <v>0</v>
      </c>
    </row>
    <row r="83" spans="1:2" x14ac:dyDescent="0.25">
      <c r="A83" t="s">
        <v>148</v>
      </c>
      <c r="B83">
        <v>0</v>
      </c>
    </row>
    <row r="84" spans="1:2" x14ac:dyDescent="0.25">
      <c r="A84" t="s">
        <v>149</v>
      </c>
      <c r="B84">
        <v>0</v>
      </c>
    </row>
    <row r="85" spans="1:2" x14ac:dyDescent="0.25">
      <c r="A85" t="s">
        <v>150</v>
      </c>
      <c r="B85">
        <v>0</v>
      </c>
    </row>
    <row r="86" spans="1:2" x14ac:dyDescent="0.25">
      <c r="A86" t="s">
        <v>151</v>
      </c>
      <c r="B86">
        <v>0</v>
      </c>
    </row>
    <row r="87" spans="1:2" x14ac:dyDescent="0.25">
      <c r="A87" t="s">
        <v>152</v>
      </c>
      <c r="B87">
        <v>0</v>
      </c>
    </row>
    <row r="88" spans="1:2" x14ac:dyDescent="0.25">
      <c r="A88" t="s">
        <v>153</v>
      </c>
      <c r="B88">
        <v>0</v>
      </c>
    </row>
    <row r="89" spans="1:2" x14ac:dyDescent="0.25">
      <c r="A89" t="s">
        <v>154</v>
      </c>
      <c r="B89">
        <v>0</v>
      </c>
    </row>
    <row r="90" spans="1:2" x14ac:dyDescent="0.25">
      <c r="A90" t="s">
        <v>155</v>
      </c>
      <c r="B90">
        <v>0</v>
      </c>
    </row>
    <row r="91" spans="1:2" x14ac:dyDescent="0.25">
      <c r="A91" t="s">
        <v>156</v>
      </c>
      <c r="B91">
        <v>0</v>
      </c>
    </row>
    <row r="92" spans="1:2" x14ac:dyDescent="0.25">
      <c r="A92" t="s">
        <v>157</v>
      </c>
      <c r="B92">
        <v>0</v>
      </c>
    </row>
    <row r="93" spans="1:2" x14ac:dyDescent="0.25">
      <c r="A93" t="s">
        <v>158</v>
      </c>
      <c r="B93">
        <v>0</v>
      </c>
    </row>
    <row r="94" spans="1:2" x14ac:dyDescent="0.25">
      <c r="A94" t="s">
        <v>159</v>
      </c>
      <c r="B94">
        <v>0</v>
      </c>
    </row>
    <row r="95" spans="1:2" x14ac:dyDescent="0.25">
      <c r="A95" t="s">
        <v>160</v>
      </c>
      <c r="B95">
        <v>0</v>
      </c>
    </row>
    <row r="96" spans="1:2" x14ac:dyDescent="0.25">
      <c r="A96" t="s">
        <v>161</v>
      </c>
      <c r="B96">
        <v>0</v>
      </c>
    </row>
    <row r="97" spans="1:2" x14ac:dyDescent="0.25">
      <c r="A97" t="s">
        <v>162</v>
      </c>
      <c r="B97">
        <v>0</v>
      </c>
    </row>
    <row r="98" spans="1:2" x14ac:dyDescent="0.25">
      <c r="A98" t="s">
        <v>163</v>
      </c>
      <c r="B98">
        <v>0</v>
      </c>
    </row>
    <row r="99" spans="1:2" x14ac:dyDescent="0.25">
      <c r="A99" t="s">
        <v>164</v>
      </c>
      <c r="B99">
        <v>0</v>
      </c>
    </row>
    <row r="100" spans="1:2" x14ac:dyDescent="0.25">
      <c r="A100" t="s">
        <v>165</v>
      </c>
      <c r="B100">
        <v>0</v>
      </c>
    </row>
    <row r="101" spans="1:2" x14ac:dyDescent="0.25">
      <c r="A101" t="s">
        <v>166</v>
      </c>
      <c r="B101">
        <v>0</v>
      </c>
    </row>
    <row r="102" spans="1:2" x14ac:dyDescent="0.25">
      <c r="A102" t="s">
        <v>167</v>
      </c>
      <c r="B10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Parameters</vt:lpstr>
      <vt:lpstr>USGS DS140</vt:lpstr>
      <vt:lpstr>USGS MCS 2026</vt:lpstr>
      <vt:lpstr>EPA GHGI clinker</vt:lpstr>
      <vt:lpstr>Calculation</vt:lpstr>
      <vt:lpstr>Checks</vt:lpstr>
      <vt:lpstr>HCCbV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2026-10-26T17:26:14Z</dcterms:created>
  <dcterms:modified xsi:type="dcterms:W3CDTF">2026-10-26T17:26:17Z</dcterms:modified>
</cp:coreProperties>
</file>