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PL\"/>
    </mc:Choice>
  </mc:AlternateContent>
  <xr:revisionPtr revIDLastSave="0" documentId="13_ncr:1_{7594DA9D-6BBB-42DF-B920-20FBDFDE65DE}" xr6:coauthVersionLast="47" xr6:coauthVersionMax="47" xr10:uidLastSave="{00000000-0000-0000-0000-000000000000}"/>
  <bookViews>
    <workbookView xWindow="-120" yWindow="-120" windowWidth="29040" windowHeight="17520" xr2:uid="{00000000-000D-0000-FFFF-FFFF00000000}"/>
  </bookViews>
  <sheets>
    <sheet name="About" sheetId="1" r:id="rId1"/>
    <sheet name="NZA Anchor" sheetId="2" r:id="rId2"/>
    <sheet name="Derivation" sheetId="3" r:id="rId3"/>
    <sheet name="CPPL"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B6" i="3"/>
  <c r="B4" i="5" s="1"/>
  <c r="B5" i="3"/>
  <c r="B3" i="5" s="1"/>
  <c r="B4" i="3"/>
  <c r="B2" i="5" s="1"/>
</calcChain>
</file>

<file path=xl/sharedStrings.xml><?xml version="1.0" encoding="utf-8"?>
<sst xmlns="http://schemas.openxmlformats.org/spreadsheetml/2006/main" count="51" uniqueCount="46">
  <si>
    <t>CPPL Cement Pathway Campaign Length</t>
  </si>
  <si>
    <t>Sources:</t>
  </si>
  <si>
    <t>https://netzeroamerica.princeton.edu/img/Princeton_NZA_Annex_K.pdf</t>
  </si>
  <si>
    <t>Notes:</t>
  </si>
  <si>
    <t>Chosen values</t>
  </si>
  <si>
    <t>Quantity</t>
  </si>
  <si>
    <t>Value (years)</t>
  </si>
  <si>
    <t>Basis</t>
  </si>
  <si>
    <t>NZA Annex K kiln retirement age (proxy for campaign length)</t>
  </si>
  <si>
    <t>EIA IDM 30-yr assumption extended by 5 - no campaign-specific source exists</t>
  </si>
  <si>
    <t>ECRA reinvestment band (basis for chosen 25-yr mean)</t>
  </si>
  <si>
    <t>Pathway</t>
  </si>
  <si>
    <t>Campaign length (yr)</t>
  </si>
  <si>
    <t>dry kiln with precalciner</t>
  </si>
  <si>
    <t>dry kiln with CCS</t>
  </si>
  <si>
    <t>Mirrors dry kiln with precalciner</t>
  </si>
  <si>
    <t>electric kiln</t>
  </si>
  <si>
    <t>Mirrors the ECRA-informed anchor</t>
  </si>
  <si>
    <t>alternative chemistry cement</t>
  </si>
  <si>
    <t>Campaign Length</t>
  </si>
  <si>
    <t>Length of a kiln investment cycle, 25 years</t>
  </si>
  <si>
    <t>International Energy Agency (IEA)</t>
  </si>
  <si>
    <t>Aligning investment and innovation in heavy industries to accelerate the transition to net-zero emissions (commentary by Levi, Fernandez Pales, and Gul)</t>
  </si>
  <si>
    <t>https://www.iea.org/commentaries/aligning-investment-and-innovation-in-heavy-industries-to-accelerate-the-transition-to-net-zero-emissions</t>
  </si>
  <si>
    <t>The commentary's chart of typical lifetimes and investment cycles in heavy industry shows cement kilns on investment cycles of about 25 years, with plant lifetimes of about 40 years and one or two cycles most common. The 25 years we use is read from that chart. The IEA does not give a statistic for the interval between kiln overhauls specifically, so this is the closest public figure, not a direct measurement.</t>
  </si>
  <si>
    <t>Support for gradual equipment turnover</t>
  </si>
  <si>
    <t>European Cement Research Academy (ECRA) and Cement Sustainability Initiative (CSI)</t>
  </si>
  <si>
    <t>ECRA/CSI Technology Papers 2017</t>
  </si>
  <si>
    <t>(no public link)</t>
  </si>
  <si>
    <t>Page 9 gives a kiln lifetime of usually 30 to 50 years and says that after 20 or 30 years most of the original equipment has often been replaced. This supports a 25-year mean and the model's spread-out timing of decisions rather than every kiln deciding in the same year.</t>
  </si>
  <si>
    <t>Comparison value, 35 years</t>
  </si>
  <si>
    <t>Princeton University, Net-Zero America (NZA) project</t>
  </si>
  <si>
    <t>Net-Zero America, Annex K (section 6.3)</t>
  </si>
  <si>
    <t>NZA's 35-year kiln retirement age is shown on the 'NZA Anchor' tab as a comparison. It is a retirement age, not a campaign length, so it is not what this input uses. The same 35-year convention does underlie the first-decision schedule for existing kilns (the CPRS file).</t>
  </si>
  <si>
    <t>Purpose and layout</t>
  </si>
  <si>
    <t>This file gives the average number of years between decisions to overhaul or replace a cement kiln, for each production pathway. In the EPS cement module a kiln that reaches the end of a campaign either gets an overhaul (one more campaign, at the cost in the CRCC file) or is retired and replaced, depending on which is cheaper. The model spreads those decisions over time around this average, so kilns do not all decide in the same year. Kilns built during the model run, and kilns that have just been overhauled, return to the decision point one campaign later. The same number is the period over which the model spreads overhaul capital cost into a yearly charge.
The tabs run from input to output. 'NZA Anchor' holds the two reference numbers (35 and 25 years). 'Derivation' picks the value for each pathway, and the 'CPPL' tab reads from it by formula. The 'CPPL' tab is what gets exported to CPPL.csv.</t>
  </si>
  <si>
    <t>All four pathways use 25 years. The conventional kiln value comes from the IEA investment-cycle figure, backed by the ECRA/CSI statement that most original equipment is replaced after 20 to 30 years. The CCS and electric kilns copy it, since the kiln itself is the same kind of equipment. Alternative chemistry cement also uses 25 years because there is no data to justify a different figure for a pre-commercial technology.</t>
  </si>
  <si>
    <t>Weakest-sourced input in the cement module</t>
  </si>
  <si>
    <t>No public source reports a cement-kiln overhaul interval directly. The 25 years is an interpretation of investment-cycle and equipment-turnover information, not a measured campaign length, so treat it as a reasoned estimate. Because the model uses it both for the timing of decisions and for the yearly overhaul capital charge, changing it moves both together. Very short values (below about 9 to 10 years) make the model's spread-out timing unstable, so avoid sensitivity runs in that range.</t>
  </si>
  <si>
    <t>Campaign length versus asset life</t>
  </si>
  <si>
    <t>Campaign length (this file) is shorter than the economic asset life used to pay back new-build capital (the CPAL file, 35 years for most pathways). They are different ideas: a kiln normally goes through more than one campaign before it is retired. The existing-kiln decision schedule (CPRS file) follows the 35-year Net-Zero America convention for when each age group of existing kilns first faces an overhaul decision; this file sets the spacing of the decisions after that.</t>
  </si>
  <si>
    <t>IEA: cement kiln investment cycles of about 25 years; ECRA: most original equipment replaced after 20-30 years; chosen mean 25</t>
  </si>
  <si>
    <t>Chosen mean campaign length per pathway (see About notes)</t>
  </si>
  <si>
    <t>IEA investment cycle ~25 years; ECRA equipment replacement after 20-30 years; mean 25</t>
  </si>
  <si>
    <t>Same as the other pathways; no data for a pre-commercial technology</t>
  </si>
  <si>
    <t>Unit: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</si>
</sst>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netzeroamerica.princeton.edu/img/Princeton_NZA_Annex_K.pdf" TargetMode="External"/><Relationship Id="rId1" Type="http://schemas.openxmlformats.org/officeDocument/2006/relationships/hyperlink" Target="https://www.iea.org/commentaries/aligning-investment-and-innovation-in-heavy-industries-to-accelerate-the-transition-to-net-zero-emiss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20</v>
      </c>
    </row>
    <row r="4" spans="1:2" x14ac:dyDescent="0.25">
      <c r="B4" s="5" t="s">
        <v>21</v>
      </c>
    </row>
    <row r="5" spans="1:2" ht="30" x14ac:dyDescent="0.25">
      <c r="B5" s="5" t="s">
        <v>22</v>
      </c>
    </row>
    <row r="6" spans="1:2" x14ac:dyDescent="0.25">
      <c r="B6" s="5">
        <v>2020</v>
      </c>
    </row>
    <row r="7" spans="1:2" ht="30" x14ac:dyDescent="0.25">
      <c r="B7" s="6" t="s">
        <v>23</v>
      </c>
    </row>
    <row r="8" spans="1:2" ht="60" x14ac:dyDescent="0.25">
      <c r="B8" s="5" t="s">
        <v>24</v>
      </c>
    </row>
    <row r="10" spans="1:2" x14ac:dyDescent="0.25">
      <c r="B10" s="4" t="s">
        <v>25</v>
      </c>
    </row>
    <row r="11" spans="1:2" x14ac:dyDescent="0.25">
      <c r="B11" s="5" t="s">
        <v>26</v>
      </c>
    </row>
    <row r="12" spans="1:2" x14ac:dyDescent="0.25">
      <c r="B12" s="5" t="s">
        <v>27</v>
      </c>
    </row>
    <row r="13" spans="1:2" x14ac:dyDescent="0.25">
      <c r="B13" s="5">
        <v>2017</v>
      </c>
    </row>
    <row r="14" spans="1:2" x14ac:dyDescent="0.25">
      <c r="B14" s="5" t="s">
        <v>28</v>
      </c>
    </row>
    <row r="15" spans="1:2" ht="45" x14ac:dyDescent="0.25">
      <c r="B15" s="5" t="s">
        <v>29</v>
      </c>
    </row>
    <row r="17" spans="1:2" x14ac:dyDescent="0.25">
      <c r="B17" s="4" t="s">
        <v>30</v>
      </c>
    </row>
    <row r="18" spans="1:2" x14ac:dyDescent="0.25">
      <c r="B18" s="5" t="s">
        <v>31</v>
      </c>
    </row>
    <row r="19" spans="1:2" x14ac:dyDescent="0.25">
      <c r="B19" s="5" t="s">
        <v>32</v>
      </c>
    </row>
    <row r="20" spans="1:2" x14ac:dyDescent="0.25">
      <c r="B20" s="5">
        <v>2021</v>
      </c>
    </row>
    <row r="21" spans="1:2" x14ac:dyDescent="0.25">
      <c r="B21" s="6" t="s">
        <v>2</v>
      </c>
    </row>
    <row r="22" spans="1:2" ht="45" x14ac:dyDescent="0.25">
      <c r="B22" s="5" t="s">
        <v>33</v>
      </c>
    </row>
    <row r="25" spans="1:2" x14ac:dyDescent="0.25">
      <c r="A25" s="2" t="s">
        <v>3</v>
      </c>
    </row>
    <row r="26" spans="1:2" ht="135" x14ac:dyDescent="0.25">
      <c r="A26" s="2" t="s">
        <v>34</v>
      </c>
      <c r="B26" s="5" t="s">
        <v>35</v>
      </c>
    </row>
    <row r="27" spans="1:2" ht="60" x14ac:dyDescent="0.25">
      <c r="A27" s="2" t="s">
        <v>4</v>
      </c>
      <c r="B27" s="5" t="s">
        <v>36</v>
      </c>
    </row>
    <row r="28" spans="1:2" ht="75" x14ac:dyDescent="0.25">
      <c r="A28" s="2" t="s">
        <v>37</v>
      </c>
      <c r="B28" s="5" t="s">
        <v>38</v>
      </c>
    </row>
    <row r="29" spans="1:2" ht="60" x14ac:dyDescent="0.25">
      <c r="A29" s="2" t="s">
        <v>39</v>
      </c>
      <c r="B29" s="5" t="s">
        <v>40</v>
      </c>
    </row>
  </sheetData>
  <hyperlinks>
    <hyperlink ref="B7" r:id="rId1" xr:uid="{FD1ED528-5629-419F-8D95-962F7613882A}"/>
    <hyperlink ref="B21" r:id="rId2" xr:uid="{02FA8B3A-B321-4719-83A8-EE93DB81F04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
  <sheetViews>
    <sheetView workbookViewId="0">
      <pane ySplit="1" topLeftCell="A2" activePane="bottomLeft" state="frozen"/>
      <selection pane="bottomLeft"/>
    </sheetView>
  </sheetViews>
  <sheetFormatPr defaultRowHeight="15" x14ac:dyDescent="0.25"/>
  <sheetData>
    <row r="1" spans="1:3" x14ac:dyDescent="0.25">
      <c r="A1" s="1" t="s">
        <v>5</v>
      </c>
      <c r="B1" s="1" t="s">
        <v>6</v>
      </c>
      <c r="C1" s="1" t="s">
        <v>7</v>
      </c>
    </row>
    <row r="2" spans="1:3" x14ac:dyDescent="0.25">
      <c r="A2" t="s">
        <v>8</v>
      </c>
      <c r="B2">
        <v>35</v>
      </c>
      <c r="C2" t="s">
        <v>9</v>
      </c>
    </row>
    <row r="3" spans="1:3" x14ac:dyDescent="0.25">
      <c r="A3" t="s">
        <v>10</v>
      </c>
      <c r="B3">
        <v>25</v>
      </c>
      <c r="C3" t="s">
        <v>41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
  <sheetViews>
    <sheetView workbookViewId="0"/>
  </sheetViews>
  <sheetFormatPr defaultRowHeight="15" x14ac:dyDescent="0.25"/>
  <sheetData>
    <row r="1" spans="1:3" x14ac:dyDescent="0.25">
      <c r="A1" s="1" t="s">
        <v>42</v>
      </c>
    </row>
    <row r="3" spans="1:3" x14ac:dyDescent="0.25">
      <c r="A3" s="1" t="s">
        <v>11</v>
      </c>
      <c r="B3" s="1" t="s">
        <v>12</v>
      </c>
      <c r="C3" s="1" t="s">
        <v>7</v>
      </c>
    </row>
    <row r="4" spans="1:3" x14ac:dyDescent="0.25">
      <c r="A4" t="s">
        <v>13</v>
      </c>
      <c r="B4">
        <f>'NZA Anchor'!B3</f>
        <v>25</v>
      </c>
      <c r="C4" t="s">
        <v>43</v>
      </c>
    </row>
    <row r="5" spans="1:3" x14ac:dyDescent="0.25">
      <c r="A5" t="s">
        <v>14</v>
      </c>
      <c r="B5">
        <f>'NZA Anchor'!B3</f>
        <v>25</v>
      </c>
      <c r="C5" t="s">
        <v>15</v>
      </c>
    </row>
    <row r="6" spans="1:3" x14ac:dyDescent="0.25">
      <c r="A6" t="s">
        <v>16</v>
      </c>
      <c r="B6">
        <f>'NZA Anchor'!B3</f>
        <v>25</v>
      </c>
      <c r="C6" t="s">
        <v>17</v>
      </c>
    </row>
    <row r="7" spans="1:3" x14ac:dyDescent="0.25">
      <c r="A7" t="s">
        <v>18</v>
      </c>
      <c r="B7">
        <v>25</v>
      </c>
      <c r="C7" t="s">
        <v>44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5"/>
  <sheetViews>
    <sheetView workbookViewId="0"/>
  </sheetViews>
  <sheetFormatPr defaultRowHeight="15" x14ac:dyDescent="0.25"/>
  <sheetData>
    <row r="1" spans="1:2" x14ac:dyDescent="0.25">
      <c r="A1" t="s">
        <v>45</v>
      </c>
      <c r="B1" t="s">
        <v>19</v>
      </c>
    </row>
    <row r="2" spans="1:2" x14ac:dyDescent="0.25">
      <c r="A2" t="s">
        <v>13</v>
      </c>
      <c r="B2">
        <f>Derivation!B4</f>
        <v>25</v>
      </c>
    </row>
    <row r="3" spans="1:2" x14ac:dyDescent="0.25">
      <c r="A3" t="s">
        <v>14</v>
      </c>
      <c r="B3">
        <f>Derivation!B5</f>
        <v>25</v>
      </c>
    </row>
    <row r="4" spans="1:2" x14ac:dyDescent="0.25">
      <c r="A4" t="s">
        <v>16</v>
      </c>
      <c r="B4">
        <f>Derivation!B6</f>
        <v>25</v>
      </c>
    </row>
    <row r="5" spans="1:2" x14ac:dyDescent="0.25">
      <c r="A5" t="s">
        <v>18</v>
      </c>
      <c r="B5">
        <f>Derivation!B7</f>
        <v>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NZA Anchor</vt:lpstr>
      <vt:lpstr>Derivation</vt:lpstr>
      <vt:lpstr>CPPL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2026-10-05T17:22:11Z</dcterms:modified>
</cp:coreProperties>
</file>