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PPL\"/>
    </mc:Choice>
  </mc:AlternateContent>
  <xr:revisionPtr revIDLastSave="0" documentId="13_ncr:1_{7FED5A1C-1FDB-47CC-900A-4E02E6B5944E}" xr6:coauthVersionLast="47" xr6:coauthVersionMax="47" xr10:uidLastSave="{00000000-0000-0000-0000-000000000000}"/>
  <bookViews>
    <workbookView xWindow="-110" yWindow="-110" windowWidth="19420" windowHeight="11500" xr2:uid="{00000000-000D-0000-FFFF-FFFF00000000}"/>
  </bookViews>
  <sheets>
    <sheet name="About" sheetId="1" r:id="rId1"/>
    <sheet name="NZA Anchor" sheetId="2" r:id="rId2"/>
    <sheet name="Derivation" sheetId="3" r:id="rId3"/>
    <sheet name="CPPL"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5" l="1"/>
  <c r="B6" i="3"/>
  <c r="B4" i="5" s="1"/>
  <c r="B5" i="3"/>
  <c r="B3" i="5" s="1"/>
  <c r="B4" i="3"/>
  <c r="B2" i="5" s="1"/>
</calcChain>
</file>

<file path=xl/sharedStrings.xml><?xml version="1.0" encoding="utf-8"?>
<sst xmlns="http://schemas.openxmlformats.org/spreadsheetml/2006/main" count="61" uniqueCount="56">
  <si>
    <t>CPPL Cement Pathway Campaign Length</t>
  </si>
  <si>
    <t>Sources:</t>
  </si>
  <si>
    <t>https://netzeroamerica.princeton.edu/img/Princeton_NZA_Annex_K.pdf</t>
  </si>
  <si>
    <t>Notes:</t>
  </si>
  <si>
    <t>Chosen values</t>
  </si>
  <si>
    <t>Quantity</t>
  </si>
  <si>
    <t>Value (years)</t>
  </si>
  <si>
    <t>Basis</t>
  </si>
  <si>
    <t>NZA Annex K kiln retirement age (proxy for campaign length)</t>
  </si>
  <si>
    <t>EIA IDM 30-yr assumption extended by 5 - no campaign-specific source exists</t>
  </si>
  <si>
    <t>ECRA reinvestment band (basis for chosen 25-yr mean)</t>
  </si>
  <si>
    <t>Pathway</t>
  </si>
  <si>
    <t>Campaign length (yr)</t>
  </si>
  <si>
    <t>dry kiln with precalciner</t>
  </si>
  <si>
    <t>dry kiln with CCS</t>
  </si>
  <si>
    <t>Mirrors dry kiln with precalciner</t>
  </si>
  <si>
    <t>electric kiln</t>
  </si>
  <si>
    <t>Mirrors the ECRA-informed anchor</t>
  </si>
  <si>
    <t>alternative chemistry cement</t>
  </si>
  <si>
    <t>Campaign Length</t>
  </si>
  <si>
    <t>International Energy Agency (IEA)</t>
  </si>
  <si>
    <t>Support for gradual equipment turnover</t>
  </si>
  <si>
    <t>European Cement Research Academy (ECRA) and Cement Sustainability Initiative (CSI)</t>
  </si>
  <si>
    <t>Comparison value, 35 years</t>
  </si>
  <si>
    <t>Princeton University, Net-Zero America (NZA) project</t>
  </si>
  <si>
    <t>Net-Zero America, Annex K (section 6.3)</t>
  </si>
  <si>
    <t>NZA's 35-year kiln retirement age is shown on the 'NZA Anchor' tab as a comparison. It is a retirement age, not a campaign length, so it is not what this input uses. The same 35-year convention does underlie the first-decision schedule for existing kilns (the CPRS file).</t>
  </si>
  <si>
    <t>Purpose and layout</t>
  </si>
  <si>
    <t>Campaign length versus asset life</t>
  </si>
  <si>
    <t>IEA: cement kiln investment cycles of about 25 years; ECRA: most original equipment replaced after 20-30 years; chosen mean 25</t>
  </si>
  <si>
    <t>Chosen mean campaign length per pathway (see About notes)</t>
  </si>
  <si>
    <t>IEA investment cycle ~25 years; ECRA equipment replacement after 20-30 years; mean 25</t>
  </si>
  <si>
    <t>Same as the other pathways; no data for a pre-commercial technology</t>
  </si>
  <si>
    <t>Unit: years</t>
  </si>
  <si>
    <t>This file gives the average number of years between decisions to overhaul or replace a cement kiln, for each production pathway. In the EPS cement module a kiln that reaches the end of a campaign either gets an overhaul (one more campaign, at the overhaul cost in the CPCaOC file) or is retired and replaced, depending on which is cheaper. The model spreads those decisions over time around this average, so kilns do not all decide in the same year. Kilns built during the model run, and kilns that have just been overhauled, return to the decision point one campaign later. The same number is the period over which the model spreads overhaul capital cost into a yearly charge.
The tabs run from input to output. 'NZA Anchor' holds the two reference numbers (35 and 25 years). 'Derivation' picks the value for each pathway, and the 'CPPL' tab reads from it by formula. The 'CPPL' tab is what gets exported to CPPL.csv.</t>
  </si>
  <si>
    <t>Length of a kiln investment cycle</t>
  </si>
  <si>
    <t>Achieving Net Zero Heavy Industry Sectors in G7 Members</t>
  </si>
  <si>
    <t>https://iea.blob.core.windows.net/assets/c4d96342-f626-4aea-8dac-df1d1e567135/AchievingNetZeroHeavyIndustrySectorsinG7Members.pdf</t>
  </si>
  <si>
    <t>Page 37: cement kilns last about 40 years, and after about 20-25 years plants often undergo a major refurbishment. The IEA's 2020 commentary by Levi, Fernandez Pales and Gul (https://www.iea.org/commentaries/aligning-investment-and-innovation-in-heavy-industries-to-accelerate-the-transition-to-net-zero-emissions) shows the same 25-year investment cycle for cement kilns in a chart.</t>
  </si>
  <si>
    <t>Development of State of the Art Techniques in Cement Manufacturing: Trying to Look Ahead (CSI/ECRA Technology Papers 2017)</t>
  </si>
  <si>
    <t>https://archive.wbcsd.org/contentwbc/download/3604/47080/1</t>
  </si>
  <si>
    <t>Page 9: kiln lifetimes are usually 30 to 50 years, and after 20 or 30 years most of the original equipment (preheater cyclones, cooler, burner) has often been replaced. This supports a 25-year mean and the model's spread-out timing of decisions.</t>
  </si>
  <si>
    <t>Component lifetimes</t>
  </si>
  <si>
    <t>Techniques de l'Ingenieur</t>
  </si>
  <si>
    <t>Fours de cimenterie (BE8845)</t>
  </si>
  <si>
    <t>(subscription)</t>
  </si>
  <si>
    <t>Kiln shell sections last 20-30 years, and 85% of kiln tyres last 25 years. Read from an excerpt of the paywalled article.</t>
  </si>
  <si>
    <t>U.S. examples of major kiln reinvestment</t>
  </si>
  <si>
    <t>U.S. Geological Survey and company histories</t>
  </si>
  <si>
    <t>Minerals Yearbook, Cement (2000 and 2005 editions)</t>
  </si>
  <si>
    <t>https://www.usgs.gov/centers/national-minerals-information-center/cement-statistics-and-information</t>
  </si>
  <si>
    <t>Precalciner retrofits came 26 years after start-up at Kosmos (Louisville), about 29-32 years at Monarch's two Humboldt kilns, and 32 years at LaSalle; CalPortland's Rillito kiln 4 ran its original cooler for 44 years (1972-2016). Plants that reinvested are the ones recorded, which pushes these intervals up. Some build dates come from secondary sources.</t>
  </si>
  <si>
    <t>All four pathways use 25 years, with a plausible range of 20-35 and 30 as the main sensitivity. It sits inside every independent estimate: the IEA's 20-25 years to a major refurbishment, ECRA's 20-30 years for replacing most original equipment, 20-30 years for kiln shell sections and 25 for tyres. U.S. precalciner retrofits came 26-33 years after start-up, slightly longer. The CCS, electric and alternative-chemistry kilns use the same value because no data exists to justify a different one.</t>
  </si>
  <si>
    <t>How firm the value is</t>
  </si>
  <si>
    <t>No source measures the interval between repeated major overhauls directly, so the range is well supported but the exact value is not. Because the model uses this value both for the timing of decisions and for the yearly overhaul capital charge, changing it moves both together, and it also changes the mean retirement age the CRSW calibration targets (mean retirement age = campaign length / (1 - overhaul share)); re-solve CRSW after changing it. Values below about 9-10 years make the model's spread-out timing unstable, so avoid sensitivity runs in that range. The Portland Cement Association's paid Plant Information Summary (startup and modernization history by kiln) would allow a direct estimate.</t>
  </si>
  <si>
    <t>Campaign length (this file) is shorter than the economic asset life used to pay back new-build capital (the CPAL file, 30 years). They are different ideas: a kiln normally goes through more than one campaign before it is retired. The existing-kiln decision schedule (CPRS file) follows the 35-year Net-Zero America convention for when each age group of existing kilns first faces an overhaul decision; this file sets the spacing of the decisions after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</si>
</sst>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4"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usgs.gov/centers/national-minerals-information-center/cement-statistics-and-information" TargetMode="External"/><Relationship Id="rId2" Type="http://schemas.openxmlformats.org/officeDocument/2006/relationships/hyperlink" Target="https://archive.wbcsd.org/contentwbc/download/3604/47080/1" TargetMode="External"/><Relationship Id="rId1" Type="http://schemas.openxmlformats.org/officeDocument/2006/relationships/hyperlink" Target="https://iea.blob.core.windows.net/assets/c4d96342-f626-4aea-8dac-df1d1e567135/AchievingNetZeroHeavyIndustrySectorsinG7Members.pdf" TargetMode="External"/><Relationship Id="rId4" Type="http://schemas.openxmlformats.org/officeDocument/2006/relationships/hyperlink" Target="https://netzeroamerica.princeton.edu/img/Princeton_NZA_Annex_K.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workbookViewId="0"/>
  </sheetViews>
  <sheetFormatPr defaultRowHeight="14.5" x14ac:dyDescent="0.35"/>
  <cols>
    <col min="1" max="1" width="14.6328125" customWidth="1"/>
    <col min="2" max="2" width="110.6328125" customWidth="1"/>
    <col min="3" max="3" width="3.6328125" customWidth="1"/>
    <col min="4" max="4" width="9.08984375" customWidth="1"/>
  </cols>
  <sheetData>
    <row r="1" spans="1:2" x14ac:dyDescent="0.35">
      <c r="A1" s="3" t="s">
        <v>0</v>
      </c>
    </row>
    <row r="3" spans="1:2" x14ac:dyDescent="0.35">
      <c r="A3" s="2" t="s">
        <v>1</v>
      </c>
      <c r="B3" s="4" t="s">
        <v>35</v>
      </c>
    </row>
    <row r="4" spans="1:2" x14ac:dyDescent="0.35">
      <c r="B4" s="6" t="s">
        <v>20</v>
      </c>
    </row>
    <row r="5" spans="1:2" x14ac:dyDescent="0.35">
      <c r="B5" s="6" t="s">
        <v>36</v>
      </c>
    </row>
    <row r="6" spans="1:2" x14ac:dyDescent="0.35">
      <c r="B6" s="6">
        <v>2022</v>
      </c>
    </row>
    <row r="7" spans="1:2" ht="29" x14ac:dyDescent="0.35">
      <c r="B7" s="5" t="s">
        <v>37</v>
      </c>
    </row>
    <row r="8" spans="1:2" ht="58" x14ac:dyDescent="0.35">
      <c r="B8" s="6" t="s">
        <v>38</v>
      </c>
    </row>
    <row r="10" spans="1:2" x14ac:dyDescent="0.35">
      <c r="B10" s="4" t="s">
        <v>21</v>
      </c>
    </row>
    <row r="11" spans="1:2" x14ac:dyDescent="0.35">
      <c r="B11" s="6" t="s">
        <v>22</v>
      </c>
    </row>
    <row r="12" spans="1:2" x14ac:dyDescent="0.35">
      <c r="B12" s="6" t="s">
        <v>39</v>
      </c>
    </row>
    <row r="13" spans="1:2" x14ac:dyDescent="0.35">
      <c r="B13" s="6">
        <v>2017</v>
      </c>
    </row>
    <row r="14" spans="1:2" x14ac:dyDescent="0.35">
      <c r="B14" s="5" t="s">
        <v>40</v>
      </c>
    </row>
    <row r="15" spans="1:2" ht="29" x14ac:dyDescent="0.35">
      <c r="B15" s="6" t="s">
        <v>41</v>
      </c>
    </row>
    <row r="17" spans="2:2" x14ac:dyDescent="0.35">
      <c r="B17" s="4" t="s">
        <v>42</v>
      </c>
    </row>
    <row r="18" spans="2:2" x14ac:dyDescent="0.35">
      <c r="B18" s="6" t="s">
        <v>43</v>
      </c>
    </row>
    <row r="19" spans="2:2" x14ac:dyDescent="0.35">
      <c r="B19" s="6" t="s">
        <v>44</v>
      </c>
    </row>
    <row r="20" spans="2:2" x14ac:dyDescent="0.35">
      <c r="B20" s="6">
        <v>2001</v>
      </c>
    </row>
    <row r="21" spans="2:2" x14ac:dyDescent="0.35">
      <c r="B21" s="6" t="s">
        <v>45</v>
      </c>
    </row>
    <row r="22" spans="2:2" x14ac:dyDescent="0.35">
      <c r="B22" s="6" t="s">
        <v>46</v>
      </c>
    </row>
    <row r="24" spans="2:2" x14ac:dyDescent="0.35">
      <c r="B24" s="4" t="s">
        <v>47</v>
      </c>
    </row>
    <row r="25" spans="2:2" x14ac:dyDescent="0.35">
      <c r="B25" s="6" t="s">
        <v>48</v>
      </c>
    </row>
    <row r="26" spans="2:2" x14ac:dyDescent="0.35">
      <c r="B26" s="6" t="s">
        <v>49</v>
      </c>
    </row>
    <row r="27" spans="2:2" x14ac:dyDescent="0.35">
      <c r="B27" s="6">
        <v>2005</v>
      </c>
    </row>
    <row r="28" spans="2:2" x14ac:dyDescent="0.35">
      <c r="B28" s="5" t="s">
        <v>50</v>
      </c>
    </row>
    <row r="29" spans="2:2" ht="43.5" x14ac:dyDescent="0.35">
      <c r="B29" s="6" t="s">
        <v>51</v>
      </c>
    </row>
    <row r="31" spans="2:2" x14ac:dyDescent="0.35">
      <c r="B31" s="4" t="s">
        <v>23</v>
      </c>
    </row>
    <row r="32" spans="2:2" x14ac:dyDescent="0.35">
      <c r="B32" s="6" t="s">
        <v>24</v>
      </c>
    </row>
    <row r="33" spans="1:2" x14ac:dyDescent="0.35">
      <c r="B33" s="6" t="s">
        <v>25</v>
      </c>
    </row>
    <row r="34" spans="1:2" x14ac:dyDescent="0.35">
      <c r="B34" s="6">
        <v>2021</v>
      </c>
    </row>
    <row r="35" spans="1:2" x14ac:dyDescent="0.35">
      <c r="B35" s="5" t="s">
        <v>2</v>
      </c>
    </row>
    <row r="36" spans="1:2" ht="43.5" x14ac:dyDescent="0.35">
      <c r="B36" s="6" t="s">
        <v>26</v>
      </c>
    </row>
    <row r="39" spans="1:2" x14ac:dyDescent="0.35">
      <c r="A39" s="2" t="s">
        <v>3</v>
      </c>
    </row>
    <row r="40" spans="1:2" ht="130.5" x14ac:dyDescent="0.35">
      <c r="A40" s="2" t="s">
        <v>27</v>
      </c>
      <c r="B40" s="6" t="s">
        <v>34</v>
      </c>
    </row>
    <row r="41" spans="1:2" ht="58" x14ac:dyDescent="0.35">
      <c r="A41" s="2" t="s">
        <v>4</v>
      </c>
      <c r="B41" s="6" t="s">
        <v>52</v>
      </c>
    </row>
    <row r="42" spans="1:2" ht="87" x14ac:dyDescent="0.35">
      <c r="A42" s="2" t="s">
        <v>53</v>
      </c>
      <c r="B42" s="6" t="s">
        <v>54</v>
      </c>
    </row>
    <row r="43" spans="1:2" ht="58" x14ac:dyDescent="0.35">
      <c r="A43" s="2" t="s">
        <v>28</v>
      </c>
      <c r="B43" s="6" t="s">
        <v>55</v>
      </c>
    </row>
  </sheetData>
  <hyperlinks>
    <hyperlink ref="B7" r:id="rId1" xr:uid="{F01D7B55-C1BB-49D4-9284-6254FA566D01}"/>
    <hyperlink ref="B14" r:id="rId2" xr:uid="{2B0D44CA-CC3F-4C4B-874F-D52AE40983F6}"/>
    <hyperlink ref="B28" r:id="rId3" xr:uid="{CCF5216C-3F48-4CCA-AC8A-57467BCE2E9F}"/>
    <hyperlink ref="B35" r:id="rId4" xr:uid="{34206C2E-705C-4255-82D2-78D970B9F2D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workbookViewId="0">
      <pane ySplit="1" topLeftCell="A2" activePane="bottomLeft" state="frozen"/>
      <selection pane="bottomLeft"/>
    </sheetView>
  </sheetViews>
  <sheetFormatPr defaultRowHeight="14.5" x14ac:dyDescent="0.35"/>
  <sheetData>
    <row r="1" spans="1:3" x14ac:dyDescent="0.35">
      <c r="A1" s="1" t="s">
        <v>5</v>
      </c>
      <c r="B1" s="1" t="s">
        <v>6</v>
      </c>
      <c r="C1" s="1" t="s">
        <v>7</v>
      </c>
    </row>
    <row r="2" spans="1:3" x14ac:dyDescent="0.35">
      <c r="A2" t="s">
        <v>8</v>
      </c>
      <c r="B2">
        <v>35</v>
      </c>
      <c r="C2" t="s">
        <v>9</v>
      </c>
    </row>
    <row r="3" spans="1:3" x14ac:dyDescent="0.35">
      <c r="A3" t="s">
        <v>10</v>
      </c>
      <c r="B3">
        <v>25</v>
      </c>
      <c r="C3"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4.5" x14ac:dyDescent="0.35"/>
  <sheetData>
    <row r="1" spans="1:3" x14ac:dyDescent="0.35">
      <c r="A1" s="1" t="s">
        <v>30</v>
      </c>
    </row>
    <row r="3" spans="1:3" x14ac:dyDescent="0.35">
      <c r="A3" s="1" t="s">
        <v>11</v>
      </c>
      <c r="B3" s="1" t="s">
        <v>12</v>
      </c>
      <c r="C3" s="1" t="s">
        <v>7</v>
      </c>
    </row>
    <row r="4" spans="1:3" x14ac:dyDescent="0.35">
      <c r="A4" t="s">
        <v>13</v>
      </c>
      <c r="B4">
        <f>'NZA Anchor'!B3</f>
        <v>25</v>
      </c>
      <c r="C4" t="s">
        <v>31</v>
      </c>
    </row>
    <row r="5" spans="1:3" x14ac:dyDescent="0.35">
      <c r="A5" t="s">
        <v>14</v>
      </c>
      <c r="B5">
        <f>'NZA Anchor'!B3</f>
        <v>25</v>
      </c>
      <c r="C5" t="s">
        <v>15</v>
      </c>
    </row>
    <row r="6" spans="1:3" x14ac:dyDescent="0.35">
      <c r="A6" t="s">
        <v>16</v>
      </c>
      <c r="B6">
        <f>'NZA Anchor'!B3</f>
        <v>25</v>
      </c>
      <c r="C6" t="s">
        <v>17</v>
      </c>
    </row>
    <row r="7" spans="1:3" x14ac:dyDescent="0.35">
      <c r="A7" t="s">
        <v>18</v>
      </c>
      <c r="B7">
        <v>25</v>
      </c>
      <c r="C7" t="s">
        <v>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5"/>
  <sheetViews>
    <sheetView workbookViewId="0"/>
  </sheetViews>
  <sheetFormatPr defaultRowHeight="14.5" x14ac:dyDescent="0.35"/>
  <sheetData>
    <row r="1" spans="1:2" x14ac:dyDescent="0.35">
      <c r="A1" t="s">
        <v>33</v>
      </c>
      <c r="B1" t="s">
        <v>19</v>
      </c>
    </row>
    <row r="2" spans="1:2" x14ac:dyDescent="0.35">
      <c r="A2" t="s">
        <v>13</v>
      </c>
      <c r="B2">
        <f>Derivation!B4</f>
        <v>25</v>
      </c>
    </row>
    <row r="3" spans="1:2" x14ac:dyDescent="0.35">
      <c r="A3" t="s">
        <v>14</v>
      </c>
      <c r="B3">
        <f>Derivation!B5</f>
        <v>25</v>
      </c>
    </row>
    <row r="4" spans="1:2" x14ac:dyDescent="0.35">
      <c r="A4" t="s">
        <v>16</v>
      </c>
      <c r="B4">
        <f>Derivation!B6</f>
        <v>25</v>
      </c>
    </row>
    <row r="5" spans="1:2" x14ac:dyDescent="0.35">
      <c r="A5" t="s">
        <v>18</v>
      </c>
      <c r="B5">
        <f>Derivation!B7</f>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NZA Anchor</vt:lpstr>
      <vt:lpstr>Derivation</vt:lpstr>
      <vt:lpstr>CPPL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2026-08-26T11:48:09Z</dcterms:created>
  <dcterms:modified xsi:type="dcterms:W3CDTF">2026-10-09T18:12:02Z</dcterms:modified>
</cp:coreProperties>
</file>