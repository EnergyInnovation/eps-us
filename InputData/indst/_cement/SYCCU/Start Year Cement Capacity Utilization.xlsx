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SYCCU\"/>
    </mc:Choice>
  </mc:AlternateContent>
  <xr:revisionPtr revIDLastSave="0" documentId="13_ncr:1_{798DC91B-E3CF-482A-B29A-4F533CA0E4F1}" xr6:coauthVersionLast="47" xr6:coauthVersionMax="47" xr10:uidLastSave="{00000000-0000-0000-0000-000000000000}"/>
  <bookViews>
    <workbookView xWindow="-110" yWindow="-110" windowWidth="19420" windowHeight="11500" xr2:uid="{00000000-000D-0000-FFFF-FFFF00000000}"/>
  </bookViews>
  <sheets>
    <sheet name="About" sheetId="1" r:id="rId1"/>
    <sheet name="USGS Production and Capacity" sheetId="2" r:id="rId2"/>
    <sheet name="Derivation" sheetId="3" r:id="rId3"/>
    <sheet name="SYCCU"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 l="1"/>
  <c r="B3" i="3"/>
  <c r="B5" i="3" l="1"/>
  <c r="B2" i="5" s="1"/>
</calcChain>
</file>

<file path=xl/sharedStrings.xml><?xml version="1.0" encoding="utf-8"?>
<sst xmlns="http://schemas.openxmlformats.org/spreadsheetml/2006/main" count="28" uniqueCount="27">
  <si>
    <t>SYCCU Start Year Cement Capacity Utilization</t>
  </si>
  <si>
    <t>Sources:</t>
  </si>
  <si>
    <t>https://pubs.usgs.gov/periodicals/mcs2026/mcs2026-cement.pdf</t>
  </si>
  <si>
    <t>Notes:</t>
  </si>
  <si>
    <t>Quantity</t>
  </si>
  <si>
    <t>Value (Mt, 2025)</t>
  </si>
  <si>
    <t>Source</t>
  </si>
  <si>
    <t>US clinker production</t>
  </si>
  <si>
    <t>USGS MCS2026</t>
  </si>
  <si>
    <t>US clinker nameplate capacity</t>
  </si>
  <si>
    <t>Derivation of shipped SYCCU value</t>
  </si>
  <si>
    <t>2025 clinker production (Mt)</t>
  </si>
  <si>
    <t>2025 clinker nameplate capacity (Mt)</t>
  </si>
  <si>
    <t>Utilization = production / capacity</t>
  </si>
  <si>
    <t>Utilization</t>
  </si>
  <si>
    <t>Start Year Cement Capacity Utilization</t>
  </si>
  <si>
    <t>U.S. clinker production and capacity, 2025</t>
  </si>
  <si>
    <t>U.S. Geological Survey</t>
  </si>
  <si>
    <t>Mineral Commodity Summaries 2026: Cement</t>
  </si>
  <si>
    <t>2025 clinker production of 69 million metric tons and reported clinker nameplate capacity of about 100 million metric tons, on the 'USGS Production and Capacity' tab. USGS rounds capacity to the nearest million tons, and the 2025 production figure is an estimate. Portland Cement Association capacity surveys would be a useful cross-check.</t>
  </si>
  <si>
    <t>Purpose and layout</t>
  </si>
  <si>
    <t>This file gives the share of U.S. kiln capacity that was actually used to make clinker in the model's start year (2025). It is a single number with no units. In the EPS cement module it sets the utilization the model assumes when it sizes new kiln capacity to meet demand, and it translates between production and capacity when the model sets up the existing fleet and decides when new capacity is needed.
The workbook has three tabs. 'USGS Production and Capacity' holds the two source figures as published. 'Derivation' divides production by capacity. The 'SYCCU' tab reads from 'Derivation' by formula and is exported to SYCCU.csv.</t>
  </si>
  <si>
    <t>U.S. value</t>
  </si>
  <si>
    <t>0.69, which is 69 million metric tons of clinker produced divided by about 100 million metric tons of nameplate capacity (both USGS, 2025). It is held constant over the whole run. Actual utilization in the model still changes from year to year as demand rises and falls; this value is only the norm used for sizing new capacity and for the starting fleet. The model does not give different pathways different utilization.</t>
  </si>
  <si>
    <t>Uses and cautions</t>
  </si>
  <si>
    <t>The value rests on a rounded capacity figure: a capacity of 95 or 105 million metric tons instead of 100 would move it by about 0.04 either way. Use the same 2025 clinker production as the start-year production file (SYCPbP) so the two stay consistent.</t>
  </si>
  <si>
    <t>Unit: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</si>
</sst>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u/>
      <sz val="11"/>
      <color theme="10"/>
      <name val="Calibri"/>
      <family val="2"/>
      <scheme val="minor"/>
    </font>
    <font>
      <b/>
      <sz val="11"/>
      <color theme="1"/>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3" fillId="0" borderId="0" xfId="0" applyFont="1" applyAlignment="1">
      <alignment horizontal="left" vertical="top" wrapText="1"/>
    </xf>
    <xf numFmtId="0" fontId="3" fillId="0" borderId="0" xfId="0" applyFont="1" applyAlignment="1">
      <alignment horizontal="left" vertical="top"/>
    </xf>
    <xf numFmtId="0" fontId="3" fillId="2" borderId="0" xfId="0" applyFont="1" applyFill="1" applyAlignment="1">
      <alignment horizontal="left" vertical="top" wrapText="1"/>
    </xf>
    <xf numFmtId="0" fontId="0" fillId="0" borderId="0" xfId="0" applyAlignment="1">
      <alignment horizontal="left" vertical="top" wrapText="1"/>
    </xf>
    <xf numFmtId="0" fontId="4" fillId="0" borderId="0" xfId="1"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bs.usgs.gov/periodicals/mcs2026/mcs2026-cemen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workbookViewId="0"/>
  </sheetViews>
  <sheetFormatPr defaultRowHeight="14.5" x14ac:dyDescent="0.35"/>
  <cols>
    <col min="1" max="1" width="14.7265625" customWidth="1"/>
    <col min="2" max="2" width="110.7265625" customWidth="1"/>
    <col min="3" max="3" width="3.7265625" customWidth="1"/>
  </cols>
  <sheetData>
    <row r="1" spans="1:2" x14ac:dyDescent="0.35">
      <c r="A1" s="3" t="s">
        <v>0</v>
      </c>
    </row>
    <row r="3" spans="1:2" x14ac:dyDescent="0.35">
      <c r="A3" s="2" t="s">
        <v>1</v>
      </c>
      <c r="B3" s="4" t="s">
        <v>16</v>
      </c>
    </row>
    <row r="4" spans="1:2" x14ac:dyDescent="0.35">
      <c r="B4" s="5" t="s">
        <v>17</v>
      </c>
    </row>
    <row r="5" spans="1:2" x14ac:dyDescent="0.35">
      <c r="B5" s="5" t="s">
        <v>18</v>
      </c>
    </row>
    <row r="6" spans="1:2" x14ac:dyDescent="0.35">
      <c r="B6" s="5">
        <v>2026</v>
      </c>
    </row>
    <row r="7" spans="1:2" x14ac:dyDescent="0.35">
      <c r="B7" s="6" t="s">
        <v>2</v>
      </c>
    </row>
    <row r="8" spans="1:2" ht="43.5" x14ac:dyDescent="0.35">
      <c r="B8" s="5" t="s">
        <v>19</v>
      </c>
    </row>
    <row r="11" spans="1:2" x14ac:dyDescent="0.35">
      <c r="A11" s="2" t="s">
        <v>3</v>
      </c>
    </row>
    <row r="12" spans="1:2" ht="101.5" x14ac:dyDescent="0.35">
      <c r="A12" s="2" t="s">
        <v>20</v>
      </c>
      <c r="B12" s="5" t="s">
        <v>21</v>
      </c>
    </row>
    <row r="13" spans="1:2" ht="58" x14ac:dyDescent="0.35">
      <c r="A13" s="2" t="s">
        <v>22</v>
      </c>
      <c r="B13" s="5" t="s">
        <v>23</v>
      </c>
    </row>
    <row r="14" spans="1:2" ht="29" x14ac:dyDescent="0.35">
      <c r="A14" s="2" t="s">
        <v>24</v>
      </c>
      <c r="B14" s="5" t="s">
        <v>25</v>
      </c>
    </row>
  </sheetData>
  <hyperlinks>
    <hyperlink ref="B7" r:id="rId1" xr:uid="{9B3AD8C8-EF5B-467A-93FB-311CC41D17F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
  <sheetViews>
    <sheetView workbookViewId="0">
      <pane ySplit="1" topLeftCell="A2" activePane="bottomLeft" state="frozen"/>
      <selection pane="bottomLeft"/>
    </sheetView>
  </sheetViews>
  <sheetFormatPr defaultRowHeight="14.5" x14ac:dyDescent="0.35"/>
  <sheetData>
    <row r="1" spans="1:3" x14ac:dyDescent="0.35">
      <c r="A1" s="1" t="s">
        <v>4</v>
      </c>
      <c r="B1" s="1" t="s">
        <v>5</v>
      </c>
      <c r="C1" s="1" t="s">
        <v>6</v>
      </c>
    </row>
    <row r="2" spans="1:3" x14ac:dyDescent="0.35">
      <c r="A2" t="s">
        <v>7</v>
      </c>
      <c r="B2">
        <v>69</v>
      </c>
      <c r="C2" t="s">
        <v>8</v>
      </c>
    </row>
    <row r="3" spans="1:3" x14ac:dyDescent="0.35">
      <c r="A3" t="s">
        <v>9</v>
      </c>
      <c r="B3">
        <v>100</v>
      </c>
      <c r="C3" t="s">
        <v>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heetViews>
  <sheetFormatPr defaultRowHeight="14.5" x14ac:dyDescent="0.35"/>
  <sheetData>
    <row r="1" spans="1:2" x14ac:dyDescent="0.35">
      <c r="A1" s="1" t="s">
        <v>10</v>
      </c>
    </row>
    <row r="3" spans="1:2" x14ac:dyDescent="0.35">
      <c r="A3" t="s">
        <v>11</v>
      </c>
      <c r="B3">
        <f>'USGS Production and Capacity'!B2</f>
        <v>69</v>
      </c>
    </row>
    <row r="4" spans="1:2" x14ac:dyDescent="0.35">
      <c r="A4" t="s">
        <v>12</v>
      </c>
      <c r="B4">
        <f>'USGS Production and Capacity'!B3</f>
        <v>100</v>
      </c>
    </row>
    <row r="5" spans="1:2" x14ac:dyDescent="0.35">
      <c r="A5" t="s">
        <v>13</v>
      </c>
      <c r="B5">
        <f>B3/B4</f>
        <v>0.69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B2"/>
  <sheetViews>
    <sheetView workbookViewId="0"/>
  </sheetViews>
  <sheetFormatPr defaultRowHeight="14.5" x14ac:dyDescent="0.35"/>
  <sheetData>
    <row r="1" spans="1:2" x14ac:dyDescent="0.35">
      <c r="A1" t="s">
        <v>26</v>
      </c>
      <c r="B1" t="s">
        <v>14</v>
      </c>
    </row>
    <row r="2" spans="1:2" x14ac:dyDescent="0.35">
      <c r="A2" t="s">
        <v>15</v>
      </c>
      <c r="B2">
        <f>Derivation!B5</f>
        <v>0.69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USGS Production and Capacity</vt:lpstr>
      <vt:lpstr>Derivation</vt:lpstr>
      <vt:lpstr>SYCCU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2026-08-26T11:48:08Z</dcterms:created>
  <dcterms:modified xsi:type="dcterms:W3CDTF">2026-10-09T17:38:45Z</dcterms:modified>
</cp:coreProperties>
</file>