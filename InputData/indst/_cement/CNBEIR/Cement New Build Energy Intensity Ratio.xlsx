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CNBEIR\"/>
    </mc:Choice>
  </mc:AlternateContent>
  <xr:revisionPtr revIDLastSave="0" documentId="13_ncr:1_{BE689EBC-1A72-477E-A4E0-2B2D87965169}" xr6:coauthVersionLast="47" xr6:coauthVersionMax="47" xr10:uidLastSave="{00000000-0000-0000-0000-000000000000}"/>
  <bookViews>
    <workbookView xWindow="3510" yWindow="3510" windowWidth="21600" windowHeight="12525" xr2:uid="{00000000-000D-0000-FFFF-FFFF00000000}"/>
  </bookViews>
  <sheets>
    <sheet name="About" sheetId="1" r:id="rId1"/>
    <sheet name="Derivation" sheetId="2" r:id="rId2"/>
    <sheet name="Checks" sheetId="3" r:id="rId3"/>
    <sheet name="CNBEIR"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4" l="1"/>
  <c r="L5" i="4"/>
  <c r="K5" i="4"/>
  <c r="J5" i="4"/>
  <c r="C5" i="4"/>
  <c r="B5" i="4"/>
  <c r="AE6" i="4"/>
  <c r="AD6" i="4"/>
  <c r="AC6" i="4"/>
  <c r="AB6" i="4"/>
  <c r="AA6" i="4"/>
  <c r="Z6" i="4"/>
  <c r="Y6" i="4"/>
  <c r="X6" i="4"/>
  <c r="W6" i="4"/>
  <c r="V6" i="4"/>
  <c r="U6" i="4"/>
  <c r="T6" i="4"/>
  <c r="S6" i="4"/>
  <c r="R6" i="4"/>
  <c r="Q6" i="4"/>
  <c r="P6" i="4"/>
  <c r="O6" i="4"/>
  <c r="N6" i="4"/>
  <c r="M6" i="4"/>
  <c r="L6" i="4"/>
  <c r="K6" i="4"/>
  <c r="J6" i="4"/>
  <c r="I6" i="4"/>
  <c r="H6" i="4"/>
  <c r="G6" i="4"/>
  <c r="F6" i="4"/>
  <c r="E6" i="4"/>
  <c r="D6" i="4"/>
  <c r="C6" i="4"/>
  <c r="B6" i="4"/>
  <c r="AE4" i="4"/>
  <c r="AE5" i="4" s="1"/>
  <c r="AD4" i="4"/>
  <c r="AD5" i="4" s="1"/>
  <c r="AC4" i="4"/>
  <c r="AC5" i="4" s="1"/>
  <c r="AB4" i="4"/>
  <c r="AB5" i="4" s="1"/>
  <c r="AA4" i="4"/>
  <c r="AA5" i="4" s="1"/>
  <c r="Z4" i="4"/>
  <c r="Z5" i="4" s="1"/>
  <c r="Y4" i="4"/>
  <c r="Y5" i="4" s="1"/>
  <c r="X4" i="4"/>
  <c r="X5" i="4" s="1"/>
  <c r="W4" i="4"/>
  <c r="W5" i="4" s="1"/>
  <c r="V4" i="4"/>
  <c r="V5" i="4" s="1"/>
  <c r="U4" i="4"/>
  <c r="U5" i="4" s="1"/>
  <c r="T4" i="4"/>
  <c r="T5" i="4" s="1"/>
  <c r="S4" i="4"/>
  <c r="S5" i="4" s="1"/>
  <c r="R4" i="4"/>
  <c r="R5" i="4" s="1"/>
  <c r="Q4" i="4"/>
  <c r="Q5" i="4" s="1"/>
  <c r="P4" i="4"/>
  <c r="P5" i="4" s="1"/>
  <c r="O4" i="4"/>
  <c r="O5" i="4" s="1"/>
  <c r="N4" i="4"/>
  <c r="N5" i="4" s="1"/>
  <c r="M4" i="4"/>
  <c r="L4" i="4"/>
  <c r="K4" i="4"/>
  <c r="J4" i="4"/>
  <c r="I4" i="4"/>
  <c r="I5" i="4" s="1"/>
  <c r="H4" i="4"/>
  <c r="H5" i="4" s="1"/>
  <c r="G4" i="4"/>
  <c r="G5" i="4" s="1"/>
  <c r="F4" i="4"/>
  <c r="F5" i="4" s="1"/>
  <c r="E4" i="4"/>
  <c r="E5" i="4" s="1"/>
  <c r="D4" i="4"/>
  <c r="D5" i="4" s="1"/>
  <c r="C4" i="4"/>
  <c r="B4" i="4"/>
  <c r="B14" i="2"/>
  <c r="B7" i="2"/>
  <c r="B8" i="2" s="1"/>
  <c r="B9" i="2" l="1"/>
  <c r="K2" i="4" s="1"/>
  <c r="B6" i="3"/>
  <c r="R2" i="4"/>
  <c r="B5" i="3"/>
  <c r="P2" i="4"/>
  <c r="L2" i="4"/>
  <c r="M2" i="4"/>
  <c r="N2" i="4"/>
  <c r="O2" i="4"/>
  <c r="Q2" i="4"/>
  <c r="W2" i="4"/>
  <c r="C2" i="4"/>
  <c r="D2" i="4"/>
  <c r="AB2" i="4"/>
  <c r="G2" i="4"/>
  <c r="U2" i="4"/>
  <c r="T2" i="4"/>
  <c r="X2" i="4"/>
  <c r="Y2" i="4"/>
  <c r="Z2" i="4"/>
  <c r="AA2" i="4"/>
  <c r="F2" i="4"/>
  <c r="AC2" i="4"/>
  <c r="H2" i="4"/>
  <c r="AD2" i="4"/>
  <c r="I2" i="4"/>
  <c r="AE2" i="4"/>
  <c r="J2" i="4"/>
  <c r="V2" i="4"/>
  <c r="B2" i="4"/>
  <c r="B17" i="2"/>
  <c r="B18" i="2" s="1"/>
  <c r="B15" i="2"/>
  <c r="S2" i="4" l="1"/>
  <c r="E2" i="4"/>
  <c r="Y3" i="4"/>
  <c r="C3" i="4"/>
  <c r="I3" i="4"/>
  <c r="D3" i="4"/>
  <c r="X3" i="4"/>
  <c r="B3" i="4"/>
  <c r="W3" i="4"/>
  <c r="V3" i="4"/>
  <c r="U3" i="4"/>
  <c r="T3" i="4"/>
  <c r="M3" i="4"/>
  <c r="J3" i="4"/>
  <c r="AE3" i="4"/>
  <c r="AD3" i="4"/>
  <c r="G3" i="4"/>
  <c r="Z3" i="4"/>
  <c r="S3" i="4"/>
  <c r="N3" i="4"/>
  <c r="L3" i="4"/>
  <c r="H3" i="4"/>
  <c r="Q3" i="4"/>
  <c r="P3" i="4"/>
  <c r="O3" i="4"/>
  <c r="AA3" i="4"/>
  <c r="AC3" i="4"/>
  <c r="AB3" i="4"/>
  <c r="E3" i="4"/>
  <c r="R3" i="4"/>
  <c r="F3" i="4"/>
  <c r="K3" i="4"/>
  <c r="B3" i="3" l="1"/>
  <c r="B4" i="3"/>
</calcChain>
</file>

<file path=xl/sharedStrings.xml><?xml version="1.0" encoding="utf-8"?>
<sst xmlns="http://schemas.openxmlformats.org/spreadsheetml/2006/main" count="57" uniqueCount="55">
  <si>
    <t>CNBEIR Cement New Build Energy Intensity Ratio</t>
  </si>
  <si>
    <t>Sources:</t>
  </si>
  <si>
    <t>Bandwidth Study on Energy Use and Potential Energy Savings Opportunities in U.S. Cement Manufacturing</t>
  </si>
  <si>
    <t>https://www.energy.gov/eere/amo/articles/bandwidth-study-energy-use-and-potential-energy-savings-opportunities-us-cement</t>
  </si>
  <si>
    <t>https://www.iea.org/reports/technology-roadmap-low-carbon-transition-in-the-cement-industry</t>
  </si>
  <si>
    <t>Notes:</t>
  </si>
  <si>
    <t>CNBEIR derivation by Cement Production Pathway</t>
  </si>
  <si>
    <t>Dry kiln with precalciner</t>
  </si>
  <si>
    <t>BAT thermal energy intensity (GJ/metric ton clinker, DOE Bandwidth Study)</t>
  </si>
  <si>
    <t>Fleet-typical thermal energy intensity (Btu/lb clinker, DOE Bandwidth Study)</t>
  </si>
  <si>
    <t>Unit conversion factor (lb per metric ton)</t>
  </si>
  <si>
    <t>Fleet-typical thermal energy intensity (MMBtu/metric ton; matches CEIbPaF convention)</t>
  </si>
  <si>
    <t>CEIbPaF precalciner pathway fuel total (BTU/metric ton clinker)</t>
  </si>
  <si>
    <t>CEIbPaF CCS pathway fuel total (BTU/metric ton clinker)</t>
  </si>
  <si>
    <t>CCS amine-regeneration/compression adder = CCS total - precalciner total</t>
  </si>
  <si>
    <t>Precalciner CNBEIR applied to the kiln-thermal component</t>
  </si>
  <si>
    <t>BAT credit on the amine adder (1.0 = no discount; process energy, not kiln pyroprocessing)</t>
  </si>
  <si>
    <t>Electric kiln</t>
  </si>
  <si>
    <t>CNBEIR = 1.0 (EI judgment: CEIbPaF value already a forward-looking new-technology estimate, no legacy fleet to benchmark against)</t>
  </si>
  <si>
    <t>Alternative chemistry cement</t>
  </si>
  <si>
    <t>dry kiln with precalciner</t>
  </si>
  <si>
    <t>dry kiln with CCS</t>
  </si>
  <si>
    <t>electric kiln</t>
  </si>
  <si>
    <t>alternative chemistry cement</t>
  </si>
  <si>
    <t>Checks</t>
  </si>
  <si>
    <t>dry kiln with precalciner: 0.5 &lt;= value &lt;= 1.0</t>
  </si>
  <si>
    <t>dry kiln with CCS: 0.5 &lt;= value &lt;= 1.0</t>
  </si>
  <si>
    <t>electric kiln: 0.5 &lt;= value &lt;= 1.0</t>
  </si>
  <si>
    <t>alternative chemistry cement: 0.5 &lt;= value &lt;= 1.0</t>
  </si>
  <si>
    <t>Best-available and fleet-typical kiln energy</t>
  </si>
  <si>
    <t>U.S. Department of Energy, Advanced Manufacturing Office</t>
  </si>
  <si>
    <t>Best-practice dry-process pyroprocessing energy of about 2.9 GJ per metric ton of clinker, against a current fleet-typical value of 1,554 Btu per pound, which is about 3.43 million BTU per metric ton (the same fleet value used in the CEIbPaF file). Both are typed into the 'Derivation' tab. We read the figures from the study's summary tables and press coverage, not from the underlying workbook.</t>
  </si>
  <si>
    <t>Cross-check on the best-available figure</t>
  </si>
  <si>
    <t>International Energy Agency</t>
  </si>
  <si>
    <t>Technology Roadmap: Low-Carbon Transition in the Cement Industry</t>
  </si>
  <si>
    <t>Benchmarks for the best dry kilns with preheater and precalciner put thermal energy at roughly 2.9-3.0 GJ per metric ton of clinker, in line with the DOE figure. It is a report-level cross-check and does not enter the calculation. The roadmap also treats kiln thermal efficiency as already near its practical limit, which supports holding the ratio flat over time.</t>
  </si>
  <si>
    <t>Purpose and layout</t>
  </si>
  <si>
    <t>This file gives, for each cement production pathway, the energy use of newly built kilns as a fraction of the existing fleet's energy use (a ratio of 1.0 means no improvement). The EPS cement module applies it only to capacity built during the model run: the fleet's energy intensity per ton of clinker falls as new best-available kilns replace old ones, in the business-as-usual and policy cases alike. It also scales the fuel cost per ton for new builds, which feeds the investment choice among pathways.
The tabs run from inputs to output. 'Derivation' holds the DOE figures, the arithmetic, and the judgment values for the electric kiln and alternative chemistry. 'Checks' tests that each ratio sits between 0.5 and 1.0. The 'CNBEIR' tab reads from 'Derivation' by formula, repeats each pathway's value across 2021-2050, and is what gets exported to CNBEIR.csv.</t>
  </si>
  <si>
    <t>Dry kiln with CCS</t>
  </si>
  <si>
    <t>The CCS pathway uses the same 0.802 as the dry kiln with precalciner. Its energy row in the CEIbPaF file covers the kiln only, so the same best-available credit applies to all of it. The capture unit's energy is booked by the CCS sector, and it is not discounted here.</t>
  </si>
  <si>
    <t>Electric kiln and alternative chemistry cement</t>
  </si>
  <si>
    <t>Both are held at 1.0, with no efficiency credit. Their energy values in the CEIbPaF file are already forward-looking estimates for new technology, and no existing fleet exists to compare against, so a further discount would count the same gain twice. This is our own judgment, not a sourced figure.</t>
  </si>
  <si>
    <t>Held flat over time</t>
  </si>
  <si>
    <t>Each ratio is the same in every year from 2021 to 2050, because the roadmaps treat best-practice dry-kiln thermal efficiency as already close to its limit. The flat path is our judgment, not a year-by-year projection.</t>
  </si>
  <si>
    <t>Dry kiln with CCS: equals the dry kiln (the CEIbPaF CCS row is kiln only; capture energy is booked by the CCS sector)</t>
  </si>
  <si>
    <t>Held flat 2021-2050 for all four pathways (see About notes). The BAT figure is converted from GJ to MMBtu before dividing.</t>
  </si>
  <si>
    <t>Unit: dimensionless</t>
  </si>
  <si>
    <t>Precalciner CNBEIR = BAT (GJ/t, converted to MMBtu at 1.05506 GJ per MMBtu) / fleet-typical (MMBtu/t)</t>
  </si>
  <si>
    <t>Precalciner CNBEIR (value used)</t>
  </si>
  <si>
    <t>CCS CNBEIR = precalciner value (the CEIbPaF CCS row is kiln only)</t>
  </si>
  <si>
    <t>CCS CNBEIR (value used)</t>
  </si>
  <si>
    <t>The ratio is the best-available energy intensity over the fleet-typical intensity. We convert the DOE best-practice figure from 2.9 GJ to 2.75 million BTU per metric ton of clinker (dividing by 1.05506 GJ per million BTU) and divide by the fleet-typical 3.426 million BTU per metric ton. The result is 0.8023. In plain terms, a new best-practice kiln uses about 20% less thermal energy per ton of clinker than the current U.S. average.</t>
  </si>
  <si>
    <t>electric kiln with CCS</t>
  </si>
  <si>
    <t>Electric kiln with CCS</t>
  </si>
  <si>
    <t>The electric kiln with CCS is the electric kiln with a capture unit on its nearly pure CO2 stream, so it uses the electric kiln's value here (same kiln). Its capture is added through CCF (95 percent of calcination CO2 captured) and the CDSC capture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</si>
</sst>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color theme="1"/>
      <name val="Calibri"/>
      <family val="2"/>
      <scheme val="minor"/>
    </font>
    <font>
      <u/>
      <sz val="11"/>
      <color theme="10"/>
      <name val="Calibri"/>
      <family val="2"/>
      <scheme val="minor"/>
    </font>
    <font>
      <u/>
      <sz val="11"/>
      <color rgb="FF0563C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0" borderId="0" xfId="0" applyFont="1"/>
    <xf numFmtId="0" fontId="2" fillId="0" borderId="0" xfId="0" applyFont="1"/>
    <xf numFmtId="0" fontId="2" fillId="0" borderId="0" xfId="0" applyFont="1" applyAlignment="1">
      <alignment horizontal="left" vertical="top" wrapText="1"/>
    </xf>
    <xf numFmtId="0" fontId="2" fillId="0" borderId="0" xfId="0" applyFont="1" applyAlignment="1">
      <alignment horizontal="left" vertical="top"/>
    </xf>
    <xf numFmtId="0" fontId="2" fillId="2" borderId="0" xfId="0" applyFont="1" applyFill="1" applyAlignment="1">
      <alignment horizontal="left" vertical="top" wrapText="1"/>
    </xf>
    <xf numFmtId="0" fontId="4" fillId="0" borderId="0" xfId="1" applyFont="1"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2" fillId="0" borderId="0" xfId="0" applyFont="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iea.org/reports/technology-roadmap-low-carbon-transition-in-the-cement-industry" TargetMode="External"/><Relationship Id="rId1" Type="http://schemas.openxmlformats.org/officeDocument/2006/relationships/hyperlink" Target="https://www.energy.gov/eere/amo/articles/bandwidth-study-energy-use-and-potential-energy-savings-opportunities-us-c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tabSelected="1" workbookViewId="0"/>
  </sheetViews>
  <sheetFormatPr defaultRowHeight="15" x14ac:dyDescent="0.25"/>
  <cols>
    <col min="1" max="1" width="14.5703125" customWidth="1"/>
    <col min="2" max="2" width="110.5703125" customWidth="1"/>
    <col min="3" max="3" width="3.5703125" customWidth="1"/>
    <col min="4" max="4" width="9.140625" customWidth="1"/>
  </cols>
  <sheetData>
    <row r="1" spans="1:2" x14ac:dyDescent="0.25">
      <c r="A1" s="4" t="s">
        <v>0</v>
      </c>
    </row>
    <row r="3" spans="1:2" x14ac:dyDescent="0.25">
      <c r="A3" s="3" t="s">
        <v>1</v>
      </c>
      <c r="B3" s="5" t="s">
        <v>29</v>
      </c>
    </row>
    <row r="4" spans="1:2" x14ac:dyDescent="0.25">
      <c r="B4" s="7" t="s">
        <v>30</v>
      </c>
    </row>
    <row r="5" spans="1:2" x14ac:dyDescent="0.25">
      <c r="B5" s="7" t="s">
        <v>2</v>
      </c>
    </row>
    <row r="6" spans="1:2" x14ac:dyDescent="0.25">
      <c r="B6" s="7">
        <v>2017</v>
      </c>
    </row>
    <row r="7" spans="1:2" ht="30" x14ac:dyDescent="0.25">
      <c r="B7" s="6" t="s">
        <v>3</v>
      </c>
    </row>
    <row r="8" spans="1:2" ht="60" x14ac:dyDescent="0.25">
      <c r="B8" s="7" t="s">
        <v>31</v>
      </c>
    </row>
    <row r="10" spans="1:2" x14ac:dyDescent="0.25">
      <c r="B10" s="5" t="s">
        <v>32</v>
      </c>
    </row>
    <row r="11" spans="1:2" x14ac:dyDescent="0.25">
      <c r="B11" s="7" t="s">
        <v>33</v>
      </c>
    </row>
    <row r="12" spans="1:2" x14ac:dyDescent="0.25">
      <c r="B12" s="7" t="s">
        <v>34</v>
      </c>
    </row>
    <row r="13" spans="1:2" x14ac:dyDescent="0.25">
      <c r="B13" s="7">
        <v>2018</v>
      </c>
    </row>
    <row r="14" spans="1:2" x14ac:dyDescent="0.25">
      <c r="B14" s="6" t="s">
        <v>4</v>
      </c>
    </row>
    <row r="15" spans="1:2" ht="45" x14ac:dyDescent="0.25">
      <c r="B15" s="7" t="s">
        <v>35</v>
      </c>
    </row>
    <row r="18" spans="1:2" x14ac:dyDescent="0.25">
      <c r="A18" s="3" t="s">
        <v>5</v>
      </c>
    </row>
    <row r="19" spans="1:2" ht="135" x14ac:dyDescent="0.25">
      <c r="A19" s="3" t="s">
        <v>36</v>
      </c>
      <c r="B19" s="7" t="s">
        <v>37</v>
      </c>
    </row>
    <row r="20" spans="1:2" ht="60" x14ac:dyDescent="0.25">
      <c r="A20" s="3" t="s">
        <v>7</v>
      </c>
      <c r="B20" s="7" t="s">
        <v>51</v>
      </c>
    </row>
    <row r="21" spans="1:2" ht="45" x14ac:dyDescent="0.25">
      <c r="A21" s="3" t="s">
        <v>38</v>
      </c>
      <c r="B21" s="7" t="s">
        <v>39</v>
      </c>
    </row>
    <row r="22" spans="1:2" ht="60" x14ac:dyDescent="0.25">
      <c r="A22" s="3" t="s">
        <v>40</v>
      </c>
      <c r="B22" s="7" t="s">
        <v>41</v>
      </c>
    </row>
    <row r="23" spans="1:2" ht="30" x14ac:dyDescent="0.25">
      <c r="A23" s="3" t="s">
        <v>42</v>
      </c>
      <c r="B23" s="7" t="s">
        <v>43</v>
      </c>
    </row>
    <row r="24" spans="1:2" ht="45" x14ac:dyDescent="0.25">
      <c r="A24" s="9" t="s">
        <v>53</v>
      </c>
      <c r="B24" s="8" t="s">
        <v>54</v>
      </c>
    </row>
  </sheetData>
  <hyperlinks>
    <hyperlink ref="B7" r:id="rId1" xr:uid="{5ADBD711-3BD0-4B2A-91B4-51CA4994478B}"/>
    <hyperlink ref="B14" r:id="rId2" xr:uid="{73EE4595-6DE3-466B-B747-63FFB0948FF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workbookViewId="0"/>
  </sheetViews>
  <sheetFormatPr defaultRowHeight="15" x14ac:dyDescent="0.25"/>
  <sheetData>
    <row r="1" spans="1:2" x14ac:dyDescent="0.25">
      <c r="A1" s="1" t="s">
        <v>6</v>
      </c>
    </row>
    <row r="3" spans="1:2" x14ac:dyDescent="0.25">
      <c r="A3" s="1" t="s">
        <v>7</v>
      </c>
    </row>
    <row r="4" spans="1:2" x14ac:dyDescent="0.25">
      <c r="A4" t="s">
        <v>8</v>
      </c>
      <c r="B4">
        <v>2.9</v>
      </c>
    </row>
    <row r="5" spans="1:2" x14ac:dyDescent="0.25">
      <c r="A5" t="s">
        <v>9</v>
      </c>
      <c r="B5">
        <v>1554</v>
      </c>
    </row>
    <row r="6" spans="1:2" x14ac:dyDescent="0.25">
      <c r="A6" t="s">
        <v>10</v>
      </c>
      <c r="B6">
        <v>2204.62</v>
      </c>
    </row>
    <row r="7" spans="1:2" x14ac:dyDescent="0.25">
      <c r="A7" t="s">
        <v>11</v>
      </c>
      <c r="B7">
        <f>B5*B6/1000000</f>
        <v>3.4259794800000001</v>
      </c>
    </row>
    <row r="8" spans="1:2" x14ac:dyDescent="0.25">
      <c r="A8" t="s">
        <v>47</v>
      </c>
      <c r="B8">
        <f>B4/1.05506/B7</f>
        <v>0.80229868862109577</v>
      </c>
    </row>
    <row r="9" spans="1:2" x14ac:dyDescent="0.25">
      <c r="A9" s="1" t="s">
        <v>48</v>
      </c>
      <c r="B9" s="1">
        <f>(B8)</f>
        <v>0.80229868862109577</v>
      </c>
    </row>
    <row r="11" spans="1:2" x14ac:dyDescent="0.25">
      <c r="A11" s="1" t="s">
        <v>44</v>
      </c>
    </row>
    <row r="12" spans="1:2" x14ac:dyDescent="0.25">
      <c r="A12" t="s">
        <v>12</v>
      </c>
      <c r="B12">
        <v>4020000</v>
      </c>
    </row>
    <row r="13" spans="1:2" x14ac:dyDescent="0.25">
      <c r="A13" t="s">
        <v>13</v>
      </c>
      <c r="B13">
        <v>6270000</v>
      </c>
    </row>
    <row r="14" spans="1:2" x14ac:dyDescent="0.25">
      <c r="A14" t="s">
        <v>14</v>
      </c>
      <c r="B14">
        <f>B13-B12</f>
        <v>2250000</v>
      </c>
    </row>
    <row r="15" spans="1:2" x14ac:dyDescent="0.25">
      <c r="A15" t="s">
        <v>15</v>
      </c>
      <c r="B15">
        <f>B9</f>
        <v>0.80229868862109577</v>
      </c>
    </row>
    <row r="16" spans="1:2" x14ac:dyDescent="0.25">
      <c r="A16" t="s">
        <v>16</v>
      </c>
      <c r="B16">
        <v>1</v>
      </c>
    </row>
    <row r="17" spans="1:2" x14ac:dyDescent="0.25">
      <c r="A17" t="s">
        <v>49</v>
      </c>
      <c r="B17">
        <f>B9</f>
        <v>0.80229868862109577</v>
      </c>
    </row>
    <row r="18" spans="1:2" x14ac:dyDescent="0.25">
      <c r="A18" s="1" t="s">
        <v>50</v>
      </c>
      <c r="B18" s="1">
        <f>(B17)</f>
        <v>0.80229868862109577</v>
      </c>
    </row>
    <row r="20" spans="1:2" x14ac:dyDescent="0.25">
      <c r="A20" s="1" t="s">
        <v>17</v>
      </c>
    </row>
    <row r="21" spans="1:2" x14ac:dyDescent="0.25">
      <c r="A21" t="s">
        <v>18</v>
      </c>
      <c r="B21">
        <v>1</v>
      </c>
    </row>
    <row r="23" spans="1:2" x14ac:dyDescent="0.25">
      <c r="A23" s="1" t="s">
        <v>19</v>
      </c>
    </row>
    <row r="24" spans="1:2" x14ac:dyDescent="0.25">
      <c r="A24" t="s">
        <v>18</v>
      </c>
      <c r="B24">
        <v>1</v>
      </c>
    </row>
    <row r="26" spans="1:2" x14ac:dyDescent="0.25">
      <c r="A26" s="1" t="s">
        <v>45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heetViews>
  <sheetFormatPr defaultRowHeight="15" x14ac:dyDescent="0.25"/>
  <cols>
    <col min="1" max="1" width="70.7109375" customWidth="1"/>
    <col min="2" max="2" width="12.7109375" customWidth="1"/>
  </cols>
  <sheetData>
    <row r="1" spans="1:2" x14ac:dyDescent="0.25">
      <c r="A1" s="2" t="s">
        <v>24</v>
      </c>
    </row>
    <row r="3" spans="1:2" x14ac:dyDescent="0.25">
      <c r="A3" t="s">
        <v>25</v>
      </c>
      <c r="B3" t="str">
        <f>IF(AND(MIN(CNBEIR!B2:AE2)&gt;=0.5,MAX(CNBEIR!B2:AE2)&lt;=1),"PASS","FAIL")</f>
        <v>PASS</v>
      </c>
    </row>
    <row r="4" spans="1:2" x14ac:dyDescent="0.25">
      <c r="A4" t="s">
        <v>26</v>
      </c>
      <c r="B4" t="str">
        <f>IF(AND(MIN(CNBEIR!B3:AE3)&gt;=0.5,MAX(CNBEIR!B3:AE3)&lt;=1),"PASS","FAIL")</f>
        <v>PASS</v>
      </c>
    </row>
    <row r="5" spans="1:2" x14ac:dyDescent="0.25">
      <c r="A5" t="s">
        <v>27</v>
      </c>
      <c r="B5" t="str">
        <f>IF(AND(MIN(CNBEIR!B4:AE4)&gt;=0.5,MAX(CNBEIR!B4:AE4)&lt;=1),"PASS","FAIL")</f>
        <v>PASS</v>
      </c>
    </row>
    <row r="6" spans="1:2" x14ac:dyDescent="0.25">
      <c r="A6" t="s">
        <v>28</v>
      </c>
      <c r="B6" t="str">
        <f>IF(AND(MIN(CNBEIR!B6:AE6)&gt;=0.5,MAX(CNBEIR!B6:AE6)&lt;=1),"PASS","FAIL")</f>
        <v>PASS</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AE6"/>
  <sheetViews>
    <sheetView workbookViewId="0"/>
  </sheetViews>
  <sheetFormatPr defaultRowHeight="15" x14ac:dyDescent="0.25"/>
  <sheetData>
    <row r="1" spans="1:31" x14ac:dyDescent="0.25">
      <c r="A1" t="s">
        <v>46</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20</v>
      </c>
      <c r="B2">
        <f>Derivation!$B$9</f>
        <v>0.80229868862109577</v>
      </c>
      <c r="C2">
        <f>Derivation!$B$9</f>
        <v>0.80229868862109577</v>
      </c>
      <c r="D2">
        <f>Derivation!$B$9</f>
        <v>0.80229868862109577</v>
      </c>
      <c r="E2">
        <f>Derivation!$B$9</f>
        <v>0.80229868862109577</v>
      </c>
      <c r="F2">
        <f>Derivation!$B$9</f>
        <v>0.80229868862109577</v>
      </c>
      <c r="G2">
        <f>Derivation!$B$9</f>
        <v>0.80229868862109577</v>
      </c>
      <c r="H2">
        <f>Derivation!$B$9</f>
        <v>0.80229868862109577</v>
      </c>
      <c r="I2">
        <f>Derivation!$B$9</f>
        <v>0.80229868862109577</v>
      </c>
      <c r="J2">
        <f>Derivation!$B$9</f>
        <v>0.80229868862109577</v>
      </c>
      <c r="K2">
        <f>Derivation!$B$9</f>
        <v>0.80229868862109577</v>
      </c>
      <c r="L2">
        <f>Derivation!$B$9</f>
        <v>0.80229868862109577</v>
      </c>
      <c r="M2">
        <f>Derivation!$B$9</f>
        <v>0.80229868862109577</v>
      </c>
      <c r="N2">
        <f>Derivation!$B$9</f>
        <v>0.80229868862109577</v>
      </c>
      <c r="O2">
        <f>Derivation!$B$9</f>
        <v>0.80229868862109577</v>
      </c>
      <c r="P2">
        <f>Derivation!$B$9</f>
        <v>0.80229868862109577</v>
      </c>
      <c r="Q2">
        <f>Derivation!$B$9</f>
        <v>0.80229868862109577</v>
      </c>
      <c r="R2">
        <f>Derivation!$B$9</f>
        <v>0.80229868862109577</v>
      </c>
      <c r="S2">
        <f>Derivation!$B$9</f>
        <v>0.80229868862109577</v>
      </c>
      <c r="T2">
        <f>Derivation!$B$9</f>
        <v>0.80229868862109577</v>
      </c>
      <c r="U2">
        <f>Derivation!$B$9</f>
        <v>0.80229868862109577</v>
      </c>
      <c r="V2">
        <f>Derivation!$B$9</f>
        <v>0.80229868862109577</v>
      </c>
      <c r="W2">
        <f>Derivation!$B$9</f>
        <v>0.80229868862109577</v>
      </c>
      <c r="X2">
        <f>Derivation!$B$9</f>
        <v>0.80229868862109577</v>
      </c>
      <c r="Y2">
        <f>Derivation!$B$9</f>
        <v>0.80229868862109577</v>
      </c>
      <c r="Z2">
        <f>Derivation!$B$9</f>
        <v>0.80229868862109577</v>
      </c>
      <c r="AA2">
        <f>Derivation!$B$9</f>
        <v>0.80229868862109577</v>
      </c>
      <c r="AB2">
        <f>Derivation!$B$9</f>
        <v>0.80229868862109577</v>
      </c>
      <c r="AC2">
        <f>Derivation!$B$9</f>
        <v>0.80229868862109577</v>
      </c>
      <c r="AD2">
        <f>Derivation!$B$9</f>
        <v>0.80229868862109577</v>
      </c>
      <c r="AE2">
        <f>Derivation!$B$9</f>
        <v>0.80229868862109577</v>
      </c>
    </row>
    <row r="3" spans="1:31" x14ac:dyDescent="0.25">
      <c r="A3" t="s">
        <v>21</v>
      </c>
      <c r="B3">
        <f>Derivation!$B$18</f>
        <v>0.80229868862109577</v>
      </c>
      <c r="C3">
        <f>Derivation!$B$18</f>
        <v>0.80229868862109577</v>
      </c>
      <c r="D3">
        <f>Derivation!$B$18</f>
        <v>0.80229868862109577</v>
      </c>
      <c r="E3">
        <f>Derivation!$B$18</f>
        <v>0.80229868862109577</v>
      </c>
      <c r="F3">
        <f>Derivation!$B$18</f>
        <v>0.80229868862109577</v>
      </c>
      <c r="G3">
        <f>Derivation!$B$18</f>
        <v>0.80229868862109577</v>
      </c>
      <c r="H3">
        <f>Derivation!$B$18</f>
        <v>0.80229868862109577</v>
      </c>
      <c r="I3">
        <f>Derivation!$B$18</f>
        <v>0.80229868862109577</v>
      </c>
      <c r="J3">
        <f>Derivation!$B$18</f>
        <v>0.80229868862109577</v>
      </c>
      <c r="K3">
        <f>Derivation!$B$18</f>
        <v>0.80229868862109577</v>
      </c>
      <c r="L3">
        <f>Derivation!$B$18</f>
        <v>0.80229868862109577</v>
      </c>
      <c r="M3">
        <f>Derivation!$B$18</f>
        <v>0.80229868862109577</v>
      </c>
      <c r="N3">
        <f>Derivation!$B$18</f>
        <v>0.80229868862109577</v>
      </c>
      <c r="O3">
        <f>Derivation!$B$18</f>
        <v>0.80229868862109577</v>
      </c>
      <c r="P3">
        <f>Derivation!$B$18</f>
        <v>0.80229868862109577</v>
      </c>
      <c r="Q3">
        <f>Derivation!$B$18</f>
        <v>0.80229868862109577</v>
      </c>
      <c r="R3">
        <f>Derivation!$B$18</f>
        <v>0.80229868862109577</v>
      </c>
      <c r="S3">
        <f>Derivation!$B$18</f>
        <v>0.80229868862109577</v>
      </c>
      <c r="T3">
        <f>Derivation!$B$18</f>
        <v>0.80229868862109577</v>
      </c>
      <c r="U3">
        <f>Derivation!$B$18</f>
        <v>0.80229868862109577</v>
      </c>
      <c r="V3">
        <f>Derivation!$B$18</f>
        <v>0.80229868862109577</v>
      </c>
      <c r="W3">
        <f>Derivation!$B$18</f>
        <v>0.80229868862109577</v>
      </c>
      <c r="X3">
        <f>Derivation!$B$18</f>
        <v>0.80229868862109577</v>
      </c>
      <c r="Y3">
        <f>Derivation!$B$18</f>
        <v>0.80229868862109577</v>
      </c>
      <c r="Z3">
        <f>Derivation!$B$18</f>
        <v>0.80229868862109577</v>
      </c>
      <c r="AA3">
        <f>Derivation!$B$18</f>
        <v>0.80229868862109577</v>
      </c>
      <c r="AB3">
        <f>Derivation!$B$18</f>
        <v>0.80229868862109577</v>
      </c>
      <c r="AC3">
        <f>Derivation!$B$18</f>
        <v>0.80229868862109577</v>
      </c>
      <c r="AD3">
        <f>Derivation!$B$18</f>
        <v>0.80229868862109577</v>
      </c>
      <c r="AE3">
        <f>Derivation!$B$18</f>
        <v>0.80229868862109577</v>
      </c>
    </row>
    <row r="4" spans="1:31" x14ac:dyDescent="0.25">
      <c r="A4" t="s">
        <v>22</v>
      </c>
      <c r="B4">
        <f>Derivation!$B$21</f>
        <v>1</v>
      </c>
      <c r="C4">
        <f>Derivation!$B$21</f>
        <v>1</v>
      </c>
      <c r="D4">
        <f>Derivation!$B$21</f>
        <v>1</v>
      </c>
      <c r="E4">
        <f>Derivation!$B$21</f>
        <v>1</v>
      </c>
      <c r="F4">
        <f>Derivation!$B$21</f>
        <v>1</v>
      </c>
      <c r="G4">
        <f>Derivation!$B$21</f>
        <v>1</v>
      </c>
      <c r="H4">
        <f>Derivation!$B$21</f>
        <v>1</v>
      </c>
      <c r="I4">
        <f>Derivation!$B$21</f>
        <v>1</v>
      </c>
      <c r="J4">
        <f>Derivation!$B$21</f>
        <v>1</v>
      </c>
      <c r="K4">
        <f>Derivation!$B$21</f>
        <v>1</v>
      </c>
      <c r="L4">
        <f>Derivation!$B$21</f>
        <v>1</v>
      </c>
      <c r="M4">
        <f>Derivation!$B$21</f>
        <v>1</v>
      </c>
      <c r="N4">
        <f>Derivation!$B$21</f>
        <v>1</v>
      </c>
      <c r="O4">
        <f>Derivation!$B$21</f>
        <v>1</v>
      </c>
      <c r="P4">
        <f>Derivation!$B$21</f>
        <v>1</v>
      </c>
      <c r="Q4">
        <f>Derivation!$B$21</f>
        <v>1</v>
      </c>
      <c r="R4">
        <f>Derivation!$B$21</f>
        <v>1</v>
      </c>
      <c r="S4">
        <f>Derivation!$B$21</f>
        <v>1</v>
      </c>
      <c r="T4">
        <f>Derivation!$B$21</f>
        <v>1</v>
      </c>
      <c r="U4">
        <f>Derivation!$B$21</f>
        <v>1</v>
      </c>
      <c r="V4">
        <f>Derivation!$B$21</f>
        <v>1</v>
      </c>
      <c r="W4">
        <f>Derivation!$B$21</f>
        <v>1</v>
      </c>
      <c r="X4">
        <f>Derivation!$B$21</f>
        <v>1</v>
      </c>
      <c r="Y4">
        <f>Derivation!$B$21</f>
        <v>1</v>
      </c>
      <c r="Z4">
        <f>Derivation!$B$21</f>
        <v>1</v>
      </c>
      <c r="AA4">
        <f>Derivation!$B$21</f>
        <v>1</v>
      </c>
      <c r="AB4">
        <f>Derivation!$B$21</f>
        <v>1</v>
      </c>
      <c r="AC4">
        <f>Derivation!$B$21</f>
        <v>1</v>
      </c>
      <c r="AD4">
        <f>Derivation!$B$21</f>
        <v>1</v>
      </c>
      <c r="AE4">
        <f>Derivation!$B$21</f>
        <v>1</v>
      </c>
    </row>
    <row r="5" spans="1:31" x14ac:dyDescent="0.25">
      <c r="A5" t="s">
        <v>52</v>
      </c>
      <c r="B5">
        <f>B4</f>
        <v>1</v>
      </c>
      <c r="C5">
        <f>C4</f>
        <v>1</v>
      </c>
      <c r="D5">
        <f>D4</f>
        <v>1</v>
      </c>
      <c r="E5">
        <f>E4</f>
        <v>1</v>
      </c>
      <c r="F5">
        <f>F4</f>
        <v>1</v>
      </c>
      <c r="G5">
        <f>G4</f>
        <v>1</v>
      </c>
      <c r="H5">
        <f>H4</f>
        <v>1</v>
      </c>
      <c r="I5">
        <f>I4</f>
        <v>1</v>
      </c>
      <c r="J5">
        <f>J4</f>
        <v>1</v>
      </c>
      <c r="K5">
        <f>K4</f>
        <v>1</v>
      </c>
      <c r="L5">
        <f>L4</f>
        <v>1</v>
      </c>
      <c r="M5">
        <f>M4</f>
        <v>1</v>
      </c>
      <c r="N5">
        <f>N4</f>
        <v>1</v>
      </c>
      <c r="O5">
        <f>O4</f>
        <v>1</v>
      </c>
      <c r="P5">
        <f>P4</f>
        <v>1</v>
      </c>
      <c r="Q5">
        <f>Q4</f>
        <v>1</v>
      </c>
      <c r="R5">
        <f>R4</f>
        <v>1</v>
      </c>
      <c r="S5">
        <f>S4</f>
        <v>1</v>
      </c>
      <c r="T5">
        <f>T4</f>
        <v>1</v>
      </c>
      <c r="U5">
        <f>U4</f>
        <v>1</v>
      </c>
      <c r="V5">
        <f>V4</f>
        <v>1</v>
      </c>
      <c r="W5">
        <f>W4</f>
        <v>1</v>
      </c>
      <c r="X5">
        <f>X4</f>
        <v>1</v>
      </c>
      <c r="Y5">
        <f>Y4</f>
        <v>1</v>
      </c>
      <c r="Z5">
        <f>Z4</f>
        <v>1</v>
      </c>
      <c r="AA5">
        <f>AA4</f>
        <v>1</v>
      </c>
      <c r="AB5">
        <f>AB4</f>
        <v>1</v>
      </c>
      <c r="AC5">
        <f>AC4</f>
        <v>1</v>
      </c>
      <c r="AD5">
        <f>AD4</f>
        <v>1</v>
      </c>
      <c r="AE5">
        <f>AE4</f>
        <v>1</v>
      </c>
    </row>
    <row r="6" spans="1:31" x14ac:dyDescent="0.25">
      <c r="A6" t="s">
        <v>23</v>
      </c>
      <c r="B6">
        <f>Derivation!$B$24</f>
        <v>1</v>
      </c>
      <c r="C6">
        <f>Derivation!$B$24</f>
        <v>1</v>
      </c>
      <c r="D6">
        <f>Derivation!$B$24</f>
        <v>1</v>
      </c>
      <c r="E6">
        <f>Derivation!$B$24</f>
        <v>1</v>
      </c>
      <c r="F6">
        <f>Derivation!$B$24</f>
        <v>1</v>
      </c>
      <c r="G6">
        <f>Derivation!$B$24</f>
        <v>1</v>
      </c>
      <c r="H6">
        <f>Derivation!$B$24</f>
        <v>1</v>
      </c>
      <c r="I6">
        <f>Derivation!$B$24</f>
        <v>1</v>
      </c>
      <c r="J6">
        <f>Derivation!$B$24</f>
        <v>1</v>
      </c>
      <c r="K6">
        <f>Derivation!$B$24</f>
        <v>1</v>
      </c>
      <c r="L6">
        <f>Derivation!$B$24</f>
        <v>1</v>
      </c>
      <c r="M6">
        <f>Derivation!$B$24</f>
        <v>1</v>
      </c>
      <c r="N6">
        <f>Derivation!$B$24</f>
        <v>1</v>
      </c>
      <c r="O6">
        <f>Derivation!$B$24</f>
        <v>1</v>
      </c>
      <c r="P6">
        <f>Derivation!$B$24</f>
        <v>1</v>
      </c>
      <c r="Q6">
        <f>Derivation!$B$24</f>
        <v>1</v>
      </c>
      <c r="R6">
        <f>Derivation!$B$24</f>
        <v>1</v>
      </c>
      <c r="S6">
        <f>Derivation!$B$24</f>
        <v>1</v>
      </c>
      <c r="T6">
        <f>Derivation!$B$24</f>
        <v>1</v>
      </c>
      <c r="U6">
        <f>Derivation!$B$24</f>
        <v>1</v>
      </c>
      <c r="V6">
        <f>Derivation!$B$24</f>
        <v>1</v>
      </c>
      <c r="W6">
        <f>Derivation!$B$24</f>
        <v>1</v>
      </c>
      <c r="X6">
        <f>Derivation!$B$24</f>
        <v>1</v>
      </c>
      <c r="Y6">
        <f>Derivation!$B$24</f>
        <v>1</v>
      </c>
      <c r="Z6">
        <f>Derivation!$B$24</f>
        <v>1</v>
      </c>
      <c r="AA6">
        <f>Derivation!$B$24</f>
        <v>1</v>
      </c>
      <c r="AB6">
        <f>Derivation!$B$24</f>
        <v>1</v>
      </c>
      <c r="AC6">
        <f>Derivation!$B$24</f>
        <v>1</v>
      </c>
      <c r="AD6">
        <f>Derivation!$B$24</f>
        <v>1</v>
      </c>
      <c r="AE6">
        <f>Derivation!$B$24</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Derivation</vt:lpstr>
      <vt:lpstr>Checks</vt:lpstr>
      <vt:lpstr>CNBEIR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2026-08-26T15:09:27Z</dcterms:created>
  <dcterms:modified xsi:type="dcterms:W3CDTF">2026-10-19T18:20:11Z</dcterms:modified>
</cp:coreProperties>
</file>