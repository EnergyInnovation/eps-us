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sheetId="1" state="visible" r:id="rId1"/>
    <sheet name="Derivation" sheetId="2" state="visible" r:id="rId2"/>
    <sheet name="Checks" sheetId="3" state="visible" r:id="rId3"/>
    <sheet name="SCMEI"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D9D9D9"/>
        <bgColor rgb="00D9D9D9"/>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1" fillId="2" borderId="0" applyAlignment="1" pivotButton="0" quotePrefix="0" xfId="0">
      <alignment horizontal="left" vertical="top" wrapText="1"/>
    </xf>
    <xf numFmtId="0" fontId="0" fillId="0" borderId="0" applyAlignment="1" pivotButton="0" quotePrefix="0" xfId="0">
      <alignment horizontal="left" vertical="top" wrapText="1"/>
    </xf>
    <xf numFmtId="0" fontId="2"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iea.org/reports/technology-roadmap-low-carbon-transition-in-the-cement-industry" TargetMode="External" Id="rId1" /><Relationship Type="http://schemas.openxmlformats.org/officeDocument/2006/relationships/hyperlink" Target="https://lc3.ch/" TargetMode="External" Id="rId2" /></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4" customWidth="1" min="1" max="1"/>
    <col width="110" customWidth="1" min="2" max="2"/>
  </cols>
  <sheetData>
    <row r="1">
      <c r="A1" s="1" t="inlineStr">
        <is>
          <t>SCMEI SCM Production Energy per Ton of Substitution</t>
        </is>
      </c>
    </row>
    <row r="3">
      <c r="A3" s="1" t="inlineStr">
        <is>
          <t>Sources:</t>
        </is>
      </c>
      <c r="B3" s="2" t="inlineStr">
        <is>
          <t>Calcined-clay thermal energy penalty (basis for the clay-calcination share of the blend)</t>
        </is>
      </c>
    </row>
    <row r="4">
      <c r="B4" s="3" t="inlineStr">
        <is>
          <t>International Energy Agency (IEA) / IEA-CSI</t>
        </is>
      </c>
    </row>
    <row r="5">
      <c r="B5" s="3" t="inlineStr">
        <is>
          <t>Technology Roadmap: Low-Carbon Transition in the Cement Industry</t>
        </is>
      </c>
    </row>
    <row r="6">
      <c r="B6" s="3" t="n">
        <v>2018</v>
      </c>
    </row>
    <row r="7">
      <c r="B7" s="4" t="inlineStr">
        <is>
          <t>https://www.iea.org/reports/technology-roadmap-low-carbon-transition-in-the-cement-industry</t>
        </is>
      </c>
    </row>
    <row r="8">
      <c r="B8" s="3" t="inlineStr">
        <is>
          <t>Reports that shifting to calcined-clay SCM blends (e.g. LC3-type cements) raises plant thermal energy use by roughly 11% relative to plain OPC, reflecting the added clay-calcination step. Used qualitatively to corroborate that calcined-clay production carries a real, non-trivial thermal energy cost distinct from byproduct SCMs (fly ash, slag) which require no additional process energy. [PROXY - report-level summary, not a per-ton calcination energy figure]</t>
        </is>
      </c>
    </row>
    <row r="10">
      <c r="B10" s="2" t="inlineStr">
        <is>
          <t>Calcined-clay (LC3) calcination temperature and specific energy</t>
        </is>
      </c>
    </row>
    <row r="11">
      <c r="B11" s="3" t="inlineStr">
        <is>
          <t>LC3 Project (EPFL / consortium)</t>
        </is>
      </c>
    </row>
    <row r="12">
      <c r="B12" s="3" t="inlineStr">
        <is>
          <t>LC3 - Low Carbon Cements based on Limestone Calcined Clay</t>
        </is>
      </c>
    </row>
    <row r="13">
      <c r="B13" s="3" t="n">
        <v>2024</v>
      </c>
    </row>
    <row r="14">
      <c r="B14" s="4" t="inlineStr">
        <is>
          <t>https://lc3.ch/</t>
        </is>
      </c>
    </row>
    <row r="15">
      <c r="B15" s="3" t="inlineStr">
        <is>
          <t>LC3-type calcined clay is produced by flash-calcining kaolinitic clay at roughly 700-850C, reported in the LC3 literature at approximately 2 GJ per metric ton of calcined clay (order-of-magnitude figure for a dedicated clay calciner, well below full clinker calcination at ~3.5-4 GJ/t). Used as the per-ton thermal energy basis for the clay-calcination share of the SCMEI blend. [SNIPPET - project website / summary literature, not a single audited LCA report]</t>
        </is>
      </c>
    </row>
    <row r="18">
      <c r="A18" s="1" t="inlineStr">
        <is>
          <t>Notes:</t>
        </is>
      </c>
    </row>
    <row r="19">
      <c r="A19" s="1" t="inlineStr">
        <is>
          <t>Definition</t>
        </is>
      </c>
      <c r="B19" s="3" t="inlineStr">
        <is>
          <t>SCMEI (SCM Production Energy per Ton of Substitution) is the incremental energy required to produce one metric ton of supplementary cementitious material used to substitute for clinker, booked to natural gas (the dominant thermal fuel for calcination processes in this module).</t>
        </is>
      </c>
    </row>
    <row r="20">
      <c r="A20" s="1" t="inlineStr">
        <is>
          <t>Blend composition - EI DRAFT judgment</t>
        </is>
      </c>
      <c r="B20" s="3" t="inlineStr">
        <is>
          <t>The 1,000,000 BTU/t figure is built as a 50/50 blend of (a) calcined clay, which requires meaningful calcination energy, and (b) byproduct SCMs (fly ash, slag, natural pozzolans - see the MASCM workbook), which require essentially zero additional production energy because they are waste/byproduct streams already generated by other industrial processes. The 50% share assumed for calcined clay (vs. byproduct SCMs) is an EI DRAFT judgment, not sourced from a specific US SCM-mix forecast, and should be revisited as the module's SCM supply/demand split is refined against MASCM.</t>
        </is>
      </c>
    </row>
    <row r="21">
      <c r="A21" s="1" t="inlineStr">
        <is>
          <t>Derivation</t>
        </is>
      </c>
      <c r="B21" s="3" t="inlineStr">
        <is>
          <t>See the Derivation tab: 50% x ~2,000,000 BTU/t clay calcination energy (~2.1 GJ/t, LC3 literature) + 50% x ~0 BTU/t byproduct SCM energy = 1,000,000 BTU/t blended average, booked to natural gas.</t>
        </is>
      </c>
    </row>
    <row r="22">
      <c r="A22" s="1" t="inlineStr">
        <is>
          <t>Fuel attribution</t>
        </is>
      </c>
      <c r="B22" s="3" t="inlineStr">
        <is>
          <t>The full 1,000,000 BTU/t is booked to natural gas because clay calciners and rotary kilns in this energy range are conventionally gas- or coal-fired thermal processes; byproduct SCMs (which contribute ~0 to the blended figure) require no fuel input by construction, so no split across other fuels was needed.</t>
        </is>
      </c>
    </row>
    <row r="23">
      <c r="A23" s="1" t="inlineStr">
        <is>
          <t>DRAFT status</t>
        </is>
      </c>
      <c r="B23" s="3" t="inlineStr">
        <is>
          <t>This is an input for staff review, not a finished or approved EI position; treat as a starting point pending team sign-off. Verify all cited figures against the primary sources before use in any work product.</t>
        </is>
      </c>
    </row>
    <row r="24">
      <c r="A24" s="1" t="inlineStr">
        <is>
          <t>Provenance</t>
        </is>
      </c>
      <c r="B24" s="3" t="inlineStr">
        <is>
          <t>Written by Claude Code (Fable/Sonnet agent session), cement industry breakout, worktree cement-industry-breakout-f901fc, 2026-08-26. Reviewed by: (pending).</t>
        </is>
      </c>
    </row>
  </sheetData>
  <hyperlinks>
    <hyperlink xmlns:r="http://schemas.openxmlformats.org/officeDocument/2006/relationships" ref="B7" r:id="rId1"/>
    <hyperlink xmlns:r="http://schemas.openxmlformats.org/officeDocument/2006/relationships" ref="B14" r:id="rId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s="1" t="inlineStr">
        <is>
          <t>SCMEI derivation: blended calcined-clay + byproduct-SCM production energy</t>
        </is>
      </c>
    </row>
    <row r="3">
      <c r="A3" t="inlineStr">
        <is>
          <t>Calcined-clay share of SCM blend (EI DRAFT judgment)</t>
        </is>
      </c>
      <c r="B3" t="n">
        <v>0.5</v>
      </c>
    </row>
    <row r="4">
      <c r="A4" t="inlineStr">
        <is>
          <t>Calcined-clay calcination energy (BTU/metric ton clay, ~2 GJ/t per LC3 literature)</t>
        </is>
      </c>
      <c r="B4" t="n">
        <v>2000000</v>
      </c>
    </row>
    <row r="5">
      <c r="A5" t="inlineStr">
        <is>
          <t>Byproduct-SCM share of SCM blend (fly ash, slag, natural pozzolans - ~0 additional process energy)</t>
        </is>
      </c>
      <c r="B5">
        <f>1-B3</f>
        <v/>
      </c>
    </row>
    <row r="6">
      <c r="A6" t="inlineStr">
        <is>
          <t>Byproduct-SCM production energy (BTU/metric ton, waste/byproduct stream)</t>
        </is>
      </c>
      <c r="B6" t="n">
        <v>0</v>
      </c>
    </row>
    <row r="7">
      <c r="A7" s="1" t="inlineStr">
        <is>
          <t>SCMEI = clay share x clay energy + byproduct share x byproduct energy</t>
        </is>
      </c>
      <c r="B7" s="1">
        <f>B3*B4+B5*B6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s="1" t="inlineStr">
        <is>
          <t>Cross-check: 'SCMEI' export-tab literal value vs. Derivation formula result</t>
        </is>
      </c>
    </row>
    <row r="3">
      <c r="A3" t="inlineStr">
        <is>
          <t>Export literal</t>
        </is>
      </c>
      <c r="B3" t="n">
        <v>1000000</v>
      </c>
    </row>
    <row r="4">
      <c r="A4" t="inlineStr">
        <is>
          <t>Derivation formula</t>
        </is>
      </c>
      <c r="B4">
        <f>Derivation!B7</f>
        <v/>
      </c>
    </row>
    <row r="5">
      <c r="A5" t="inlineStr">
        <is>
          <t>ABS(Export - Derivation)</t>
        </is>
      </c>
      <c r="B5">
        <f>ABS(B3-B4)</f>
        <v/>
      </c>
    </row>
    <row r="6">
      <c r="A6" s="1" t="inlineStr">
        <is>
          <t>Result</t>
        </is>
      </c>
      <c r="B6">
        <f>IF(B5&lt;0.000001,"PASS","FAIL")</f>
        <v/>
      </c>
    </row>
    <row r="8">
      <c r="A8" s="1" t="inlineStr">
        <is>
          <t>Range check: 0 &lt;= SCMEI &lt;= 3,000,000</t>
        </is>
      </c>
      <c r="B8">
        <f>IF(AND(B3&gt;=0,B3&lt;=3000000),"PASS","FAIL")</f>
        <v/>
      </c>
    </row>
  </sheetData>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B2"/>
  <sheetViews>
    <sheetView workbookViewId="0">
      <selection activeCell="A1" sqref="A1"/>
    </sheetView>
  </sheetViews>
  <sheetFormatPr baseColWidth="8" defaultRowHeight="15"/>
  <sheetData>
    <row r="1">
      <c r="A1" t="inlineStr">
        <is>
          <t>Unit: BTU/metric ton SCM (DRAFT 1.0e6 = ~50% calcined-clay share x ~2 GJ/t clay calcination; byproduct SCMs ~0 - verify before release)</t>
        </is>
      </c>
      <c r="B1" t="inlineStr">
        <is>
          <t>Value</t>
        </is>
      </c>
    </row>
    <row r="2">
      <c r="A2" t="inlineStr">
        <is>
          <t>SCM Production Energy per Ton of Substitution</t>
        </is>
      </c>
      <c r="B2" t="n">
        <v>1000000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2026-08-26T13:56:26Z</dcterms:created>
  <dcterms:modified xsi:type="dcterms:W3CDTF">2026-08-26T13:56:26Z</dcterms:modified>
</cp:coreProperties>
</file>