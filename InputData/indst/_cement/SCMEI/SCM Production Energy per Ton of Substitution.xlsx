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SCMEI\"/>
    </mc:Choice>
  </mc:AlternateContent>
  <xr:revisionPtr revIDLastSave="0" documentId="13_ncr:1_{0BD48FE7-93DA-4CBA-9882-DBDEE2D7EABB}" xr6:coauthVersionLast="47" xr6:coauthVersionMax="47" xr10:uidLastSave="{00000000-0000-0000-0000-000000000000}"/>
  <bookViews>
    <workbookView xWindow="-120" yWindow="-120" windowWidth="29040" windowHeight="17520" xr2:uid="{00000000-000D-0000-FFFF-FFFF00000000}"/>
  </bookViews>
  <sheets>
    <sheet name="About" sheetId="1" r:id="rId1"/>
    <sheet name="Derivation" sheetId="2" r:id="rId2"/>
    <sheet name="Checks" sheetId="3" r:id="rId3"/>
    <sheet name="SCMEI"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B7" i="2" s="1"/>
  <c r="B2" i="4" l="1"/>
  <c r="B3" i="3" s="1"/>
</calcChain>
</file>

<file path=xl/sharedStrings.xml><?xml version="1.0" encoding="utf-8"?>
<sst xmlns="http://schemas.openxmlformats.org/spreadsheetml/2006/main" count="30" uniqueCount="30">
  <si>
    <t>SCMEI SCM Production Energy per Ton of Substitution</t>
  </si>
  <si>
    <t>Sources:</t>
  </si>
  <si>
    <t>Technology Roadmap: Low-Carbon Transition in the Cement Industry</t>
  </si>
  <si>
    <t>https://www.iea.org/reports/technology-roadmap-low-carbon-transition-in-the-cement-industry</t>
  </si>
  <si>
    <t>LC3 - Low Carbon Cements based on Limestone Calcined Clay</t>
  </si>
  <si>
    <t>https://lc3.ch/</t>
  </si>
  <si>
    <t>Notes:</t>
  </si>
  <si>
    <t>SCMEI derivation: blended calcined-clay + byproduct-SCM production energy</t>
  </si>
  <si>
    <t>Calcined-clay calcination energy (BTU/metric ton clay, ~2 GJ/t per LC3 literature)</t>
  </si>
  <si>
    <t>Byproduct-SCM share of SCM blend (fly ash, slag, natural pozzolans - ~0 additional process energy)</t>
  </si>
  <si>
    <t>Byproduct-SCM production energy (BTU/metric ton, waste/byproduct stream)</t>
  </si>
  <si>
    <t>SCMEI = clay share x clay energy + byproduct share x byproduct energy</t>
  </si>
  <si>
    <t>Value</t>
  </si>
  <si>
    <t>SCM Production Energy per Ton of Substitution</t>
  </si>
  <si>
    <t>Checks</t>
  </si>
  <si>
    <t>Value between 0 and 3,000,000 BTU/t</t>
  </si>
  <si>
    <t>Energy to calcine clay</t>
  </si>
  <si>
    <t>LC3 Project (EPFL and partners)</t>
  </si>
  <si>
    <t>Calcined clay for LC3-type cement is made by flash-calcining kaolinitic clay at roughly 700-850 C, reported at about 2 GJ per metric ton of calcined clay, well below the 3.5-4 GJ per ton needed to make clinker. We use 2,000,000 BTU per metric ton (about 2.1 GJ), entered on the 'Derivation' tab. The figure comes from the project website and summary literature, not a single audited life-cycle study.</t>
  </si>
  <si>
    <t>Cross-check that calcined clay carries a real energy cost</t>
  </si>
  <si>
    <t>International Energy Agency</t>
  </si>
  <si>
    <t>The roadmap reports that moving to calcined-clay blends such as LC3 raises plant thermal energy use by roughly 11% relative to plain Portland cement because of the added calcination step. We use it only to confirm that calcined clay has a real energy cost, unlike byproduct materials; it is not a per-ton figure and does not enter the calculation.</t>
  </si>
  <si>
    <t>Purpose and layout</t>
  </si>
  <si>
    <t>This file gives the thermal energy needed to produce one metric ton of the supplementary cementitious material (SCM) that replaces clinker when the clinker-substitution lever is used, in BTU per metric ton. The EPS cement module multiplies it by the extra SCM tonnage the lever creates and adds the result to the cement industry's natural gas use. It is a single number, not a time series.
The tabs run from inputs to output. 'Derivation' holds the blend assumptions and the arithmetic, and these are the values a user might change. 'Checks' tests that the result is between 0 and 3,000,000 BTU per ton. The 'SCMEI' tab reads from 'Derivation' by formula and is what gets exported to SCMEI.csv.</t>
  </si>
  <si>
    <t>How the value is built</t>
  </si>
  <si>
    <t>We treat the SCM as a half-and-half blend. Calcined clay needs about 2,000,000 BTU per ton to calcine. Byproduct SCMs such as fly ash, slag, and natural pozzolans are waste or byproduct streams from other industries and need essentially no added process energy, so we set them to zero. The blend is 50% x 2,000,000 + 50% x 0 = 1,000,000 BTU per metric ton. The 50% clay share is our own judgment; no U.S. forecast of the SCM mix was used, and it should move if the clay share of SCM supply is better known.</t>
  </si>
  <si>
    <t>Fuel</t>
  </si>
  <si>
    <t>All of the energy is booked to natural gas, because clay calciners and kilns of this type are conventionally gas- or coal-fired. The byproduct share contributes no fuel, so no other fuel split is needed.</t>
  </si>
  <si>
    <t>Calcined-clay share of SCM blend (EI judgment)</t>
  </si>
  <si>
    <t>Unit: BTU/metric ton SCM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</si>
</sst>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u/>
      <sz val="11"/>
      <color rgb="FF0563C1"/>
      <name val="Calibri"/>
      <family val="2"/>
      <scheme val="minor"/>
    </font>
  </fonts>
  <fills count="3">
    <fill>
      <patternFill patternType="none"/>
    </fill>
    <fill>
      <patternFill patternType="gray125"/>
    </fill>
    <fill>
      <patternFill patternType="solid">
        <fgColor rgb="FFD9D9D9"/>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8">
    <xf numFmtId="0" fontId="0" fillId="0" borderId="0" xfId="0"/>
    <xf numFmtId="0" fontId="1" fillId="0" borderId="0" xfId="0" applyFont="1"/>
    <xf numFmtId="0" fontId="2" fillId="0" borderId="0" xfId="0" applyFont="1"/>
    <xf numFmtId="0" fontId="2" fillId="0" borderId="0" xfId="0" applyFont="1" applyAlignment="1">
      <alignment horizontal="left" vertical="top" wrapText="1"/>
    </xf>
    <xf numFmtId="0" fontId="2" fillId="0" borderId="0" xfId="0" applyFont="1" applyAlignment="1">
      <alignment horizontal="left" vertical="top"/>
    </xf>
    <xf numFmtId="0" fontId="2" fillId="2" borderId="0" xfId="0" applyFont="1" applyFill="1" applyAlignment="1">
      <alignment horizontal="left" vertical="top" wrapText="1"/>
    </xf>
    <xf numFmtId="0" fontId="0" fillId="0" borderId="0" xfId="0" applyAlignment="1">
      <alignment horizontal="left" vertical="top" wrapText="1"/>
    </xf>
    <xf numFmtId="0" fontId="4" fillId="0" borderId="0" xfId="1" applyFont="1" applyAlignment="1">
      <alignment horizontal="lef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iea.org/reports/technology-roadmap-low-carbon-transition-in-the-cement-industry" TargetMode="External"/><Relationship Id="rId1" Type="http://schemas.openxmlformats.org/officeDocument/2006/relationships/hyperlink" Target="https://lc3.ch/"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1"/>
  <sheetViews>
    <sheetView tabSelected="1" workbookViewId="0"/>
  </sheetViews>
  <sheetFormatPr defaultRowHeight="15" x14ac:dyDescent="0.25"/>
  <cols>
    <col min="1" max="1" width="14.7109375" customWidth="1"/>
    <col min="2" max="2" width="110.7109375" customWidth="1"/>
    <col min="3" max="3" width="3.7109375" customWidth="1"/>
  </cols>
  <sheetData>
    <row r="1" spans="1:2" x14ac:dyDescent="0.25">
      <c r="A1" s="4" t="s">
        <v>0</v>
      </c>
    </row>
    <row r="3" spans="1:2" x14ac:dyDescent="0.25">
      <c r="A3" s="3" t="s">
        <v>1</v>
      </c>
      <c r="B3" s="5" t="s">
        <v>16</v>
      </c>
    </row>
    <row r="4" spans="1:2" x14ac:dyDescent="0.25">
      <c r="B4" s="6" t="s">
        <v>17</v>
      </c>
    </row>
    <row r="5" spans="1:2" x14ac:dyDescent="0.25">
      <c r="B5" s="6" t="s">
        <v>4</v>
      </c>
    </row>
    <row r="6" spans="1:2" x14ac:dyDescent="0.25">
      <c r="B6" s="6">
        <v>2024</v>
      </c>
    </row>
    <row r="7" spans="1:2" x14ac:dyDescent="0.25">
      <c r="B7" s="7" t="s">
        <v>5</v>
      </c>
    </row>
    <row r="8" spans="1:2" ht="60" x14ac:dyDescent="0.25">
      <c r="B8" s="6" t="s">
        <v>18</v>
      </c>
    </row>
    <row r="10" spans="1:2" x14ac:dyDescent="0.25">
      <c r="B10" s="5" t="s">
        <v>19</v>
      </c>
    </row>
    <row r="11" spans="1:2" x14ac:dyDescent="0.25">
      <c r="B11" s="6" t="s">
        <v>20</v>
      </c>
    </row>
    <row r="12" spans="1:2" x14ac:dyDescent="0.25">
      <c r="B12" s="6" t="s">
        <v>2</v>
      </c>
    </row>
    <row r="13" spans="1:2" x14ac:dyDescent="0.25">
      <c r="B13" s="6">
        <v>2018</v>
      </c>
    </row>
    <row r="14" spans="1:2" x14ac:dyDescent="0.25">
      <c r="B14" s="7" t="s">
        <v>3</v>
      </c>
    </row>
    <row r="15" spans="1:2" ht="45" x14ac:dyDescent="0.25">
      <c r="B15" s="6" t="s">
        <v>21</v>
      </c>
    </row>
    <row r="18" spans="1:2" x14ac:dyDescent="0.25">
      <c r="A18" s="3" t="s">
        <v>6</v>
      </c>
    </row>
    <row r="19" spans="1:2" ht="120" x14ac:dyDescent="0.25">
      <c r="A19" s="3" t="s">
        <v>22</v>
      </c>
      <c r="B19" s="6" t="s">
        <v>23</v>
      </c>
    </row>
    <row r="20" spans="1:2" ht="75" x14ac:dyDescent="0.25">
      <c r="A20" s="3" t="s">
        <v>24</v>
      </c>
      <c r="B20" s="6" t="s">
        <v>25</v>
      </c>
    </row>
    <row r="21" spans="1:2" ht="30" x14ac:dyDescent="0.25">
      <c r="A21" s="3" t="s">
        <v>26</v>
      </c>
      <c r="B21" s="6" t="s">
        <v>27</v>
      </c>
    </row>
  </sheetData>
  <hyperlinks>
    <hyperlink ref="B7" r:id="rId1" xr:uid="{D986EDBF-0C5E-4687-ABC3-CFF076DAA986}"/>
    <hyperlink ref="B14" r:id="rId2" xr:uid="{84EBF333-DAA6-4E83-A2B2-4FADF354C64F}"/>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heetViews>
  <sheetFormatPr defaultRowHeight="15" x14ac:dyDescent="0.25"/>
  <sheetData>
    <row r="1" spans="1:2" x14ac:dyDescent="0.25">
      <c r="A1" s="1" t="s">
        <v>7</v>
      </c>
    </row>
    <row r="3" spans="1:2" x14ac:dyDescent="0.25">
      <c r="A3" t="s">
        <v>28</v>
      </c>
      <c r="B3">
        <v>0.5</v>
      </c>
    </row>
    <row r="4" spans="1:2" x14ac:dyDescent="0.25">
      <c r="A4" t="s">
        <v>8</v>
      </c>
      <c r="B4">
        <v>2000000</v>
      </c>
    </row>
    <row r="5" spans="1:2" x14ac:dyDescent="0.25">
      <c r="A5" t="s">
        <v>9</v>
      </c>
      <c r="B5">
        <f>1-B3</f>
        <v>0.5</v>
      </c>
    </row>
    <row r="6" spans="1:2" x14ac:dyDescent="0.25">
      <c r="A6" t="s">
        <v>10</v>
      </c>
      <c r="B6">
        <v>0</v>
      </c>
    </row>
    <row r="7" spans="1:2" x14ac:dyDescent="0.25">
      <c r="A7" s="1" t="s">
        <v>11</v>
      </c>
      <c r="B7" s="1">
        <f>B3*B4+B5*B6</f>
        <v>1000000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3"/>
  <sheetViews>
    <sheetView workbookViewId="0"/>
  </sheetViews>
  <sheetFormatPr defaultRowHeight="15" x14ac:dyDescent="0.25"/>
  <cols>
    <col min="1" max="1" width="70.7109375" customWidth="1"/>
    <col min="2" max="2" width="12.7109375" customWidth="1"/>
  </cols>
  <sheetData>
    <row r="1" spans="1:2" x14ac:dyDescent="0.25">
      <c r="A1" s="2" t="s">
        <v>14</v>
      </c>
    </row>
    <row r="3" spans="1:2" x14ac:dyDescent="0.25">
      <c r="A3" t="s">
        <v>15</v>
      </c>
      <c r="B3" t="str">
        <f>IF(AND(SCMEI!B2&gt;=0,SCMEI!B2&lt;=3000000),"PASS","FAIL")</f>
        <v>PASS</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sheetPr>
  <dimension ref="A1:B2"/>
  <sheetViews>
    <sheetView workbookViewId="0"/>
  </sheetViews>
  <sheetFormatPr defaultRowHeight="15" x14ac:dyDescent="0.25"/>
  <sheetData>
    <row r="1" spans="1:2" x14ac:dyDescent="0.25">
      <c r="A1" t="s">
        <v>29</v>
      </c>
      <c r="B1" t="s">
        <v>12</v>
      </c>
    </row>
    <row r="2" spans="1:2" x14ac:dyDescent="0.25">
      <c r="A2" t="s">
        <v>13</v>
      </c>
      <c r="B2">
        <f>Derivation!B7</f>
        <v>1000000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Derivation</vt:lpstr>
      <vt:lpstr>Checks</vt:lpstr>
      <vt:lpstr>SCMEI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2026-08-26T13:56:26Z</dcterms:created>
  <dcterms:modified xsi:type="dcterms:W3CDTF">2026-10-05T17:22:14Z</dcterms:modified>
</cp:coreProperties>
</file>