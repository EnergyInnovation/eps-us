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SCMEI\"/>
    </mc:Choice>
  </mc:AlternateContent>
  <xr:revisionPtr revIDLastSave="0" documentId="13_ncr:1_{86C3C6B2-DA92-4760-BD78-211BE8226419}" xr6:coauthVersionLast="47" xr6:coauthVersionMax="47" xr10:uidLastSave="{00000000-0000-0000-0000-000000000000}"/>
  <bookViews>
    <workbookView xWindow="-110" yWindow="-110" windowWidth="19420" windowHeight="11500" xr2:uid="{00000000-000D-0000-FFFF-FFFF00000000}"/>
  </bookViews>
  <sheets>
    <sheet name="About" sheetId="1" r:id="rId1"/>
    <sheet name="Derivation" sheetId="2" r:id="rId2"/>
    <sheet name="Checks" sheetId="3" r:id="rId3"/>
    <sheet name="SCMEI"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C6" i="2"/>
  <c r="C9" i="2" s="1"/>
  <c r="B12" i="2" s="1"/>
  <c r="B2" i="4" l="1"/>
  <c r="B3" i="3" s="1"/>
</calcChain>
</file>

<file path=xl/sharedStrings.xml><?xml version="1.0" encoding="utf-8"?>
<sst xmlns="http://schemas.openxmlformats.org/spreadsheetml/2006/main" count="46" uniqueCount="46">
  <si>
    <t>SCMEI SCM Production Energy per Ton of Substitution</t>
  </si>
  <si>
    <t>Sources:</t>
  </si>
  <si>
    <t>Notes:</t>
  </si>
  <si>
    <t>Value</t>
  </si>
  <si>
    <t>SCM Production Energy per Ton of Substitution</t>
  </si>
  <si>
    <t>Checks</t>
  </si>
  <si>
    <t>Value between 0 and 3,000,000 BTU/t</t>
  </si>
  <si>
    <t>Energy to calcine clay</t>
  </si>
  <si>
    <t>Purpose and layout</t>
  </si>
  <si>
    <t>How the value is built</t>
  </si>
  <si>
    <t>Fuel</t>
  </si>
  <si>
    <t>Unit: BTU/metric ton SCM</t>
  </si>
  <si>
    <t>SCMEI: thermal energy to produce the marginal SCM mix (share-weighted)</t>
  </si>
  <si>
    <t>SCM type</t>
  </si>
  <si>
    <t>Share of marginal SCM</t>
  </si>
  <si>
    <t>Thermal energy (GJ/metric ton)</t>
  </si>
  <si>
    <t>Calcined clay (flash or rotary calcination)</t>
  </si>
  <si>
    <t>Additional limestone</t>
  </si>
  <si>
    <t>Fly ash (75% harvested and dried at 0.9 GJ/t; 25% fresh at 0)</t>
  </si>
  <si>
    <t>Granulated blast-furnace slag (drying)</t>
  </si>
  <si>
    <t>Natural pozzolan (drying)</t>
  </si>
  <si>
    <t>Total / weighted energy (GJ/t)</t>
  </si>
  <si>
    <t>BTU per GJ</t>
  </si>
  <si>
    <t>RILEM TC 282-CCL (Hanein et al.), Materials and Structures</t>
  </si>
  <si>
    <t>Clay calcination technology: state-of-the-art review by the RILEM TC 282-CCL</t>
  </si>
  <si>
    <t>https://eprints.whiterose.ac.uk/id/eprint/181859/</t>
  </si>
  <si>
    <t>The theoretical minimum is 1.51 MJ per kg of calcined clay; at the 50-70% thermal efficiency of real calciners that is 2.2-3.0 GJ per metric ton. LC3 project material (Grimmeissen, 2019) gives 2.0-2.5 GJ for flash calciners and 2.8-3.0 GJ for rotary kilns. We use 2.3 GJ.</t>
  </si>
  <si>
    <t>Limits on slag supply</t>
  </si>
  <si>
    <t>U.S. Geological Survey</t>
  </si>
  <si>
    <t>Mineral Commodity Summaries 2026: Iron and Steel Slag</t>
  </si>
  <si>
    <t>https://pubs.usgs.gov/periodicals/mcs2026/mcs2026-iron-steel-slag.pdf</t>
  </si>
  <si>
    <t>Granulated blast-furnace slag is under 30% of the 16 million metric tons of slag sold in the U.S., and imports of about 2.1 million tons (mostly from Japan) are expected to decline, so slag cannot supply much of the increase.</t>
  </si>
  <si>
    <t>Which SCM grows</t>
  </si>
  <si>
    <t>U.S. Department of Energy</t>
  </si>
  <si>
    <t>Transformative Pathways for U.S. Industry: Unlocking American Innovation</t>
  </si>
  <si>
    <t>https://www.energy.gov/sites/default/files/2025-01/transformative-pathways-for-us-industry.pdf</t>
  </si>
  <si>
    <t>Assumes all growth in SCM use comes from limestone calcined clay (LC3), which sets the upper bound on the calcined-clay share. Fresh coal fly ash is declining with coal plant retirements (ACAA reports 14.6 million tons used in 2024), leaving harvested landfill and pond ash as the growing source.</t>
  </si>
  <si>
    <t>Processing energy for natural pozzolans</t>
  </si>
  <si>
    <t>Geofortis Pozzolans (environmental product declaration, ASTM program)</t>
  </si>
  <si>
    <t>Environmental Product Declaration: natural pozzolan</t>
  </si>
  <si>
    <t>https://www.astm.org/v3/assets/blt5eb0a2cb04534832/bltbb4ced4c2501671d/697b20f91ff8dac01e1f2afc/944.Geofortis_EPD_Revised.pdf</t>
  </si>
  <si>
    <t>Natural pozzolan is gas-dried and ball-milled; we infer about 0.3 GJ of heat per metric ton. Some producers use quarry fines that need almost no heat.</t>
  </si>
  <si>
    <t>This file gives the thermal energy needed to produce one metric ton of the supplementary cementitious material (SCM) that replaces clinker when the clinker-substitution lever is used, in BTU per metric ton. The EPS cement module multiplies it by the extra SCM tonnage the lever creates and adds the result to the cement industry's natural gas use. It is a single number, not a time series.
'Derivation' holds the mix of SCM types and the energy each needs, and these are the values a user might change. 'Checks' tests that the result is between 0 and 3,000,000 BTU per ton. The 'SCMEI' tab reads from 'Derivation' by formula and is exported to SCMEI.csv.</t>
  </si>
  <si>
    <t>All of the energy is booked to natural gas, the usual fuel for clay calciners and dryers. Grinding electricity (about 30-45 kWh per metric ton of SCM) is left out, because the clinker it displaces saves a similar amount.</t>
  </si>
  <si>
    <t>SCMEI (BTU per metric ton SCM)</t>
  </si>
  <si>
    <t>The extra SCM is a mix: calcined clay 50%, additional limestone 15%, fly ash 15%, granulated slag 15%, and natural pozzolan 5%. Calcined clay is the remainder once realistic growth in the other materials is counted, because fresh fly ash is shrinking and slag supply is capped. Energy per metric ton: calcined clay 2.3 GJ, harvested fly ash 0.9 GJ for drying (about three quarters of the fly ash; fresh ash needs none), slag 0.3 GJ, natural pozzolan 0.3 GJ, limestone none. The weighted total is 1.31 GJ, or 1,242,825 BTU per metric ton. A reasonable range is 720,000-2,160,000. The mix and the fly ash, slag and pozzolan energy values are our own estimates; no U.S. study gives a marginal SCM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</si>
</sst>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 fillId="2" borderId="0" xfId="0" applyFont="1" applyFill="1" applyAlignment="1">
      <alignment horizontal="left" vertical="top" wrapText="1"/>
    </xf>
    <xf numFmtId="0" fontId="3"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nergy.gov/sites/default/files/2025-01/transformative-pathways-for-us-industry.pdf" TargetMode="External"/><Relationship Id="rId2" Type="http://schemas.openxmlformats.org/officeDocument/2006/relationships/hyperlink" Target="https://pubs.usgs.gov/periodicals/mcs2026/mcs2026-iron-steel-slag.pdf" TargetMode="External"/><Relationship Id="rId1" Type="http://schemas.openxmlformats.org/officeDocument/2006/relationships/hyperlink" Target="https://eprints.whiterose.ac.uk/id/eprint/181859/" TargetMode="External"/><Relationship Id="rId4" Type="http://schemas.openxmlformats.org/officeDocument/2006/relationships/hyperlink" Target="https://www.astm.org/v3/assets/blt5eb0a2cb04534832/bltbb4ced4c2501671d/697b20f91ff8dac01e1f2afc/944.Geofortis_EPD_Revis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3" t="s">
        <v>0</v>
      </c>
    </row>
    <row r="3" spans="1:2" x14ac:dyDescent="0.35">
      <c r="A3" s="2" t="s">
        <v>1</v>
      </c>
      <c r="B3" s="4" t="s">
        <v>7</v>
      </c>
    </row>
    <row r="4" spans="1:2" x14ac:dyDescent="0.35">
      <c r="B4" s="6" t="s">
        <v>23</v>
      </c>
    </row>
    <row r="5" spans="1:2" x14ac:dyDescent="0.35">
      <c r="B5" s="6" t="s">
        <v>24</v>
      </c>
    </row>
    <row r="6" spans="1:2" x14ac:dyDescent="0.35">
      <c r="B6" s="6">
        <v>2022</v>
      </c>
    </row>
    <row r="7" spans="1:2" x14ac:dyDescent="0.35">
      <c r="B7" s="5" t="s">
        <v>25</v>
      </c>
    </row>
    <row r="8" spans="1:2" ht="43.5" x14ac:dyDescent="0.35">
      <c r="B8" s="6" t="s">
        <v>26</v>
      </c>
    </row>
    <row r="10" spans="1:2" x14ac:dyDescent="0.35">
      <c r="B10" s="4" t="s">
        <v>27</v>
      </c>
    </row>
    <row r="11" spans="1:2" x14ac:dyDescent="0.35">
      <c r="B11" s="6" t="s">
        <v>28</v>
      </c>
    </row>
    <row r="12" spans="1:2" x14ac:dyDescent="0.35">
      <c r="B12" s="6" t="s">
        <v>29</v>
      </c>
    </row>
    <row r="13" spans="1:2" x14ac:dyDescent="0.35">
      <c r="B13" s="6">
        <v>2026</v>
      </c>
    </row>
    <row r="14" spans="1:2" x14ac:dyDescent="0.35">
      <c r="B14" s="5" t="s">
        <v>30</v>
      </c>
    </row>
    <row r="15" spans="1:2" ht="29" x14ac:dyDescent="0.35">
      <c r="B15" s="6" t="s">
        <v>31</v>
      </c>
    </row>
    <row r="17" spans="1:2" x14ac:dyDescent="0.35">
      <c r="B17" s="4" t="s">
        <v>32</v>
      </c>
    </row>
    <row r="18" spans="1:2" x14ac:dyDescent="0.35">
      <c r="B18" s="6" t="s">
        <v>33</v>
      </c>
    </row>
    <row r="19" spans="1:2" x14ac:dyDescent="0.35">
      <c r="B19" s="6" t="s">
        <v>34</v>
      </c>
    </row>
    <row r="20" spans="1:2" x14ac:dyDescent="0.35">
      <c r="B20" s="6">
        <v>2025</v>
      </c>
    </row>
    <row r="21" spans="1:2" x14ac:dyDescent="0.35">
      <c r="B21" s="5" t="s">
        <v>35</v>
      </c>
    </row>
    <row r="22" spans="1:2" ht="43.5" x14ac:dyDescent="0.35">
      <c r="B22" s="6" t="s">
        <v>36</v>
      </c>
    </row>
    <row r="24" spans="1:2" x14ac:dyDescent="0.35">
      <c r="B24" s="4" t="s">
        <v>37</v>
      </c>
    </row>
    <row r="25" spans="1:2" x14ac:dyDescent="0.35">
      <c r="B25" s="6" t="s">
        <v>38</v>
      </c>
    </row>
    <row r="26" spans="1:2" x14ac:dyDescent="0.35">
      <c r="B26" s="6" t="s">
        <v>39</v>
      </c>
    </row>
    <row r="27" spans="1:2" x14ac:dyDescent="0.35">
      <c r="B27" s="6">
        <v>2025</v>
      </c>
    </row>
    <row r="28" spans="1:2" ht="29" x14ac:dyDescent="0.35">
      <c r="B28" s="5" t="s">
        <v>40</v>
      </c>
    </row>
    <row r="29" spans="1:2" ht="29" x14ac:dyDescent="0.35">
      <c r="B29" s="6" t="s">
        <v>41</v>
      </c>
    </row>
    <row r="32" spans="1:2" x14ac:dyDescent="0.35">
      <c r="A32" s="2" t="s">
        <v>2</v>
      </c>
    </row>
    <row r="33" spans="1:2" ht="116" x14ac:dyDescent="0.35">
      <c r="A33" s="2" t="s">
        <v>8</v>
      </c>
      <c r="B33" s="6" t="s">
        <v>42</v>
      </c>
    </row>
    <row r="34" spans="1:2" ht="87" x14ac:dyDescent="0.35">
      <c r="A34" s="2" t="s">
        <v>9</v>
      </c>
      <c r="B34" s="6" t="s">
        <v>45</v>
      </c>
    </row>
    <row r="35" spans="1:2" ht="29" x14ac:dyDescent="0.35">
      <c r="A35" s="2" t="s">
        <v>10</v>
      </c>
      <c r="B35" s="6" t="s">
        <v>43</v>
      </c>
    </row>
  </sheetData>
  <hyperlinks>
    <hyperlink ref="B7" r:id="rId1" xr:uid="{EE1980E7-B099-49FF-BA7E-17D0B52EEC6F}"/>
    <hyperlink ref="B14" r:id="rId2" xr:uid="{E66DD3D7-D521-4DE9-80A7-6DAA5A6D45B6}"/>
    <hyperlink ref="B21" r:id="rId3" xr:uid="{E794735F-CA37-411C-97AE-6C505BB2F7A5}"/>
    <hyperlink ref="B28" r:id="rId4" xr:uid="{1CCC15B1-6D64-4B6C-8997-FD30C668095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heetViews>
  <sheetFormatPr defaultRowHeight="14.5" x14ac:dyDescent="0.35"/>
  <cols>
    <col min="1" max="1" width="51.36328125" customWidth="1"/>
  </cols>
  <sheetData>
    <row r="1" spans="1:3" x14ac:dyDescent="0.35">
      <c r="A1" s="1" t="s">
        <v>12</v>
      </c>
    </row>
    <row r="3" spans="1:3" x14ac:dyDescent="0.35">
      <c r="A3" s="1" t="s">
        <v>13</v>
      </c>
      <c r="B3" s="1" t="s">
        <v>14</v>
      </c>
      <c r="C3" s="1" t="s">
        <v>15</v>
      </c>
    </row>
    <row r="4" spans="1:3" x14ac:dyDescent="0.35">
      <c r="A4" t="s">
        <v>16</v>
      </c>
      <c r="B4">
        <v>0.5</v>
      </c>
      <c r="C4">
        <v>2.2999999999999998</v>
      </c>
    </row>
    <row r="5" spans="1:3" x14ac:dyDescent="0.35">
      <c r="A5" t="s">
        <v>17</v>
      </c>
      <c r="B5">
        <v>0.15</v>
      </c>
      <c r="C5">
        <v>0</v>
      </c>
    </row>
    <row r="6" spans="1:3" x14ac:dyDescent="0.35">
      <c r="A6" t="s">
        <v>18</v>
      </c>
      <c r="B6">
        <v>0.15</v>
      </c>
      <c r="C6">
        <f>0.75*0.9</f>
        <v>0.67500000000000004</v>
      </c>
    </row>
    <row r="7" spans="1:3" x14ac:dyDescent="0.35">
      <c r="A7" t="s">
        <v>19</v>
      </c>
      <c r="B7">
        <v>0.15</v>
      </c>
      <c r="C7">
        <v>0.3</v>
      </c>
    </row>
    <row r="8" spans="1:3" x14ac:dyDescent="0.35">
      <c r="A8" t="s">
        <v>20</v>
      </c>
      <c r="B8">
        <v>0.05</v>
      </c>
      <c r="C8">
        <v>0.3</v>
      </c>
    </row>
    <row r="9" spans="1:3" x14ac:dyDescent="0.35">
      <c r="A9" t="s">
        <v>21</v>
      </c>
      <c r="B9">
        <f>SUM(B4:B8)</f>
        <v>1</v>
      </c>
      <c r="C9">
        <f>SUMPRODUCT(B4:B8,C4:C8)</f>
        <v>1.3112499999999998</v>
      </c>
    </row>
    <row r="11" spans="1:3" x14ac:dyDescent="0.35">
      <c r="A11" t="s">
        <v>22</v>
      </c>
      <c r="B11">
        <v>947817</v>
      </c>
    </row>
    <row r="12" spans="1:3" x14ac:dyDescent="0.35">
      <c r="A12" t="s">
        <v>44</v>
      </c>
      <c r="B12">
        <f>(C9*B11)</f>
        <v>1242825.0412499998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RowHeight="14.5" x14ac:dyDescent="0.35"/>
  <cols>
    <col min="1" max="1" width="70.7265625" customWidth="1"/>
    <col min="2" max="2" width="12.7265625" customWidth="1"/>
  </cols>
  <sheetData>
    <row r="1" spans="1:2" x14ac:dyDescent="0.35">
      <c r="A1" s="1" t="s">
        <v>5</v>
      </c>
    </row>
    <row r="3" spans="1:2" x14ac:dyDescent="0.35">
      <c r="A3" t="s">
        <v>6</v>
      </c>
      <c r="B3" t="str">
        <f>IF(AND(SCMEI!B2&gt;=0,SCMEI!B2&lt;=3000000),"PASS","FAIL")</f>
        <v>PASS</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B2"/>
  <sheetViews>
    <sheetView workbookViewId="0"/>
  </sheetViews>
  <sheetFormatPr defaultRowHeight="14.5" x14ac:dyDescent="0.35"/>
  <sheetData>
    <row r="1" spans="1:2" x14ac:dyDescent="0.35">
      <c r="A1" t="s">
        <v>11</v>
      </c>
      <c r="B1" t="s">
        <v>3</v>
      </c>
    </row>
    <row r="2" spans="1:2" x14ac:dyDescent="0.35">
      <c r="A2" t="s">
        <v>4</v>
      </c>
      <c r="B2">
        <f>Derivation!B12</f>
        <v>1242825.0412499998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Derivation</vt:lpstr>
      <vt:lpstr>Checks</vt:lpstr>
      <vt:lpstr>SCMEI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2026-08-26T13:56:26Z</dcterms:created>
  <dcterms:modified xsi:type="dcterms:W3CDTF">2026-10-09T17:53:02Z</dcterms:modified>
</cp:coreProperties>
</file>