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SoIO\"/>
    </mc:Choice>
  </mc:AlternateContent>
  <xr:revisionPtr revIDLastSave="0" documentId="13_ncr:1_{DF3FC6A5-FEC8-43A7-A0AB-707A0A8D48BD}" xr6:coauthVersionLast="47" xr6:coauthVersionMax="47" xr10:uidLastSave="{00000000-0000-0000-0000-000000000000}"/>
  <bookViews>
    <workbookView xWindow="-110" yWindow="-110" windowWidth="19420" windowHeight="11500" xr2:uid="{00000000-000D-0000-FFFF-FFFF00000000}"/>
  </bookViews>
  <sheets>
    <sheet name="About" sheetId="1" r:id="rId1"/>
    <sheet name="Derivation" sheetId="2" r:id="rId2"/>
    <sheet name="CSoIO"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9" i="2" s="1"/>
  <c r="B2" i="4" l="1"/>
</calcChain>
</file>

<file path=xl/sharedStrings.xml><?xml version="1.0" encoding="utf-8"?>
<sst xmlns="http://schemas.openxmlformats.org/spreadsheetml/2006/main" count="41" uniqueCount="39">
  <si>
    <t>CSoIO Cement Share of Industry 239 Output</t>
  </si>
  <si>
    <t>Sources:</t>
  </si>
  <si>
    <t>Notes:</t>
  </si>
  <si>
    <t>Cement share of 239 output by value</t>
  </si>
  <si>
    <t>Quantity</t>
  </si>
  <si>
    <t>Value</t>
  </si>
  <si>
    <t>Basis</t>
  </si>
  <si>
    <t>Share</t>
  </si>
  <si>
    <t>cement share of 239 output</t>
  </si>
  <si>
    <t>Value of cement shipments (numerator)</t>
  </si>
  <si>
    <t>U.S. Geological Survey</t>
  </si>
  <si>
    <t>Mineral Commodity Summaries 2024: Cement</t>
  </si>
  <si>
    <t>https://pubs.usgs.gov/periodicals/mcs2024/mcs2024-cement.pdf</t>
  </si>
  <si>
    <t>In 2023, U.S. cement shipments were an estimated 110 million metric tons with an estimated value of $16 billion. The $16 billion is entered on the 'Derivation' tab. USGS rounds it to the nearest billion.</t>
  </si>
  <si>
    <t>Total output of industry 239 (denominator)</t>
  </si>
  <si>
    <t>EPS internal input</t>
  </si>
  <si>
    <t>BAU Output by ISIC Code (BObIC) input file, ISIC 239</t>
  </si>
  <si>
    <t>InputData/io-model/BObIC (EPS input file)</t>
  </si>
  <si>
    <t>Purpose and layout</t>
  </si>
  <si>
    <t>U.S. value</t>
  </si>
  <si>
    <t>Unit: dimensionless</t>
  </si>
  <si>
    <t>Cement value of shipments, 2023 ($B, nominal)</t>
  </si>
  <si>
    <t>USGS Mineral Commodity Summaries 2024: 2023 shipments of about 110 Mt valued at an estimated $16 billion</t>
  </si>
  <si>
    <t>CPI-U annual average, 2012</t>
  </si>
  <si>
    <t>BLS CPI-U, as in the EPS InputData/cpi.xlsx workbook</t>
  </si>
  <si>
    <t>CPI-U annual average, 2023</t>
  </si>
  <si>
    <t>Cement value of shipments, 2023 ($B, 2012 USD)</t>
  </si>
  <si>
    <t>Deflated to the model's 2012 dollars</t>
  </si>
  <si>
    <t>Model BAU Output[ISIC 239] ($B, 2012 USD, 2025)</t>
  </si>
  <si>
    <t>InputData/io-model/BObIC/BObIC.csv, ISIC 239 (the model's BAU output)</t>
  </si>
  <si>
    <t>Converting the numerator to 2012 dollars</t>
  </si>
  <si>
    <t>U.S. Bureau of Labor Statistics</t>
  </si>
  <si>
    <t>Consumer Price Index for All Urban Consumers (CPI-U), U.S. city average, annual averages</t>
  </si>
  <si>
    <t>https://data.bls.gov/pdq/SurveyOutputServlet</t>
  </si>
  <si>
    <t>Annual averages of 229.594 for 2012 and 304.702 for 2023, the same values as the EPS CPI workbook (InputData/cpi.xlsx). They are entered on the 'Derivation' tab and turn the $16 billion into about $12.1 billion in 2012 dollars.</t>
  </si>
  <si>
    <t>Business-as-usual 2025 output of ISIC 239 (cement and other nonmetallic minerals) in the model's input-output data, $103.978 billion in 2012 dollars, entered on the 'Derivation' tab from the BObIC file. We use the model's own figure so the share lines up with the input-output row it scales.</t>
  </si>
  <si>
    <t>This file gives cement's share of the total dollar output of industry 239 (cement and other nonmetallic minerals), as a number between 0 and 1. The cement-content-of-concrete lever cuts cement purchases only, not lime, concrete products, glass wool, or ceramics. The EPS multiplies the lever's percentage cut by this share to get the cut in buyers' requirements for industry 239 product, which is what the input-output dollar accounting needs. The same share is applied to all buying industries; construction is the dominant buyer of 239 products, and differences among buyers are not modeled.
The 'Derivation' tab holds the inputs, the conversion to 2012 dollars, and the division, and the 'CSoIO' tab reads from it by formula and is what gets exported to CSoIO.csv.</t>
  </si>
  <si>
    <t>Cement share of industry 239 output</t>
  </si>
  <si>
    <t>Both numbers are in the model's 2012 dollars. The $16 billion of 2023 cement shipments becomes about $12.1 billion in 2012 dollars using the CPI-U, and dividing by $103.978 billion of modeled 2025 industry 239 output gives 0.1159. The two figures are two years apart; real growth in that span is small next to the rounding in the USGS value. We use the model's own industry 239 output rather than an outside total for nonmetallic minerals, because the outside totals include glass, which EPS carries as a separate industry (ISIC 231). The USGS value is rounded to the nearest billion, so the share is good to about two significant figures.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</si>
</sst>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horizontal="left" vertical="top" wrapText="1"/>
    </xf>
    <xf numFmtId="0" fontId="1" fillId="0" borderId="0" xfId="0" applyFont="1" applyAlignment="1">
      <alignment horizontal="left" vertical="top"/>
    </xf>
    <xf numFmtId="0" fontId="1" fillId="2" borderId="0" xfId="0" applyFont="1" applyFill="1" applyAlignment="1">
      <alignment horizontal="left" vertical="top" wrapText="1"/>
    </xf>
    <xf numFmtId="0" fontId="3" fillId="0" borderId="0" xfId="1" applyFont="1" applyAlignment="1">
      <alignment horizontal="left" vertical="top" wrapText="1"/>
    </xf>
    <xf numFmtId="0" fontId="1" fillId="0" borderId="0" xfId="0" applyFont="1"/>
    <xf numFmtId="0" fontId="0"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ata.bls.gov/pdq/SurveyOutputServlet" TargetMode="External"/><Relationship Id="rId1" Type="http://schemas.openxmlformats.org/officeDocument/2006/relationships/hyperlink" Target="https://pubs.usgs.gov/periodicals/mcs2024/mcs2024-c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abSelected="1" workbookViewId="0"/>
  </sheetViews>
  <sheetFormatPr defaultRowHeight="14.5" x14ac:dyDescent="0.35"/>
  <cols>
    <col min="1" max="1" width="14.6328125" customWidth="1"/>
    <col min="2" max="2" width="110.6328125" customWidth="1"/>
    <col min="3" max="3" width="3.6328125" customWidth="1"/>
    <col min="4" max="4" width="9.08984375" customWidth="1"/>
  </cols>
  <sheetData>
    <row r="1" spans="1:2" x14ac:dyDescent="0.35">
      <c r="A1" s="2" t="s">
        <v>0</v>
      </c>
    </row>
    <row r="3" spans="1:2" x14ac:dyDescent="0.35">
      <c r="A3" s="1" t="s">
        <v>1</v>
      </c>
      <c r="B3" s="3" t="s">
        <v>9</v>
      </c>
    </row>
    <row r="4" spans="1:2" x14ac:dyDescent="0.35">
      <c r="B4" s="6" t="s">
        <v>10</v>
      </c>
    </row>
    <row r="5" spans="1:2" x14ac:dyDescent="0.35">
      <c r="B5" s="6" t="s">
        <v>11</v>
      </c>
    </row>
    <row r="6" spans="1:2" x14ac:dyDescent="0.35">
      <c r="B6" s="6">
        <v>2024</v>
      </c>
    </row>
    <row r="7" spans="1:2" x14ac:dyDescent="0.35">
      <c r="B7" s="4" t="s">
        <v>12</v>
      </c>
    </row>
    <row r="8" spans="1:2" ht="29" x14ac:dyDescent="0.35">
      <c r="B8" s="6" t="s">
        <v>13</v>
      </c>
    </row>
    <row r="10" spans="1:2" x14ac:dyDescent="0.35">
      <c r="B10" s="3" t="s">
        <v>30</v>
      </c>
    </row>
    <row r="11" spans="1:2" x14ac:dyDescent="0.35">
      <c r="B11" s="6" t="s">
        <v>31</v>
      </c>
    </row>
    <row r="12" spans="1:2" x14ac:dyDescent="0.35">
      <c r="B12" s="6" t="s">
        <v>32</v>
      </c>
    </row>
    <row r="13" spans="1:2" x14ac:dyDescent="0.35">
      <c r="B13" s="6">
        <v>2024</v>
      </c>
    </row>
    <row r="14" spans="1:2" x14ac:dyDescent="0.35">
      <c r="B14" s="4" t="s">
        <v>33</v>
      </c>
    </row>
    <row r="15" spans="1:2" ht="29" x14ac:dyDescent="0.35">
      <c r="B15" s="6" t="s">
        <v>34</v>
      </c>
    </row>
    <row r="17" spans="1:2" x14ac:dyDescent="0.35">
      <c r="B17" s="3" t="s">
        <v>14</v>
      </c>
    </row>
    <row r="18" spans="1:2" x14ac:dyDescent="0.35">
      <c r="B18" s="6" t="s">
        <v>15</v>
      </c>
    </row>
    <row r="19" spans="1:2" x14ac:dyDescent="0.35">
      <c r="B19" s="6" t="s">
        <v>16</v>
      </c>
    </row>
    <row r="20" spans="1:2" x14ac:dyDescent="0.35">
      <c r="B20" s="6">
        <v>2026</v>
      </c>
    </row>
    <row r="21" spans="1:2" x14ac:dyDescent="0.35">
      <c r="B21" s="6" t="s">
        <v>17</v>
      </c>
    </row>
    <row r="22" spans="1:2" ht="43.5" x14ac:dyDescent="0.35">
      <c r="B22" s="6" t="s">
        <v>35</v>
      </c>
    </row>
    <row r="25" spans="1:2" x14ac:dyDescent="0.35">
      <c r="A25" s="1" t="s">
        <v>2</v>
      </c>
    </row>
    <row r="26" spans="1:2" ht="116" x14ac:dyDescent="0.35">
      <c r="A26" s="1" t="s">
        <v>18</v>
      </c>
      <c r="B26" s="6" t="s">
        <v>36</v>
      </c>
    </row>
    <row r="27" spans="1:2" ht="87" x14ac:dyDescent="0.35">
      <c r="A27" s="1" t="s">
        <v>19</v>
      </c>
      <c r="B27" s="6" t="s">
        <v>38</v>
      </c>
    </row>
  </sheetData>
  <hyperlinks>
    <hyperlink ref="B7" r:id="rId1" xr:uid="{A5ADB789-D8DA-4C16-B0ED-0368DE79A086}"/>
    <hyperlink ref="B14" r:id="rId2" xr:uid="{D0D04B7F-36F9-4259-A1F1-E73C434383DD}"/>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
  <sheetViews>
    <sheetView workbookViewId="0"/>
  </sheetViews>
  <sheetFormatPr defaultRowHeight="14.5" x14ac:dyDescent="0.35"/>
  <sheetData>
    <row r="1" spans="1:3" x14ac:dyDescent="0.35">
      <c r="A1" t="s">
        <v>3</v>
      </c>
    </row>
    <row r="3" spans="1:3" x14ac:dyDescent="0.35">
      <c r="A3" s="5" t="s">
        <v>4</v>
      </c>
      <c r="B3" s="5" t="s">
        <v>5</v>
      </c>
      <c r="C3" s="5" t="s">
        <v>6</v>
      </c>
    </row>
    <row r="4" spans="1:3" x14ac:dyDescent="0.35">
      <c r="A4" t="s">
        <v>21</v>
      </c>
      <c r="B4">
        <v>16</v>
      </c>
      <c r="C4" t="s">
        <v>22</v>
      </c>
    </row>
    <row r="5" spans="1:3" x14ac:dyDescent="0.35">
      <c r="A5" t="s">
        <v>23</v>
      </c>
      <c r="B5">
        <v>229.59399999999999</v>
      </c>
      <c r="C5" t="s">
        <v>24</v>
      </c>
    </row>
    <row r="6" spans="1:3" x14ac:dyDescent="0.35">
      <c r="A6" t="s">
        <v>25</v>
      </c>
      <c r="B6">
        <v>304.702</v>
      </c>
      <c r="C6" t="s">
        <v>24</v>
      </c>
    </row>
    <row r="7" spans="1:3" x14ac:dyDescent="0.35">
      <c r="A7" t="s">
        <v>26</v>
      </c>
      <c r="B7">
        <f>B4*B5/B6</f>
        <v>12.056054768265387</v>
      </c>
      <c r="C7" t="s">
        <v>27</v>
      </c>
    </row>
    <row r="8" spans="1:3" x14ac:dyDescent="0.35">
      <c r="A8" t="s">
        <v>28</v>
      </c>
      <c r="B8">
        <v>103.97799999999999</v>
      </c>
      <c r="C8" t="s">
        <v>29</v>
      </c>
    </row>
    <row r="9" spans="1:3" x14ac:dyDescent="0.35">
      <c r="A9" t="s">
        <v>7</v>
      </c>
      <c r="B9">
        <f>(B7/B8)</f>
        <v>0.11594813103026974</v>
      </c>
      <c r="C9"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B2"/>
  <sheetViews>
    <sheetView workbookViewId="0"/>
  </sheetViews>
  <sheetFormatPr defaultRowHeight="14.5" x14ac:dyDescent="0.35"/>
  <sheetData>
    <row r="1" spans="1:2" x14ac:dyDescent="0.35">
      <c r="A1" t="s">
        <v>20</v>
      </c>
      <c r="B1" t="s">
        <v>7</v>
      </c>
    </row>
    <row r="2" spans="1:2" x14ac:dyDescent="0.35">
      <c r="A2" t="s">
        <v>8</v>
      </c>
      <c r="B2">
        <f>Derivation!B9</f>
        <v>0.11594813103026974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vt:lpstr>
      <vt:lpstr>Derivation</vt:lpstr>
      <vt:lpstr>CSoIO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2026-08-27T12:41:54Z</dcterms:created>
  <dcterms:modified xsi:type="dcterms:W3CDTF">2026-10-09T17:52:58Z</dcterms:modified>
</cp:coreProperties>
</file>