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DanOBrien\Models\EPS\US\eps-us\.claude\worktrees\cement-carbonation\InputData\indst\_cement\CCUP\"/>
    </mc:Choice>
  </mc:AlternateContent>
  <xr:revisionPtr revIDLastSave="0" documentId="13_ncr:1_{674B070D-FE47-46FA-9494-DAE16521D3EA}" xr6:coauthVersionLast="47" xr6:coauthVersionMax="47" xr10:uidLastSave="{00000000-0000-0000-0000-000000000000}"/>
  <bookViews>
    <workbookView xWindow="-120" yWindow="-120" windowWidth="29040" windowHeight="17520" xr2:uid="{00000000-000D-0000-FFFF-FFFF00000000}"/>
  </bookViews>
  <sheets>
    <sheet name="About" sheetId="1" r:id="rId1"/>
    <sheet name="Parameters" sheetId="2" r:id="rId2"/>
    <sheet name="USGS MYB 2023 T12" sheetId="3" r:id="rId3"/>
    <sheet name="USGS MYB 2023 T14" sheetId="4" r:id="rId4"/>
    <sheet name="USGS end use 1975-2003" sheetId="5" r:id="rId5"/>
    <sheet name="Calculation" sheetId="6" r:id="rId6"/>
    <sheet name="Use Split" sheetId="7" r:id="rId7"/>
    <sheet name="Checks" sheetId="8" r:id="rId8"/>
    <sheet name="CCUP-potential" sheetId="9" r:id="rId9"/>
    <sheet name="CCUP-use-share" sheetId="10" r:id="rId10"/>
    <sheet name="CCUP-inservice-share" sheetId="11" r:id="rId11"/>
    <sheet name="CCUP-inservice-time" sheetId="12" r:id="rId12"/>
    <sheet name="CCUP-eol-share"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3" l="1"/>
  <c r="B2" i="12"/>
  <c r="B3" i="11"/>
  <c r="B2" i="11"/>
  <c r="B5" i="8"/>
  <c r="D56" i="7"/>
  <c r="C56" i="7"/>
  <c r="B56" i="7"/>
  <c r="D55" i="7"/>
  <c r="C55" i="7"/>
  <c r="B55" i="7"/>
  <c r="D54" i="7"/>
  <c r="C54" i="7"/>
  <c r="B54" i="7"/>
  <c r="D53" i="7"/>
  <c r="C53" i="7"/>
  <c r="B53" i="7"/>
  <c r="D52" i="7"/>
  <c r="C52" i="7"/>
  <c r="B52" i="7"/>
  <c r="D51" i="7"/>
  <c r="C51" i="7"/>
  <c r="B51" i="7"/>
  <c r="D50" i="7"/>
  <c r="C50" i="7"/>
  <c r="B50" i="7"/>
  <c r="D49" i="7"/>
  <c r="C49" i="7"/>
  <c r="B49" i="7"/>
  <c r="D48" i="7"/>
  <c r="C48" i="7"/>
  <c r="B48" i="7"/>
  <c r="D47" i="7"/>
  <c r="C47" i="7"/>
  <c r="B47" i="7"/>
  <c r="D46" i="7"/>
  <c r="C46" i="7"/>
  <c r="B46" i="7"/>
  <c r="D45" i="7"/>
  <c r="C45" i="7"/>
  <c r="B45" i="7"/>
  <c r="D44" i="7"/>
  <c r="C44" i="7"/>
  <c r="B44" i="7"/>
  <c r="D43" i="7"/>
  <c r="C43" i="7"/>
  <c r="B43" i="7"/>
  <c r="D42" i="7"/>
  <c r="C42" i="7"/>
  <c r="B42" i="7"/>
  <c r="D41" i="7"/>
  <c r="C41" i="7"/>
  <c r="B41" i="7"/>
  <c r="D40" i="7"/>
  <c r="C40" i="7"/>
  <c r="B40" i="7"/>
  <c r="D39" i="7"/>
  <c r="C39" i="7"/>
  <c r="B39" i="7"/>
  <c r="D38" i="7"/>
  <c r="C38" i="7"/>
  <c r="B38" i="7"/>
  <c r="D37" i="7"/>
  <c r="C37" i="7"/>
  <c r="B37" i="7"/>
  <c r="D36" i="7"/>
  <c r="C36" i="7"/>
  <c r="B36" i="7"/>
  <c r="D35" i="7"/>
  <c r="C35" i="7"/>
  <c r="B35" i="7"/>
  <c r="D34" i="7"/>
  <c r="C34" i="7"/>
  <c r="B34" i="7"/>
  <c r="D33" i="7"/>
  <c r="C33" i="7"/>
  <c r="B33" i="7"/>
  <c r="D32" i="7"/>
  <c r="C32" i="7"/>
  <c r="B32" i="7"/>
  <c r="D31" i="7"/>
  <c r="C31" i="7"/>
  <c r="B31" i="7"/>
  <c r="D30" i="7"/>
  <c r="C30" i="7"/>
  <c r="B30" i="7"/>
  <c r="D29" i="7"/>
  <c r="C29" i="7"/>
  <c r="B29" i="7"/>
  <c r="D28" i="7"/>
  <c r="C28" i="7"/>
  <c r="B28" i="7"/>
  <c r="D27" i="7"/>
  <c r="C27" i="7"/>
  <c r="B27" i="7"/>
  <c r="D26" i="7"/>
  <c r="C26" i="7"/>
  <c r="B26" i="7"/>
  <c r="D25" i="7"/>
  <c r="C25" i="7"/>
  <c r="B25" i="7"/>
  <c r="D24" i="7"/>
  <c r="C24" i="7"/>
  <c r="B24" i="7"/>
  <c r="D23" i="7"/>
  <c r="C23" i="7"/>
  <c r="B23" i="7"/>
  <c r="D22" i="7"/>
  <c r="C22" i="7"/>
  <c r="B22" i="7"/>
  <c r="D21" i="7"/>
  <c r="C21" i="7"/>
  <c r="B21" i="7"/>
  <c r="D20" i="7"/>
  <c r="C20" i="7"/>
  <c r="B20" i="7"/>
  <c r="D19" i="7"/>
  <c r="C19" i="7"/>
  <c r="B19" i="7"/>
  <c r="D18" i="7"/>
  <c r="C18" i="7"/>
  <c r="B18" i="7"/>
  <c r="D17" i="7"/>
  <c r="C17" i="7"/>
  <c r="B17" i="7"/>
  <c r="D16" i="7"/>
  <c r="C16" i="7"/>
  <c r="B16" i="7"/>
  <c r="D15" i="7"/>
  <c r="C15" i="7"/>
  <c r="B15" i="7"/>
  <c r="D14" i="7"/>
  <c r="C14" i="7"/>
  <c r="B14" i="7"/>
  <c r="D13" i="7"/>
  <c r="C13" i="7"/>
  <c r="B13" i="7"/>
  <c r="D12" i="7"/>
  <c r="C12" i="7"/>
  <c r="B12" i="7"/>
  <c r="D11" i="7"/>
  <c r="C11" i="7"/>
  <c r="B11" i="7"/>
  <c r="D10" i="7"/>
  <c r="C10" i="7"/>
  <c r="B10" i="7"/>
  <c r="D9" i="7"/>
  <c r="C9" i="7"/>
  <c r="B9" i="7"/>
  <c r="D8" i="7"/>
  <c r="C8" i="7"/>
  <c r="B8" i="7"/>
  <c r="D7" i="7"/>
  <c r="C7" i="7"/>
  <c r="B7" i="7"/>
  <c r="D6" i="7"/>
  <c r="C6" i="7"/>
  <c r="B6" i="7"/>
  <c r="D5" i="7"/>
  <c r="C5" i="7"/>
  <c r="B5" i="7"/>
  <c r="D4" i="7"/>
  <c r="C4" i="7"/>
  <c r="B4" i="7"/>
  <c r="D3" i="7"/>
  <c r="C3" i="7"/>
  <c r="B3" i="7"/>
  <c r="B6" i="6"/>
  <c r="B5" i="6"/>
  <c r="B4" i="6"/>
  <c r="B3" i="6"/>
  <c r="B3" i="12" s="1"/>
  <c r="B2" i="6"/>
  <c r="E56" i="7" l="1"/>
  <c r="G56" i="7" s="1"/>
  <c r="E55" i="7"/>
  <c r="G55" i="7" s="1"/>
  <c r="E54" i="7"/>
  <c r="G54" i="7" s="1"/>
  <c r="E53" i="7"/>
  <c r="G53" i="7" s="1"/>
  <c r="E52" i="7"/>
  <c r="G52" i="7" s="1"/>
  <c r="E51" i="7"/>
  <c r="G51" i="7" s="1"/>
  <c r="E50" i="7"/>
  <c r="G50" i="7" s="1"/>
  <c r="E49" i="7"/>
  <c r="G49" i="7" s="1"/>
  <c r="E48" i="7"/>
  <c r="G48" i="7" s="1"/>
  <c r="E47" i="7"/>
  <c r="G47" i="7" s="1"/>
  <c r="E46" i="7"/>
  <c r="G46" i="7" s="1"/>
  <c r="E45" i="7"/>
  <c r="G45" i="7" s="1"/>
  <c r="E44" i="7"/>
  <c r="G44" i="7" s="1"/>
  <c r="E43" i="7"/>
  <c r="G43" i="7" s="1"/>
  <c r="E42" i="7"/>
  <c r="G42" i="7" s="1"/>
  <c r="E41" i="7"/>
  <c r="G41" i="7" s="1"/>
  <c r="E40" i="7"/>
  <c r="G40" i="7" s="1"/>
  <c r="E39" i="7"/>
  <c r="G39" i="7" s="1"/>
  <c r="E38" i="7"/>
  <c r="G38" i="7" s="1"/>
  <c r="E37" i="7"/>
  <c r="G37" i="7" s="1"/>
  <c r="E36" i="7"/>
  <c r="G36" i="7" s="1"/>
  <c r="E35" i="7"/>
  <c r="G35" i="7" s="1"/>
  <c r="E34" i="7"/>
  <c r="G34" i="7" s="1"/>
  <c r="E33" i="7"/>
  <c r="G33" i="7" s="1"/>
  <c r="E32" i="7"/>
  <c r="G32" i="7" s="1"/>
  <c r="E31" i="7"/>
  <c r="G31" i="7" s="1"/>
  <c r="E30" i="7"/>
  <c r="G30" i="7" s="1"/>
  <c r="E29" i="7"/>
  <c r="G29" i="7" s="1"/>
  <c r="E28" i="7"/>
  <c r="G28" i="7" s="1"/>
  <c r="E27" i="7"/>
  <c r="G27" i="7" s="1"/>
  <c r="E26" i="7"/>
  <c r="G26" i="7" s="1"/>
  <c r="E25" i="7"/>
  <c r="G25" i="7" s="1"/>
  <c r="E24" i="7"/>
  <c r="G24" i="7" s="1"/>
  <c r="E23" i="7"/>
  <c r="G23" i="7" s="1"/>
  <c r="E22" i="7"/>
  <c r="G22" i="7" s="1"/>
  <c r="E21" i="7"/>
  <c r="G21" i="7" s="1"/>
  <c r="E20" i="7"/>
  <c r="G20" i="7" s="1"/>
  <c r="E19" i="7"/>
  <c r="G19" i="7" s="1"/>
  <c r="E18" i="7"/>
  <c r="G18" i="7" s="1"/>
  <c r="E17" i="7"/>
  <c r="G17" i="7" s="1"/>
  <c r="E16" i="7"/>
  <c r="G16" i="7" s="1"/>
  <c r="E15" i="7"/>
  <c r="G15" i="7" s="1"/>
  <c r="E14" i="7"/>
  <c r="G14" i="7" s="1"/>
  <c r="E13" i="7"/>
  <c r="G13" i="7" s="1"/>
  <c r="E12" i="7"/>
  <c r="G12" i="7" s="1"/>
  <c r="E11" i="7"/>
  <c r="G11" i="7" s="1"/>
  <c r="E10" i="7"/>
  <c r="G10" i="7" s="1"/>
  <c r="E9" i="7"/>
  <c r="G9" i="7" s="1"/>
  <c r="E8" i="7"/>
  <c r="G8" i="7" s="1"/>
  <c r="E7" i="7"/>
  <c r="G7" i="7" s="1"/>
  <c r="E6" i="7"/>
  <c r="G6" i="7" s="1"/>
  <c r="E5" i="7"/>
  <c r="G5" i="7" s="1"/>
  <c r="E4" i="7"/>
  <c r="G4" i="7" s="1"/>
  <c r="E3" i="7"/>
  <c r="G3" i="7" s="1"/>
  <c r="B7" i="6"/>
  <c r="B8" i="6" s="1"/>
  <c r="B76" i="7" s="1"/>
  <c r="B4" i="8"/>
  <c r="B2" i="13"/>
  <c r="B1" i="8"/>
  <c r="B5" i="9"/>
  <c r="B4" i="9"/>
  <c r="B3" i="9"/>
  <c r="B2" i="9"/>
  <c r="F76" i="7" l="1"/>
  <c r="B78" i="7"/>
  <c r="B87" i="7"/>
  <c r="B91" i="7"/>
  <c r="B95" i="7"/>
  <c r="B96" i="7"/>
  <c r="B100" i="7"/>
  <c r="B103" i="7"/>
  <c r="B85" i="7"/>
  <c r="B89" i="7"/>
  <c r="B90" i="7"/>
  <c r="B92" i="7"/>
  <c r="B93" i="7"/>
  <c r="B99" i="7"/>
  <c r="B101" i="7"/>
  <c r="B102" i="7"/>
  <c r="E76" i="7"/>
  <c r="B79" i="7"/>
  <c r="B80" i="7"/>
  <c r="B81" i="7"/>
  <c r="B83" i="7"/>
  <c r="B84" i="7"/>
  <c r="B77" i="7"/>
  <c r="B82" i="7"/>
  <c r="B86" i="7"/>
  <c r="B88" i="7"/>
  <c r="B94" i="7"/>
  <c r="B97" i="7"/>
  <c r="B98" i="7"/>
  <c r="B9" i="6"/>
  <c r="C76" i="7" s="1"/>
  <c r="B10" i="6"/>
  <c r="D76" i="7" s="1"/>
  <c r="B11" i="6"/>
  <c r="B75" i="7"/>
  <c r="B63" i="7"/>
  <c r="B73" i="7"/>
  <c r="B58" i="7"/>
  <c r="B61" i="7"/>
  <c r="B66" i="7"/>
  <c r="B70" i="7"/>
  <c r="B69" i="7"/>
  <c r="B68" i="7"/>
  <c r="B74" i="7"/>
  <c r="B57" i="7"/>
  <c r="B60" i="7"/>
  <c r="B59" i="7"/>
  <c r="B72" i="7"/>
  <c r="B62" i="7"/>
  <c r="B64" i="7"/>
  <c r="B67" i="7"/>
  <c r="B71" i="7"/>
  <c r="B65" i="7"/>
  <c r="H76" i="7" l="1"/>
  <c r="BW2" i="10" s="1"/>
  <c r="BW3" i="10"/>
  <c r="E78" i="7"/>
  <c r="E87" i="7"/>
  <c r="E91" i="7"/>
  <c r="E95" i="7"/>
  <c r="E96" i="7"/>
  <c r="E100" i="7"/>
  <c r="E103" i="7"/>
  <c r="E85" i="7"/>
  <c r="E89" i="7"/>
  <c r="E90" i="7"/>
  <c r="E92" i="7"/>
  <c r="E93" i="7"/>
  <c r="E99" i="7"/>
  <c r="E101" i="7"/>
  <c r="E102" i="7"/>
  <c r="E79" i="7"/>
  <c r="E80" i="7"/>
  <c r="E81" i="7"/>
  <c r="E83" i="7"/>
  <c r="E84" i="7"/>
  <c r="E77" i="7"/>
  <c r="E82" i="7"/>
  <c r="E86" i="7"/>
  <c r="E88" i="7"/>
  <c r="E94" i="7"/>
  <c r="E97" i="7"/>
  <c r="E98" i="7"/>
  <c r="C60" i="7"/>
  <c r="C71" i="7"/>
  <c r="C73" i="7"/>
  <c r="F73" i="7" s="1"/>
  <c r="C75" i="7"/>
  <c r="F75" i="7" s="1"/>
  <c r="C74" i="7"/>
  <c r="F74" i="7" s="1"/>
  <c r="C59" i="7"/>
  <c r="C70" i="7"/>
  <c r="F70" i="7" s="1"/>
  <c r="C65" i="7"/>
  <c r="C57" i="7"/>
  <c r="F57" i="7" s="1"/>
  <c r="C58" i="7"/>
  <c r="F58" i="7" s="1"/>
  <c r="C63" i="7"/>
  <c r="F63" i="7" s="1"/>
  <c r="C66" i="7"/>
  <c r="F66" i="7" s="1"/>
  <c r="C62" i="7"/>
  <c r="C67" i="7"/>
  <c r="C64" i="7"/>
  <c r="C68" i="7"/>
  <c r="F68" i="7" s="1"/>
  <c r="C72" i="7"/>
  <c r="F72" i="7" s="1"/>
  <c r="C69" i="7"/>
  <c r="F69" i="7" s="1"/>
  <c r="C61" i="7"/>
  <c r="F61" i="7" s="1"/>
  <c r="C79" i="7"/>
  <c r="F79" i="7" s="1"/>
  <c r="C81" i="7"/>
  <c r="C83" i="7"/>
  <c r="C87" i="7"/>
  <c r="C89" i="7"/>
  <c r="C90" i="7"/>
  <c r="F90" i="7" s="1"/>
  <c r="C93" i="7"/>
  <c r="F93" i="7" s="1"/>
  <c r="C94" i="7"/>
  <c r="C95" i="7"/>
  <c r="C96" i="7"/>
  <c r="C98" i="7"/>
  <c r="C80" i="7"/>
  <c r="C84" i="7"/>
  <c r="C85" i="7"/>
  <c r="C92" i="7"/>
  <c r="F92" i="7" s="1"/>
  <c r="C101" i="7"/>
  <c r="F101" i="7" s="1"/>
  <c r="C102" i="7"/>
  <c r="F102" i="7" s="1"/>
  <c r="C88" i="7"/>
  <c r="C91" i="7"/>
  <c r="C97" i="7"/>
  <c r="C99" i="7"/>
  <c r="F99" i="7" s="1"/>
  <c r="C100" i="7"/>
  <c r="C103" i="7"/>
  <c r="C77" i="7"/>
  <c r="F77" i="7" s="1"/>
  <c r="C78" i="7"/>
  <c r="C82" i="7"/>
  <c r="F82" i="7" s="1"/>
  <c r="C86" i="7"/>
  <c r="F86" i="7" s="1"/>
  <c r="D66" i="7"/>
  <c r="G66" i="7" s="1"/>
  <c r="D59" i="7"/>
  <c r="D60" i="7"/>
  <c r="G60" i="7" s="1"/>
  <c r="D63" i="7"/>
  <c r="G63" i="7" s="1"/>
  <c r="D74" i="7"/>
  <c r="G74" i="7" s="1"/>
  <c r="D71" i="7"/>
  <c r="D64" i="7"/>
  <c r="D57" i="7"/>
  <c r="D61" i="7"/>
  <c r="D58" i="7"/>
  <c r="D69" i="7"/>
  <c r="D70" i="7"/>
  <c r="D62" i="7"/>
  <c r="D72" i="7"/>
  <c r="D73" i="7"/>
  <c r="G73" i="7" s="1"/>
  <c r="D75" i="7"/>
  <c r="G75" i="7" s="1"/>
  <c r="D67" i="7"/>
  <c r="D68" i="7"/>
  <c r="G68" i="7" s="1"/>
  <c r="D80" i="7"/>
  <c r="G80" i="7" s="1"/>
  <c r="D83" i="7"/>
  <c r="G83" i="7" s="1"/>
  <c r="D93" i="7"/>
  <c r="D94" i="7"/>
  <c r="G94" i="7" s="1"/>
  <c r="D99" i="7"/>
  <c r="G99" i="7" s="1"/>
  <c r="D65" i="7"/>
  <c r="G76" i="7"/>
  <c r="D81" i="7"/>
  <c r="D87" i="7"/>
  <c r="D82" i="7"/>
  <c r="D84" i="7"/>
  <c r="D85" i="7"/>
  <c r="D88" i="7"/>
  <c r="D90" i="7"/>
  <c r="D98" i="7"/>
  <c r="D77" i="7"/>
  <c r="D78" i="7"/>
  <c r="D79" i="7"/>
  <c r="D86" i="7"/>
  <c r="D89" i="7"/>
  <c r="D91" i="7"/>
  <c r="D92" i="7"/>
  <c r="D95" i="7"/>
  <c r="D96" i="7"/>
  <c r="D97" i="7"/>
  <c r="D100" i="7"/>
  <c r="D101" i="7"/>
  <c r="D102" i="7"/>
  <c r="D103" i="7"/>
  <c r="F25" i="7"/>
  <c r="F4" i="7"/>
  <c r="F8" i="7"/>
  <c r="F14" i="7"/>
  <c r="F15" i="7"/>
  <c r="F17" i="7"/>
  <c r="F20" i="7"/>
  <c r="F21" i="7"/>
  <c r="F26" i="7"/>
  <c r="F27" i="7"/>
  <c r="F28" i="7"/>
  <c r="F34" i="7"/>
  <c r="F39" i="7"/>
  <c r="F44" i="7"/>
  <c r="F50" i="7"/>
  <c r="F3" i="7"/>
  <c r="F5" i="7"/>
  <c r="F16" i="7"/>
  <c r="F19" i="7"/>
  <c r="F29" i="7"/>
  <c r="F40" i="7"/>
  <c r="F41" i="7"/>
  <c r="F43" i="7"/>
  <c r="F45" i="7"/>
  <c r="F47" i="7"/>
  <c r="F53" i="7"/>
  <c r="F55" i="7"/>
  <c r="F56" i="7"/>
  <c r="F6" i="7"/>
  <c r="F9" i="7"/>
  <c r="F10" i="7"/>
  <c r="F11" i="7"/>
  <c r="F12" i="7"/>
  <c r="F13" i="7"/>
  <c r="F18" i="7"/>
  <c r="F24" i="7"/>
  <c r="F30" i="7"/>
  <c r="F32" i="7"/>
  <c r="F35" i="7"/>
  <c r="F36" i="7"/>
  <c r="F37" i="7"/>
  <c r="F38" i="7"/>
  <c r="F46" i="7"/>
  <c r="F48" i="7"/>
  <c r="F49" i="7"/>
  <c r="F51" i="7"/>
  <c r="F52" i="7"/>
  <c r="F54" i="7"/>
  <c r="F7" i="7"/>
  <c r="F22" i="7"/>
  <c r="F23" i="7"/>
  <c r="F31" i="7"/>
  <c r="F33" i="7"/>
  <c r="F42" i="7"/>
  <c r="E75" i="7"/>
  <c r="E63" i="7"/>
  <c r="E73" i="7"/>
  <c r="E58" i="7"/>
  <c r="E61" i="7"/>
  <c r="E66" i="7"/>
  <c r="E70" i="7"/>
  <c r="E69" i="7"/>
  <c r="E68" i="7"/>
  <c r="E74" i="7"/>
  <c r="E57" i="7"/>
  <c r="E60" i="7"/>
  <c r="F60" i="7" s="1"/>
  <c r="E59" i="7"/>
  <c r="E72" i="7"/>
  <c r="E62" i="7"/>
  <c r="E64" i="7"/>
  <c r="E67" i="7"/>
  <c r="E71" i="7"/>
  <c r="F71" i="7"/>
  <c r="E65" i="7"/>
  <c r="F65" i="7" s="1"/>
  <c r="F81" i="7" l="1"/>
  <c r="F83" i="7"/>
  <c r="F87" i="7"/>
  <c r="F89" i="7"/>
  <c r="F91" i="7"/>
  <c r="F97" i="7"/>
  <c r="F100" i="7"/>
  <c r="F103" i="7"/>
  <c r="F78" i="7"/>
  <c r="G59" i="7"/>
  <c r="F94" i="7"/>
  <c r="F95" i="7"/>
  <c r="F96" i="7"/>
  <c r="F98" i="7"/>
  <c r="F80" i="7"/>
  <c r="F84" i="7"/>
  <c r="F85" i="7"/>
  <c r="F88" i="7"/>
  <c r="G71" i="7"/>
  <c r="G64" i="7"/>
  <c r="G57" i="7"/>
  <c r="G61" i="7"/>
  <c r="G58" i="7"/>
  <c r="G69" i="7"/>
  <c r="G70" i="7"/>
  <c r="G62" i="7"/>
  <c r="G72" i="7"/>
  <c r="G81" i="7"/>
  <c r="H81" i="7" s="1"/>
  <c r="CB2" i="10" s="1"/>
  <c r="G82" i="7"/>
  <c r="G84" i="7"/>
  <c r="H84" i="7" s="1"/>
  <c r="CE2" i="10" s="1"/>
  <c r="G77" i="7"/>
  <c r="G79" i="7"/>
  <c r="G86" i="7"/>
  <c r="G97" i="7"/>
  <c r="G101" i="7"/>
  <c r="G102" i="7"/>
  <c r="G103" i="7"/>
  <c r="F62" i="7"/>
  <c r="F67" i="7"/>
  <c r="F59" i="7"/>
  <c r="F64" i="7"/>
  <c r="H78" i="7"/>
  <c r="BY2" i="10" s="1"/>
  <c r="BY3" i="10"/>
  <c r="CH3" i="10"/>
  <c r="H87" i="7"/>
  <c r="CH2" i="10" s="1"/>
  <c r="CL3" i="10"/>
  <c r="H91" i="7"/>
  <c r="CL2" i="10" s="1"/>
  <c r="CP3" i="10"/>
  <c r="H95" i="7"/>
  <c r="CP2" i="10" s="1"/>
  <c r="CQ3" i="10"/>
  <c r="H96" i="7"/>
  <c r="CQ2" i="10" s="1"/>
  <c r="CU3" i="10"/>
  <c r="H103" i="7"/>
  <c r="CX2" i="10" s="1"/>
  <c r="CX3" i="10"/>
  <c r="CF3" i="10"/>
  <c r="CJ3" i="10"/>
  <c r="CK3" i="10"/>
  <c r="CM3" i="10"/>
  <c r="CN3" i="10"/>
  <c r="H99" i="7"/>
  <c r="CT2" i="10" s="1"/>
  <c r="CT3" i="10"/>
  <c r="H101" i="7"/>
  <c r="CV2" i="10" s="1"/>
  <c r="CV3" i="10"/>
  <c r="H102" i="7"/>
  <c r="CW2" i="10" s="1"/>
  <c r="CW3" i="10"/>
  <c r="H79" i="7"/>
  <c r="BZ2" i="10" s="1"/>
  <c r="BZ3" i="10"/>
  <c r="CA3" i="10"/>
  <c r="H80" i="7"/>
  <c r="CA2" i="10" s="1"/>
  <c r="CB3" i="10"/>
  <c r="H83" i="7"/>
  <c r="CD2" i="10" s="1"/>
  <c r="CD3" i="10"/>
  <c r="CE3" i="10"/>
  <c r="H77" i="7"/>
  <c r="BX2" i="10" s="1"/>
  <c r="BX3" i="10"/>
  <c r="CC3" i="10"/>
  <c r="H82" i="7"/>
  <c r="CC2" i="10" s="1"/>
  <c r="H86" i="7"/>
  <c r="CG2" i="10" s="1"/>
  <c r="CG3" i="10"/>
  <c r="CI3" i="10"/>
  <c r="H94" i="7"/>
  <c r="CO2" i="10" s="1"/>
  <c r="CO3" i="10"/>
  <c r="H97" i="7"/>
  <c r="CR2" i="10" s="1"/>
  <c r="CR3" i="10"/>
  <c r="CS3" i="10"/>
  <c r="X3" i="10"/>
  <c r="H25" i="7"/>
  <c r="X2" i="10" s="1"/>
  <c r="C3" i="10"/>
  <c r="H4" i="7"/>
  <c r="C2" i="10" s="1"/>
  <c r="G3" i="10"/>
  <c r="H8" i="7"/>
  <c r="G2" i="10" s="1"/>
  <c r="M3" i="10"/>
  <c r="H14" i="7"/>
  <c r="M2" i="10" s="1"/>
  <c r="N3" i="10"/>
  <c r="H15" i="7"/>
  <c r="N2" i="10" s="1"/>
  <c r="P3" i="10"/>
  <c r="H17" i="7"/>
  <c r="P2" i="10" s="1"/>
  <c r="S3" i="10"/>
  <c r="H20" i="7"/>
  <c r="S2" i="10" s="1"/>
  <c r="T3" i="10"/>
  <c r="H21" i="7"/>
  <c r="T2" i="10" s="1"/>
  <c r="Y3" i="10"/>
  <c r="H26" i="7"/>
  <c r="Y2" i="10" s="1"/>
  <c r="Z3" i="10"/>
  <c r="H27" i="7"/>
  <c r="Z2" i="10" s="1"/>
  <c r="AA3" i="10"/>
  <c r="H28" i="7"/>
  <c r="AA2" i="10" s="1"/>
  <c r="AG3" i="10"/>
  <c r="H34" i="7"/>
  <c r="AG2" i="10" s="1"/>
  <c r="AL3" i="10"/>
  <c r="H39" i="7"/>
  <c r="AL2" i="10" s="1"/>
  <c r="AQ3" i="10"/>
  <c r="H44" i="7"/>
  <c r="AQ2" i="10" s="1"/>
  <c r="AW3" i="10"/>
  <c r="H50" i="7"/>
  <c r="AW2" i="10" s="1"/>
  <c r="B3" i="10"/>
  <c r="B2" i="8"/>
  <c r="H3" i="7"/>
  <c r="D3" i="10"/>
  <c r="H5" i="7"/>
  <c r="D2" i="10" s="1"/>
  <c r="O3" i="10"/>
  <c r="H16" i="7"/>
  <c r="O2" i="10" s="1"/>
  <c r="R3" i="10"/>
  <c r="H19" i="7"/>
  <c r="R2" i="10" s="1"/>
  <c r="AB3" i="10"/>
  <c r="H29" i="7"/>
  <c r="AB2" i="10" s="1"/>
  <c r="AM3" i="10"/>
  <c r="H40" i="7"/>
  <c r="AM2" i="10" s="1"/>
  <c r="AN3" i="10"/>
  <c r="H41" i="7"/>
  <c r="AN2" i="10" s="1"/>
  <c r="AP3" i="10"/>
  <c r="H43" i="7"/>
  <c r="AP2" i="10" s="1"/>
  <c r="AR3" i="10"/>
  <c r="H45" i="7"/>
  <c r="AR2" i="10" s="1"/>
  <c r="H47" i="7"/>
  <c r="AT2" i="10" s="1"/>
  <c r="AT3" i="10"/>
  <c r="AZ3" i="10"/>
  <c r="H53" i="7"/>
  <c r="AZ2" i="10" s="1"/>
  <c r="BB3" i="10"/>
  <c r="H55" i="7"/>
  <c r="BB2" i="10" s="1"/>
  <c r="BC3" i="10"/>
  <c r="H56" i="7"/>
  <c r="BC2" i="10" s="1"/>
  <c r="E3" i="10"/>
  <c r="H6" i="7"/>
  <c r="E2" i="10" s="1"/>
  <c r="H3" i="10"/>
  <c r="H9" i="7"/>
  <c r="H2" i="10" s="1"/>
  <c r="I3" i="10"/>
  <c r="H10" i="7"/>
  <c r="I2" i="10" s="1"/>
  <c r="J3" i="10"/>
  <c r="H11" i="7"/>
  <c r="J2" i="10" s="1"/>
  <c r="K3" i="10"/>
  <c r="H12" i="7"/>
  <c r="K2" i="10" s="1"/>
  <c r="L3" i="10"/>
  <c r="H13" i="7"/>
  <c r="L2" i="10" s="1"/>
  <c r="Q3" i="10"/>
  <c r="H18" i="7"/>
  <c r="Q2" i="10" s="1"/>
  <c r="W3" i="10"/>
  <c r="H24" i="7"/>
  <c r="W2" i="10" s="1"/>
  <c r="AC3" i="10"/>
  <c r="H30" i="7"/>
  <c r="AC2" i="10" s="1"/>
  <c r="AE3" i="10"/>
  <c r="H32" i="7"/>
  <c r="AE2" i="10" s="1"/>
  <c r="AH3" i="10"/>
  <c r="H35" i="7"/>
  <c r="AH2" i="10" s="1"/>
  <c r="AI3" i="10"/>
  <c r="H36" i="7"/>
  <c r="AI2" i="10" s="1"/>
  <c r="AJ3" i="10"/>
  <c r="H37" i="7"/>
  <c r="AJ2" i="10" s="1"/>
  <c r="AK3" i="10"/>
  <c r="H38" i="7"/>
  <c r="AK2" i="10" s="1"/>
  <c r="AS3" i="10"/>
  <c r="H46" i="7"/>
  <c r="AS2" i="10" s="1"/>
  <c r="H48" i="7"/>
  <c r="AU2" i="10" s="1"/>
  <c r="AU3" i="10"/>
  <c r="AV3" i="10"/>
  <c r="H49" i="7"/>
  <c r="AV2" i="10" s="1"/>
  <c r="H51" i="7"/>
  <c r="AX2" i="10" s="1"/>
  <c r="AX3" i="10"/>
  <c r="AY3" i="10"/>
  <c r="H52" i="7"/>
  <c r="AY2" i="10" s="1"/>
  <c r="BA3" i="10"/>
  <c r="H54" i="7"/>
  <c r="BA2" i="10" s="1"/>
  <c r="F3" i="10"/>
  <c r="H7" i="7"/>
  <c r="F2" i="10" s="1"/>
  <c r="U3" i="10"/>
  <c r="H22" i="7"/>
  <c r="U2" i="10" s="1"/>
  <c r="V3" i="10"/>
  <c r="H23" i="7"/>
  <c r="V2" i="10" s="1"/>
  <c r="AD3" i="10"/>
  <c r="H31" i="7"/>
  <c r="AD2" i="10" s="1"/>
  <c r="H33" i="7"/>
  <c r="AF2" i="10" s="1"/>
  <c r="AF3" i="10"/>
  <c r="AO3" i="10"/>
  <c r="H42" i="7"/>
  <c r="AO2" i="10" s="1"/>
  <c r="BV3" i="10"/>
  <c r="H75" i="7"/>
  <c r="BV2" i="10" s="1"/>
  <c r="H63" i="7"/>
  <c r="BJ2" i="10" s="1"/>
  <c r="BJ3" i="10"/>
  <c r="H73" i="7"/>
  <c r="BT2" i="10" s="1"/>
  <c r="BT3" i="10"/>
  <c r="H58" i="7"/>
  <c r="BE2" i="10" s="1"/>
  <c r="BE3" i="10"/>
  <c r="H61" i="7"/>
  <c r="BH2" i="10" s="1"/>
  <c r="BH3" i="10"/>
  <c r="BM3" i="10"/>
  <c r="H66" i="7"/>
  <c r="BM2" i="10" s="1"/>
  <c r="BQ3" i="10"/>
  <c r="H70" i="7"/>
  <c r="BQ2" i="10" s="1"/>
  <c r="H69" i="7"/>
  <c r="BP2" i="10" s="1"/>
  <c r="BP3" i="10"/>
  <c r="BO3" i="10"/>
  <c r="H68" i="7"/>
  <c r="BO2" i="10" s="1"/>
  <c r="H74" i="7"/>
  <c r="BU2" i="10" s="1"/>
  <c r="BU3" i="10"/>
  <c r="BD3" i="10"/>
  <c r="H57" i="7"/>
  <c r="BD2" i="10" s="1"/>
  <c r="H60" i="7"/>
  <c r="BG2" i="10" s="1"/>
  <c r="BG3" i="10"/>
  <c r="H59" i="7"/>
  <c r="BF2" i="10" s="1"/>
  <c r="BF3" i="10"/>
  <c r="H72" i="7"/>
  <c r="BS2" i="10" s="1"/>
  <c r="BS3" i="10"/>
  <c r="H62" i="7"/>
  <c r="BI2" i="10" s="1"/>
  <c r="BI3" i="10"/>
  <c r="BK3" i="10"/>
  <c r="H64" i="7"/>
  <c r="BK2" i="10" s="1"/>
  <c r="H67" i="7"/>
  <c r="BN2" i="10" s="1"/>
  <c r="BN3" i="10"/>
  <c r="H71" i="7"/>
  <c r="BR2" i="10" s="1"/>
  <c r="BR3" i="10"/>
  <c r="H65" i="7"/>
  <c r="BL2" i="10" s="1"/>
  <c r="BL3" i="10"/>
  <c r="G67" i="7"/>
  <c r="G93" i="7"/>
  <c r="H93" i="7" s="1"/>
  <c r="CN2" i="10" s="1"/>
  <c r="G65" i="7"/>
  <c r="G87" i="7"/>
  <c r="G85" i="7"/>
  <c r="G88" i="7"/>
  <c r="G90" i="7"/>
  <c r="H90" i="7" s="1"/>
  <c r="CK2" i="10" s="1"/>
  <c r="G98" i="7"/>
  <c r="G78" i="7"/>
  <c r="G89" i="7"/>
  <c r="G91" i="7"/>
  <c r="G92" i="7"/>
  <c r="H92" i="7" s="1"/>
  <c r="CM2" i="10" s="1"/>
  <c r="G95" i="7"/>
  <c r="G96" i="7"/>
  <c r="G100" i="7"/>
  <c r="H85" i="7" l="1"/>
  <c r="H88" i="7"/>
  <c r="CI2" i="10" s="1"/>
  <c r="H98" i="7"/>
  <c r="CS2" i="10" s="1"/>
  <c r="H89" i="7"/>
  <c r="CJ2" i="10" s="1"/>
  <c r="H100" i="7"/>
  <c r="CU2" i="10" s="1"/>
  <c r="B2" i="10"/>
  <c r="CF2" i="10" l="1"/>
  <c r="B3" i="8"/>
</calcChain>
</file>

<file path=xl/sharedStrings.xml><?xml version="1.0" encoding="utf-8"?>
<sst xmlns="http://schemas.openxmlformats.org/spreadsheetml/2006/main" count="321" uniqueCount="234">
  <si>
    <t>CCUP Cement Carbonation Uptake Parameters</t>
  </si>
  <si>
    <t>Sources:</t>
  </si>
  <si>
    <t>Concrete and mortar uptake shares, service life, mortar carbonation rate</t>
  </si>
  <si>
    <t>Cement use by type of customer, 1975-2003 (mortar share history)</t>
  </si>
  <si>
    <t>Xi, F., Davis, S. J., Ciais, P., et al.</t>
  </si>
  <si>
    <t>U.S. Geological Survey</t>
  </si>
  <si>
    <t>Substantial global carbon uptake by cement carbonation, Nature Geoscience 9, 880-883 (main text and Supplementary Information)</t>
  </si>
  <si>
    <t>Cement end-use statistics, Historical Statistics for Mineral and Material Commodities in the United States (Data Series 140)</t>
  </si>
  <si>
    <t>https://doi.org/10.1038/ngeo2840</t>
  </si>
  <si>
    <t>https://d9-wret.s3.us-west-2.amazonaws.com/assets/palladium/production/mineral-pubs/historical-statistics/cement-use.pdf</t>
  </si>
  <si>
    <t>Main text: concrete takes back up 16.1% of its calcination CO2 during its service life, 1.4% at demolition and 0.1% in disposal or reuse. Supplementary Information sections 2.2.2-2.2.3: mortar is typically about 20 mm thick and carbonates at about 19.6 mm per square-root year. The 65-year U.S. service life is the value Xi et al. use for the U.S. and Europe, citing Kapur et al. (2008). These are global averages over many exposure conditions and strength classes, from a model rather than from national measurements. We do not use Xi et al.'s mortar share or their near-100% mortar uptake (see the next two sources). Open manuscript: https://ueaeprints.uea.ac.uk/id/eprint/61678/1/Accepted_manuscript.pdf</t>
  </si>
  <si>
    <t>The table (metric tons) is typed on the 'USGS end use 1975-2003' tab from the PDF. USGS notes that 1993-1996 lump incomplete survey responses into 'government and miscellaneous', so those years understate the named customers; we use only the masonry, dealer and oil well/mining columns, which are less affected. Before 1975 we hold the 1975 shares, and between 2003 and 2023 we draw straight lines.</t>
  </si>
  <si>
    <t>Ceiling on how much of the lime can carbonate (degree of carbonation)</t>
  </si>
  <si>
    <t>Portland cement content of masonry cement</t>
  </si>
  <si>
    <t>Achternbosch, M., Stemmermann, P., et al., Karlsruhe Institute of Technology (KIT), reporting European standard EN 16757</t>
  </si>
  <si>
    <t>U.S. Geological Survey (van Oss, H.G.)</t>
  </si>
  <si>
    <t>Critical review of the CO2 uptake of concrete by carbonation</t>
  </si>
  <si>
    <t>Background Facts and Issues Concerning Cement and Cement Data, Open-File Report 2005-1152</t>
  </si>
  <si>
    <t>https://publikationen.bibliothek.kit.edu/1000131215/109575530</t>
  </si>
  <si>
    <t>https://pubs.usgs.gov/of/2005/1152/2005-1152.pdf</t>
  </si>
  <si>
    <t>EN 16757 uses a degree of carbonation of 0.75 for concrete in general (0.85 exposed to rain, 0.40 indoors). We use 0.75 as the share of mortar's carbonatable CO2 taken up, since mortar carbonates through its whole thickness. The review argues measured degrees of carbonation are often lower (about 0.5-0.6) and that published uptake estimates tend to be high. The standard is cited as reported in this review.</t>
  </si>
  <si>
    <t>Masonry cements contain roughly 50-67% portland cement, the rest mostly ground limestone or lime. We use the midpoint (0.585) so that a ton of masonry cement carries correspondingly less clinker than a ton of portland cement.</t>
  </si>
  <si>
    <t>Lime content of clinker</t>
  </si>
  <si>
    <t>What global carbonation studies assume for the United States (comparison only)</t>
  </si>
  <si>
    <t>U.S. Environmental Protection Agency</t>
  </si>
  <si>
    <t>Guo, R., Wang, J., Bing, L., et al.</t>
  </si>
  <si>
    <t>Inventory of U.S. Greenhouse Gas Emissions and Sinks: 1990-2022, Chapter 4, Cement Production</t>
  </si>
  <si>
    <t>Global CO2 uptake by cement from 1930 to 2019, Earth System Science Data 13, 1791-1805 (parameter data, Zenodo 4459729)</t>
  </si>
  <si>
    <t>https://www.epa.gov/system/files/documents/2024-02/us-ghg-inventory-2024-chapter-4-industrial-processes-and-product-use.pdf</t>
  </si>
  <si>
    <t>https://doi.org/10.5281/zenodo.4459729</t>
  </si>
  <si>
    <t>The inventory's clinker emission factor (0.51 t CO2 per t clinker) assumes 65% calcium oxide in clinker; we use the same 65%. The inventory itself does not estimate carbonation uptake.</t>
  </si>
  <si>
    <t>Their U.S. inputs put 12.5% of cement into mortar (range 9.1-29.6%), cited as derived from USGS; later studies (Bing et al. 2023, Niu et al. 2025) reuse the value. Reconstructing it from the 1975-2003 USGS table suggests it counts oil well and government/miscellaneous cement as mortar, and its 29.6% maximum matches the 1994 survey artifact. That is why we derive our own, lower share. Not used in any calculation.</t>
  </si>
  <si>
    <t>Cement use by type of customer, 2023 (mortar share today)</t>
  </si>
  <si>
    <t>Minerals Yearbook 2023: Cement, tables 12 and 14</t>
  </si>
  <si>
    <t>https://d9-wret.s3.us-west-2.amazonaws.com/assets/palladium/production/s3fs-public/media/files/myb1-2023-cemen-ERT.xlsx</t>
  </si>
  <si>
    <t>Tables 12 (masonry cement shipped) and 14 (portland and blended cement by type of customer) are pasted verbatim on the 'USGS MYB 2023 T12' and 'USGS MYB 2023 T14' tabs; we use the grand totals including Puerto Rico. The split of the 'other or unspecified' concrete product and contractor tonnages comes from table 14's footnotes 8 and 9 and is typed on the Parameters tab. USGS notes these customer-type data are likely accurate to only two significant digits. USGS does not report what building material dealers' customers use their cement for.</t>
  </si>
  <si>
    <t>Notes:</t>
  </si>
  <si>
    <t>Purpose</t>
  </si>
  <si>
    <t>Concrete and mortar slowly take CO2 back up from the air as the lime in them turns back into limestone (carbonation). This file holds the parameters the EPS uses to estimate that uptake: how much CO2 a ton of clinker could take back up, how the cement used each year splits between concrete and mortar, and how fast and how far each one carbonates. The EPS applies them to the cement already in place before the model starts (from the HCCbV file) and to the cement used during the model run.</t>
  </si>
  <si>
    <t>Layout</t>
  </si>
  <si>
    <t>Edit the values on the 'Parameters' tab. The 'Calculation' tab works out the carbonatable CO2 per ton of clinker, the mortar's carbonation time and the 2023 customer shares; the 'Use Split' tab gives the concrete/mortar split for every year from 1950 to 2050. The five dark blue tabs are the exported files: carbonatable CO2 per ton of clinker by production pathway (CCUP-potential), the split by year (CCUP-use-share), and the in-service share, in-service time and end-of-life share for each use.</t>
  </si>
  <si>
    <t>How uptake is calculated</t>
  </si>
  <si>
    <t>For each year's cement, the share of its carbonatable CO2 taken up by a given age is the in-service share times the square root of age divided by the in-service time (carbonation advances inward by diffusion, which goes with the square root of time), capped at the full in-service share. When the in-service time is over, the end-of-life share is added in one year (demolition and crushing). Concrete: 16.1% over a 65-year service life, then 1.5% at end of life. Mortar: 75% within about a year.</t>
  </si>
  <si>
    <t>Mortar share</t>
  </si>
  <si>
    <t>Mortar here means masonry mortar, stucco, plaster and grout. It is masonry cement (all of it) plus the part of the portland cement sold through building material dealers that goes into site-mixed mortar and stucco (we assume half), plus small shares of the concrete product makers' and contractors' 'other' categories (bagged mortar mixes, plastering). The shares are on a clinker basis, because masonry cement contains less clinker per ton. Cement for oil wells, mining and waste stabilization is buried and takes up nothing, so it is left out of both uses; the concrete share is what remains. For the U.S. this gives about 4% mortar today (about 7-8% in the 1970s), well below the 12.5% that global carbonation studies assume for the U.S. The dealer assumption is the largest uncertainty: USGS does not report how dealers' customers use their cement.</t>
  </si>
  <si>
    <t>Pathways</t>
  </si>
  <si>
    <t>Carbonatable CO2 per ton of clinker is the lime content of the clinker times the ratio of the molar masses of CO2 and calcium oxide. It is the same for every pathway that makes conventional clinker, including the pathways with carbon capture: capturing the kiln's CO2 does not change the lime in the clinker, so concrete made from it still takes CO2 back up. Alternative chemistry cement is set to zero because its lime content depends on the specific product and we found no published value.</t>
  </si>
  <si>
    <t>Uncertainty</t>
  </si>
  <si>
    <t>Published estimates of annual U.S. uptake range from about 7 Mt CO2 (AzariJafari et al. 2025, PNAS) to about 35 Mt (Niu et al. 2025, ESSD), that is, from about an eighth of U.S. cement process emissions to nearly all of them. Most of the spread comes from the mortar share and from how fully mortar carbonates. The concrete values are global averages, not U.S. measurements. Treat results from this file as indicative.</t>
  </si>
  <si>
    <t>Parameter</t>
  </si>
  <si>
    <t>Value</t>
  </si>
  <si>
    <t>Source</t>
  </si>
  <si>
    <t>Calcium oxide (lime) content of clinker, fraction</t>
  </si>
  <si>
    <t>EPA GHG Inventory</t>
  </si>
  <si>
    <t>Molar mass of CO2, g/mol</t>
  </si>
  <si>
    <t>Physical constant</t>
  </si>
  <si>
    <t>Molar mass of calcium oxide, g/mol</t>
  </si>
  <si>
    <t>Concrete: share of carbonatable CO2 taken up during service life</t>
  </si>
  <si>
    <t>Xi et al. 2016</t>
  </si>
  <si>
    <t>Concrete: service life, years</t>
  </si>
  <si>
    <t>Xi et al. 2016, citing Kapur et al. 2008</t>
  </si>
  <si>
    <t>Concrete: share taken up at demolition</t>
  </si>
  <si>
    <t>Concrete: share taken up in disposal or reuse</t>
  </si>
  <si>
    <t>Mortar: share of carbonatable CO2 taken up during use (degree of carbonation)</t>
  </si>
  <si>
    <t>EN 16757 via KIT review</t>
  </si>
  <si>
    <t>Mortar: typical thickness, mm</t>
  </si>
  <si>
    <t>Xi et al. 2016, Supplementary Information 2.2.2</t>
  </si>
  <si>
    <t>Mortar: carbonation rate, mm per square-root year</t>
  </si>
  <si>
    <t>Xi et al. 2016, Supplementary Information 2.2.3</t>
  </si>
  <si>
    <t>Mortar: share taken up after use</t>
  </si>
  <si>
    <t>Mortar has carbonated through during use</t>
  </si>
  <si>
    <t>Masonry cement: portland cement content, fraction</t>
  </si>
  <si>
    <t>USGS OFR 2005-1152 (50-67%, midpoint)</t>
  </si>
  <si>
    <t>Building material dealers: share of their cement used for mortar, stucco and grout</t>
  </si>
  <si>
    <t>Assumption (range 0.25-0.75); USGS does not report it</t>
  </si>
  <si>
    <t>Concrete product makers, 'other or unspecified': share that is bagged mortar and stucco mix</t>
  </si>
  <si>
    <t>Assumption (range 0-0.5)</t>
  </si>
  <si>
    <t>Contractors, 'other or unspecified': share used for plaster and stucco</t>
  </si>
  <si>
    <t>Assumption (range 0-0.25)</t>
  </si>
  <si>
    <t>Concrete product makers, 'other or unspecified', 2023, thousand metric tons</t>
  </si>
  <si>
    <t>USGS MYB 2023 table 14, footnote 8</t>
  </si>
  <si>
    <t>Contractors, 'other or unspecified', 2023, thousand metric tons</t>
  </si>
  <si>
    <t>USGS MYB 2023 table 14, footnote 9</t>
  </si>
  <si>
    <t>TABLE 12</t>
  </si>
  <si>
    <t>MASONRY CEMENT SHIPPED IN THE UNITED STATES, BY DISTRICT AND VALUE1, 2</t>
  </si>
  <si>
    <t>2022</t>
  </si>
  <si>
    <t>2023</t>
  </si>
  <si>
    <t>Value5</t>
  </si>
  <si>
    <t>Quantity4</t>
  </si>
  <si>
    <t>Average6</t>
  </si>
  <si>
    <t>(thousand</t>
  </si>
  <si>
    <t>Total</t>
  </si>
  <si>
    <t>(per</t>
  </si>
  <si>
    <t>District3</t>
  </si>
  <si>
    <t>metric tons)</t>
  </si>
  <si>
    <t>(thousands)</t>
  </si>
  <si>
    <t>metric ton)</t>
  </si>
  <si>
    <t>Maine and New York</t>
  </si>
  <si>
    <t>Pennsylvania7</t>
  </si>
  <si>
    <t>Illinois, Indiana, Ohio</t>
  </si>
  <si>
    <t>7</t>
  </si>
  <si>
    <t>Michigan</t>
  </si>
  <si>
    <t>Iowa, Nebraska, South Dakota</t>
  </si>
  <si>
    <t>W</t>
  </si>
  <si>
    <t>Kansas and Missouri</t>
  </si>
  <si>
    <t>Florida</t>
  </si>
  <si>
    <t>r, 7</t>
  </si>
  <si>
    <t>Georgia, Maryland, Virginia, West Virginia</t>
  </si>
  <si>
    <t>South Carolina</t>
  </si>
  <si>
    <t>Alabama, Kentucky, Mississippi, Tennessee</t>
  </si>
  <si>
    <t>Arkansas and Oklahoma</t>
  </si>
  <si>
    <t>Texas7</t>
  </si>
  <si>
    <t>Arizona, New Mexico</t>
  </si>
  <si>
    <t>Colorado, Montana, Nevada, Utah, Wyoming</t>
  </si>
  <si>
    <t>Alaska and Hawaii</t>
  </si>
  <si>
    <t>r</t>
  </si>
  <si>
    <t>California, Oregon, Washington7</t>
  </si>
  <si>
    <t>Importers7, 8</t>
  </si>
  <si>
    <t>Total or average7, 9</t>
  </si>
  <si>
    <t>Puerto Rico</t>
  </si>
  <si>
    <t>--</t>
  </si>
  <si>
    <t>Grand total or average7, 9</t>
  </si>
  <si>
    <t>rRevised. W Withheld to avoid disclosing company proprietary data; included in “Total.”  -- Zero.</t>
  </si>
  <si>
    <t>1Table includes data available through March 18, 2025. Even where presented unrounded, data are thought to be accurate to no more than three significant digits. Shipments are those by cement companies to final customers and include imported cement and cement made from imported clinker. Excludes sales of masonry cement by portland cement final customers who made masonry cement from purchased portland cement.</t>
  </si>
  <si>
    <t xml:space="preserve">2Data include true masonry, plastic, portland-lime, and stucco cements. </t>
  </si>
  <si>
    <t xml:space="preserve">3District is the location of the reporting entities, not necessarily the location of sales (see table 9 for sales data, by State). Specific districts include shipments by importers where district assignations were possible. </t>
  </si>
  <si>
    <t>4Tonnages are those by reporting entities in the district but may include shipments into other districts. They differ from the data in table 9, which are the actual reported sales into the specific States.</t>
  </si>
  <si>
    <t>5Values are mill net or ex-plant valuations of total sales to final customers, including sales from plants' external distribution terminals. The data are ex-terminal for independently reporting terminals. Data include both bulk and bag shipments. Unless otherwise specified, data are presented unrounded. Unrounded or not, unit value data should be viewed as value indicators, accurate to no more than the nearest $0.50 or even $1.00 per metric ton.</t>
  </si>
  <si>
    <t>6Average value calculated from unrounded data.</t>
  </si>
  <si>
    <t>7Data are rounded to no more than three significant digits (unit values to the nearest $0.50) because they include estimates.</t>
  </si>
  <si>
    <t>8Importers for which district assignations were not possible.</t>
  </si>
  <si>
    <t>9May not add to totals shown because of independent rounding.</t>
  </si>
  <si>
    <t>TABLE 14</t>
  </si>
  <si>
    <t>PORTLAND AND BLENDED CEMENT SHIPMENTS IN 2023, BY DISTRICT AND TYPE OF CUSTOMER1</t>
  </si>
  <si>
    <t>(Thousand metric tons)</t>
  </si>
  <si>
    <t>Oil well,</t>
  </si>
  <si>
    <t>Ready-</t>
  </si>
  <si>
    <t>Concrete</t>
  </si>
  <si>
    <t>Building</t>
  </si>
  <si>
    <t>mining,</t>
  </si>
  <si>
    <t>Government</t>
  </si>
  <si>
    <t>mixed</t>
  </si>
  <si>
    <t>product</t>
  </si>
  <si>
    <t>material</t>
  </si>
  <si>
    <t>waste</t>
  </si>
  <si>
    <t>and</t>
  </si>
  <si>
    <t>District2</t>
  </si>
  <si>
    <t>concrete</t>
  </si>
  <si>
    <t>manufacturers</t>
  </si>
  <si>
    <t>Contractors</t>
  </si>
  <si>
    <t>dealers</t>
  </si>
  <si>
    <t>stabilization</t>
  </si>
  <si>
    <t>other3</t>
  </si>
  <si>
    <t>Total4</t>
  </si>
  <si>
    <t>Pennsylvania</t>
  </si>
  <si>
    <t>6</t>
  </si>
  <si>
    <t>Illinois</t>
  </si>
  <si>
    <t>Indiana and Ohio</t>
  </si>
  <si>
    <t>Kansas</t>
  </si>
  <si>
    <t>Missouri</t>
  </si>
  <si>
    <t>(5)</t>
  </si>
  <si>
    <t>Alabama, Kentucky, Tennessee</t>
  </si>
  <si>
    <t>Texas, northern</t>
  </si>
  <si>
    <t>Texas, southern</t>
  </si>
  <si>
    <t>Arizona and New Mexico</t>
  </si>
  <si>
    <t>Colorado and Wyoming</t>
  </si>
  <si>
    <t>Montana, Nevada, Utah</t>
  </si>
  <si>
    <t>California</t>
  </si>
  <si>
    <t>Oregon and Washington</t>
  </si>
  <si>
    <t>Importers7</t>
  </si>
  <si>
    <t>Grand total4</t>
  </si>
  <si>
    <t>8</t>
  </si>
  <si>
    <t>9</t>
  </si>
  <si>
    <t>10</t>
  </si>
  <si>
    <t>11</t>
  </si>
  <si>
    <t>-- Zero.</t>
  </si>
  <si>
    <t>1Table includes data available through March 18, 2024. Except for district totals, data have been rounded to three significant digits, but are likely accurate to only two significant digits. District totals are likely accurate to no more than three significant digits. Includes imported cement and cement made from imported clinker.</t>
  </si>
  <si>
    <t>2The location of the reporting entity, not the location of sales (see table 9 for sales data, by State). Specific districts include shipments by importers where district assignations were possible.</t>
  </si>
  <si>
    <t>3Includes shipments to miscellaneous customer types and for which customer types were not specified.</t>
  </si>
  <si>
    <t>4May not add to totals shown because of independent rounding.</t>
  </si>
  <si>
    <t>5Less than ½ unit.</t>
  </si>
  <si>
    <t>6Includes estimates for nonrespondents or facilities that provided incomplete information.</t>
  </si>
  <si>
    <t>7Shipments by importers where district assignations were not possible.</t>
  </si>
  <si>
    <t>8Includes pipe—1,040; precast and prestressed—4,210; brick and block—4,220; and other or unspecified—2,670.</t>
  </si>
  <si>
    <t>9Includes airport—30; soil cement—2,990; road paving—4,660; and other or unspecified—1,820.</t>
  </si>
  <si>
    <t>10Includes waste stabilization—290; mining—370; and oil well drilling—2,050.</t>
  </si>
  <si>
    <t>11Includes other or unspecified—1,450.</t>
  </si>
  <si>
    <t>USGS Data Series 140, cement end-use worksheet (metric tons), typed from cement-use.pdf. Government and miscellaneous is reported from 1993 only. Portland cement total and apparent consumption as published.</t>
  </si>
  <si>
    <t>Year</t>
  </si>
  <si>
    <t>Ready-mix concrete</t>
  </si>
  <si>
    <t>Concrete products</t>
  </si>
  <si>
    <t>Building material dealers</t>
  </si>
  <si>
    <t>Oil well, mining, and waste stabilization</t>
  </si>
  <si>
    <t>Government and miscellaneous</t>
  </si>
  <si>
    <t>Portland cement total</t>
  </si>
  <si>
    <t>Masonry cement</t>
  </si>
  <si>
    <t>Apparent consumption</t>
  </si>
  <si>
    <t>Single values</t>
  </si>
  <si>
    <t>Carbonatable CO2 per ton of conventional clinker, g CO2 per metric ton (lime share x 44.01 / 56.08 x 1,000,000)</t>
  </si>
  <si>
    <t>Mortar: years to carbonate through ((thickness / rate) squared)</t>
  </si>
  <si>
    <t>Concrete: end-of-life share (demolition + disposal or reuse)</t>
  </si>
  <si>
    <t>2023 masonry cement shipped, thousand metric tons</t>
  </si>
  <si>
    <t>2023 portland and blended cement shipped, thousand metric tons</t>
  </si>
  <si>
    <t>2023 total cement shipped, thousand metric tons</t>
  </si>
  <si>
    <t>2023 masonry cement share of tons</t>
  </si>
  <si>
    <t>2023 building material dealer share of tons</t>
  </si>
  <si>
    <t>2023 oil well, mining and waste stabilization share of tons</t>
  </si>
  <si>
    <t>Other mortar-like share of tons (products and contractors 'other', held at the 2023 share in every year)</t>
  </si>
  <si>
    <t>Which share of each year's cement (clinker basis) goes into mortar, concrete, or is buried? Column F is the mortar share and column H the concrete share that the output file reads.</t>
  </si>
  <si>
    <t>Masonry cement
share of tons</t>
  </si>
  <si>
    <t>Dealers
share of tons</t>
  </si>
  <si>
    <t>Buried (oil well, mining)
share of tons</t>
  </si>
  <si>
    <t>Clinker weight
masonry at its portland content, rest at 1</t>
  </si>
  <si>
    <t>MORTAR SHARE USED IN THE OUTPUT FILE
clinker basis</t>
  </si>
  <si>
    <t>Buried share
clinker basis, no uptake</t>
  </si>
  <si>
    <t>CONCRETE SHARE USED IN THE OUTPUT FILE
1 - mortar - buried</t>
  </si>
  <si>
    <t>CHECK: is carbonatable CO2 per ton of conventional clinker within 1% of the EPA calcination factor of 510,000 g/t? (1 = problem)</t>
  </si>
  <si>
    <t>CHECK: are the mortar shares between 0 and 0.3 in every year? (1 = problem)</t>
  </si>
  <si>
    <t>CHECK: are the concrete shares between 0.5 and 1 in every year? (1 = problem)</t>
  </si>
  <si>
    <t>CHECK: do in-service plus end-of-life shares stay at or below 1 for both uses? (1 = problem)</t>
  </si>
  <si>
    <t>CHECK: does the 2023 portland total in table 14 match the sum of its customer columns within 2%? (1 = problem)</t>
  </si>
  <si>
    <t>Unit: g CO2/metric ton clinker</t>
  </si>
  <si>
    <t>Carbonatable CO2 per Ton of Clinker</t>
  </si>
  <si>
    <t>dry kiln with precalciner</t>
  </si>
  <si>
    <t>dry kiln with CCS</t>
  </si>
  <si>
    <t>electric kiln</t>
  </si>
  <si>
    <t>electric kiln with CCS</t>
  </si>
  <si>
    <t>alternative chemistry cement</t>
  </si>
  <si>
    <t>Unit: dimensionless</t>
  </si>
  <si>
    <t>mortar</t>
  </si>
  <si>
    <t>CCUP-inservice-share</t>
  </si>
  <si>
    <t>Unit: years</t>
  </si>
  <si>
    <t>CCUP-inservice-time</t>
  </si>
  <si>
    <t>CCUP-eol-share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</si>
</sst>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rgb="FF0563C1"/>
      <name val="Calibri"/>
    </font>
  </fonts>
  <fills count="3">
    <fill>
      <patternFill patternType="none"/>
    </fill>
    <fill>
      <patternFill patternType="gray125"/>
    </fill>
    <fill>
      <patternFill patternType="solid">
        <fgColor rgb="FFD9D9D9"/>
        <bgColor rgb="FFD9D9D9"/>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2" fillId="0" borderId="0" xfId="0" applyFont="1" applyAlignment="1">
      <alignment horizontal="left" vertical="top" wrapText="1"/>
    </xf>
    <xf numFmtId="0" fontId="1" fillId="0" borderId="0" xfId="0" applyFon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publikationen.bibliothek.kit.edu/1000131215/109575530" TargetMode="External"/><Relationship Id="rId7" Type="http://schemas.openxmlformats.org/officeDocument/2006/relationships/hyperlink" Target="https://d9-wret.s3.us-west-2.amazonaws.com/assets/palladium/production/s3fs-public/media/files/myb1-2023-cemen-ERT.xlsx" TargetMode="External"/><Relationship Id="rId2" Type="http://schemas.openxmlformats.org/officeDocument/2006/relationships/hyperlink" Target="https://d9-wret.s3.us-west-2.amazonaws.com/assets/palladium/production/mineral-pubs/historical-statistics/cement-use.pdf" TargetMode="External"/><Relationship Id="rId1" Type="http://schemas.openxmlformats.org/officeDocument/2006/relationships/hyperlink" Target="https://doi.org/10.1038/ngeo2840" TargetMode="External"/><Relationship Id="rId6" Type="http://schemas.openxmlformats.org/officeDocument/2006/relationships/hyperlink" Target="https://doi.org/10.5281/zenodo.4459729" TargetMode="External"/><Relationship Id="rId5" Type="http://schemas.openxmlformats.org/officeDocument/2006/relationships/hyperlink" Target="https://www.epa.gov/system/files/documents/2024-02/us-ghg-inventory-2024-chapter-4-industrial-processes-and-product-use.pdf" TargetMode="External"/><Relationship Id="rId4" Type="http://schemas.openxmlformats.org/officeDocument/2006/relationships/hyperlink" Target="https://pubs.usgs.gov/of/2005/1152/2005-115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8"/>
  <sheetViews>
    <sheetView tabSelected="1" workbookViewId="0"/>
  </sheetViews>
  <sheetFormatPr defaultRowHeight="15" x14ac:dyDescent="0.25"/>
  <cols>
    <col min="1" max="1" width="14" customWidth="1"/>
    <col min="2" max="2" width="110" customWidth="1"/>
    <col min="3" max="3" width="3" customWidth="1"/>
    <col min="4" max="4" width="110" customWidth="1"/>
  </cols>
  <sheetData>
    <row r="1" spans="1:4" x14ac:dyDescent="0.25">
      <c r="A1" s="1" t="s">
        <v>0</v>
      </c>
    </row>
    <row r="3" spans="1:4" x14ac:dyDescent="0.25">
      <c r="A3" s="1" t="s">
        <v>1</v>
      </c>
      <c r="B3" s="2" t="s">
        <v>2</v>
      </c>
      <c r="D3" s="2" t="s">
        <v>3</v>
      </c>
    </row>
    <row r="4" spans="1:4" x14ac:dyDescent="0.25">
      <c r="B4" s="3" t="s">
        <v>4</v>
      </c>
      <c r="D4" s="3" t="s">
        <v>5</v>
      </c>
    </row>
    <row r="5" spans="1:4" ht="30" x14ac:dyDescent="0.25">
      <c r="B5" s="3" t="s">
        <v>6</v>
      </c>
      <c r="D5" s="3" t="s">
        <v>7</v>
      </c>
    </row>
    <row r="6" spans="1:4" x14ac:dyDescent="0.25">
      <c r="B6" s="3">
        <v>2016</v>
      </c>
      <c r="D6" s="3">
        <v>2005</v>
      </c>
    </row>
    <row r="7" spans="1:4" ht="30" x14ac:dyDescent="0.25">
      <c r="B7" s="4" t="s">
        <v>8</v>
      </c>
      <c r="D7" s="4" t="s">
        <v>9</v>
      </c>
    </row>
    <row r="8" spans="1:4" ht="90" x14ac:dyDescent="0.25">
      <c r="B8" s="3" t="s">
        <v>10</v>
      </c>
      <c r="D8" s="3" t="s">
        <v>11</v>
      </c>
    </row>
    <row r="10" spans="1:4" x14ac:dyDescent="0.25">
      <c r="B10" s="2" t="s">
        <v>12</v>
      </c>
      <c r="D10" s="2" t="s">
        <v>13</v>
      </c>
    </row>
    <row r="11" spans="1:4" ht="30" x14ac:dyDescent="0.25">
      <c r="B11" s="3" t="s">
        <v>14</v>
      </c>
      <c r="D11" s="3" t="s">
        <v>15</v>
      </c>
    </row>
    <row r="12" spans="1:4" x14ac:dyDescent="0.25">
      <c r="B12" s="3" t="s">
        <v>16</v>
      </c>
      <c r="D12" s="3" t="s">
        <v>17</v>
      </c>
    </row>
    <row r="13" spans="1:4" x14ac:dyDescent="0.25">
      <c r="B13" s="3">
        <v>2021</v>
      </c>
      <c r="D13" s="3">
        <v>2005</v>
      </c>
    </row>
    <row r="14" spans="1:4" x14ac:dyDescent="0.25">
      <c r="B14" s="4" t="s">
        <v>18</v>
      </c>
      <c r="D14" s="4" t="s">
        <v>19</v>
      </c>
    </row>
    <row r="15" spans="1:4" ht="60" x14ac:dyDescent="0.25">
      <c r="B15" s="3" t="s">
        <v>20</v>
      </c>
      <c r="D15" s="3" t="s">
        <v>21</v>
      </c>
    </row>
    <row r="17" spans="1:4" x14ac:dyDescent="0.25">
      <c r="B17" s="2" t="s">
        <v>22</v>
      </c>
      <c r="D17" s="2" t="s">
        <v>23</v>
      </c>
    </row>
    <row r="18" spans="1:4" x14ac:dyDescent="0.25">
      <c r="B18" s="3" t="s">
        <v>24</v>
      </c>
      <c r="D18" s="3" t="s">
        <v>25</v>
      </c>
    </row>
    <row r="19" spans="1:4" ht="30" x14ac:dyDescent="0.25">
      <c r="B19" s="3" t="s">
        <v>26</v>
      </c>
      <c r="D19" s="3" t="s">
        <v>27</v>
      </c>
    </row>
    <row r="20" spans="1:4" x14ac:dyDescent="0.25">
      <c r="B20" s="3">
        <v>2024</v>
      </c>
      <c r="D20" s="3">
        <v>2021</v>
      </c>
    </row>
    <row r="21" spans="1:4" ht="30" x14ac:dyDescent="0.25">
      <c r="B21" s="4" t="s">
        <v>28</v>
      </c>
      <c r="D21" s="4" t="s">
        <v>29</v>
      </c>
    </row>
    <row r="22" spans="1:4" ht="60" x14ac:dyDescent="0.25">
      <c r="B22" s="3" t="s">
        <v>30</v>
      </c>
      <c r="D22" s="3" t="s">
        <v>31</v>
      </c>
    </row>
    <row r="24" spans="1:4" x14ac:dyDescent="0.25">
      <c r="B24" s="2" t="s">
        <v>32</v>
      </c>
    </row>
    <row r="25" spans="1:4" x14ac:dyDescent="0.25">
      <c r="B25" s="3" t="s">
        <v>5</v>
      </c>
    </row>
    <row r="26" spans="1:4" x14ac:dyDescent="0.25">
      <c r="B26" s="3" t="s">
        <v>33</v>
      </c>
    </row>
    <row r="27" spans="1:4" x14ac:dyDescent="0.25">
      <c r="B27" s="3">
        <v>2025</v>
      </c>
    </row>
    <row r="28" spans="1:4" ht="30" x14ac:dyDescent="0.25">
      <c r="B28" s="4" t="s">
        <v>34</v>
      </c>
    </row>
    <row r="29" spans="1:4" ht="75" x14ac:dyDescent="0.25">
      <c r="B29" s="3" t="s">
        <v>35</v>
      </c>
    </row>
    <row r="32" spans="1:4" x14ac:dyDescent="0.25">
      <c r="A32" s="1" t="s">
        <v>36</v>
      </c>
    </row>
    <row r="33" spans="1:2" ht="75" x14ac:dyDescent="0.25">
      <c r="A33" s="1" t="s">
        <v>37</v>
      </c>
      <c r="B33" s="3" t="s">
        <v>38</v>
      </c>
    </row>
    <row r="34" spans="1:2" ht="75" x14ac:dyDescent="0.25">
      <c r="A34" s="1" t="s">
        <v>39</v>
      </c>
      <c r="B34" s="3" t="s">
        <v>40</v>
      </c>
    </row>
    <row r="35" spans="1:2" ht="75" x14ac:dyDescent="0.25">
      <c r="A35" s="1" t="s">
        <v>41</v>
      </c>
      <c r="B35" s="3" t="s">
        <v>42</v>
      </c>
    </row>
    <row r="36" spans="1:2" ht="120" x14ac:dyDescent="0.25">
      <c r="A36" s="1" t="s">
        <v>43</v>
      </c>
      <c r="B36" s="3" t="s">
        <v>44</v>
      </c>
    </row>
    <row r="37" spans="1:2" ht="75" x14ac:dyDescent="0.25">
      <c r="A37" s="1" t="s">
        <v>45</v>
      </c>
      <c r="B37" s="3" t="s">
        <v>46</v>
      </c>
    </row>
    <row r="38" spans="1:2" ht="60" x14ac:dyDescent="0.25">
      <c r="A38" s="1" t="s">
        <v>47</v>
      </c>
      <c r="B38" s="3" t="s">
        <v>48</v>
      </c>
    </row>
  </sheetData>
  <hyperlinks>
    <hyperlink ref="B7" r:id="rId1" xr:uid="{00000000-0004-0000-0000-000000000000}"/>
    <hyperlink ref="D7" r:id="rId2" xr:uid="{00000000-0004-0000-0000-000001000000}"/>
    <hyperlink ref="B14" r:id="rId3" xr:uid="{00000000-0004-0000-0000-000002000000}"/>
    <hyperlink ref="D14" r:id="rId4" xr:uid="{00000000-0004-0000-0000-000003000000}"/>
    <hyperlink ref="B21" r:id="rId5" xr:uid="{00000000-0004-0000-0000-000004000000}"/>
    <hyperlink ref="D21" r:id="rId6" xr:uid="{00000000-0004-0000-0000-000005000000}"/>
    <hyperlink ref="B28" r:id="rId7" xr:uid="{00000000-0004-0000-0000-000006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8"/>
  <sheetViews>
    <sheetView workbookViewId="0"/>
  </sheetViews>
  <sheetFormatPr defaultRowHeight="15" x14ac:dyDescent="0.25"/>
  <cols>
    <col min="1" max="1" width="78" customWidth="1"/>
    <col min="2" max="2" width="14" customWidth="1"/>
    <col min="3" max="3" width="62" customWidth="1"/>
  </cols>
  <sheetData>
    <row r="1" spans="1:3" x14ac:dyDescent="0.25">
      <c r="A1" s="1" t="s">
        <v>49</v>
      </c>
      <c r="B1" s="1" t="s">
        <v>50</v>
      </c>
      <c r="C1" s="1" t="s">
        <v>51</v>
      </c>
    </row>
    <row r="2" spans="1:3" x14ac:dyDescent="0.25">
      <c r="A2" s="3" t="s">
        <v>52</v>
      </c>
      <c r="B2">
        <v>0.65</v>
      </c>
      <c r="C2" s="3" t="s">
        <v>53</v>
      </c>
    </row>
    <row r="3" spans="1:3" x14ac:dyDescent="0.25">
      <c r="A3" s="3" t="s">
        <v>54</v>
      </c>
      <c r="B3">
        <v>44.01</v>
      </c>
      <c r="C3" s="3" t="s">
        <v>55</v>
      </c>
    </row>
    <row r="4" spans="1:3" x14ac:dyDescent="0.25">
      <c r="A4" s="3" t="s">
        <v>56</v>
      </c>
      <c r="B4">
        <v>56.08</v>
      </c>
      <c r="C4" s="3" t="s">
        <v>55</v>
      </c>
    </row>
    <row r="5" spans="1:3" x14ac:dyDescent="0.25">
      <c r="A5" s="3" t="s">
        <v>57</v>
      </c>
      <c r="B5">
        <v>0.161</v>
      </c>
      <c r="C5" s="3" t="s">
        <v>58</v>
      </c>
    </row>
    <row r="6" spans="1:3" x14ac:dyDescent="0.25">
      <c r="A6" s="3" t="s">
        <v>59</v>
      </c>
      <c r="B6">
        <v>65</v>
      </c>
      <c r="C6" s="3" t="s">
        <v>60</v>
      </c>
    </row>
    <row r="7" spans="1:3" x14ac:dyDescent="0.25">
      <c r="A7" s="3" t="s">
        <v>61</v>
      </c>
      <c r="B7">
        <v>1.4E-2</v>
      </c>
      <c r="C7" s="3" t="s">
        <v>58</v>
      </c>
    </row>
    <row r="8" spans="1:3" x14ac:dyDescent="0.25">
      <c r="A8" s="3" t="s">
        <v>62</v>
      </c>
      <c r="B8">
        <v>1E-3</v>
      </c>
      <c r="C8" s="3" t="s">
        <v>58</v>
      </c>
    </row>
    <row r="9" spans="1:3" x14ac:dyDescent="0.25">
      <c r="A9" s="3" t="s">
        <v>63</v>
      </c>
      <c r="B9">
        <v>0.75</v>
      </c>
      <c r="C9" s="3" t="s">
        <v>64</v>
      </c>
    </row>
    <row r="10" spans="1:3" x14ac:dyDescent="0.25">
      <c r="A10" s="3" t="s">
        <v>65</v>
      </c>
      <c r="B10">
        <v>20</v>
      </c>
      <c r="C10" s="3" t="s">
        <v>66</v>
      </c>
    </row>
    <row r="11" spans="1:3" x14ac:dyDescent="0.25">
      <c r="A11" s="3" t="s">
        <v>67</v>
      </c>
      <c r="B11">
        <v>19.600000000000001</v>
      </c>
      <c r="C11" s="3" t="s">
        <v>68</v>
      </c>
    </row>
    <row r="12" spans="1:3" x14ac:dyDescent="0.25">
      <c r="A12" s="3" t="s">
        <v>69</v>
      </c>
      <c r="B12">
        <v>0</v>
      </c>
      <c r="C12" s="3" t="s">
        <v>70</v>
      </c>
    </row>
    <row r="13" spans="1:3" x14ac:dyDescent="0.25">
      <c r="A13" s="3" t="s">
        <v>71</v>
      </c>
      <c r="B13">
        <v>0.58499999999999996</v>
      </c>
      <c r="C13" s="3" t="s">
        <v>72</v>
      </c>
    </row>
    <row r="14" spans="1:3" x14ac:dyDescent="0.25">
      <c r="A14" s="3" t="s">
        <v>73</v>
      </c>
      <c r="B14">
        <v>0.5</v>
      </c>
      <c r="C14" s="3" t="s">
        <v>74</v>
      </c>
    </row>
    <row r="15" spans="1:3" ht="30" x14ac:dyDescent="0.25">
      <c r="A15" s="3" t="s">
        <v>75</v>
      </c>
      <c r="B15">
        <v>0.25</v>
      </c>
      <c r="C15" s="3" t="s">
        <v>76</v>
      </c>
    </row>
    <row r="16" spans="1:3" x14ac:dyDescent="0.25">
      <c r="A16" s="3" t="s">
        <v>77</v>
      </c>
      <c r="B16">
        <v>0.1</v>
      </c>
      <c r="C16" s="3" t="s">
        <v>78</v>
      </c>
    </row>
    <row r="17" spans="1:3" x14ac:dyDescent="0.25">
      <c r="A17" s="3" t="s">
        <v>79</v>
      </c>
      <c r="B17">
        <v>2670</v>
      </c>
      <c r="C17" s="3" t="s">
        <v>80</v>
      </c>
    </row>
    <row r="18" spans="1:3" x14ac:dyDescent="0.25">
      <c r="A18" s="3" t="s">
        <v>81</v>
      </c>
      <c r="B18">
        <v>1820</v>
      </c>
      <c r="C18" s="3" t="s">
        <v>82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8"/>
  <sheetViews>
    <sheetView workbookViewId="0"/>
  </sheetViews>
  <sheetFormatPr defaultRowHeight="15" x14ac:dyDescent="0.25"/>
  <sheetData>
    <row r="1" spans="1:15" x14ac:dyDescent="0.25">
      <c r="A1" t="s">
        <v>83</v>
      </c>
    </row>
    <row r="2" spans="1:15" x14ac:dyDescent="0.25">
      <c r="A2" t="s">
        <v>84</v>
      </c>
    </row>
    <row r="4" spans="1:15" x14ac:dyDescent="0.25">
      <c r="C4" t="s">
        <v>85</v>
      </c>
      <c r="J4" t="s">
        <v>86</v>
      </c>
    </row>
    <row r="5" spans="1:15" x14ac:dyDescent="0.25">
      <c r="E5" t="s">
        <v>87</v>
      </c>
      <c r="L5" t="s">
        <v>87</v>
      </c>
    </row>
    <row r="6" spans="1:15" x14ac:dyDescent="0.25">
      <c r="C6" t="s">
        <v>88</v>
      </c>
      <c r="G6" t="s">
        <v>89</v>
      </c>
      <c r="J6" t="s">
        <v>88</v>
      </c>
      <c r="N6" t="s">
        <v>89</v>
      </c>
    </row>
    <row r="7" spans="1:15" x14ac:dyDescent="0.25">
      <c r="C7" t="s">
        <v>90</v>
      </c>
      <c r="E7" t="s">
        <v>91</v>
      </c>
      <c r="G7" t="s">
        <v>92</v>
      </c>
      <c r="J7" t="s">
        <v>90</v>
      </c>
      <c r="L7" t="s">
        <v>91</v>
      </c>
      <c r="N7" t="s">
        <v>92</v>
      </c>
    </row>
    <row r="8" spans="1:15" x14ac:dyDescent="0.25">
      <c r="A8" t="s">
        <v>93</v>
      </c>
      <c r="C8" t="s">
        <v>94</v>
      </c>
      <c r="E8" t="s">
        <v>95</v>
      </c>
      <c r="G8" t="s">
        <v>96</v>
      </c>
      <c r="J8" t="s">
        <v>94</v>
      </c>
      <c r="L8" t="s">
        <v>95</v>
      </c>
      <c r="N8" t="s">
        <v>96</v>
      </c>
    </row>
    <row r="9" spans="1:15" x14ac:dyDescent="0.25">
      <c r="A9" t="s">
        <v>97</v>
      </c>
      <c r="C9">
        <v>22</v>
      </c>
      <c r="E9">
        <v>3273</v>
      </c>
      <c r="G9">
        <v>148.77000000000001</v>
      </c>
      <c r="J9">
        <v>16</v>
      </c>
      <c r="L9">
        <v>3042</v>
      </c>
      <c r="N9">
        <v>189.64</v>
      </c>
    </row>
    <row r="10" spans="1:15" x14ac:dyDescent="0.25">
      <c r="A10" t="s">
        <v>98</v>
      </c>
      <c r="C10">
        <v>171</v>
      </c>
      <c r="E10">
        <v>28100</v>
      </c>
      <c r="G10">
        <v>164.5</v>
      </c>
      <c r="J10">
        <v>144</v>
      </c>
      <c r="L10">
        <v>26200</v>
      </c>
      <c r="N10">
        <v>181.5</v>
      </c>
    </row>
    <row r="11" spans="1:15" x14ac:dyDescent="0.25">
      <c r="A11" t="s">
        <v>99</v>
      </c>
      <c r="C11">
        <v>184</v>
      </c>
      <c r="D11" t="s">
        <v>100</v>
      </c>
      <c r="E11">
        <v>37600</v>
      </c>
      <c r="F11" t="s">
        <v>100</v>
      </c>
      <c r="G11">
        <v>204.5</v>
      </c>
      <c r="H11" t="s">
        <v>100</v>
      </c>
      <c r="J11">
        <v>158</v>
      </c>
      <c r="L11">
        <v>38922</v>
      </c>
      <c r="N11">
        <v>247.12</v>
      </c>
    </row>
    <row r="12" spans="1:15" x14ac:dyDescent="0.25">
      <c r="A12" t="s">
        <v>101</v>
      </c>
      <c r="C12">
        <v>72</v>
      </c>
      <c r="E12">
        <v>13915</v>
      </c>
      <c r="G12">
        <v>193.26</v>
      </c>
      <c r="J12">
        <v>62</v>
      </c>
      <c r="L12">
        <v>11500</v>
      </c>
      <c r="M12" t="s">
        <v>100</v>
      </c>
      <c r="N12">
        <v>186</v>
      </c>
      <c r="O12" t="s">
        <v>100</v>
      </c>
    </row>
    <row r="13" spans="1:15" x14ac:dyDescent="0.25">
      <c r="A13" t="s">
        <v>102</v>
      </c>
      <c r="C13" t="s">
        <v>103</v>
      </c>
      <c r="E13" t="s">
        <v>103</v>
      </c>
      <c r="G13" t="s">
        <v>103</v>
      </c>
      <c r="J13" t="s">
        <v>103</v>
      </c>
      <c r="L13" t="s">
        <v>103</v>
      </c>
      <c r="N13" t="s">
        <v>103</v>
      </c>
    </row>
    <row r="14" spans="1:15" x14ac:dyDescent="0.25">
      <c r="A14" t="s">
        <v>104</v>
      </c>
      <c r="C14">
        <v>27</v>
      </c>
      <c r="E14">
        <v>6068</v>
      </c>
      <c r="G14">
        <v>224.74</v>
      </c>
      <c r="J14">
        <v>31</v>
      </c>
      <c r="L14">
        <v>8000</v>
      </c>
      <c r="M14" t="s">
        <v>100</v>
      </c>
      <c r="N14">
        <v>253</v>
      </c>
      <c r="O14" t="s">
        <v>100</v>
      </c>
    </row>
    <row r="15" spans="1:15" x14ac:dyDescent="0.25">
      <c r="A15" t="s">
        <v>105</v>
      </c>
      <c r="C15">
        <v>584</v>
      </c>
      <c r="E15">
        <v>90800</v>
      </c>
      <c r="F15" t="s">
        <v>106</v>
      </c>
      <c r="G15">
        <v>155.5</v>
      </c>
      <c r="H15" t="s">
        <v>106</v>
      </c>
      <c r="J15">
        <v>505</v>
      </c>
      <c r="L15">
        <v>82100</v>
      </c>
      <c r="M15" t="s">
        <v>100</v>
      </c>
      <c r="N15">
        <v>162.5</v>
      </c>
      <c r="O15" t="s">
        <v>100</v>
      </c>
    </row>
    <row r="16" spans="1:15" x14ac:dyDescent="0.25">
      <c r="A16" t="s">
        <v>107</v>
      </c>
      <c r="C16">
        <v>266</v>
      </c>
      <c r="E16">
        <v>56416</v>
      </c>
      <c r="G16">
        <v>212.09</v>
      </c>
      <c r="J16">
        <v>258</v>
      </c>
      <c r="K16" t="s">
        <v>100</v>
      </c>
      <c r="L16">
        <v>61700</v>
      </c>
      <c r="M16" t="s">
        <v>100</v>
      </c>
      <c r="N16">
        <v>239</v>
      </c>
      <c r="O16" t="s">
        <v>100</v>
      </c>
    </row>
    <row r="17" spans="1:15" x14ac:dyDescent="0.25">
      <c r="A17" t="s">
        <v>108</v>
      </c>
      <c r="C17">
        <v>260</v>
      </c>
      <c r="E17">
        <v>55000</v>
      </c>
      <c r="F17" t="s">
        <v>106</v>
      </c>
      <c r="G17">
        <v>211.5</v>
      </c>
      <c r="H17" t="s">
        <v>106</v>
      </c>
      <c r="J17">
        <v>212</v>
      </c>
      <c r="L17">
        <v>38600</v>
      </c>
      <c r="M17" t="s">
        <v>100</v>
      </c>
      <c r="N17">
        <v>182.5</v>
      </c>
      <c r="O17" t="s">
        <v>100</v>
      </c>
    </row>
    <row r="18" spans="1:15" x14ac:dyDescent="0.25">
      <c r="A18" t="s">
        <v>109</v>
      </c>
      <c r="C18">
        <v>250</v>
      </c>
      <c r="E18">
        <v>48000</v>
      </c>
      <c r="F18" t="s">
        <v>106</v>
      </c>
      <c r="G18">
        <v>192</v>
      </c>
      <c r="H18" t="s">
        <v>106</v>
      </c>
      <c r="J18">
        <v>262</v>
      </c>
      <c r="L18">
        <v>56300</v>
      </c>
      <c r="M18" t="s">
        <v>100</v>
      </c>
      <c r="N18">
        <v>215</v>
      </c>
      <c r="O18" t="s">
        <v>100</v>
      </c>
    </row>
    <row r="19" spans="1:15" x14ac:dyDescent="0.25">
      <c r="A19" t="s">
        <v>110</v>
      </c>
      <c r="C19">
        <v>102</v>
      </c>
      <c r="E19">
        <v>15068</v>
      </c>
      <c r="G19">
        <v>147.72999999999999</v>
      </c>
      <c r="J19">
        <v>113</v>
      </c>
      <c r="L19">
        <v>19386</v>
      </c>
      <c r="N19">
        <v>170.94</v>
      </c>
    </row>
    <row r="20" spans="1:15" x14ac:dyDescent="0.25">
      <c r="A20" t="s">
        <v>111</v>
      </c>
      <c r="C20">
        <v>275</v>
      </c>
      <c r="E20">
        <v>53200</v>
      </c>
      <c r="G20">
        <v>193.5</v>
      </c>
      <c r="J20">
        <v>227</v>
      </c>
      <c r="L20">
        <v>46100</v>
      </c>
      <c r="N20">
        <v>203</v>
      </c>
    </row>
    <row r="21" spans="1:15" x14ac:dyDescent="0.25">
      <c r="A21" t="s">
        <v>112</v>
      </c>
      <c r="C21">
        <v>57</v>
      </c>
      <c r="E21">
        <v>8653</v>
      </c>
      <c r="G21">
        <v>151.81</v>
      </c>
      <c r="J21">
        <v>58</v>
      </c>
      <c r="L21">
        <v>9700</v>
      </c>
      <c r="M21" t="s">
        <v>100</v>
      </c>
      <c r="N21">
        <v>166.5</v>
      </c>
      <c r="O21" t="s">
        <v>100</v>
      </c>
    </row>
    <row r="22" spans="1:15" x14ac:dyDescent="0.25">
      <c r="A22" t="s">
        <v>113</v>
      </c>
      <c r="C22" t="s">
        <v>103</v>
      </c>
      <c r="E22" t="s">
        <v>103</v>
      </c>
      <c r="G22" t="s">
        <v>103</v>
      </c>
      <c r="J22" t="s">
        <v>103</v>
      </c>
      <c r="L22" t="s">
        <v>103</v>
      </c>
      <c r="N22" t="s">
        <v>103</v>
      </c>
    </row>
    <row r="23" spans="1:15" x14ac:dyDescent="0.25">
      <c r="A23" t="s">
        <v>114</v>
      </c>
      <c r="C23">
        <v>1</v>
      </c>
      <c r="E23">
        <v>611</v>
      </c>
      <c r="G23">
        <v>424.5</v>
      </c>
      <c r="H23" t="s">
        <v>115</v>
      </c>
      <c r="J23">
        <v>2</v>
      </c>
      <c r="L23">
        <v>794</v>
      </c>
      <c r="M23" t="s">
        <v>100</v>
      </c>
      <c r="N23">
        <v>424.5</v>
      </c>
      <c r="O23" t="s">
        <v>100</v>
      </c>
    </row>
    <row r="24" spans="1:15" x14ac:dyDescent="0.25">
      <c r="A24" t="s">
        <v>116</v>
      </c>
      <c r="C24">
        <v>153</v>
      </c>
      <c r="E24">
        <v>21300</v>
      </c>
      <c r="G24">
        <v>139</v>
      </c>
      <c r="J24">
        <v>142</v>
      </c>
      <c r="L24">
        <v>20000</v>
      </c>
      <c r="N24">
        <v>141.5</v>
      </c>
    </row>
    <row r="25" spans="1:15" x14ac:dyDescent="0.25">
      <c r="A25" t="s">
        <v>117</v>
      </c>
      <c r="C25">
        <v>16</v>
      </c>
      <c r="E25">
        <v>3440</v>
      </c>
      <c r="G25">
        <v>211</v>
      </c>
      <c r="H25" t="s">
        <v>115</v>
      </c>
      <c r="J25">
        <v>99</v>
      </c>
      <c r="L25">
        <v>22100</v>
      </c>
      <c r="N25">
        <v>223</v>
      </c>
    </row>
    <row r="26" spans="1:15" x14ac:dyDescent="0.25">
      <c r="A26" t="s">
        <v>118</v>
      </c>
      <c r="C26">
        <v>2440</v>
      </c>
      <c r="E26">
        <v>442000</v>
      </c>
      <c r="G26">
        <v>181</v>
      </c>
      <c r="J26">
        <v>2290</v>
      </c>
      <c r="L26">
        <v>445000</v>
      </c>
      <c r="N26">
        <v>194</v>
      </c>
    </row>
    <row r="27" spans="1:15" x14ac:dyDescent="0.25">
      <c r="A27" t="s">
        <v>119</v>
      </c>
      <c r="C27" t="s">
        <v>120</v>
      </c>
      <c r="E27" t="s">
        <v>120</v>
      </c>
      <c r="G27" t="s">
        <v>120</v>
      </c>
      <c r="J27" t="s">
        <v>120</v>
      </c>
      <c r="L27" t="s">
        <v>120</v>
      </c>
      <c r="N27" t="s">
        <v>120</v>
      </c>
    </row>
    <row r="28" spans="1:15" x14ac:dyDescent="0.25">
      <c r="A28" t="s">
        <v>121</v>
      </c>
      <c r="C28">
        <v>2440</v>
      </c>
      <c r="E28">
        <v>442000</v>
      </c>
      <c r="G28">
        <v>181</v>
      </c>
      <c r="J28">
        <v>2290</v>
      </c>
      <c r="L28">
        <v>444000</v>
      </c>
      <c r="N28">
        <v>194</v>
      </c>
    </row>
    <row r="29" spans="1:15" x14ac:dyDescent="0.25">
      <c r="A29" t="s">
        <v>122</v>
      </c>
    </row>
    <row r="30" spans="1:15" x14ac:dyDescent="0.25">
      <c r="A30" t="s">
        <v>123</v>
      </c>
    </row>
    <row r="31" spans="1:15" x14ac:dyDescent="0.25">
      <c r="A31" t="s">
        <v>124</v>
      </c>
    </row>
    <row r="32" spans="1:15" x14ac:dyDescent="0.25">
      <c r="A32" t="s">
        <v>125</v>
      </c>
    </row>
    <row r="33" spans="1:1" x14ac:dyDescent="0.25">
      <c r="A33" t="s">
        <v>126</v>
      </c>
    </row>
    <row r="34" spans="1:1" x14ac:dyDescent="0.25">
      <c r="A34" t="s">
        <v>127</v>
      </c>
    </row>
    <row r="35" spans="1:1" x14ac:dyDescent="0.25">
      <c r="A35" t="s">
        <v>128</v>
      </c>
    </row>
    <row r="36" spans="1:1" x14ac:dyDescent="0.25">
      <c r="A36" t="s">
        <v>129</v>
      </c>
    </row>
    <row r="37" spans="1:1" x14ac:dyDescent="0.25">
      <c r="A37" t="s">
        <v>130</v>
      </c>
    </row>
    <row r="38" spans="1:1" x14ac:dyDescent="0.25">
      <c r="A38" t="s">
        <v>131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46"/>
  <sheetViews>
    <sheetView workbookViewId="0"/>
  </sheetViews>
  <sheetFormatPr defaultRowHeight="15" x14ac:dyDescent="0.25"/>
  <sheetData>
    <row r="1" spans="1:16" x14ac:dyDescent="0.25">
      <c r="A1" t="s">
        <v>132</v>
      </c>
    </row>
    <row r="2" spans="1:16" x14ac:dyDescent="0.25">
      <c r="A2" t="s">
        <v>133</v>
      </c>
    </row>
    <row r="4" spans="1:16" x14ac:dyDescent="0.25">
      <c r="A4" t="s">
        <v>134</v>
      </c>
    </row>
    <row r="6" spans="1:16" x14ac:dyDescent="0.25">
      <c r="K6" t="s">
        <v>135</v>
      </c>
    </row>
    <row r="7" spans="1:16" x14ac:dyDescent="0.25">
      <c r="C7" t="s">
        <v>136</v>
      </c>
      <c r="E7" t="s">
        <v>137</v>
      </c>
      <c r="I7" t="s">
        <v>138</v>
      </c>
      <c r="K7" t="s">
        <v>139</v>
      </c>
      <c r="M7" t="s">
        <v>140</v>
      </c>
    </row>
    <row r="8" spans="1:16" x14ac:dyDescent="0.25">
      <c r="C8" t="s">
        <v>141</v>
      </c>
      <c r="E8" t="s">
        <v>142</v>
      </c>
      <c r="I8" t="s">
        <v>143</v>
      </c>
      <c r="K8" t="s">
        <v>144</v>
      </c>
      <c r="M8" t="s">
        <v>145</v>
      </c>
    </row>
    <row r="9" spans="1:16" x14ac:dyDescent="0.25">
      <c r="A9" t="s">
        <v>146</v>
      </c>
      <c r="C9" t="s">
        <v>147</v>
      </c>
      <c r="E9" t="s">
        <v>148</v>
      </c>
      <c r="G9" t="s">
        <v>149</v>
      </c>
      <c r="I9" t="s">
        <v>150</v>
      </c>
      <c r="K9" t="s">
        <v>151</v>
      </c>
      <c r="M9" t="s">
        <v>152</v>
      </c>
      <c r="O9" t="s">
        <v>153</v>
      </c>
    </row>
    <row r="10" spans="1:16" x14ac:dyDescent="0.25">
      <c r="A10" t="s">
        <v>97</v>
      </c>
      <c r="C10">
        <v>1970</v>
      </c>
      <c r="E10">
        <v>237</v>
      </c>
      <c r="G10">
        <v>53</v>
      </c>
      <c r="I10">
        <v>178</v>
      </c>
      <c r="K10">
        <v>6</v>
      </c>
      <c r="M10">
        <v>10</v>
      </c>
      <c r="O10">
        <v>2450</v>
      </c>
    </row>
    <row r="11" spans="1:16" x14ac:dyDescent="0.25">
      <c r="A11" t="s">
        <v>154</v>
      </c>
      <c r="C11">
        <v>1870</v>
      </c>
      <c r="E11">
        <v>810</v>
      </c>
      <c r="G11">
        <v>291</v>
      </c>
      <c r="I11">
        <v>310</v>
      </c>
      <c r="K11">
        <v>85</v>
      </c>
      <c r="M11">
        <v>113</v>
      </c>
      <c r="O11">
        <v>3480</v>
      </c>
      <c r="P11" t="s">
        <v>155</v>
      </c>
    </row>
    <row r="12" spans="1:16" x14ac:dyDescent="0.25">
      <c r="A12" t="s">
        <v>156</v>
      </c>
      <c r="C12">
        <v>590</v>
      </c>
      <c r="E12">
        <v>58</v>
      </c>
      <c r="G12">
        <v>788</v>
      </c>
      <c r="I12">
        <v>124</v>
      </c>
      <c r="K12">
        <v>100</v>
      </c>
      <c r="M12">
        <v>2</v>
      </c>
      <c r="O12">
        <v>1660</v>
      </c>
    </row>
    <row r="13" spans="1:16" x14ac:dyDescent="0.25">
      <c r="A13" t="s">
        <v>157</v>
      </c>
      <c r="C13">
        <v>2930</v>
      </c>
      <c r="E13">
        <v>455</v>
      </c>
      <c r="G13">
        <v>323</v>
      </c>
      <c r="I13">
        <v>115</v>
      </c>
      <c r="K13">
        <v>138</v>
      </c>
      <c r="M13">
        <v>55</v>
      </c>
      <c r="O13">
        <v>4018</v>
      </c>
    </row>
    <row r="14" spans="1:16" x14ac:dyDescent="0.25">
      <c r="A14" t="s">
        <v>101</v>
      </c>
      <c r="C14">
        <v>4230</v>
      </c>
      <c r="E14">
        <v>499</v>
      </c>
      <c r="G14">
        <v>585</v>
      </c>
      <c r="I14">
        <v>176</v>
      </c>
      <c r="K14">
        <v>6</v>
      </c>
      <c r="M14">
        <v>102</v>
      </c>
      <c r="O14">
        <v>5593</v>
      </c>
    </row>
    <row r="15" spans="1:16" x14ac:dyDescent="0.25">
      <c r="A15" t="s">
        <v>102</v>
      </c>
      <c r="C15">
        <v>3060</v>
      </c>
      <c r="E15">
        <v>359</v>
      </c>
      <c r="G15">
        <v>346</v>
      </c>
      <c r="I15">
        <v>14</v>
      </c>
      <c r="K15">
        <v>151</v>
      </c>
      <c r="M15">
        <v>26</v>
      </c>
      <c r="O15">
        <v>3960</v>
      </c>
    </row>
    <row r="16" spans="1:16" x14ac:dyDescent="0.25">
      <c r="A16" t="s">
        <v>158</v>
      </c>
      <c r="C16">
        <v>1590</v>
      </c>
      <c r="E16">
        <v>151</v>
      </c>
      <c r="G16">
        <v>187</v>
      </c>
      <c r="I16">
        <v>52</v>
      </c>
      <c r="K16">
        <v>8</v>
      </c>
      <c r="M16">
        <v>19</v>
      </c>
      <c r="O16">
        <v>2005</v>
      </c>
    </row>
    <row r="17" spans="1:16" x14ac:dyDescent="0.25">
      <c r="A17" t="s">
        <v>159</v>
      </c>
      <c r="C17">
        <v>7670</v>
      </c>
      <c r="E17">
        <v>671</v>
      </c>
      <c r="G17">
        <v>1050</v>
      </c>
      <c r="I17">
        <v>150</v>
      </c>
      <c r="K17">
        <v>91</v>
      </c>
      <c r="M17">
        <v>100</v>
      </c>
      <c r="O17">
        <v>9727</v>
      </c>
    </row>
    <row r="18" spans="1:16" x14ac:dyDescent="0.25">
      <c r="A18" t="s">
        <v>105</v>
      </c>
      <c r="C18">
        <v>5500</v>
      </c>
      <c r="E18">
        <v>2190</v>
      </c>
      <c r="G18">
        <v>619</v>
      </c>
      <c r="I18">
        <v>120</v>
      </c>
      <c r="K18" t="s">
        <v>160</v>
      </c>
      <c r="M18">
        <v>138</v>
      </c>
      <c r="O18">
        <v>8566</v>
      </c>
    </row>
    <row r="19" spans="1:16" x14ac:dyDescent="0.25">
      <c r="A19" t="s">
        <v>107</v>
      </c>
      <c r="C19">
        <v>4110</v>
      </c>
      <c r="E19">
        <v>870</v>
      </c>
      <c r="G19">
        <v>417</v>
      </c>
      <c r="I19">
        <v>407</v>
      </c>
      <c r="K19">
        <v>16</v>
      </c>
      <c r="M19">
        <v>25</v>
      </c>
      <c r="O19">
        <v>5850</v>
      </c>
      <c r="P19" t="s">
        <v>155</v>
      </c>
    </row>
    <row r="20" spans="1:16" x14ac:dyDescent="0.25">
      <c r="A20" t="s">
        <v>108</v>
      </c>
      <c r="C20">
        <v>2700</v>
      </c>
      <c r="E20">
        <v>523</v>
      </c>
      <c r="G20">
        <v>394</v>
      </c>
      <c r="I20">
        <v>68</v>
      </c>
      <c r="K20">
        <v>10</v>
      </c>
      <c r="M20">
        <v>9</v>
      </c>
      <c r="O20">
        <v>3701</v>
      </c>
    </row>
    <row r="21" spans="1:16" x14ac:dyDescent="0.25">
      <c r="A21" t="s">
        <v>161</v>
      </c>
      <c r="C21">
        <v>6120</v>
      </c>
      <c r="E21">
        <v>603</v>
      </c>
      <c r="G21">
        <v>743</v>
      </c>
      <c r="I21">
        <v>522</v>
      </c>
      <c r="K21">
        <v>25</v>
      </c>
      <c r="M21">
        <v>25</v>
      </c>
      <c r="O21">
        <v>8041</v>
      </c>
    </row>
    <row r="22" spans="1:16" x14ac:dyDescent="0.25">
      <c r="A22" t="s">
        <v>110</v>
      </c>
      <c r="C22">
        <v>1780</v>
      </c>
      <c r="E22">
        <v>95</v>
      </c>
      <c r="G22">
        <v>263</v>
      </c>
      <c r="I22">
        <v>91</v>
      </c>
      <c r="K22">
        <v>68</v>
      </c>
      <c r="M22">
        <v>6</v>
      </c>
      <c r="O22">
        <v>2301</v>
      </c>
    </row>
    <row r="23" spans="1:16" x14ac:dyDescent="0.25">
      <c r="A23" t="s">
        <v>162</v>
      </c>
      <c r="C23">
        <v>4860</v>
      </c>
      <c r="E23">
        <v>322</v>
      </c>
      <c r="G23">
        <v>1140</v>
      </c>
      <c r="I23">
        <v>310</v>
      </c>
      <c r="K23">
        <v>949</v>
      </c>
      <c r="M23">
        <v>198</v>
      </c>
      <c r="O23">
        <v>7780</v>
      </c>
      <c r="P23" t="s">
        <v>155</v>
      </c>
    </row>
    <row r="24" spans="1:16" x14ac:dyDescent="0.25">
      <c r="A24" t="s">
        <v>163</v>
      </c>
      <c r="C24">
        <v>6690</v>
      </c>
      <c r="E24">
        <v>1040</v>
      </c>
      <c r="G24">
        <v>1070</v>
      </c>
      <c r="I24">
        <v>355</v>
      </c>
      <c r="K24">
        <v>281</v>
      </c>
      <c r="M24">
        <v>124</v>
      </c>
      <c r="O24">
        <v>9670</v>
      </c>
      <c r="P24" t="s">
        <v>155</v>
      </c>
    </row>
    <row r="25" spans="1:16" x14ac:dyDescent="0.25">
      <c r="A25" t="s">
        <v>164</v>
      </c>
      <c r="C25">
        <v>3580</v>
      </c>
      <c r="E25">
        <v>1050</v>
      </c>
      <c r="G25">
        <v>149</v>
      </c>
      <c r="I25">
        <v>86</v>
      </c>
      <c r="K25">
        <v>94</v>
      </c>
      <c r="M25">
        <v>46</v>
      </c>
      <c r="O25">
        <v>5014</v>
      </c>
    </row>
    <row r="26" spans="1:16" x14ac:dyDescent="0.25">
      <c r="A26" t="s">
        <v>165</v>
      </c>
      <c r="C26">
        <v>2200</v>
      </c>
      <c r="E26">
        <v>164</v>
      </c>
      <c r="G26">
        <v>176</v>
      </c>
      <c r="I26">
        <v>61</v>
      </c>
      <c r="K26">
        <v>91</v>
      </c>
      <c r="M26">
        <v>46</v>
      </c>
      <c r="O26">
        <v>2732</v>
      </c>
    </row>
    <row r="27" spans="1:16" x14ac:dyDescent="0.25">
      <c r="A27" t="s">
        <v>166</v>
      </c>
      <c r="C27">
        <v>1870</v>
      </c>
      <c r="E27">
        <v>134</v>
      </c>
      <c r="G27">
        <v>73</v>
      </c>
      <c r="I27">
        <v>29</v>
      </c>
      <c r="K27">
        <v>274</v>
      </c>
      <c r="M27">
        <v>101</v>
      </c>
      <c r="O27">
        <v>2479</v>
      </c>
    </row>
    <row r="28" spans="1:16" x14ac:dyDescent="0.25">
      <c r="A28" t="s">
        <v>114</v>
      </c>
      <c r="C28">
        <v>361</v>
      </c>
      <c r="E28">
        <v>15</v>
      </c>
      <c r="G28">
        <v>3</v>
      </c>
      <c r="I28">
        <v>4</v>
      </c>
      <c r="K28">
        <v>47</v>
      </c>
      <c r="M28" t="s">
        <v>120</v>
      </c>
      <c r="O28">
        <v>430</v>
      </c>
      <c r="P28" t="s">
        <v>155</v>
      </c>
    </row>
    <row r="29" spans="1:16" x14ac:dyDescent="0.25">
      <c r="A29" t="s">
        <v>167</v>
      </c>
      <c r="C29">
        <v>7390</v>
      </c>
      <c r="E29">
        <v>850</v>
      </c>
      <c r="G29">
        <v>566</v>
      </c>
      <c r="I29">
        <v>746</v>
      </c>
      <c r="K29">
        <v>110</v>
      </c>
      <c r="M29">
        <v>26</v>
      </c>
      <c r="O29">
        <v>9690</v>
      </c>
      <c r="P29" t="s">
        <v>155</v>
      </c>
    </row>
    <row r="30" spans="1:16" x14ac:dyDescent="0.25">
      <c r="A30" t="s">
        <v>168</v>
      </c>
      <c r="C30">
        <v>1410</v>
      </c>
      <c r="E30">
        <v>260</v>
      </c>
      <c r="G30">
        <v>83</v>
      </c>
      <c r="I30">
        <v>44</v>
      </c>
      <c r="K30">
        <v>39</v>
      </c>
      <c r="M30">
        <v>183</v>
      </c>
      <c r="O30">
        <v>2019</v>
      </c>
    </row>
    <row r="31" spans="1:16" x14ac:dyDescent="0.25">
      <c r="A31" t="s">
        <v>169</v>
      </c>
      <c r="C31">
        <v>4860</v>
      </c>
      <c r="E31">
        <v>753</v>
      </c>
      <c r="G31">
        <v>176</v>
      </c>
      <c r="I31">
        <v>69</v>
      </c>
      <c r="K31">
        <v>22</v>
      </c>
      <c r="M31">
        <v>153</v>
      </c>
      <c r="O31">
        <v>6030</v>
      </c>
      <c r="P31" t="s">
        <v>155</v>
      </c>
    </row>
    <row r="32" spans="1:16" x14ac:dyDescent="0.25">
      <c r="A32" t="s">
        <v>153</v>
      </c>
      <c r="C32">
        <v>77300</v>
      </c>
      <c r="E32">
        <v>12100</v>
      </c>
      <c r="G32">
        <v>9500</v>
      </c>
      <c r="I32">
        <v>4030</v>
      </c>
      <c r="K32">
        <v>2610</v>
      </c>
      <c r="M32">
        <v>1510</v>
      </c>
      <c r="O32">
        <v>107000</v>
      </c>
      <c r="P32" t="s">
        <v>155</v>
      </c>
    </row>
    <row r="33" spans="1:16" x14ac:dyDescent="0.25">
      <c r="A33" t="s">
        <v>119</v>
      </c>
      <c r="C33">
        <v>532</v>
      </c>
      <c r="E33">
        <v>34</v>
      </c>
      <c r="G33" t="s">
        <v>120</v>
      </c>
      <c r="I33">
        <v>83</v>
      </c>
      <c r="K33" t="s">
        <v>120</v>
      </c>
      <c r="M33" t="s">
        <v>120</v>
      </c>
      <c r="O33">
        <v>648</v>
      </c>
    </row>
    <row r="34" spans="1:16" x14ac:dyDescent="0.25">
      <c r="A34" t="s">
        <v>170</v>
      </c>
      <c r="C34">
        <v>77900</v>
      </c>
      <c r="E34">
        <v>12100</v>
      </c>
      <c r="F34" t="s">
        <v>171</v>
      </c>
      <c r="G34">
        <v>9500</v>
      </c>
      <c r="H34" t="s">
        <v>172</v>
      </c>
      <c r="I34">
        <v>4110</v>
      </c>
      <c r="K34">
        <v>2610</v>
      </c>
      <c r="L34" t="s">
        <v>173</v>
      </c>
      <c r="M34">
        <v>1510</v>
      </c>
      <c r="N34" t="s">
        <v>174</v>
      </c>
      <c r="O34">
        <v>108000</v>
      </c>
      <c r="P34" t="s">
        <v>155</v>
      </c>
    </row>
    <row r="35" spans="1:16" x14ac:dyDescent="0.25">
      <c r="A35" t="s">
        <v>175</v>
      </c>
    </row>
    <row r="36" spans="1:16" x14ac:dyDescent="0.25">
      <c r="A36" t="s">
        <v>176</v>
      </c>
    </row>
    <row r="37" spans="1:16" x14ac:dyDescent="0.25">
      <c r="A37" t="s">
        <v>177</v>
      </c>
    </row>
    <row r="38" spans="1:16" x14ac:dyDescent="0.25">
      <c r="A38" t="s">
        <v>178</v>
      </c>
    </row>
    <row r="39" spans="1:16" x14ac:dyDescent="0.25">
      <c r="A39" t="s">
        <v>179</v>
      </c>
    </row>
    <row r="40" spans="1:16" x14ac:dyDescent="0.25">
      <c r="A40" t="s">
        <v>180</v>
      </c>
    </row>
    <row r="41" spans="1:16" x14ac:dyDescent="0.25">
      <c r="A41" t="s">
        <v>181</v>
      </c>
    </row>
    <row r="42" spans="1:16" x14ac:dyDescent="0.25">
      <c r="A42" t="s">
        <v>182</v>
      </c>
    </row>
    <row r="43" spans="1:16" x14ac:dyDescent="0.25">
      <c r="A43" t="s">
        <v>183</v>
      </c>
    </row>
    <row r="44" spans="1:16" x14ac:dyDescent="0.25">
      <c r="A44" t="s">
        <v>184</v>
      </c>
    </row>
    <row r="45" spans="1:16" x14ac:dyDescent="0.25">
      <c r="A45" t="s">
        <v>185</v>
      </c>
    </row>
    <row r="46" spans="1:16" x14ac:dyDescent="0.25">
      <c r="A46" t="s">
        <v>186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1"/>
  <sheetViews>
    <sheetView workbookViewId="0"/>
  </sheetViews>
  <sheetFormatPr defaultRowHeight="15" x14ac:dyDescent="0.25"/>
  <sheetData>
    <row r="1" spans="1:10" x14ac:dyDescent="0.25">
      <c r="A1" t="s">
        <v>187</v>
      </c>
    </row>
    <row r="2" spans="1:10" ht="90" x14ac:dyDescent="0.25">
      <c r="A2" s="5" t="s">
        <v>188</v>
      </c>
      <c r="B2" s="5" t="s">
        <v>189</v>
      </c>
      <c r="C2" s="5" t="s">
        <v>190</v>
      </c>
      <c r="D2" s="5" t="s">
        <v>149</v>
      </c>
      <c r="E2" s="5" t="s">
        <v>191</v>
      </c>
      <c r="F2" s="5" t="s">
        <v>192</v>
      </c>
      <c r="G2" s="5" t="s">
        <v>193</v>
      </c>
      <c r="H2" s="5" t="s">
        <v>194</v>
      </c>
      <c r="I2" s="5" t="s">
        <v>195</v>
      </c>
      <c r="J2" s="5" t="s">
        <v>196</v>
      </c>
    </row>
    <row r="3" spans="1:10" x14ac:dyDescent="0.25">
      <c r="A3">
        <v>1975</v>
      </c>
      <c r="B3">
        <v>39471000</v>
      </c>
      <c r="C3">
        <v>8425000</v>
      </c>
      <c r="D3">
        <v>7329000</v>
      </c>
      <c r="E3">
        <v>4503000</v>
      </c>
      <c r="F3">
        <v>1274000</v>
      </c>
      <c r="H3">
        <v>61002000</v>
      </c>
      <c r="I3">
        <v>2606000</v>
      </c>
      <c r="J3">
        <v>63608000</v>
      </c>
    </row>
    <row r="4" spans="1:10" x14ac:dyDescent="0.25">
      <c r="A4">
        <v>1976</v>
      </c>
      <c r="B4">
        <v>42244000</v>
      </c>
      <c r="C4">
        <v>9059000</v>
      </c>
      <c r="D4">
        <v>7550000</v>
      </c>
      <c r="E4">
        <v>4530000</v>
      </c>
      <c r="F4">
        <v>1164000</v>
      </c>
      <c r="H4">
        <v>64546000</v>
      </c>
      <c r="I4">
        <v>2963000</v>
      </c>
      <c r="J4">
        <v>67509000</v>
      </c>
    </row>
    <row r="5" spans="1:10" x14ac:dyDescent="0.25">
      <c r="A5">
        <v>1977</v>
      </c>
      <c r="B5">
        <v>46710000</v>
      </c>
      <c r="C5">
        <v>9751000</v>
      </c>
      <c r="D5">
        <v>7246000</v>
      </c>
      <c r="E5">
        <v>4951000</v>
      </c>
      <c r="F5">
        <v>1413000</v>
      </c>
      <c r="H5">
        <v>70071000</v>
      </c>
      <c r="I5">
        <v>3356000</v>
      </c>
      <c r="J5">
        <v>73427000</v>
      </c>
    </row>
    <row r="6" spans="1:10" x14ac:dyDescent="0.25">
      <c r="A6">
        <v>1978</v>
      </c>
      <c r="B6">
        <v>50932000</v>
      </c>
      <c r="C6">
        <v>10485000</v>
      </c>
      <c r="D6">
        <v>7205000</v>
      </c>
      <c r="E6">
        <v>5524000</v>
      </c>
      <c r="F6">
        <v>1450000</v>
      </c>
      <c r="H6">
        <v>75597000</v>
      </c>
      <c r="I6">
        <v>3691000</v>
      </c>
      <c r="J6">
        <v>79288000</v>
      </c>
    </row>
    <row r="7" spans="1:10" x14ac:dyDescent="0.25">
      <c r="A7">
        <v>1979</v>
      </c>
      <c r="B7">
        <v>50103000</v>
      </c>
      <c r="C7">
        <v>10757000</v>
      </c>
      <c r="D7">
        <v>7059000</v>
      </c>
      <c r="E7">
        <v>6313000</v>
      </c>
      <c r="F7">
        <v>1388000</v>
      </c>
      <c r="H7">
        <v>75620000</v>
      </c>
      <c r="I7">
        <v>3344000</v>
      </c>
      <c r="J7">
        <v>78964000</v>
      </c>
    </row>
    <row r="8" spans="1:10" x14ac:dyDescent="0.25">
      <c r="A8">
        <v>1980</v>
      </c>
      <c r="B8">
        <v>45818000</v>
      </c>
      <c r="C8">
        <v>8794000</v>
      </c>
      <c r="D8">
        <v>7097000</v>
      </c>
      <c r="E8">
        <v>4509000</v>
      </c>
      <c r="F8">
        <v>1230000</v>
      </c>
      <c r="H8">
        <v>67448000</v>
      </c>
      <c r="I8">
        <v>2724000</v>
      </c>
      <c r="J8">
        <v>70173000</v>
      </c>
    </row>
    <row r="9" spans="1:10" x14ac:dyDescent="0.25">
      <c r="A9">
        <v>1981</v>
      </c>
      <c r="B9">
        <v>43840000</v>
      </c>
      <c r="C9">
        <v>7609000</v>
      </c>
      <c r="D9">
        <v>7118000</v>
      </c>
      <c r="E9">
        <v>3530000</v>
      </c>
      <c r="F9">
        <v>1549000</v>
      </c>
      <c r="H9">
        <v>63645000</v>
      </c>
      <c r="I9">
        <v>2447000</v>
      </c>
      <c r="J9">
        <v>66092000</v>
      </c>
    </row>
    <row r="10" spans="1:10" x14ac:dyDescent="0.25">
      <c r="A10">
        <v>1982</v>
      </c>
      <c r="B10">
        <v>39335000</v>
      </c>
      <c r="C10">
        <v>6832000</v>
      </c>
      <c r="D10">
        <v>6604000</v>
      </c>
      <c r="E10">
        <v>3312000</v>
      </c>
      <c r="F10">
        <v>1332000</v>
      </c>
      <c r="H10">
        <v>57415000</v>
      </c>
      <c r="I10">
        <v>2157000</v>
      </c>
      <c r="J10">
        <v>59572000</v>
      </c>
    </row>
    <row r="11" spans="1:10" x14ac:dyDescent="0.25">
      <c r="A11">
        <v>1983</v>
      </c>
      <c r="B11">
        <v>43325000</v>
      </c>
      <c r="C11">
        <v>7464000</v>
      </c>
      <c r="D11">
        <v>7370000</v>
      </c>
      <c r="E11">
        <v>3824000</v>
      </c>
      <c r="F11">
        <v>1247000</v>
      </c>
      <c r="H11">
        <v>63229000</v>
      </c>
      <c r="I11">
        <v>2609000</v>
      </c>
      <c r="J11">
        <v>65838000</v>
      </c>
    </row>
    <row r="12" spans="1:10" x14ac:dyDescent="0.25">
      <c r="A12">
        <v>1984</v>
      </c>
      <c r="B12">
        <v>50732000</v>
      </c>
      <c r="C12">
        <v>9343000</v>
      </c>
      <c r="D12">
        <v>7551000</v>
      </c>
      <c r="E12">
        <v>4181000</v>
      </c>
      <c r="F12">
        <v>1438000</v>
      </c>
      <c r="H12">
        <v>73244000</v>
      </c>
      <c r="I12">
        <v>2942000</v>
      </c>
      <c r="J12">
        <v>76186000</v>
      </c>
    </row>
    <row r="13" spans="1:10" x14ac:dyDescent="0.25">
      <c r="A13">
        <v>1985</v>
      </c>
      <c r="B13">
        <v>53210000</v>
      </c>
      <c r="C13">
        <v>9293000</v>
      </c>
      <c r="D13">
        <v>7890000</v>
      </c>
      <c r="E13">
        <v>4149000</v>
      </c>
      <c r="F13">
        <v>1333000</v>
      </c>
      <c r="H13">
        <v>75875000</v>
      </c>
      <c r="I13">
        <v>2961000</v>
      </c>
      <c r="J13">
        <v>78836000</v>
      </c>
    </row>
    <row r="14" spans="1:10" x14ac:dyDescent="0.25">
      <c r="A14">
        <v>1986</v>
      </c>
      <c r="B14">
        <v>57233000</v>
      </c>
      <c r="C14">
        <v>9394000</v>
      </c>
      <c r="D14">
        <v>7440000</v>
      </c>
      <c r="E14">
        <v>3945000</v>
      </c>
      <c r="F14">
        <v>1599000</v>
      </c>
      <c r="H14">
        <v>79611000</v>
      </c>
      <c r="I14">
        <v>3226000</v>
      </c>
      <c r="J14">
        <v>82837000</v>
      </c>
    </row>
    <row r="15" spans="1:10" x14ac:dyDescent="0.25">
      <c r="A15">
        <v>1987</v>
      </c>
      <c r="B15">
        <v>59575000</v>
      </c>
      <c r="C15">
        <v>9295000</v>
      </c>
      <c r="D15">
        <v>6787000</v>
      </c>
      <c r="E15">
        <v>3657000</v>
      </c>
      <c r="F15">
        <v>1510000</v>
      </c>
      <c r="H15">
        <v>80823000</v>
      </c>
      <c r="I15">
        <v>3381000</v>
      </c>
      <c r="J15">
        <v>84204000</v>
      </c>
    </row>
    <row r="16" spans="1:10" x14ac:dyDescent="0.25">
      <c r="A16">
        <v>1988</v>
      </c>
      <c r="B16">
        <v>59844000</v>
      </c>
      <c r="C16">
        <v>9100000</v>
      </c>
      <c r="D16">
        <v>6371000</v>
      </c>
      <c r="E16">
        <v>3064000</v>
      </c>
      <c r="F16">
        <v>2106000</v>
      </c>
      <c r="H16">
        <v>80485000</v>
      </c>
      <c r="I16">
        <v>3367000</v>
      </c>
      <c r="J16">
        <v>83851000</v>
      </c>
    </row>
    <row r="17" spans="1:10" x14ac:dyDescent="0.25">
      <c r="A17">
        <v>1989</v>
      </c>
      <c r="B17">
        <v>58302000</v>
      </c>
      <c r="C17">
        <v>9031000</v>
      </c>
      <c r="D17">
        <v>6674000</v>
      </c>
      <c r="E17">
        <v>3326000</v>
      </c>
      <c r="F17">
        <v>2021000</v>
      </c>
      <c r="H17">
        <v>79353000</v>
      </c>
      <c r="I17">
        <v>3061000</v>
      </c>
      <c r="J17">
        <v>82414000</v>
      </c>
    </row>
    <row r="18" spans="1:10" x14ac:dyDescent="0.25">
      <c r="A18">
        <v>1990</v>
      </c>
      <c r="B18">
        <v>56490000</v>
      </c>
      <c r="C18">
        <v>9311000</v>
      </c>
      <c r="D18">
        <v>6159000</v>
      </c>
      <c r="E18">
        <v>3356000</v>
      </c>
      <c r="F18">
        <v>2655000</v>
      </c>
      <c r="H18">
        <v>77971000</v>
      </c>
      <c r="I18">
        <v>2994000</v>
      </c>
      <c r="J18">
        <v>80964000</v>
      </c>
    </row>
    <row r="19" spans="1:10" x14ac:dyDescent="0.25">
      <c r="A19">
        <v>1991</v>
      </c>
      <c r="B19">
        <v>48079000</v>
      </c>
      <c r="C19">
        <v>8955000</v>
      </c>
      <c r="D19">
        <v>5571000</v>
      </c>
      <c r="E19">
        <v>3037000</v>
      </c>
      <c r="F19">
        <v>3663000</v>
      </c>
      <c r="H19">
        <v>69305000</v>
      </c>
      <c r="I19">
        <v>2495000</v>
      </c>
      <c r="J19">
        <v>71800000</v>
      </c>
    </row>
    <row r="20" spans="1:10" x14ac:dyDescent="0.25">
      <c r="A20">
        <v>1992</v>
      </c>
      <c r="B20">
        <v>51419000</v>
      </c>
      <c r="C20">
        <v>8563000</v>
      </c>
      <c r="D20">
        <v>6642000</v>
      </c>
      <c r="E20">
        <v>3565000</v>
      </c>
      <c r="F20">
        <v>3282000</v>
      </c>
      <c r="H20">
        <v>73470000</v>
      </c>
      <c r="I20">
        <v>2699000</v>
      </c>
      <c r="J20">
        <v>76169000</v>
      </c>
    </row>
    <row r="21" spans="1:10" x14ac:dyDescent="0.25">
      <c r="A21">
        <v>1993</v>
      </c>
      <c r="B21">
        <v>45481000</v>
      </c>
      <c r="C21">
        <v>8780000</v>
      </c>
      <c r="D21">
        <v>6016000</v>
      </c>
      <c r="E21">
        <v>4657000</v>
      </c>
      <c r="F21">
        <v>1097000</v>
      </c>
      <c r="G21">
        <v>10686000</v>
      </c>
      <c r="H21">
        <v>76717000</v>
      </c>
      <c r="I21">
        <v>2984000</v>
      </c>
      <c r="J21">
        <v>79701000</v>
      </c>
    </row>
    <row r="22" spans="1:10" x14ac:dyDescent="0.25">
      <c r="A22">
        <v>1994</v>
      </c>
      <c r="B22">
        <v>45791000</v>
      </c>
      <c r="C22">
        <v>9070000</v>
      </c>
      <c r="D22">
        <v>4965000</v>
      </c>
      <c r="E22">
        <v>3890000</v>
      </c>
      <c r="F22">
        <v>1027000</v>
      </c>
      <c r="G22">
        <v>17490000</v>
      </c>
      <c r="H22">
        <v>82232000</v>
      </c>
      <c r="I22">
        <v>3250000</v>
      </c>
      <c r="J22">
        <v>85482000</v>
      </c>
    </row>
    <row r="23" spans="1:10" x14ac:dyDescent="0.25">
      <c r="A23">
        <v>1995</v>
      </c>
      <c r="B23">
        <v>50757000</v>
      </c>
      <c r="C23">
        <v>9509000</v>
      </c>
      <c r="D23">
        <v>5163000</v>
      </c>
      <c r="E23">
        <v>3471000</v>
      </c>
      <c r="F23">
        <v>1061000</v>
      </c>
      <c r="G23">
        <v>12964000</v>
      </c>
      <c r="H23">
        <v>82925000</v>
      </c>
      <c r="I23">
        <v>3150000</v>
      </c>
      <c r="J23">
        <v>86075000</v>
      </c>
    </row>
    <row r="24" spans="1:10" x14ac:dyDescent="0.25">
      <c r="A24">
        <v>1996</v>
      </c>
      <c r="B24">
        <v>52773000</v>
      </c>
      <c r="C24">
        <v>9899000</v>
      </c>
      <c r="D24">
        <v>5560000</v>
      </c>
      <c r="E24">
        <v>2937000</v>
      </c>
      <c r="F24">
        <v>1302000</v>
      </c>
      <c r="G24">
        <v>15037000</v>
      </c>
      <c r="H24">
        <v>87509000</v>
      </c>
      <c r="I24">
        <v>3569000</v>
      </c>
      <c r="J24">
        <v>91078000</v>
      </c>
    </row>
    <row r="25" spans="1:10" x14ac:dyDescent="0.25">
      <c r="A25">
        <v>1997</v>
      </c>
      <c r="B25">
        <v>67012000</v>
      </c>
      <c r="C25">
        <v>11390000</v>
      </c>
      <c r="D25">
        <v>7758000</v>
      </c>
      <c r="E25">
        <v>3235000</v>
      </c>
      <c r="F25">
        <v>2317000</v>
      </c>
      <c r="G25">
        <v>1103000</v>
      </c>
      <c r="H25">
        <v>92815000</v>
      </c>
      <c r="I25">
        <v>3627000</v>
      </c>
      <c r="J25">
        <v>96442000</v>
      </c>
    </row>
    <row r="26" spans="1:10" x14ac:dyDescent="0.25">
      <c r="A26">
        <v>1998</v>
      </c>
      <c r="B26">
        <v>74038000</v>
      </c>
      <c r="C26">
        <v>11885000</v>
      </c>
      <c r="D26">
        <v>7912000</v>
      </c>
      <c r="E26">
        <v>3237000</v>
      </c>
      <c r="F26">
        <v>1123000</v>
      </c>
      <c r="G26">
        <v>1080000</v>
      </c>
      <c r="H26">
        <v>99274000</v>
      </c>
      <c r="I26">
        <v>4101000</v>
      </c>
      <c r="J26">
        <v>103380000</v>
      </c>
    </row>
    <row r="27" spans="1:10" x14ac:dyDescent="0.25">
      <c r="A27">
        <v>1999</v>
      </c>
      <c r="B27">
        <v>76018000</v>
      </c>
      <c r="C27">
        <v>12844000</v>
      </c>
      <c r="D27">
        <v>8610000</v>
      </c>
      <c r="E27">
        <v>4468000</v>
      </c>
      <c r="F27">
        <v>1128000</v>
      </c>
      <c r="G27">
        <v>1128000</v>
      </c>
      <c r="H27">
        <v>104200000</v>
      </c>
      <c r="I27">
        <v>4353000</v>
      </c>
      <c r="J27">
        <v>108550000</v>
      </c>
    </row>
    <row r="28" spans="1:10" x14ac:dyDescent="0.25">
      <c r="A28">
        <v>2000</v>
      </c>
      <c r="B28">
        <v>77632000</v>
      </c>
      <c r="C28">
        <v>14002000</v>
      </c>
      <c r="D28">
        <v>7411000</v>
      </c>
      <c r="E28">
        <v>3690000</v>
      </c>
      <c r="F28">
        <v>1462000</v>
      </c>
      <c r="G28">
        <v>1125000</v>
      </c>
      <c r="H28">
        <v>105320000</v>
      </c>
      <c r="I28">
        <v>4333000</v>
      </c>
      <c r="J28">
        <v>109660000</v>
      </c>
    </row>
    <row r="29" spans="1:10" x14ac:dyDescent="0.25">
      <c r="A29">
        <v>2001</v>
      </c>
      <c r="B29">
        <v>80901000</v>
      </c>
      <c r="C29">
        <v>14074000</v>
      </c>
      <c r="D29">
        <v>6777000</v>
      </c>
      <c r="E29">
        <v>3713000</v>
      </c>
      <c r="F29">
        <v>1912000</v>
      </c>
      <c r="G29">
        <v>836000</v>
      </c>
      <c r="H29">
        <v>108210000</v>
      </c>
      <c r="I29">
        <v>4482000</v>
      </c>
      <c r="J29">
        <v>112690000</v>
      </c>
    </row>
    <row r="30" spans="1:10" x14ac:dyDescent="0.25">
      <c r="A30">
        <v>2002</v>
      </c>
      <c r="B30">
        <v>77784000</v>
      </c>
      <c r="C30">
        <v>13680000</v>
      </c>
      <c r="D30">
        <v>6560000</v>
      </c>
      <c r="E30">
        <v>3085000</v>
      </c>
      <c r="F30">
        <v>1178000</v>
      </c>
      <c r="G30">
        <v>1618000</v>
      </c>
      <c r="H30">
        <v>103910000</v>
      </c>
      <c r="I30">
        <v>4435000</v>
      </c>
      <c r="J30">
        <v>108340000</v>
      </c>
    </row>
    <row r="31" spans="1:10" x14ac:dyDescent="0.25">
      <c r="A31">
        <v>2003</v>
      </c>
      <c r="B31">
        <v>79883000</v>
      </c>
      <c r="C31">
        <v>14864000</v>
      </c>
      <c r="D31">
        <v>6866000</v>
      </c>
      <c r="E31">
        <v>3650000</v>
      </c>
      <c r="F31">
        <v>1456000</v>
      </c>
      <c r="G31">
        <v>980000</v>
      </c>
      <c r="H31">
        <v>107700000</v>
      </c>
      <c r="I31">
        <v>4745000</v>
      </c>
      <c r="J31">
        <v>112440000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heetViews>
  <sheetFormatPr defaultRowHeight="15" x14ac:dyDescent="0.25"/>
  <cols>
    <col min="1" max="1" width="100" customWidth="1"/>
    <col min="2" max="2" width="16" customWidth="1"/>
  </cols>
  <sheetData>
    <row r="1" spans="1:2" x14ac:dyDescent="0.25">
      <c r="A1" s="1" t="s">
        <v>197</v>
      </c>
    </row>
    <row r="2" spans="1:2" x14ac:dyDescent="0.25">
      <c r="A2" t="s">
        <v>198</v>
      </c>
      <c r="B2">
        <f>Parameters!B2*Parameters!B3/Parameters!B4*1000000</f>
        <v>510101.64051355212</v>
      </c>
    </row>
    <row r="3" spans="1:2" x14ac:dyDescent="0.25">
      <c r="A3" t="s">
        <v>199</v>
      </c>
      <c r="B3">
        <f>(Parameters!B10/Parameters!B11)^2</f>
        <v>1.0412328196584757</v>
      </c>
    </row>
    <row r="4" spans="1:2" x14ac:dyDescent="0.25">
      <c r="A4" t="s">
        <v>200</v>
      </c>
      <c r="B4">
        <f>Parameters!B7+Parameters!B8</f>
        <v>1.4999999999999999E-2</v>
      </c>
    </row>
    <row r="5" spans="1:2" x14ac:dyDescent="0.25">
      <c r="A5" t="s">
        <v>201</v>
      </c>
      <c r="B5">
        <f>'USGS MYB 2023 T12'!J28</f>
        <v>2290</v>
      </c>
    </row>
    <row r="6" spans="1:2" x14ac:dyDescent="0.25">
      <c r="A6" t="s">
        <v>202</v>
      </c>
      <c r="B6">
        <f>'USGS MYB 2023 T14'!O34</f>
        <v>108000</v>
      </c>
    </row>
    <row r="7" spans="1:2" x14ac:dyDescent="0.25">
      <c r="A7" t="s">
        <v>203</v>
      </c>
      <c r="B7">
        <f>B5+B6</f>
        <v>110290</v>
      </c>
    </row>
    <row r="8" spans="1:2" x14ac:dyDescent="0.25">
      <c r="A8" t="s">
        <v>204</v>
      </c>
      <c r="B8">
        <f>B5/B7</f>
        <v>2.0763441835161846E-2</v>
      </c>
    </row>
    <row r="9" spans="1:2" x14ac:dyDescent="0.25">
      <c r="A9" t="s">
        <v>205</v>
      </c>
      <c r="B9">
        <f>'USGS MYB 2023 T14'!I34/B7</f>
        <v>3.726539124127301E-2</v>
      </c>
    </row>
    <row r="10" spans="1:2" x14ac:dyDescent="0.25">
      <c r="A10" t="s">
        <v>206</v>
      </c>
      <c r="B10">
        <f>'USGS MYB 2023 T14'!K34/B7</f>
        <v>2.3664883488983587E-2</v>
      </c>
    </row>
    <row r="11" spans="1:2" x14ac:dyDescent="0.25">
      <c r="A11" t="s">
        <v>207</v>
      </c>
      <c r="B11">
        <f>(Parameters!B17*Parameters!B15+Parameters!B18*Parameters!B16)/B7</f>
        <v>7.7024208903799076E-3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03"/>
  <sheetViews>
    <sheetView workbookViewId="0"/>
  </sheetViews>
  <sheetFormatPr defaultRowHeight="15" x14ac:dyDescent="0.25"/>
  <cols>
    <col min="1" max="1" width="10" customWidth="1"/>
    <col min="2" max="3" width="16" customWidth="1"/>
    <col min="4" max="4" width="18" customWidth="1"/>
    <col min="5" max="5" width="20" customWidth="1"/>
    <col min="6" max="6" width="22" customWidth="1"/>
    <col min="7" max="7" width="18" customWidth="1"/>
    <col min="8" max="8" width="22" customWidth="1"/>
  </cols>
  <sheetData>
    <row r="1" spans="1:8" x14ac:dyDescent="0.25">
      <c r="A1" s="1" t="s">
        <v>208</v>
      </c>
    </row>
    <row r="2" spans="1:8" ht="72" customHeight="1" x14ac:dyDescent="0.25">
      <c r="A2" s="5" t="s">
        <v>188</v>
      </c>
      <c r="B2" s="5" t="s">
        <v>209</v>
      </c>
      <c r="C2" s="5" t="s">
        <v>210</v>
      </c>
      <c r="D2" s="5" t="s">
        <v>211</v>
      </c>
      <c r="E2" s="5" t="s">
        <v>212</v>
      </c>
      <c r="F2" s="5" t="s">
        <v>213</v>
      </c>
      <c r="G2" s="5" t="s">
        <v>214</v>
      </c>
      <c r="H2" s="5" t="s">
        <v>215</v>
      </c>
    </row>
    <row r="3" spans="1:8" x14ac:dyDescent="0.25">
      <c r="A3">
        <v>1950</v>
      </c>
      <c r="B3">
        <f t="shared" ref="B3:D27" si="0">B$28</f>
        <v>4.0969689347251918E-2</v>
      </c>
      <c r="C3">
        <f t="shared" si="0"/>
        <v>7.0792982014840897E-2</v>
      </c>
      <c r="D3">
        <f t="shared" si="0"/>
        <v>2.0028927178971197E-2</v>
      </c>
      <c r="E3">
        <f>B3*Parameters!$B$13+(1-B3)</f>
        <v>0.98299757892089046</v>
      </c>
      <c r="F3">
        <f>(B3*Parameters!$B$13+C3*Parameters!$B$14+Calculation!$B$11)/E3</f>
        <v>6.8226190586925209E-2</v>
      </c>
      <c r="G3">
        <f t="shared" ref="G3:G34" si="1">D3/E3</f>
        <v>2.0375357588325333E-2</v>
      </c>
      <c r="H3">
        <f t="shared" ref="H3:H34" si="2">1-F3-G3</f>
        <v>0.91139845182474943</v>
      </c>
    </row>
    <row r="4" spans="1:8" x14ac:dyDescent="0.25">
      <c r="A4">
        <v>1951</v>
      </c>
      <c r="B4">
        <f t="shared" si="0"/>
        <v>4.0969689347251918E-2</v>
      </c>
      <c r="C4">
        <f t="shared" si="0"/>
        <v>7.0792982014840897E-2</v>
      </c>
      <c r="D4">
        <f t="shared" si="0"/>
        <v>2.0028927178971197E-2</v>
      </c>
      <c r="E4">
        <f>B4*Parameters!$B$13+(1-B4)</f>
        <v>0.98299757892089046</v>
      </c>
      <c r="F4">
        <f>(B4*Parameters!$B$13+C4*Parameters!$B$14+Calculation!$B$11)/E4</f>
        <v>6.8226190586925209E-2</v>
      </c>
      <c r="G4">
        <f t="shared" si="1"/>
        <v>2.0375357588325333E-2</v>
      </c>
      <c r="H4">
        <f t="shared" si="2"/>
        <v>0.91139845182474943</v>
      </c>
    </row>
    <row r="5" spans="1:8" x14ac:dyDescent="0.25">
      <c r="A5">
        <v>1952</v>
      </c>
      <c r="B5">
        <f t="shared" si="0"/>
        <v>4.0969689347251918E-2</v>
      </c>
      <c r="C5">
        <f t="shared" si="0"/>
        <v>7.0792982014840897E-2</v>
      </c>
      <c r="D5">
        <f t="shared" si="0"/>
        <v>2.0028927178971197E-2</v>
      </c>
      <c r="E5">
        <f>B5*Parameters!$B$13+(1-B5)</f>
        <v>0.98299757892089046</v>
      </c>
      <c r="F5">
        <f>(B5*Parameters!$B$13+C5*Parameters!$B$14+Calculation!$B$11)/E5</f>
        <v>6.8226190586925209E-2</v>
      </c>
      <c r="G5">
        <f t="shared" si="1"/>
        <v>2.0375357588325333E-2</v>
      </c>
      <c r="H5">
        <f t="shared" si="2"/>
        <v>0.91139845182474943</v>
      </c>
    </row>
    <row r="6" spans="1:8" x14ac:dyDescent="0.25">
      <c r="A6">
        <v>1953</v>
      </c>
      <c r="B6">
        <f t="shared" si="0"/>
        <v>4.0969689347251918E-2</v>
      </c>
      <c r="C6">
        <f t="shared" si="0"/>
        <v>7.0792982014840897E-2</v>
      </c>
      <c r="D6">
        <f t="shared" si="0"/>
        <v>2.0028927178971197E-2</v>
      </c>
      <c r="E6">
        <f>B6*Parameters!$B$13+(1-B6)</f>
        <v>0.98299757892089046</v>
      </c>
      <c r="F6">
        <f>(B6*Parameters!$B$13+C6*Parameters!$B$14+Calculation!$B$11)/E6</f>
        <v>6.8226190586925209E-2</v>
      </c>
      <c r="G6">
        <f t="shared" si="1"/>
        <v>2.0375357588325333E-2</v>
      </c>
      <c r="H6">
        <f t="shared" si="2"/>
        <v>0.91139845182474943</v>
      </c>
    </row>
    <row r="7" spans="1:8" x14ac:dyDescent="0.25">
      <c r="A7">
        <v>1954</v>
      </c>
      <c r="B7">
        <f t="shared" si="0"/>
        <v>4.0969689347251918E-2</v>
      </c>
      <c r="C7">
        <f t="shared" si="0"/>
        <v>7.0792982014840897E-2</v>
      </c>
      <c r="D7">
        <f t="shared" si="0"/>
        <v>2.0028927178971197E-2</v>
      </c>
      <c r="E7">
        <f>B7*Parameters!$B$13+(1-B7)</f>
        <v>0.98299757892089046</v>
      </c>
      <c r="F7">
        <f>(B7*Parameters!$B$13+C7*Parameters!$B$14+Calculation!$B$11)/E7</f>
        <v>6.8226190586925209E-2</v>
      </c>
      <c r="G7">
        <f t="shared" si="1"/>
        <v>2.0375357588325333E-2</v>
      </c>
      <c r="H7">
        <f t="shared" si="2"/>
        <v>0.91139845182474943</v>
      </c>
    </row>
    <row r="8" spans="1:8" x14ac:dyDescent="0.25">
      <c r="A8">
        <v>1955</v>
      </c>
      <c r="B8">
        <f t="shared" si="0"/>
        <v>4.0969689347251918E-2</v>
      </c>
      <c r="C8">
        <f t="shared" si="0"/>
        <v>7.0792982014840897E-2</v>
      </c>
      <c r="D8">
        <f t="shared" si="0"/>
        <v>2.0028927178971197E-2</v>
      </c>
      <c r="E8">
        <f>B8*Parameters!$B$13+(1-B8)</f>
        <v>0.98299757892089046</v>
      </c>
      <c r="F8">
        <f>(B8*Parameters!$B$13+C8*Parameters!$B$14+Calculation!$B$11)/E8</f>
        <v>6.8226190586925209E-2</v>
      </c>
      <c r="G8">
        <f t="shared" si="1"/>
        <v>2.0375357588325333E-2</v>
      </c>
      <c r="H8">
        <f t="shared" si="2"/>
        <v>0.91139845182474943</v>
      </c>
    </row>
    <row r="9" spans="1:8" x14ac:dyDescent="0.25">
      <c r="A9">
        <v>1956</v>
      </c>
      <c r="B9">
        <f t="shared" si="0"/>
        <v>4.0969689347251918E-2</v>
      </c>
      <c r="C9">
        <f t="shared" si="0"/>
        <v>7.0792982014840897E-2</v>
      </c>
      <c r="D9">
        <f t="shared" si="0"/>
        <v>2.0028927178971197E-2</v>
      </c>
      <c r="E9">
        <f>B9*Parameters!$B$13+(1-B9)</f>
        <v>0.98299757892089046</v>
      </c>
      <c r="F9">
        <f>(B9*Parameters!$B$13+C9*Parameters!$B$14+Calculation!$B$11)/E9</f>
        <v>6.8226190586925209E-2</v>
      </c>
      <c r="G9">
        <f t="shared" si="1"/>
        <v>2.0375357588325333E-2</v>
      </c>
      <c r="H9">
        <f t="shared" si="2"/>
        <v>0.91139845182474943</v>
      </c>
    </row>
    <row r="10" spans="1:8" x14ac:dyDescent="0.25">
      <c r="A10">
        <v>1957</v>
      </c>
      <c r="B10">
        <f t="shared" si="0"/>
        <v>4.0969689347251918E-2</v>
      </c>
      <c r="C10">
        <f t="shared" si="0"/>
        <v>7.0792982014840897E-2</v>
      </c>
      <c r="D10">
        <f t="shared" si="0"/>
        <v>2.0028927178971197E-2</v>
      </c>
      <c r="E10">
        <f>B10*Parameters!$B$13+(1-B10)</f>
        <v>0.98299757892089046</v>
      </c>
      <c r="F10">
        <f>(B10*Parameters!$B$13+C10*Parameters!$B$14+Calculation!$B$11)/E10</f>
        <v>6.8226190586925209E-2</v>
      </c>
      <c r="G10">
        <f t="shared" si="1"/>
        <v>2.0375357588325333E-2</v>
      </c>
      <c r="H10">
        <f t="shared" si="2"/>
        <v>0.91139845182474943</v>
      </c>
    </row>
    <row r="11" spans="1:8" x14ac:dyDescent="0.25">
      <c r="A11">
        <v>1958</v>
      </c>
      <c r="B11">
        <f t="shared" si="0"/>
        <v>4.0969689347251918E-2</v>
      </c>
      <c r="C11">
        <f t="shared" si="0"/>
        <v>7.0792982014840897E-2</v>
      </c>
      <c r="D11">
        <f t="shared" si="0"/>
        <v>2.0028927178971197E-2</v>
      </c>
      <c r="E11">
        <f>B11*Parameters!$B$13+(1-B11)</f>
        <v>0.98299757892089046</v>
      </c>
      <c r="F11">
        <f>(B11*Parameters!$B$13+C11*Parameters!$B$14+Calculation!$B$11)/E11</f>
        <v>6.8226190586925209E-2</v>
      </c>
      <c r="G11">
        <f t="shared" si="1"/>
        <v>2.0375357588325333E-2</v>
      </c>
      <c r="H11">
        <f t="shared" si="2"/>
        <v>0.91139845182474943</v>
      </c>
    </row>
    <row r="12" spans="1:8" x14ac:dyDescent="0.25">
      <c r="A12">
        <v>1959</v>
      </c>
      <c r="B12">
        <f t="shared" si="0"/>
        <v>4.0969689347251918E-2</v>
      </c>
      <c r="C12">
        <f t="shared" si="0"/>
        <v>7.0792982014840897E-2</v>
      </c>
      <c r="D12">
        <f t="shared" si="0"/>
        <v>2.0028927178971197E-2</v>
      </c>
      <c r="E12">
        <f>B12*Parameters!$B$13+(1-B12)</f>
        <v>0.98299757892089046</v>
      </c>
      <c r="F12">
        <f>(B12*Parameters!$B$13+C12*Parameters!$B$14+Calculation!$B$11)/E12</f>
        <v>6.8226190586925209E-2</v>
      </c>
      <c r="G12">
        <f t="shared" si="1"/>
        <v>2.0375357588325333E-2</v>
      </c>
      <c r="H12">
        <f t="shared" si="2"/>
        <v>0.91139845182474943</v>
      </c>
    </row>
    <row r="13" spans="1:8" x14ac:dyDescent="0.25">
      <c r="A13">
        <v>1960</v>
      </c>
      <c r="B13">
        <f t="shared" si="0"/>
        <v>4.0969689347251918E-2</v>
      </c>
      <c r="C13">
        <f t="shared" si="0"/>
        <v>7.0792982014840897E-2</v>
      </c>
      <c r="D13">
        <f t="shared" si="0"/>
        <v>2.0028927178971197E-2</v>
      </c>
      <c r="E13">
        <f>B13*Parameters!$B$13+(1-B13)</f>
        <v>0.98299757892089046</v>
      </c>
      <c r="F13">
        <f>(B13*Parameters!$B$13+C13*Parameters!$B$14+Calculation!$B$11)/E13</f>
        <v>6.8226190586925209E-2</v>
      </c>
      <c r="G13">
        <f t="shared" si="1"/>
        <v>2.0375357588325333E-2</v>
      </c>
      <c r="H13">
        <f t="shared" si="2"/>
        <v>0.91139845182474943</v>
      </c>
    </row>
    <row r="14" spans="1:8" x14ac:dyDescent="0.25">
      <c r="A14">
        <v>1961</v>
      </c>
      <c r="B14">
        <f t="shared" si="0"/>
        <v>4.0969689347251918E-2</v>
      </c>
      <c r="C14">
        <f t="shared" si="0"/>
        <v>7.0792982014840897E-2</v>
      </c>
      <c r="D14">
        <f t="shared" si="0"/>
        <v>2.0028927178971197E-2</v>
      </c>
      <c r="E14">
        <f>B14*Parameters!$B$13+(1-B14)</f>
        <v>0.98299757892089046</v>
      </c>
      <c r="F14">
        <f>(B14*Parameters!$B$13+C14*Parameters!$B$14+Calculation!$B$11)/E14</f>
        <v>6.8226190586925209E-2</v>
      </c>
      <c r="G14">
        <f t="shared" si="1"/>
        <v>2.0375357588325333E-2</v>
      </c>
      <c r="H14">
        <f t="shared" si="2"/>
        <v>0.91139845182474943</v>
      </c>
    </row>
    <row r="15" spans="1:8" x14ac:dyDescent="0.25">
      <c r="A15">
        <v>1962</v>
      </c>
      <c r="B15">
        <f t="shared" si="0"/>
        <v>4.0969689347251918E-2</v>
      </c>
      <c r="C15">
        <f t="shared" si="0"/>
        <v>7.0792982014840897E-2</v>
      </c>
      <c r="D15">
        <f t="shared" si="0"/>
        <v>2.0028927178971197E-2</v>
      </c>
      <c r="E15">
        <f>B15*Parameters!$B$13+(1-B15)</f>
        <v>0.98299757892089046</v>
      </c>
      <c r="F15">
        <f>(B15*Parameters!$B$13+C15*Parameters!$B$14+Calculation!$B$11)/E15</f>
        <v>6.8226190586925209E-2</v>
      </c>
      <c r="G15">
        <f t="shared" si="1"/>
        <v>2.0375357588325333E-2</v>
      </c>
      <c r="H15">
        <f t="shared" si="2"/>
        <v>0.91139845182474943</v>
      </c>
    </row>
    <row r="16" spans="1:8" x14ac:dyDescent="0.25">
      <c r="A16">
        <v>1963</v>
      </c>
      <c r="B16">
        <f t="shared" si="0"/>
        <v>4.0969689347251918E-2</v>
      </c>
      <c r="C16">
        <f t="shared" si="0"/>
        <v>7.0792982014840897E-2</v>
      </c>
      <c r="D16">
        <f t="shared" si="0"/>
        <v>2.0028927178971197E-2</v>
      </c>
      <c r="E16">
        <f>B16*Parameters!$B$13+(1-B16)</f>
        <v>0.98299757892089046</v>
      </c>
      <c r="F16">
        <f>(B16*Parameters!$B$13+C16*Parameters!$B$14+Calculation!$B$11)/E16</f>
        <v>6.8226190586925209E-2</v>
      </c>
      <c r="G16">
        <f t="shared" si="1"/>
        <v>2.0375357588325333E-2</v>
      </c>
      <c r="H16">
        <f t="shared" si="2"/>
        <v>0.91139845182474943</v>
      </c>
    </row>
    <row r="17" spans="1:8" x14ac:dyDescent="0.25">
      <c r="A17">
        <v>1964</v>
      </c>
      <c r="B17">
        <f t="shared" si="0"/>
        <v>4.0969689347251918E-2</v>
      </c>
      <c r="C17">
        <f t="shared" si="0"/>
        <v>7.0792982014840897E-2</v>
      </c>
      <c r="D17">
        <f t="shared" si="0"/>
        <v>2.0028927178971197E-2</v>
      </c>
      <c r="E17">
        <f>B17*Parameters!$B$13+(1-B17)</f>
        <v>0.98299757892089046</v>
      </c>
      <c r="F17">
        <f>(B17*Parameters!$B$13+C17*Parameters!$B$14+Calculation!$B$11)/E17</f>
        <v>6.8226190586925209E-2</v>
      </c>
      <c r="G17">
        <f t="shared" si="1"/>
        <v>2.0375357588325333E-2</v>
      </c>
      <c r="H17">
        <f t="shared" si="2"/>
        <v>0.91139845182474943</v>
      </c>
    </row>
    <row r="18" spans="1:8" x14ac:dyDescent="0.25">
      <c r="A18">
        <v>1965</v>
      </c>
      <c r="B18">
        <f t="shared" si="0"/>
        <v>4.0969689347251918E-2</v>
      </c>
      <c r="C18">
        <f t="shared" si="0"/>
        <v>7.0792982014840897E-2</v>
      </c>
      <c r="D18">
        <f t="shared" si="0"/>
        <v>2.0028927178971197E-2</v>
      </c>
      <c r="E18">
        <f>B18*Parameters!$B$13+(1-B18)</f>
        <v>0.98299757892089046</v>
      </c>
      <c r="F18">
        <f>(B18*Parameters!$B$13+C18*Parameters!$B$14+Calculation!$B$11)/E18</f>
        <v>6.8226190586925209E-2</v>
      </c>
      <c r="G18">
        <f t="shared" si="1"/>
        <v>2.0375357588325333E-2</v>
      </c>
      <c r="H18">
        <f t="shared" si="2"/>
        <v>0.91139845182474943</v>
      </c>
    </row>
    <row r="19" spans="1:8" x14ac:dyDescent="0.25">
      <c r="A19">
        <v>1966</v>
      </c>
      <c r="B19">
        <f t="shared" si="0"/>
        <v>4.0969689347251918E-2</v>
      </c>
      <c r="C19">
        <f t="shared" si="0"/>
        <v>7.0792982014840897E-2</v>
      </c>
      <c r="D19">
        <f t="shared" si="0"/>
        <v>2.0028927178971197E-2</v>
      </c>
      <c r="E19">
        <f>B19*Parameters!$B$13+(1-B19)</f>
        <v>0.98299757892089046</v>
      </c>
      <c r="F19">
        <f>(B19*Parameters!$B$13+C19*Parameters!$B$14+Calculation!$B$11)/E19</f>
        <v>6.8226190586925209E-2</v>
      </c>
      <c r="G19">
        <f t="shared" si="1"/>
        <v>2.0375357588325333E-2</v>
      </c>
      <c r="H19">
        <f t="shared" si="2"/>
        <v>0.91139845182474943</v>
      </c>
    </row>
    <row r="20" spans="1:8" x14ac:dyDescent="0.25">
      <c r="A20">
        <v>1967</v>
      </c>
      <c r="B20">
        <f t="shared" si="0"/>
        <v>4.0969689347251918E-2</v>
      </c>
      <c r="C20">
        <f t="shared" si="0"/>
        <v>7.0792982014840897E-2</v>
      </c>
      <c r="D20">
        <f t="shared" si="0"/>
        <v>2.0028927178971197E-2</v>
      </c>
      <c r="E20">
        <f>B20*Parameters!$B$13+(1-B20)</f>
        <v>0.98299757892089046</v>
      </c>
      <c r="F20">
        <f>(B20*Parameters!$B$13+C20*Parameters!$B$14+Calculation!$B$11)/E20</f>
        <v>6.8226190586925209E-2</v>
      </c>
      <c r="G20">
        <f t="shared" si="1"/>
        <v>2.0375357588325333E-2</v>
      </c>
      <c r="H20">
        <f t="shared" si="2"/>
        <v>0.91139845182474943</v>
      </c>
    </row>
    <row r="21" spans="1:8" x14ac:dyDescent="0.25">
      <c r="A21">
        <v>1968</v>
      </c>
      <c r="B21">
        <f t="shared" si="0"/>
        <v>4.0969689347251918E-2</v>
      </c>
      <c r="C21">
        <f t="shared" si="0"/>
        <v>7.0792982014840897E-2</v>
      </c>
      <c r="D21">
        <f t="shared" si="0"/>
        <v>2.0028927178971197E-2</v>
      </c>
      <c r="E21">
        <f>B21*Parameters!$B$13+(1-B21)</f>
        <v>0.98299757892089046</v>
      </c>
      <c r="F21">
        <f>(B21*Parameters!$B$13+C21*Parameters!$B$14+Calculation!$B$11)/E21</f>
        <v>6.8226190586925209E-2</v>
      </c>
      <c r="G21">
        <f t="shared" si="1"/>
        <v>2.0375357588325333E-2</v>
      </c>
      <c r="H21">
        <f t="shared" si="2"/>
        <v>0.91139845182474943</v>
      </c>
    </row>
    <row r="22" spans="1:8" x14ac:dyDescent="0.25">
      <c r="A22">
        <v>1969</v>
      </c>
      <c r="B22">
        <f t="shared" si="0"/>
        <v>4.0969689347251918E-2</v>
      </c>
      <c r="C22">
        <f t="shared" si="0"/>
        <v>7.0792982014840897E-2</v>
      </c>
      <c r="D22">
        <f t="shared" si="0"/>
        <v>2.0028927178971197E-2</v>
      </c>
      <c r="E22">
        <f>B22*Parameters!$B$13+(1-B22)</f>
        <v>0.98299757892089046</v>
      </c>
      <c r="F22">
        <f>(B22*Parameters!$B$13+C22*Parameters!$B$14+Calculation!$B$11)/E22</f>
        <v>6.8226190586925209E-2</v>
      </c>
      <c r="G22">
        <f t="shared" si="1"/>
        <v>2.0375357588325333E-2</v>
      </c>
      <c r="H22">
        <f t="shared" si="2"/>
        <v>0.91139845182474943</v>
      </c>
    </row>
    <row r="23" spans="1:8" x14ac:dyDescent="0.25">
      <c r="A23">
        <v>1970</v>
      </c>
      <c r="B23">
        <f t="shared" si="0"/>
        <v>4.0969689347251918E-2</v>
      </c>
      <c r="C23">
        <f t="shared" si="0"/>
        <v>7.0792982014840897E-2</v>
      </c>
      <c r="D23">
        <f t="shared" si="0"/>
        <v>2.0028927178971197E-2</v>
      </c>
      <c r="E23">
        <f>B23*Parameters!$B$13+(1-B23)</f>
        <v>0.98299757892089046</v>
      </c>
      <c r="F23">
        <f>(B23*Parameters!$B$13+C23*Parameters!$B$14+Calculation!$B$11)/E23</f>
        <v>6.8226190586925209E-2</v>
      </c>
      <c r="G23">
        <f t="shared" si="1"/>
        <v>2.0375357588325333E-2</v>
      </c>
      <c r="H23">
        <f t="shared" si="2"/>
        <v>0.91139845182474943</v>
      </c>
    </row>
    <row r="24" spans="1:8" x14ac:dyDescent="0.25">
      <c r="A24">
        <v>1971</v>
      </c>
      <c r="B24">
        <f t="shared" si="0"/>
        <v>4.0969689347251918E-2</v>
      </c>
      <c r="C24">
        <f t="shared" si="0"/>
        <v>7.0792982014840897E-2</v>
      </c>
      <c r="D24">
        <f t="shared" si="0"/>
        <v>2.0028927178971197E-2</v>
      </c>
      <c r="E24">
        <f>B24*Parameters!$B$13+(1-B24)</f>
        <v>0.98299757892089046</v>
      </c>
      <c r="F24">
        <f>(B24*Parameters!$B$13+C24*Parameters!$B$14+Calculation!$B$11)/E24</f>
        <v>6.8226190586925209E-2</v>
      </c>
      <c r="G24">
        <f t="shared" si="1"/>
        <v>2.0375357588325333E-2</v>
      </c>
      <c r="H24">
        <f t="shared" si="2"/>
        <v>0.91139845182474943</v>
      </c>
    </row>
    <row r="25" spans="1:8" x14ac:dyDescent="0.25">
      <c r="A25">
        <v>1972</v>
      </c>
      <c r="B25">
        <f t="shared" si="0"/>
        <v>4.0969689347251918E-2</v>
      </c>
      <c r="C25">
        <f t="shared" si="0"/>
        <v>7.0792982014840897E-2</v>
      </c>
      <c r="D25">
        <f t="shared" si="0"/>
        <v>2.0028927178971197E-2</v>
      </c>
      <c r="E25">
        <f>B25*Parameters!$B$13+(1-B25)</f>
        <v>0.98299757892089046</v>
      </c>
      <c r="F25">
        <f>(B25*Parameters!$B$13+C25*Parameters!$B$14+Calculation!$B$11)/E25</f>
        <v>6.8226190586925209E-2</v>
      </c>
      <c r="G25">
        <f t="shared" si="1"/>
        <v>2.0375357588325333E-2</v>
      </c>
      <c r="H25">
        <f t="shared" si="2"/>
        <v>0.91139845182474943</v>
      </c>
    </row>
    <row r="26" spans="1:8" x14ac:dyDescent="0.25">
      <c r="A26">
        <v>1973</v>
      </c>
      <c r="B26">
        <f t="shared" si="0"/>
        <v>4.0969689347251918E-2</v>
      </c>
      <c r="C26">
        <f t="shared" si="0"/>
        <v>7.0792982014840897E-2</v>
      </c>
      <c r="D26">
        <f t="shared" si="0"/>
        <v>2.0028927178971197E-2</v>
      </c>
      <c r="E26">
        <f>B26*Parameters!$B$13+(1-B26)</f>
        <v>0.98299757892089046</v>
      </c>
      <c r="F26">
        <f>(B26*Parameters!$B$13+C26*Parameters!$B$14+Calculation!$B$11)/E26</f>
        <v>6.8226190586925209E-2</v>
      </c>
      <c r="G26">
        <f t="shared" si="1"/>
        <v>2.0375357588325333E-2</v>
      </c>
      <c r="H26">
        <f t="shared" si="2"/>
        <v>0.91139845182474943</v>
      </c>
    </row>
    <row r="27" spans="1:8" x14ac:dyDescent="0.25">
      <c r="A27">
        <v>1974</v>
      </c>
      <c r="B27">
        <f t="shared" si="0"/>
        <v>4.0969689347251918E-2</v>
      </c>
      <c r="C27">
        <f t="shared" si="0"/>
        <v>7.0792982014840897E-2</v>
      </c>
      <c r="D27">
        <f t="shared" si="0"/>
        <v>2.0028927178971197E-2</v>
      </c>
      <c r="E27">
        <f>B27*Parameters!$B$13+(1-B27)</f>
        <v>0.98299757892089046</v>
      </c>
      <c r="F27">
        <f>(B27*Parameters!$B$13+C27*Parameters!$B$14+Calculation!$B$11)/E27</f>
        <v>6.8226190586925209E-2</v>
      </c>
      <c r="G27">
        <f t="shared" si="1"/>
        <v>2.0375357588325333E-2</v>
      </c>
      <c r="H27">
        <f t="shared" si="2"/>
        <v>0.91139845182474943</v>
      </c>
    </row>
    <row r="28" spans="1:8" x14ac:dyDescent="0.25">
      <c r="A28">
        <v>1975</v>
      </c>
      <c r="B28">
        <f>'USGS end use 1975-2003'!I3/'USGS end use 1975-2003'!J3</f>
        <v>4.0969689347251918E-2</v>
      </c>
      <c r="C28">
        <f>'USGS end use 1975-2003'!E3/'USGS end use 1975-2003'!J3</f>
        <v>7.0792982014840897E-2</v>
      </c>
      <c r="D28">
        <f>'USGS end use 1975-2003'!F3/'USGS end use 1975-2003'!J3</f>
        <v>2.0028927178971197E-2</v>
      </c>
      <c r="E28">
        <f>B28*Parameters!$B$13+(1-B28)</f>
        <v>0.98299757892089046</v>
      </c>
      <c r="F28">
        <f>(B28*Parameters!$B$13+C28*Parameters!$B$14+Calculation!$B$11)/E28</f>
        <v>6.8226190586925209E-2</v>
      </c>
      <c r="G28">
        <f t="shared" si="1"/>
        <v>2.0375357588325333E-2</v>
      </c>
      <c r="H28">
        <f t="shared" si="2"/>
        <v>0.91139845182474943</v>
      </c>
    </row>
    <row r="29" spans="1:8" x14ac:dyDescent="0.25">
      <c r="A29">
        <v>1976</v>
      </c>
      <c r="B29">
        <f>'USGS end use 1975-2003'!I4/'USGS end use 1975-2003'!J4</f>
        <v>4.3890444237064688E-2</v>
      </c>
      <c r="C29">
        <f>'USGS end use 1975-2003'!E4/'USGS end use 1975-2003'!J4</f>
        <v>6.710216415589032E-2</v>
      </c>
      <c r="D29">
        <f>'USGS end use 1975-2003'!F4/'USGS end use 1975-2003'!J4</f>
        <v>1.7242145491712216E-2</v>
      </c>
      <c r="E29">
        <f>B29*Parameters!$B$13+(1-B29)</f>
        <v>0.98178546564161817</v>
      </c>
      <c r="F29">
        <f>(B29*Parameters!$B$13+C29*Parameters!$B$14+Calculation!$B$11)/E29</f>
        <v>6.8171118018403434E-2</v>
      </c>
      <c r="G29">
        <f t="shared" si="1"/>
        <v>1.7562029684809095E-2</v>
      </c>
      <c r="H29">
        <f t="shared" si="2"/>
        <v>0.91426685229678739</v>
      </c>
    </row>
    <row r="30" spans="1:8" x14ac:dyDescent="0.25">
      <c r="A30">
        <v>1977</v>
      </c>
      <c r="B30">
        <f>'USGS end use 1975-2003'!I5/'USGS end use 1975-2003'!J5</f>
        <v>4.5705258283737588E-2</v>
      </c>
      <c r="C30">
        <f>'USGS end use 1975-2003'!E5/'USGS end use 1975-2003'!J5</f>
        <v>6.742751304016234E-2</v>
      </c>
      <c r="D30">
        <f>'USGS end use 1975-2003'!F5/'USGS end use 1975-2003'!J5</f>
        <v>1.9243602489547443E-2</v>
      </c>
      <c r="E30">
        <f>B30*Parameters!$B$13+(1-B30)</f>
        <v>0.98103231781224887</v>
      </c>
      <c r="F30">
        <f>(B30*Parameters!$B$13+C30*Parameters!$B$14+Calculation!$B$11)/E30</f>
        <v>6.947146619841621E-2</v>
      </c>
      <c r="G30">
        <f t="shared" si="1"/>
        <v>1.9615666212160716E-2</v>
      </c>
      <c r="H30">
        <f t="shared" si="2"/>
        <v>0.91091286758942314</v>
      </c>
    </row>
    <row r="31" spans="1:8" x14ac:dyDescent="0.25">
      <c r="A31">
        <v>1978</v>
      </c>
      <c r="B31">
        <f>'USGS end use 1975-2003'!I6/'USGS end use 1975-2003'!J6</f>
        <v>4.655181111895873E-2</v>
      </c>
      <c r="C31">
        <f>'USGS end use 1975-2003'!E6/'USGS end use 1975-2003'!J6</f>
        <v>6.9670063565735046E-2</v>
      </c>
      <c r="D31">
        <f>'USGS end use 1975-2003'!F6/'USGS end use 1975-2003'!J6</f>
        <v>1.8287761073554638E-2</v>
      </c>
      <c r="E31">
        <f>B31*Parameters!$B$13+(1-B31)</f>
        <v>0.98068099838563216</v>
      </c>
      <c r="F31">
        <f>(B31*Parameters!$B$13+C31*Parameters!$B$14+Calculation!$B$11)/E31</f>
        <v>7.1144706885003392E-2</v>
      </c>
      <c r="G31">
        <f t="shared" si="1"/>
        <v>1.8648022245418647E-2</v>
      </c>
      <c r="H31">
        <f t="shared" si="2"/>
        <v>0.91020727086957798</v>
      </c>
    </row>
    <row r="32" spans="1:8" x14ac:dyDescent="0.25">
      <c r="A32">
        <v>1979</v>
      </c>
      <c r="B32">
        <f>'USGS end use 1975-2003'!I7/'USGS end use 1975-2003'!J7</f>
        <v>4.2348411934552452E-2</v>
      </c>
      <c r="C32">
        <f>'USGS end use 1975-2003'!E7/'USGS end use 1975-2003'!J7</f>
        <v>7.9947824325008868E-2</v>
      </c>
      <c r="D32">
        <f>'USGS end use 1975-2003'!F7/'USGS end use 1975-2003'!J7</f>
        <v>1.7577630312547492E-2</v>
      </c>
      <c r="E32">
        <f>B32*Parameters!$B$13+(1-B32)</f>
        <v>0.9824254090471608</v>
      </c>
      <c r="F32">
        <f>(B32*Parameters!$B$13+C32*Parameters!$B$14+Calculation!$B$11)/E32</f>
        <v>7.3746213572454117E-2</v>
      </c>
      <c r="G32">
        <f t="shared" si="1"/>
        <v>1.7892076233650921E-2</v>
      </c>
      <c r="H32">
        <f t="shared" si="2"/>
        <v>0.90836171019389489</v>
      </c>
    </row>
    <row r="33" spans="1:8" x14ac:dyDescent="0.25">
      <c r="A33">
        <v>1980</v>
      </c>
      <c r="B33">
        <f>'USGS end use 1975-2003'!I8/'USGS end use 1975-2003'!J8</f>
        <v>3.8818348937625584E-2</v>
      </c>
      <c r="C33">
        <f>'USGS end use 1975-2003'!E8/'USGS end use 1975-2003'!J8</f>
        <v>6.4255482878030012E-2</v>
      </c>
      <c r="D33">
        <f>'USGS end use 1975-2003'!F8/'USGS end use 1975-2003'!J8</f>
        <v>1.7528109101791287E-2</v>
      </c>
      <c r="E33">
        <f>B33*Parameters!$B$13+(1-B33)</f>
        <v>0.98389038519088534</v>
      </c>
      <c r="F33">
        <f>(B33*Parameters!$B$13+C33*Parameters!$B$14+Calculation!$B$11)/E33</f>
        <v>6.3562869806652961E-2</v>
      </c>
      <c r="G33">
        <f t="shared" si="1"/>
        <v>1.7815103557893439E-2</v>
      </c>
      <c r="H33">
        <f t="shared" si="2"/>
        <v>0.91862202663545367</v>
      </c>
    </row>
    <row r="34" spans="1:8" x14ac:dyDescent="0.25">
      <c r="A34">
        <v>1981</v>
      </c>
      <c r="B34">
        <f>'USGS end use 1975-2003'!I9/'USGS end use 1975-2003'!J9</f>
        <v>3.7024148157114328E-2</v>
      </c>
      <c r="C34">
        <f>'USGS end use 1975-2003'!E9/'USGS end use 1975-2003'!J9</f>
        <v>5.3410397627549476E-2</v>
      </c>
      <c r="D34">
        <f>'USGS end use 1975-2003'!F9/'USGS end use 1975-2003'!J9</f>
        <v>2.3437027174241967E-2</v>
      </c>
      <c r="E34">
        <f>B34*Parameters!$B$13+(1-B34)</f>
        <v>0.98463497851479753</v>
      </c>
      <c r="F34">
        <f>(B34*Parameters!$B$13+C34*Parameters!$B$14+Calculation!$B$11)/E34</f>
        <v>5.6941656146155213E-2</v>
      </c>
      <c r="G34">
        <f t="shared" si="1"/>
        <v>2.3802757047686727E-2</v>
      </c>
      <c r="H34">
        <f t="shared" si="2"/>
        <v>0.91925558680615804</v>
      </c>
    </row>
    <row r="35" spans="1:8" x14ac:dyDescent="0.25">
      <c r="A35">
        <v>1982</v>
      </c>
      <c r="B35">
        <f>'USGS end use 1975-2003'!I10/'USGS end use 1975-2003'!J10</f>
        <v>3.620828577183912E-2</v>
      </c>
      <c r="C35">
        <f>'USGS end use 1975-2003'!E10/'USGS end use 1975-2003'!J10</f>
        <v>5.559658900154435E-2</v>
      </c>
      <c r="D35">
        <f>'USGS end use 1975-2003'!F10/'USGS end use 1975-2003'!J10</f>
        <v>2.2359497750621096E-2</v>
      </c>
      <c r="E35">
        <f>B35*Parameters!$B$13+(1-B35)</f>
        <v>0.98497356140468684</v>
      </c>
      <c r="F35">
        <f>(B35*Parameters!$B$13+C35*Parameters!$B$14+Calculation!$B$11)/E35</f>
        <v>5.7547293438863514E-2</v>
      </c>
      <c r="G35">
        <f t="shared" ref="G35:G66" si="3">D35/E35</f>
        <v>2.2700607028206778E-2</v>
      </c>
      <c r="H35">
        <f t="shared" ref="H35:H66" si="4">1-F35-G35</f>
        <v>0.91975209953292969</v>
      </c>
    </row>
    <row r="36" spans="1:8" x14ac:dyDescent="0.25">
      <c r="A36">
        <v>1983</v>
      </c>
      <c r="B36">
        <f>'USGS end use 1975-2003'!I11/'USGS end use 1975-2003'!J11</f>
        <v>3.9627570703848841E-2</v>
      </c>
      <c r="C36">
        <f>'USGS end use 1975-2003'!E11/'USGS end use 1975-2003'!J11</f>
        <v>5.8081958747228046E-2</v>
      </c>
      <c r="D36">
        <f>'USGS end use 1975-2003'!F11/'USGS end use 1975-2003'!J11</f>
        <v>1.8940429539171907E-2</v>
      </c>
      <c r="E36">
        <f>B36*Parameters!$B$13+(1-B36)</f>
        <v>0.98355455815790271</v>
      </c>
      <c r="F36">
        <f>(B36*Parameters!$B$13+C36*Parameters!$B$14+Calculation!$B$11)/E36</f>
        <v>6.0927508930444997E-2</v>
      </c>
      <c r="G36">
        <f t="shared" si="3"/>
        <v>1.9257121409355673E-2</v>
      </c>
      <c r="H36">
        <f t="shared" si="4"/>
        <v>0.91981536966019939</v>
      </c>
    </row>
    <row r="37" spans="1:8" x14ac:dyDescent="0.25">
      <c r="A37">
        <v>1984</v>
      </c>
      <c r="B37">
        <f>'USGS end use 1975-2003'!I12/'USGS end use 1975-2003'!J12</f>
        <v>3.8616018691098104E-2</v>
      </c>
      <c r="C37">
        <f>'USGS end use 1975-2003'!E12/'USGS end use 1975-2003'!J12</f>
        <v>5.4878849132386526E-2</v>
      </c>
      <c r="D37">
        <f>'USGS end use 1975-2003'!F12/'USGS end use 1975-2003'!J12</f>
        <v>1.8874858897960256E-2</v>
      </c>
      <c r="E37">
        <f>B37*Parameters!$B$13+(1-B37)</f>
        <v>0.98397435224319429</v>
      </c>
      <c r="F37">
        <f>(B37*Parameters!$B$13+C37*Parameters!$B$14+Calculation!$B$11)/E37</f>
        <v>5.8672480902832266E-2</v>
      </c>
      <c r="G37">
        <f t="shared" si="3"/>
        <v>1.9182267154556117E-2</v>
      </c>
      <c r="H37">
        <f t="shared" si="4"/>
        <v>0.92214525194261165</v>
      </c>
    </row>
    <row r="38" spans="1:8" x14ac:dyDescent="0.25">
      <c r="A38">
        <v>1985</v>
      </c>
      <c r="B38">
        <f>'USGS end use 1975-2003'!I13/'USGS end use 1975-2003'!J13</f>
        <v>3.7558983205642091E-2</v>
      </c>
      <c r="C38">
        <f>'USGS end use 1975-2003'!E13/'USGS end use 1975-2003'!J13</f>
        <v>5.262824090517023E-2</v>
      </c>
      <c r="D38">
        <f>'USGS end use 1975-2003'!F13/'USGS end use 1975-2003'!J13</f>
        <v>1.6908518950733167E-2</v>
      </c>
      <c r="E38">
        <f>B38*Parameters!$B$13+(1-B38)</f>
        <v>0.98441302196965852</v>
      </c>
      <c r="F38">
        <f>(B38*Parameters!$B$13+C38*Parameters!$B$14+Calculation!$B$11)/E38</f>
        <v>5.6875056778750453E-2</v>
      </c>
      <c r="G38">
        <f t="shared" si="3"/>
        <v>1.717624469950817E-2</v>
      </c>
      <c r="H38">
        <f t="shared" si="4"/>
        <v>0.92594869852174133</v>
      </c>
    </row>
    <row r="39" spans="1:8" x14ac:dyDescent="0.25">
      <c r="A39">
        <v>1986</v>
      </c>
      <c r="B39">
        <f>'USGS end use 1975-2003'!I14/'USGS end use 1975-2003'!J14</f>
        <v>3.8943950167195818E-2</v>
      </c>
      <c r="C39">
        <f>'USGS end use 1975-2003'!E14/'USGS end use 1975-2003'!J14</f>
        <v>4.7623646438185833E-2</v>
      </c>
      <c r="D39">
        <f>'USGS end use 1975-2003'!F14/'USGS end use 1975-2003'!J14</f>
        <v>1.9302968480268478E-2</v>
      </c>
      <c r="E39">
        <f>B39*Parameters!$B$13+(1-B39)</f>
        <v>0.98383826068061375</v>
      </c>
      <c r="F39">
        <f>(B39*Parameters!$B$13+C39*Parameters!$B$14+Calculation!$B$11)/E39</f>
        <v>5.518839541747482E-2</v>
      </c>
      <c r="G39">
        <f t="shared" si="3"/>
        <v>1.9620062821011652E-2</v>
      </c>
      <c r="H39">
        <f t="shared" si="4"/>
        <v>0.92519154176151353</v>
      </c>
    </row>
    <row r="40" spans="1:8" x14ac:dyDescent="0.25">
      <c r="A40">
        <v>1987</v>
      </c>
      <c r="B40">
        <f>'USGS end use 1975-2003'!I15/'USGS end use 1975-2003'!J15</f>
        <v>4.0152486817728372E-2</v>
      </c>
      <c r="C40">
        <f>'USGS end use 1975-2003'!E15/'USGS end use 1975-2003'!J15</f>
        <v>4.3430240843665383E-2</v>
      </c>
      <c r="D40">
        <f>'USGS end use 1975-2003'!F15/'USGS end use 1975-2003'!J15</f>
        <v>1.7932639779582919E-2</v>
      </c>
      <c r="E40">
        <f>B40*Parameters!$B$13+(1-B40)</f>
        <v>0.98333671797064282</v>
      </c>
      <c r="F40">
        <f>(B40*Parameters!$B$13+C40*Parameters!$B$14+Calculation!$B$11)/E40</f>
        <v>5.3803285419637116E-2</v>
      </c>
      <c r="G40">
        <f t="shared" si="3"/>
        <v>1.8236520056518719E-2</v>
      </c>
      <c r="H40">
        <f t="shared" si="4"/>
        <v>0.92796019452384415</v>
      </c>
    </row>
    <row r="41" spans="1:8" x14ac:dyDescent="0.25">
      <c r="A41">
        <v>1988</v>
      </c>
      <c r="B41">
        <f>'USGS end use 1975-2003'!I16/'USGS end use 1975-2003'!J16</f>
        <v>4.0154559874062322E-2</v>
      </c>
      <c r="C41">
        <f>'USGS end use 1975-2003'!E16/'USGS end use 1975-2003'!J16</f>
        <v>3.6541007262882973E-2</v>
      </c>
      <c r="D41">
        <f>'USGS end use 1975-2003'!F16/'USGS end use 1975-2003'!J16</f>
        <v>2.5115979535127786E-2</v>
      </c>
      <c r="E41">
        <f>B41*Parameters!$B$13+(1-B41)</f>
        <v>0.98333585765226406</v>
      </c>
      <c r="F41">
        <f>(B41*Parameters!$B$13+C41*Parameters!$B$14+Calculation!$B$11)/E41</f>
        <v>5.0301574648404124E-2</v>
      </c>
      <c r="G41">
        <f t="shared" si="3"/>
        <v>2.5541608535554414E-2</v>
      </c>
      <c r="H41">
        <f t="shared" si="4"/>
        <v>0.92415681681604145</v>
      </c>
    </row>
    <row r="42" spans="1:8" x14ac:dyDescent="0.25">
      <c r="A42">
        <v>1989</v>
      </c>
      <c r="B42">
        <f>'USGS end use 1975-2003'!I17/'USGS end use 1975-2003'!J17</f>
        <v>3.714174776130269E-2</v>
      </c>
      <c r="C42">
        <f>'USGS end use 1975-2003'!E17/'USGS end use 1975-2003'!J17</f>
        <v>4.0357220860533408E-2</v>
      </c>
      <c r="D42">
        <f>'USGS end use 1975-2003'!F17/'USGS end use 1975-2003'!J17</f>
        <v>2.4522532579416119E-2</v>
      </c>
      <c r="E42">
        <f>B42*Parameters!$B$13+(1-B42)</f>
        <v>0.98458617467905929</v>
      </c>
      <c r="F42">
        <f>(B42*Parameters!$B$13+C42*Parameters!$B$14+Calculation!$B$11)/E42</f>
        <v>5.0385588419601231E-2</v>
      </c>
      <c r="G42">
        <f t="shared" si="3"/>
        <v>2.4906436033808425E-2</v>
      </c>
      <c r="H42">
        <f t="shared" si="4"/>
        <v>0.92470797554659034</v>
      </c>
    </row>
    <row r="43" spans="1:8" x14ac:dyDescent="0.25">
      <c r="A43">
        <v>1990</v>
      </c>
      <c r="B43">
        <f>'USGS end use 1975-2003'!I18/'USGS end use 1975-2003'!J18</f>
        <v>3.6979398251074554E-2</v>
      </c>
      <c r="C43">
        <f>'USGS end use 1975-2003'!E18/'USGS end use 1975-2003'!J18</f>
        <v>4.1450521219307347E-2</v>
      </c>
      <c r="D43">
        <f>'USGS end use 1975-2003'!F18/'USGS end use 1975-2003'!J18</f>
        <v>3.2792352156514007E-2</v>
      </c>
      <c r="E43">
        <f>B43*Parameters!$B$13+(1-B43)</f>
        <v>0.9846535497258041</v>
      </c>
      <c r="F43">
        <f>(B43*Parameters!$B$13+C43*Parameters!$B$14+Calculation!$B$11)/E43</f>
        <v>5.0840856147680122E-2</v>
      </c>
      <c r="G43">
        <f t="shared" si="3"/>
        <v>3.330344176959061E-2</v>
      </c>
      <c r="H43">
        <f t="shared" si="4"/>
        <v>0.91585570208272926</v>
      </c>
    </row>
    <row r="44" spans="1:8" x14ac:dyDescent="0.25">
      <c r="A44">
        <v>1991</v>
      </c>
      <c r="B44">
        <f>'USGS end use 1975-2003'!I19/'USGS end use 1975-2003'!J19</f>
        <v>3.4749303621169916E-2</v>
      </c>
      <c r="C44">
        <f>'USGS end use 1975-2003'!E19/'USGS end use 1975-2003'!J19</f>
        <v>4.2298050139275768E-2</v>
      </c>
      <c r="D44">
        <f>'USGS end use 1975-2003'!F19/'USGS end use 1975-2003'!J19</f>
        <v>5.1016713091922003E-2</v>
      </c>
      <c r="E44">
        <f>B44*Parameters!$B$13+(1-B44)</f>
        <v>0.98557903899721455</v>
      </c>
      <c r="F44">
        <f>(B44*Parameters!$B$13+C44*Parameters!$B$14+Calculation!$B$11)/E44</f>
        <v>4.989938567325921E-2</v>
      </c>
      <c r="G44">
        <f t="shared" si="3"/>
        <v>5.1763188007558858E-2</v>
      </c>
      <c r="H44">
        <f t="shared" si="4"/>
        <v>0.8983374263191819</v>
      </c>
    </row>
    <row r="45" spans="1:8" x14ac:dyDescent="0.25">
      <c r="A45">
        <v>1992</v>
      </c>
      <c r="B45">
        <f>'USGS end use 1975-2003'!I20/'USGS end use 1975-2003'!J20</f>
        <v>3.5434363061087847E-2</v>
      </c>
      <c r="C45">
        <f>'USGS end use 1975-2003'!E20/'USGS end use 1975-2003'!J20</f>
        <v>4.6803817826149743E-2</v>
      </c>
      <c r="D45">
        <f>'USGS end use 1975-2003'!F20/'USGS end use 1975-2003'!J20</f>
        <v>4.3088395541493262E-2</v>
      </c>
      <c r="E45">
        <f>B45*Parameters!$B$13+(1-B45)</f>
        <v>0.98529473932964862</v>
      </c>
      <c r="F45">
        <f>(B45*Parameters!$B$13+C45*Parameters!$B$14+Calculation!$B$11)/E45</f>
        <v>5.2607032317513819E-2</v>
      </c>
      <c r="G45">
        <f t="shared" si="3"/>
        <v>4.3731478329833283E-2</v>
      </c>
      <c r="H45">
        <f t="shared" si="4"/>
        <v>0.90366148935265289</v>
      </c>
    </row>
    <row r="46" spans="1:8" x14ac:dyDescent="0.25">
      <c r="A46">
        <v>1993</v>
      </c>
      <c r="B46">
        <f>'USGS end use 1975-2003'!I21/'USGS end use 1975-2003'!J21</f>
        <v>3.743993174489655E-2</v>
      </c>
      <c r="C46">
        <f>'USGS end use 1975-2003'!E21/'USGS end use 1975-2003'!J21</f>
        <v>5.8430885434310735E-2</v>
      </c>
      <c r="D46">
        <f>'USGS end use 1975-2003'!F21/'USGS end use 1975-2003'!J21</f>
        <v>1.3763942735975709E-2</v>
      </c>
      <c r="E46">
        <f>B46*Parameters!$B$13+(1-B46)</f>
        <v>0.98446242832586794</v>
      </c>
      <c r="F46">
        <f>(B46*Parameters!$B$13+C46*Parameters!$B$14+Calculation!$B$11)/E46</f>
        <v>5.974857138867834E-2</v>
      </c>
      <c r="G46">
        <f t="shared" si="3"/>
        <v>1.3981176264270485E-2</v>
      </c>
      <c r="H46">
        <f t="shared" si="4"/>
        <v>0.92627025234705118</v>
      </c>
    </row>
    <row r="47" spans="1:8" x14ac:dyDescent="0.25">
      <c r="A47">
        <v>1994</v>
      </c>
      <c r="B47">
        <f>'USGS end use 1975-2003'!I22/'USGS end use 1975-2003'!J22</f>
        <v>3.80197000538125E-2</v>
      </c>
      <c r="C47">
        <f>'USGS end use 1975-2003'!E22/'USGS end use 1975-2003'!J22</f>
        <v>4.5506656372101731E-2</v>
      </c>
      <c r="D47">
        <f>'USGS end use 1975-2003'!F22/'USGS end use 1975-2003'!J22</f>
        <v>1.2014225217004749E-2</v>
      </c>
      <c r="E47">
        <f>B47*Parameters!$B$13+(1-B47)</f>
        <v>0.98422182447766782</v>
      </c>
      <c r="F47">
        <f>(B47*Parameters!$B$13+C47*Parameters!$B$14+Calculation!$B$11)/E47</f>
        <v>5.3542069782772629E-2</v>
      </c>
      <c r="G47">
        <f t="shared" si="3"/>
        <v>1.2206826670787114E-2</v>
      </c>
      <c r="H47">
        <f t="shared" si="4"/>
        <v>0.93425110354644025</v>
      </c>
    </row>
    <row r="48" spans="1:8" x14ac:dyDescent="0.25">
      <c r="A48">
        <v>1995</v>
      </c>
      <c r="B48">
        <f>'USGS end use 1975-2003'!I23/'USGS end use 1975-2003'!J23</f>
        <v>3.6595991867557361E-2</v>
      </c>
      <c r="C48">
        <f>'USGS end use 1975-2003'!E23/'USGS end use 1975-2003'!J23</f>
        <v>4.0325297705489399E-2</v>
      </c>
      <c r="D48">
        <f>'USGS end use 1975-2003'!F23/'USGS end use 1975-2003'!J23</f>
        <v>1.2326459483009004E-2</v>
      </c>
      <c r="E48">
        <f>B48*Parameters!$B$13+(1-B48)</f>
        <v>0.98481266337496365</v>
      </c>
      <c r="F48">
        <f>(B48*Parameters!$B$13+C48*Parameters!$B$14+Calculation!$B$11)/E48</f>
        <v>5.003360214396927E-2</v>
      </c>
      <c r="G48">
        <f t="shared" si="3"/>
        <v>1.2516552580433007E-2</v>
      </c>
      <c r="H48">
        <f t="shared" si="4"/>
        <v>0.93744984527559772</v>
      </c>
    </row>
    <row r="49" spans="1:8" x14ac:dyDescent="0.25">
      <c r="A49">
        <v>1996</v>
      </c>
      <c r="B49">
        <f>'USGS end use 1975-2003'!I24/'USGS end use 1975-2003'!J24</f>
        <v>3.9186192055161509E-2</v>
      </c>
      <c r="C49">
        <f>'USGS end use 1975-2003'!E24/'USGS end use 1975-2003'!J24</f>
        <v>3.2247084916225653E-2</v>
      </c>
      <c r="D49">
        <f>'USGS end use 1975-2003'!F24/'USGS end use 1975-2003'!J24</f>
        <v>1.4295439074200136E-2</v>
      </c>
      <c r="E49">
        <f>B49*Parameters!$B$13+(1-B49)</f>
        <v>0.98373773029710798</v>
      </c>
      <c r="F49">
        <f>(B49*Parameters!$B$13+C49*Parameters!$B$14+Calculation!$B$11)/E49</f>
        <v>4.7522712874541101E-2</v>
      </c>
      <c r="G49">
        <f t="shared" si="3"/>
        <v>1.4531758449360922E-2</v>
      </c>
      <c r="H49">
        <f t="shared" si="4"/>
        <v>0.93794552867609793</v>
      </c>
    </row>
    <row r="50" spans="1:8" x14ac:dyDescent="0.25">
      <c r="A50">
        <v>1997</v>
      </c>
      <c r="B50">
        <f>'USGS end use 1975-2003'!I25/'USGS end use 1975-2003'!J25</f>
        <v>3.7608096057734179E-2</v>
      </c>
      <c r="C50">
        <f>'USGS end use 1975-2003'!E25/'USGS end use 1975-2003'!J25</f>
        <v>3.3543476908400906E-2</v>
      </c>
      <c r="D50">
        <f>'USGS end use 1975-2003'!F25/'USGS end use 1975-2003'!J25</f>
        <v>2.4024802471952055E-2</v>
      </c>
      <c r="E50">
        <f>B50*Parameters!$B$13+(1-B50)</f>
        <v>0.98439264013604033</v>
      </c>
      <c r="F50">
        <f>(B50*Parameters!$B$13+C50*Parameters!$B$14+Calculation!$B$11)/E50</f>
        <v>4.7211746251914433E-2</v>
      </c>
      <c r="G50">
        <f t="shared" si="3"/>
        <v>2.4405711189218048E-2</v>
      </c>
      <c r="H50">
        <f t="shared" si="4"/>
        <v>0.92838254255886754</v>
      </c>
    </row>
    <row r="51" spans="1:8" x14ac:dyDescent="0.25">
      <c r="A51">
        <v>1998</v>
      </c>
      <c r="B51">
        <f>'USGS end use 1975-2003'!I26/'USGS end use 1975-2003'!J26</f>
        <v>3.9669181659895532E-2</v>
      </c>
      <c r="C51">
        <f>'USGS end use 1975-2003'!E26/'USGS end use 1975-2003'!J26</f>
        <v>3.1311665699361578E-2</v>
      </c>
      <c r="D51">
        <f>'USGS end use 1975-2003'!F26/'USGS end use 1975-2003'!J26</f>
        <v>1.0862836138518088E-2</v>
      </c>
      <c r="E51">
        <f>B51*Parameters!$B$13+(1-B51)</f>
        <v>0.98353728961114339</v>
      </c>
      <c r="F51">
        <f>(B51*Parameters!$B$13+C51*Parameters!$B$14+Calculation!$B$11)/E51</f>
        <v>4.7344137840985838E-2</v>
      </c>
      <c r="G51">
        <f t="shared" si="3"/>
        <v>1.1044661197149808E-2</v>
      </c>
      <c r="H51">
        <f t="shared" si="4"/>
        <v>0.94161120096186446</v>
      </c>
    </row>
    <row r="52" spans="1:8" x14ac:dyDescent="0.25">
      <c r="A52">
        <v>1999</v>
      </c>
      <c r="B52">
        <f>'USGS end use 1975-2003'!I27/'USGS end use 1975-2003'!J27</f>
        <v>4.0101335789958545E-2</v>
      </c>
      <c r="C52">
        <f>'USGS end use 1975-2003'!E27/'USGS end use 1975-2003'!J27</f>
        <v>4.116075541225242E-2</v>
      </c>
      <c r="D52">
        <f>'USGS end use 1975-2003'!F27/'USGS end use 1975-2003'!J27</f>
        <v>1.0391524643021649E-2</v>
      </c>
      <c r="E52">
        <f>B52*Parameters!$B$13+(1-B52)</f>
        <v>0.98335794564716716</v>
      </c>
      <c r="F52">
        <f>(B52*Parameters!$B$13+C52*Parameters!$B$14+Calculation!$B$11)/E52</f>
        <v>5.2617747446561176E-2</v>
      </c>
      <c r="G52">
        <f t="shared" si="3"/>
        <v>1.0567387683213138E-2</v>
      </c>
      <c r="H52">
        <f t="shared" si="4"/>
        <v>0.93681486487022558</v>
      </c>
    </row>
    <row r="53" spans="1:8" x14ac:dyDescent="0.25">
      <c r="A53">
        <v>2000</v>
      </c>
      <c r="B53">
        <f>'USGS end use 1975-2003'!I28/'USGS end use 1975-2003'!J28</f>
        <v>3.9513040306401605E-2</v>
      </c>
      <c r="C53">
        <f>'USGS end use 1975-2003'!E28/'USGS end use 1975-2003'!J28</f>
        <v>3.3649461973372242E-2</v>
      </c>
      <c r="D53">
        <f>'USGS end use 1975-2003'!F28/'USGS end use 1975-2003'!J28</f>
        <v>1.3332117453948569E-2</v>
      </c>
      <c r="E53">
        <f>B53*Parameters!$B$13+(1-B53)</f>
        <v>0.98360208827284334</v>
      </c>
      <c r="F53">
        <f>(B53*Parameters!$B$13+C53*Parameters!$B$14+Calculation!$B$11)/E53</f>
        <v>4.8436538539653226E-2</v>
      </c>
      <c r="G53">
        <f t="shared" si="3"/>
        <v>1.3554380997054518E-2</v>
      </c>
      <c r="H53">
        <f t="shared" si="4"/>
        <v>0.93800908046329223</v>
      </c>
    </row>
    <row r="54" spans="1:8" x14ac:dyDescent="0.25">
      <c r="A54">
        <v>2001</v>
      </c>
      <c r="B54">
        <f>'USGS end use 1975-2003'!I29/'USGS end use 1975-2003'!J29</f>
        <v>3.9772828112521079E-2</v>
      </c>
      <c r="C54">
        <f>'USGS end use 1975-2003'!E29/'USGS end use 1975-2003'!J29</f>
        <v>3.2948797586298699E-2</v>
      </c>
      <c r="D54">
        <f>'USGS end use 1975-2003'!F29/'USGS end use 1975-2003'!J29</f>
        <v>1.6966900346082173E-2</v>
      </c>
      <c r="E54">
        <f>B54*Parameters!$B$13+(1-B54)</f>
        <v>0.98349427633330377</v>
      </c>
      <c r="F54">
        <f>(B54*Parameters!$B$13+C54*Parameters!$B$14+Calculation!$B$11)/E54</f>
        <v>4.8240162928284758E-2</v>
      </c>
      <c r="G54">
        <f t="shared" si="3"/>
        <v>1.7251651335825499E-2</v>
      </c>
      <c r="H54">
        <f t="shared" si="4"/>
        <v>0.93450818573588978</v>
      </c>
    </row>
    <row r="55" spans="1:8" x14ac:dyDescent="0.25">
      <c r="A55">
        <v>2002</v>
      </c>
      <c r="B55">
        <f>'USGS end use 1975-2003'!I30/'USGS end use 1975-2003'!J30</f>
        <v>4.0935942403544395E-2</v>
      </c>
      <c r="C55">
        <f>'USGS end use 1975-2003'!E30/'USGS end use 1975-2003'!J30</f>
        <v>2.8475170758722541E-2</v>
      </c>
      <c r="D55">
        <f>'USGS end use 1975-2003'!F30/'USGS end use 1975-2003'!J30</f>
        <v>1.0873177035259368E-2</v>
      </c>
      <c r="E55">
        <f>B55*Parameters!$B$13+(1-B55)</f>
        <v>0.98301158390252907</v>
      </c>
      <c r="F55">
        <f>(B55*Parameters!$B$13+C55*Parameters!$B$14+Calculation!$B$11)/E55</f>
        <v>4.6680561376135979E-2</v>
      </c>
      <c r="G55">
        <f t="shared" si="3"/>
        <v>1.1061087390336901E-2</v>
      </c>
      <c r="H55">
        <f t="shared" si="4"/>
        <v>0.94225835123352708</v>
      </c>
    </row>
    <row r="56" spans="1:8" x14ac:dyDescent="0.25">
      <c r="A56">
        <v>2003</v>
      </c>
      <c r="B56">
        <f>'USGS end use 1975-2003'!I31/'USGS end use 1975-2003'!J31</f>
        <v>4.2200284596229098E-2</v>
      </c>
      <c r="C56">
        <f>'USGS end use 1975-2003'!E31/'USGS end use 1975-2003'!J31</f>
        <v>3.2461757381714695E-2</v>
      </c>
      <c r="D56">
        <f>'USGS end use 1975-2003'!F31/'USGS end use 1975-2003'!J31</f>
        <v>1.2949128424048382E-2</v>
      </c>
      <c r="E56">
        <f>B56*Parameters!$B$13+(1-B56)</f>
        <v>0.98248688189256494</v>
      </c>
      <c r="F56">
        <f>(B56*Parameters!$B$13+C56*Parameters!$B$14+Calculation!$B$11)/E56</f>
        <v>4.9487140201173632E-2</v>
      </c>
      <c r="G56">
        <f t="shared" si="3"/>
        <v>1.3179950452981591E-2</v>
      </c>
      <c r="H56">
        <f t="shared" si="4"/>
        <v>0.93733290934584479</v>
      </c>
    </row>
    <row r="57" spans="1:8" x14ac:dyDescent="0.25">
      <c r="A57">
        <v>2004</v>
      </c>
      <c r="B57">
        <f>B56+(B76-B56)*(A57-A56)/(A76-A56)</f>
        <v>4.1128442458175735E-2</v>
      </c>
      <c r="C57">
        <f>C56+(C76-C56)*(A57-A56)/(A76-A56)</f>
        <v>3.2701939074692613E-2</v>
      </c>
      <c r="D57">
        <f>D56+(D76-D56)*(A57-A56)/(A76-A56)</f>
        <v>1.3484916177295142E-2</v>
      </c>
      <c r="E57">
        <f>B57*Parameters!$B$13+(1-B57)</f>
        <v>0.98293169637985711</v>
      </c>
      <c r="F57">
        <f>(B57*Parameters!$B$13+C57*Parameters!$B$14+Calculation!$B$11)/E57</f>
        <v>4.8949005757939659E-2</v>
      </c>
      <c r="G57">
        <f t="shared" si="3"/>
        <v>1.3719077558451073E-2</v>
      </c>
      <c r="H57">
        <f t="shared" si="4"/>
        <v>0.93733191668360927</v>
      </c>
    </row>
    <row r="58" spans="1:8" x14ac:dyDescent="0.25">
      <c r="A58">
        <v>2005</v>
      </c>
      <c r="B58">
        <f>B56+(B76-B56)*(A58-A56)/(A76-A56)</f>
        <v>4.0056600320122371E-2</v>
      </c>
      <c r="C58">
        <f>C56+(C76-C56)*(A58-A56)/(A76-A56)</f>
        <v>3.294212076767053E-2</v>
      </c>
      <c r="D58">
        <f>D56+(D76-D56)*(A58-A56)/(A76-A56)</f>
        <v>1.4020703930541903E-2</v>
      </c>
      <c r="E58">
        <f>B58*Parameters!$B$13+(1-B58)</f>
        <v>0.98337651086714917</v>
      </c>
      <c r="F58">
        <f>(B58*Parameters!$B$13+C58*Parameters!$B$14+Calculation!$B$11)/E58</f>
        <v>4.8411358147559265E-2</v>
      </c>
      <c r="G58">
        <f t="shared" si="3"/>
        <v>1.4257716933037515E-2</v>
      </c>
      <c r="H58">
        <f t="shared" si="4"/>
        <v>0.93733092491940317</v>
      </c>
    </row>
    <row r="59" spans="1:8" x14ac:dyDescent="0.25">
      <c r="A59">
        <v>2006</v>
      </c>
      <c r="B59">
        <f>B56+(B76-B56)*(A59-A56)/(A76-A56)</f>
        <v>3.8984758182069007E-2</v>
      </c>
      <c r="C59">
        <f>C56+(C76-C56)*(A59-A56)/(A76-A56)</f>
        <v>3.318230246064844E-2</v>
      </c>
      <c r="D59">
        <f>D56+(D76-D56)*(A59-A56)/(A76-A56)</f>
        <v>1.4556491683788662E-2</v>
      </c>
      <c r="E59">
        <f>B59*Parameters!$B$13+(1-B59)</f>
        <v>0.98382132535444133</v>
      </c>
      <c r="F59">
        <f>(B59*Parameters!$B$13+C59*Parameters!$B$14+Calculation!$B$11)/E59</f>
        <v>4.7874196709698176E-2</v>
      </c>
      <c r="G59">
        <f t="shared" si="3"/>
        <v>1.4795869238293239E-2</v>
      </c>
      <c r="H59">
        <f t="shared" si="4"/>
        <v>0.9373299340520086</v>
      </c>
    </row>
    <row r="60" spans="1:8" x14ac:dyDescent="0.25">
      <c r="A60">
        <v>2007</v>
      </c>
      <c r="B60">
        <f>B56+(B76-B56)*(A60-A56)/(A76-A56)</f>
        <v>3.791291604401565E-2</v>
      </c>
      <c r="C60">
        <f>C56+(C76-C56)*(A60-A56)/(A76-A56)</f>
        <v>3.3422484153626357E-2</v>
      </c>
      <c r="D60">
        <f>D56+(D76-D56)*(A60-A56)/(A76-A56)</f>
        <v>1.5092279437035424E-2</v>
      </c>
      <c r="E60">
        <f>B60*Parameters!$B$13+(1-B60)</f>
        <v>0.9842661398417335</v>
      </c>
      <c r="F60">
        <f>(B60*Parameters!$B$13+C60*Parameters!$B$14+Calculation!$B$11)/E60</f>
        <v>4.7337520785215866E-2</v>
      </c>
      <c r="G60">
        <f t="shared" si="3"/>
        <v>1.5333535134574687E-2</v>
      </c>
      <c r="H60">
        <f t="shared" si="4"/>
        <v>0.93732894408020939</v>
      </c>
    </row>
    <row r="61" spans="1:8" x14ac:dyDescent="0.25">
      <c r="A61">
        <v>2008</v>
      </c>
      <c r="B61">
        <f>B56+(B76-B56)*(A61-A56)/(A76-A56)</f>
        <v>3.6841073905962286E-2</v>
      </c>
      <c r="C61">
        <f>C56+(C76-C56)*(A61-A56)/(A76-A56)</f>
        <v>3.3662665846604274E-2</v>
      </c>
      <c r="D61">
        <f>D56+(D76-D56)*(A61-A56)/(A76-A56)</f>
        <v>1.5628067190282185E-2</v>
      </c>
      <c r="E61">
        <f>B61*Parameters!$B$13+(1-B61)</f>
        <v>0.98471095432902567</v>
      </c>
      <c r="F61">
        <f>(B61*Parameters!$B$13+C61*Parameters!$B$14+Calculation!$B$11)/E61</f>
        <v>4.6801329716162722E-2</v>
      </c>
      <c r="G61">
        <f t="shared" si="3"/>
        <v>1.5870715281045115E-2</v>
      </c>
      <c r="H61">
        <f t="shared" si="4"/>
        <v>0.9373279550027922</v>
      </c>
    </row>
    <row r="62" spans="1:8" x14ac:dyDescent="0.25">
      <c r="A62">
        <v>2009</v>
      </c>
      <c r="B62">
        <f>B56+(B76-B56)*(A62-A56)/(A76-A56)</f>
        <v>3.5769231767908923E-2</v>
      </c>
      <c r="C62">
        <f>C56+(C76-C56)*(A62-A56)/(A76-A56)</f>
        <v>3.3902847539582191E-2</v>
      </c>
      <c r="D62">
        <f>D56+(D76-D56)*(A62-A56)/(A76-A56)</f>
        <v>1.6163854943528944E-2</v>
      </c>
      <c r="E62">
        <f>B62*Parameters!$B$13+(1-B62)</f>
        <v>0.98515576881631783</v>
      </c>
      <c r="F62">
        <f>(B62*Parameters!$B$13+C62*Parameters!$B$14+Calculation!$B$11)/E62</f>
        <v>4.6265622845777489E-2</v>
      </c>
      <c r="G62">
        <f t="shared" si="3"/>
        <v>1.6407410335677275E-2</v>
      </c>
      <c r="H62">
        <f t="shared" si="4"/>
        <v>0.93732696681854522</v>
      </c>
    </row>
    <row r="63" spans="1:8" x14ac:dyDescent="0.25">
      <c r="A63">
        <v>2010</v>
      </c>
      <c r="B63">
        <f>B56+(B76-B56)*(A63-A56)/(A76-A56)</f>
        <v>3.4697389629855559E-2</v>
      </c>
      <c r="C63">
        <f>C56+(C76-C56)*(A63-A56)/(A76-A56)</f>
        <v>3.4143029232560108E-2</v>
      </c>
      <c r="D63">
        <f>D56+(D76-D56)*(A63-A56)/(A76-A56)</f>
        <v>1.6699642696775704E-2</v>
      </c>
      <c r="E63">
        <f>B63*Parameters!$B$13+(1-B63)</f>
        <v>0.98560058330360989</v>
      </c>
      <c r="F63">
        <f>(B63*Parameters!$B$13+C63*Parameters!$B$14+Calculation!$B$11)/E63</f>
        <v>4.5730399518484524E-2</v>
      </c>
      <c r="G63">
        <f t="shared" si="3"/>
        <v>1.6943620955256124E-2</v>
      </c>
      <c r="H63">
        <f t="shared" si="4"/>
        <v>0.93732597952625929</v>
      </c>
    </row>
    <row r="64" spans="1:8" x14ac:dyDescent="0.25">
      <c r="A64">
        <v>2011</v>
      </c>
      <c r="B64">
        <f>B56+(B76-B56)*(A64-A56)/(A76-A56)</f>
        <v>3.3625547491802202E-2</v>
      </c>
      <c r="C64">
        <f>C56+(C76-C56)*(A64-A56)/(A76-A56)</f>
        <v>3.4383210925538019E-2</v>
      </c>
      <c r="D64">
        <f>D56+(D76-D56)*(A64-A56)/(A76-A56)</f>
        <v>1.7235430450022463E-2</v>
      </c>
      <c r="E64">
        <f>B64*Parameters!$B$13+(1-B64)</f>
        <v>0.98604539779090206</v>
      </c>
      <c r="F64">
        <f>(B64*Parameters!$B$13+C64*Parameters!$B$14+Calculation!$B$11)/E64</f>
        <v>4.5195659079891093E-2</v>
      </c>
      <c r="G64">
        <f t="shared" si="3"/>
        <v>1.7479347795381486E-2</v>
      </c>
      <c r="H64">
        <f t="shared" si="4"/>
        <v>0.93732499312472739</v>
      </c>
    </row>
    <row r="65" spans="1:8" x14ac:dyDescent="0.25">
      <c r="A65">
        <v>2012</v>
      </c>
      <c r="B65">
        <f>B56+(B76-B56)*(A65-A56)/(A76-A56)</f>
        <v>3.2553705353748838E-2</v>
      </c>
      <c r="C65">
        <f>C56+(C76-C56)*(A65-A56)/(A76-A56)</f>
        <v>3.4623392618515936E-2</v>
      </c>
      <c r="D65">
        <f>D56+(D76-D56)*(A65-A56)/(A76-A56)</f>
        <v>1.7771218203269226E-2</v>
      </c>
      <c r="E65">
        <f>B65*Parameters!$B$13+(1-B65)</f>
        <v>0.98649021227819422</v>
      </c>
      <c r="F65">
        <f>(B65*Parameters!$B$13+C65*Parameters!$B$14+Calculation!$B$11)/E65</f>
        <v>4.4661400876784781E-2</v>
      </c>
      <c r="G65">
        <f t="shared" si="3"/>
        <v>1.8014591510470732E-2</v>
      </c>
      <c r="H65">
        <f t="shared" si="4"/>
        <v>0.93732400761274448</v>
      </c>
    </row>
    <row r="66" spans="1:8" x14ac:dyDescent="0.25">
      <c r="A66">
        <v>2013</v>
      </c>
      <c r="B66">
        <f>B56+(B76-B56)*(A66-A56)/(A76-A56)</f>
        <v>3.1481863215695474E-2</v>
      </c>
      <c r="C66">
        <f>C56+(C76-C56)*(A66-A56)/(A76-A56)</f>
        <v>3.4863574311493853E-2</v>
      </c>
      <c r="D66">
        <f>D56+(D76-D56)*(A66-A56)/(A76-A56)</f>
        <v>1.8307005956515986E-2</v>
      </c>
      <c r="E66">
        <f>B66*Parameters!$B$13+(1-B66)</f>
        <v>0.98693502676548639</v>
      </c>
      <c r="F66">
        <f>(B66*Parameters!$B$13+C66*Parameters!$B$14+Calculation!$B$11)/E66</f>
        <v>4.4127624257130772E-2</v>
      </c>
      <c r="G66">
        <f t="shared" si="3"/>
        <v>1.854935275376143E-2</v>
      </c>
      <c r="H66">
        <f t="shared" si="4"/>
        <v>0.93732302298910775</v>
      </c>
    </row>
    <row r="67" spans="1:8" x14ac:dyDescent="0.25">
      <c r="A67">
        <v>2014</v>
      </c>
      <c r="B67">
        <f>B56+(B76-B56)*(A67-A56)/(A76-A56)</f>
        <v>3.041002107764211E-2</v>
      </c>
      <c r="C67">
        <f>C56+(C76-C56)*(A67-A56)/(A76-A56)</f>
        <v>3.510375600447177E-2</v>
      </c>
      <c r="D67">
        <f>D56+(D76-D56)*(A67-A56)/(A76-A56)</f>
        <v>1.8842793709762745E-2</v>
      </c>
      <c r="E67">
        <f>B67*Parameters!$B$13+(1-B67)</f>
        <v>0.98737984125277856</v>
      </c>
      <c r="F67">
        <f>(B67*Parameters!$B$13+C67*Parameters!$B$14+Calculation!$B$11)/E67</f>
        <v>4.359432857006923E-2</v>
      </c>
      <c r="G67">
        <f t="shared" ref="G67:G103" si="5">D67/E67</f>
        <v>1.9083632177314031E-2</v>
      </c>
      <c r="H67">
        <f t="shared" ref="H67:H98" si="6">1-F67-G67</f>
        <v>0.9373220392526167</v>
      </c>
    </row>
    <row r="68" spans="1:8" x14ac:dyDescent="0.25">
      <c r="A68">
        <v>2015</v>
      </c>
      <c r="B68">
        <f>B56+(B76-B56)*(A68-A56)/(A76-A56)</f>
        <v>2.9338178939588747E-2</v>
      </c>
      <c r="C68">
        <f>C56+(C76-C56)*(A68-A56)/(A76-A56)</f>
        <v>3.5343937697449687E-2</v>
      </c>
      <c r="D68">
        <f>D56+(D76-D56)*(A68-A56)/(A76-A56)</f>
        <v>1.9378581463009505E-2</v>
      </c>
      <c r="E68">
        <f>B68*Parameters!$B$13+(1-B68)</f>
        <v>0.98782465574007061</v>
      </c>
      <c r="F68">
        <f>(B68*Parameters!$B$13+C68*Parameters!$B$14+Calculation!$B$11)/E68</f>
        <v>4.306151316591264E-2</v>
      </c>
      <c r="G68">
        <f t="shared" si="5"/>
        <v>1.9617430432014495E-2</v>
      </c>
      <c r="H68">
        <f t="shared" si="6"/>
        <v>0.93732105640207286</v>
      </c>
    </row>
    <row r="69" spans="1:8" x14ac:dyDescent="0.25">
      <c r="A69">
        <v>2016</v>
      </c>
      <c r="B69">
        <f>B56+(B76-B56)*(A69-A56)/(A76-A56)</f>
        <v>2.8266336801535386E-2</v>
      </c>
      <c r="C69">
        <f>C56+(C76-C56)*(A69-A56)/(A76-A56)</f>
        <v>3.5584119390427597E-2</v>
      </c>
      <c r="D69">
        <f>D56+(D76-D56)*(A69-A56)/(A76-A56)</f>
        <v>1.9914369216256264E-2</v>
      </c>
      <c r="E69">
        <f>B69*Parameters!$B$13+(1-B69)</f>
        <v>0.98826947022736289</v>
      </c>
      <c r="F69">
        <f>(B69*Parameters!$B$13+C69*Parameters!$B$14+Calculation!$B$11)/E69</f>
        <v>4.2529177396143134E-2</v>
      </c>
      <c r="G69">
        <f t="shared" si="5"/>
        <v>2.0150748167576938E-2</v>
      </c>
      <c r="H69">
        <f t="shared" si="6"/>
        <v>0.93732007443627996</v>
      </c>
    </row>
    <row r="70" spans="1:8" x14ac:dyDescent="0.25">
      <c r="A70">
        <v>2017</v>
      </c>
      <c r="B70">
        <f>B56+(B76-B56)*(A70-A56)/(A76-A56)</f>
        <v>2.7194494663482022E-2</v>
      </c>
      <c r="C70">
        <f>C56+(C76-C56)*(A70-A56)/(A76-A56)</f>
        <v>3.5824301083405515E-2</v>
      </c>
      <c r="D70">
        <f>D56+(D76-D56)*(A70-A56)/(A76-A56)</f>
        <v>2.0450156969503027E-2</v>
      </c>
      <c r="E70">
        <f>B70*Parameters!$B$13+(1-B70)</f>
        <v>0.98871428471465495</v>
      </c>
      <c r="F70">
        <f>(B70*Parameters!$B$13+C70*Parameters!$B$14+Calculation!$B$11)/E70</f>
        <v>4.1997320613409946E-2</v>
      </c>
      <c r="G70">
        <f t="shared" si="5"/>
        <v>2.0683586032546285E-2</v>
      </c>
      <c r="H70">
        <f t="shared" si="6"/>
        <v>0.93731909335404373</v>
      </c>
    </row>
    <row r="71" spans="1:8" x14ac:dyDescent="0.25">
      <c r="A71">
        <v>2018</v>
      </c>
      <c r="B71">
        <f>B56+(B76-B56)*(A71-A56)/(A76-A56)</f>
        <v>2.6122652525428662E-2</v>
      </c>
      <c r="C71">
        <f>C56+(C76-C56)*(A71-A56)/(A76-A56)</f>
        <v>3.6064482776383432E-2</v>
      </c>
      <c r="D71">
        <f>D56+(D76-D56)*(A71-A56)/(A76-A56)</f>
        <v>2.0985944722749783E-2</v>
      </c>
      <c r="E71">
        <f>B71*Parameters!$B$13+(1-B71)</f>
        <v>0.98915909920194711</v>
      </c>
      <c r="F71">
        <f>(B71*Parameters!$B$13+C71*Parameters!$B$14+Calculation!$B$11)/E71</f>
        <v>4.1465942171526715E-2</v>
      </c>
      <c r="G71">
        <f t="shared" si="5"/>
        <v>2.1215944674300859E-2</v>
      </c>
      <c r="H71">
        <f t="shared" si="6"/>
        <v>0.93731811315417246</v>
      </c>
    </row>
    <row r="72" spans="1:8" x14ac:dyDescent="0.25">
      <c r="A72">
        <v>2019</v>
      </c>
      <c r="B72">
        <f>B56+(B76-B56)*(A72-A56)/(A76-A56)</f>
        <v>2.5050810387375298E-2</v>
      </c>
      <c r="C72">
        <f>C56+(C76-C56)*(A72-A56)/(A76-A56)</f>
        <v>3.6304664469361349E-2</v>
      </c>
      <c r="D72">
        <f>D56+(D76-D56)*(A72-A56)/(A76-A56)</f>
        <v>2.1521732475996546E-2</v>
      </c>
      <c r="E72">
        <f>B72*Parameters!$B$13+(1-B72)</f>
        <v>0.98960391368923917</v>
      </c>
      <c r="F72">
        <f>(B72*Parameters!$B$13+C72*Parameters!$B$14+Calculation!$B$11)/E72</f>
        <v>4.0935041425468881E-2</v>
      </c>
      <c r="G72">
        <f t="shared" si="5"/>
        <v>2.1747824739055063E-2</v>
      </c>
      <c r="H72">
        <f t="shared" si="6"/>
        <v>0.9373171338354761</v>
      </c>
    </row>
    <row r="73" spans="1:8" x14ac:dyDescent="0.25">
      <c r="A73">
        <v>2020</v>
      </c>
      <c r="B73">
        <f>B56+(B76-B56)*(A73-A56)/(A76-A56)</f>
        <v>2.3978968249321934E-2</v>
      </c>
      <c r="C73">
        <f>C56+(C76-C56)*(A73-A56)/(A76-A56)</f>
        <v>3.6544846162339266E-2</v>
      </c>
      <c r="D73">
        <f>D56+(D76-D56)*(A73-A56)/(A76-A56)</f>
        <v>2.2057520229243309E-2</v>
      </c>
      <c r="E73">
        <f>B73*Parameters!$B$13+(1-B73)</f>
        <v>0.99004872817653145</v>
      </c>
      <c r="F73">
        <f>(B73*Parameters!$B$13+C73*Parameters!$B$14+Calculation!$B$11)/E73</f>
        <v>4.0404617731371086E-2</v>
      </c>
      <c r="G73">
        <f t="shared" si="5"/>
        <v>2.2279226871861933E-2</v>
      </c>
      <c r="H73">
        <f t="shared" si="6"/>
        <v>0.93731615539676705</v>
      </c>
    </row>
    <row r="74" spans="1:8" x14ac:dyDescent="0.25">
      <c r="A74">
        <v>2021</v>
      </c>
      <c r="B74">
        <f>B56+(B76-B56)*(A74-A56)/(A76-A56)</f>
        <v>2.2907126111268571E-2</v>
      </c>
      <c r="C74">
        <f>C56+(C76-C56)*(A74-A56)/(A76-A56)</f>
        <v>3.6785027855317176E-2</v>
      </c>
      <c r="D74">
        <f>D56+(D76-D56)*(A74-A56)/(A76-A56)</f>
        <v>2.2593307982490068E-2</v>
      </c>
      <c r="E74">
        <f>B74*Parameters!$B$13+(1-B74)</f>
        <v>0.99049354266382361</v>
      </c>
      <c r="F74">
        <f>(B74*Parameters!$B$13+C74*Parameters!$B$14+Calculation!$B$11)/E74</f>
        <v>3.9874670446524589E-2</v>
      </c>
      <c r="G74">
        <f t="shared" si="5"/>
        <v>2.2810151716615788E-2</v>
      </c>
      <c r="H74">
        <f t="shared" si="6"/>
        <v>0.93731517783685958</v>
      </c>
    </row>
    <row r="75" spans="1:8" x14ac:dyDescent="0.25">
      <c r="A75">
        <v>2022</v>
      </c>
      <c r="B75">
        <f>B56+(B76-B56)*(A75-A56)/(A76-A56)</f>
        <v>2.1835283973215207E-2</v>
      </c>
      <c r="C75">
        <f>C56+(C76-C56)*(A75-A56)/(A76-A56)</f>
        <v>3.7025209548295093E-2</v>
      </c>
      <c r="D75">
        <f>D56+(D76-D56)*(A75-A56)/(A76-A56)</f>
        <v>2.3129095735736828E-2</v>
      </c>
      <c r="E75">
        <f>B75*Parameters!$B$13+(1-B75)</f>
        <v>0.99093835715111567</v>
      </c>
      <c r="F75">
        <f>(B75*Parameters!$B$13+C75*Parameters!$B$14+Calculation!$B$11)/E75</f>
        <v>3.9345198929374652E-2</v>
      </c>
      <c r="G75">
        <f t="shared" si="5"/>
        <v>2.3340599916054815E-2</v>
      </c>
      <c r="H75">
        <f t="shared" si="6"/>
        <v>0.93731420115457054</v>
      </c>
    </row>
    <row r="76" spans="1:8" x14ac:dyDescent="0.25">
      <c r="A76">
        <v>2023</v>
      </c>
      <c r="B76">
        <f>Calculation!$B$8</f>
        <v>2.0763441835161846E-2</v>
      </c>
      <c r="C76">
        <f>Calculation!$B$9</f>
        <v>3.726539124127301E-2</v>
      </c>
      <c r="D76">
        <f>Calculation!$B$10</f>
        <v>2.3664883488983587E-2</v>
      </c>
      <c r="E76">
        <f>B76*Parameters!$B$13+(1-B76)</f>
        <v>0.99138317163840783</v>
      </c>
      <c r="F76">
        <f>(B76*Parameters!$B$13+C76*Parameters!$B$14+Calculation!$B$11)/E76</f>
        <v>3.8816202539517917E-2</v>
      </c>
      <c r="G76">
        <f t="shared" si="5"/>
        <v>2.3870572111763664E-2</v>
      </c>
      <c r="H76">
        <f t="shared" si="6"/>
        <v>0.93731322534871842</v>
      </c>
    </row>
    <row r="77" spans="1:8" x14ac:dyDescent="0.25">
      <c r="A77">
        <v>2024</v>
      </c>
      <c r="B77">
        <f t="shared" ref="B77:D103" si="7">B$76</f>
        <v>2.0763441835161846E-2</v>
      </c>
      <c r="C77">
        <f t="shared" si="7"/>
        <v>3.726539124127301E-2</v>
      </c>
      <c r="D77">
        <f t="shared" si="7"/>
        <v>2.3664883488983587E-2</v>
      </c>
      <c r="E77">
        <f>B77*Parameters!$B$13+(1-B77)</f>
        <v>0.99138317163840783</v>
      </c>
      <c r="F77">
        <f>(B77*Parameters!$B$13+C77*Parameters!$B$14+Calculation!$B$11)/E77</f>
        <v>3.8816202539517917E-2</v>
      </c>
      <c r="G77">
        <f t="shared" si="5"/>
        <v>2.3870572111763664E-2</v>
      </c>
      <c r="H77">
        <f t="shared" si="6"/>
        <v>0.93731322534871842</v>
      </c>
    </row>
    <row r="78" spans="1:8" x14ac:dyDescent="0.25">
      <c r="A78">
        <v>2025</v>
      </c>
      <c r="B78">
        <f t="shared" si="7"/>
        <v>2.0763441835161846E-2</v>
      </c>
      <c r="C78">
        <f t="shared" si="7"/>
        <v>3.726539124127301E-2</v>
      </c>
      <c r="D78">
        <f t="shared" si="7"/>
        <v>2.3664883488983587E-2</v>
      </c>
      <c r="E78">
        <f>B78*Parameters!$B$13+(1-B78)</f>
        <v>0.99138317163840783</v>
      </c>
      <c r="F78">
        <f>(B78*Parameters!$B$13+C78*Parameters!$B$14+Calculation!$B$11)/E78</f>
        <v>3.8816202539517917E-2</v>
      </c>
      <c r="G78">
        <f t="shared" si="5"/>
        <v>2.3870572111763664E-2</v>
      </c>
      <c r="H78">
        <f t="shared" si="6"/>
        <v>0.93731322534871842</v>
      </c>
    </row>
    <row r="79" spans="1:8" x14ac:dyDescent="0.25">
      <c r="A79">
        <v>2026</v>
      </c>
      <c r="B79">
        <f t="shared" si="7"/>
        <v>2.0763441835161846E-2</v>
      </c>
      <c r="C79">
        <f t="shared" si="7"/>
        <v>3.726539124127301E-2</v>
      </c>
      <c r="D79">
        <f t="shared" si="7"/>
        <v>2.3664883488983587E-2</v>
      </c>
      <c r="E79">
        <f>B79*Parameters!$B$13+(1-B79)</f>
        <v>0.99138317163840783</v>
      </c>
      <c r="F79">
        <f>(B79*Parameters!$B$13+C79*Parameters!$B$14+Calculation!$B$11)/E79</f>
        <v>3.8816202539517917E-2</v>
      </c>
      <c r="G79">
        <f t="shared" si="5"/>
        <v>2.3870572111763664E-2</v>
      </c>
      <c r="H79">
        <f t="shared" si="6"/>
        <v>0.93731322534871842</v>
      </c>
    </row>
    <row r="80" spans="1:8" x14ac:dyDescent="0.25">
      <c r="A80">
        <v>2027</v>
      </c>
      <c r="B80">
        <f t="shared" si="7"/>
        <v>2.0763441835161846E-2</v>
      </c>
      <c r="C80">
        <f t="shared" si="7"/>
        <v>3.726539124127301E-2</v>
      </c>
      <c r="D80">
        <f t="shared" si="7"/>
        <v>2.3664883488983587E-2</v>
      </c>
      <c r="E80">
        <f>B80*Parameters!$B$13+(1-B80)</f>
        <v>0.99138317163840783</v>
      </c>
      <c r="F80">
        <f>(B80*Parameters!$B$13+C80*Parameters!$B$14+Calculation!$B$11)/E80</f>
        <v>3.8816202539517917E-2</v>
      </c>
      <c r="G80">
        <f t="shared" si="5"/>
        <v>2.3870572111763664E-2</v>
      </c>
      <c r="H80">
        <f t="shared" si="6"/>
        <v>0.93731322534871842</v>
      </c>
    </row>
    <row r="81" spans="1:8" x14ac:dyDescent="0.25">
      <c r="A81">
        <v>2028</v>
      </c>
      <c r="B81">
        <f t="shared" si="7"/>
        <v>2.0763441835161846E-2</v>
      </c>
      <c r="C81">
        <f t="shared" si="7"/>
        <v>3.726539124127301E-2</v>
      </c>
      <c r="D81">
        <f t="shared" si="7"/>
        <v>2.3664883488983587E-2</v>
      </c>
      <c r="E81">
        <f>B81*Parameters!$B$13+(1-B81)</f>
        <v>0.99138317163840783</v>
      </c>
      <c r="F81">
        <f>(B81*Parameters!$B$13+C81*Parameters!$B$14+Calculation!$B$11)/E81</f>
        <v>3.8816202539517917E-2</v>
      </c>
      <c r="G81">
        <f t="shared" si="5"/>
        <v>2.3870572111763664E-2</v>
      </c>
      <c r="H81">
        <f t="shared" si="6"/>
        <v>0.93731322534871842</v>
      </c>
    </row>
    <row r="82" spans="1:8" x14ac:dyDescent="0.25">
      <c r="A82">
        <v>2029</v>
      </c>
      <c r="B82">
        <f t="shared" si="7"/>
        <v>2.0763441835161846E-2</v>
      </c>
      <c r="C82">
        <f t="shared" si="7"/>
        <v>3.726539124127301E-2</v>
      </c>
      <c r="D82">
        <f t="shared" si="7"/>
        <v>2.3664883488983587E-2</v>
      </c>
      <c r="E82">
        <f>B82*Parameters!$B$13+(1-B82)</f>
        <v>0.99138317163840783</v>
      </c>
      <c r="F82">
        <f>(B82*Parameters!$B$13+C82*Parameters!$B$14+Calculation!$B$11)/E82</f>
        <v>3.8816202539517917E-2</v>
      </c>
      <c r="G82">
        <f t="shared" si="5"/>
        <v>2.3870572111763664E-2</v>
      </c>
      <c r="H82">
        <f t="shared" si="6"/>
        <v>0.93731322534871842</v>
      </c>
    </row>
    <row r="83" spans="1:8" x14ac:dyDescent="0.25">
      <c r="A83">
        <v>2030</v>
      </c>
      <c r="B83">
        <f t="shared" si="7"/>
        <v>2.0763441835161846E-2</v>
      </c>
      <c r="C83">
        <f t="shared" si="7"/>
        <v>3.726539124127301E-2</v>
      </c>
      <c r="D83">
        <f t="shared" si="7"/>
        <v>2.3664883488983587E-2</v>
      </c>
      <c r="E83">
        <f>B83*Parameters!$B$13+(1-B83)</f>
        <v>0.99138317163840783</v>
      </c>
      <c r="F83">
        <f>(B83*Parameters!$B$13+C83*Parameters!$B$14+Calculation!$B$11)/E83</f>
        <v>3.8816202539517917E-2</v>
      </c>
      <c r="G83">
        <f t="shared" si="5"/>
        <v>2.3870572111763664E-2</v>
      </c>
      <c r="H83">
        <f t="shared" si="6"/>
        <v>0.93731322534871842</v>
      </c>
    </row>
    <row r="84" spans="1:8" x14ac:dyDescent="0.25">
      <c r="A84">
        <v>2031</v>
      </c>
      <c r="B84">
        <f t="shared" si="7"/>
        <v>2.0763441835161846E-2</v>
      </c>
      <c r="C84">
        <f t="shared" si="7"/>
        <v>3.726539124127301E-2</v>
      </c>
      <c r="D84">
        <f t="shared" si="7"/>
        <v>2.3664883488983587E-2</v>
      </c>
      <c r="E84">
        <f>B84*Parameters!$B$13+(1-B84)</f>
        <v>0.99138317163840783</v>
      </c>
      <c r="F84">
        <f>(B84*Parameters!$B$13+C84*Parameters!$B$14+Calculation!$B$11)/E84</f>
        <v>3.8816202539517917E-2</v>
      </c>
      <c r="G84">
        <f t="shared" si="5"/>
        <v>2.3870572111763664E-2</v>
      </c>
      <c r="H84">
        <f t="shared" si="6"/>
        <v>0.93731322534871842</v>
      </c>
    </row>
    <row r="85" spans="1:8" x14ac:dyDescent="0.25">
      <c r="A85">
        <v>2032</v>
      </c>
      <c r="B85">
        <f t="shared" si="7"/>
        <v>2.0763441835161846E-2</v>
      </c>
      <c r="C85">
        <f t="shared" si="7"/>
        <v>3.726539124127301E-2</v>
      </c>
      <c r="D85">
        <f t="shared" si="7"/>
        <v>2.3664883488983587E-2</v>
      </c>
      <c r="E85">
        <f>B85*Parameters!$B$13+(1-B85)</f>
        <v>0.99138317163840783</v>
      </c>
      <c r="F85">
        <f>(B85*Parameters!$B$13+C85*Parameters!$B$14+Calculation!$B$11)/E85</f>
        <v>3.8816202539517917E-2</v>
      </c>
      <c r="G85">
        <f t="shared" si="5"/>
        <v>2.3870572111763664E-2</v>
      </c>
      <c r="H85">
        <f t="shared" si="6"/>
        <v>0.93731322534871842</v>
      </c>
    </row>
    <row r="86" spans="1:8" x14ac:dyDescent="0.25">
      <c r="A86">
        <v>2033</v>
      </c>
      <c r="B86">
        <f t="shared" si="7"/>
        <v>2.0763441835161846E-2</v>
      </c>
      <c r="C86">
        <f t="shared" si="7"/>
        <v>3.726539124127301E-2</v>
      </c>
      <c r="D86">
        <f t="shared" si="7"/>
        <v>2.3664883488983587E-2</v>
      </c>
      <c r="E86">
        <f>B86*Parameters!$B$13+(1-B86)</f>
        <v>0.99138317163840783</v>
      </c>
      <c r="F86">
        <f>(B86*Parameters!$B$13+C86*Parameters!$B$14+Calculation!$B$11)/E86</f>
        <v>3.8816202539517917E-2</v>
      </c>
      <c r="G86">
        <f t="shared" si="5"/>
        <v>2.3870572111763664E-2</v>
      </c>
      <c r="H86">
        <f t="shared" si="6"/>
        <v>0.93731322534871842</v>
      </c>
    </row>
    <row r="87" spans="1:8" x14ac:dyDescent="0.25">
      <c r="A87">
        <v>2034</v>
      </c>
      <c r="B87">
        <f t="shared" si="7"/>
        <v>2.0763441835161846E-2</v>
      </c>
      <c r="C87">
        <f t="shared" si="7"/>
        <v>3.726539124127301E-2</v>
      </c>
      <c r="D87">
        <f t="shared" si="7"/>
        <v>2.3664883488983587E-2</v>
      </c>
      <c r="E87">
        <f>B87*Parameters!$B$13+(1-B87)</f>
        <v>0.99138317163840783</v>
      </c>
      <c r="F87">
        <f>(B87*Parameters!$B$13+C87*Parameters!$B$14+Calculation!$B$11)/E87</f>
        <v>3.8816202539517917E-2</v>
      </c>
      <c r="G87">
        <f t="shared" si="5"/>
        <v>2.3870572111763664E-2</v>
      </c>
      <c r="H87">
        <f t="shared" si="6"/>
        <v>0.93731322534871842</v>
      </c>
    </row>
    <row r="88" spans="1:8" x14ac:dyDescent="0.25">
      <c r="A88">
        <v>2035</v>
      </c>
      <c r="B88">
        <f t="shared" si="7"/>
        <v>2.0763441835161846E-2</v>
      </c>
      <c r="C88">
        <f t="shared" si="7"/>
        <v>3.726539124127301E-2</v>
      </c>
      <c r="D88">
        <f t="shared" si="7"/>
        <v>2.3664883488983587E-2</v>
      </c>
      <c r="E88">
        <f>B88*Parameters!$B$13+(1-B88)</f>
        <v>0.99138317163840783</v>
      </c>
      <c r="F88">
        <f>(B88*Parameters!$B$13+C88*Parameters!$B$14+Calculation!$B$11)/E88</f>
        <v>3.8816202539517917E-2</v>
      </c>
      <c r="G88">
        <f t="shared" si="5"/>
        <v>2.3870572111763664E-2</v>
      </c>
      <c r="H88">
        <f t="shared" si="6"/>
        <v>0.93731322534871842</v>
      </c>
    </row>
    <row r="89" spans="1:8" x14ac:dyDescent="0.25">
      <c r="A89">
        <v>2036</v>
      </c>
      <c r="B89">
        <f t="shared" si="7"/>
        <v>2.0763441835161846E-2</v>
      </c>
      <c r="C89">
        <f t="shared" si="7"/>
        <v>3.726539124127301E-2</v>
      </c>
      <c r="D89">
        <f t="shared" si="7"/>
        <v>2.3664883488983587E-2</v>
      </c>
      <c r="E89">
        <f>B89*Parameters!$B$13+(1-B89)</f>
        <v>0.99138317163840783</v>
      </c>
      <c r="F89">
        <f>(B89*Parameters!$B$13+C89*Parameters!$B$14+Calculation!$B$11)/E89</f>
        <v>3.8816202539517917E-2</v>
      </c>
      <c r="G89">
        <f t="shared" si="5"/>
        <v>2.3870572111763664E-2</v>
      </c>
      <c r="H89">
        <f t="shared" si="6"/>
        <v>0.93731322534871842</v>
      </c>
    </row>
    <row r="90" spans="1:8" x14ac:dyDescent="0.25">
      <c r="A90">
        <v>2037</v>
      </c>
      <c r="B90">
        <f t="shared" si="7"/>
        <v>2.0763441835161846E-2</v>
      </c>
      <c r="C90">
        <f t="shared" si="7"/>
        <v>3.726539124127301E-2</v>
      </c>
      <c r="D90">
        <f t="shared" si="7"/>
        <v>2.3664883488983587E-2</v>
      </c>
      <c r="E90">
        <f>B90*Parameters!$B$13+(1-B90)</f>
        <v>0.99138317163840783</v>
      </c>
      <c r="F90">
        <f>(B90*Parameters!$B$13+C90*Parameters!$B$14+Calculation!$B$11)/E90</f>
        <v>3.8816202539517917E-2</v>
      </c>
      <c r="G90">
        <f t="shared" si="5"/>
        <v>2.3870572111763664E-2</v>
      </c>
      <c r="H90">
        <f t="shared" si="6"/>
        <v>0.93731322534871842</v>
      </c>
    </row>
    <row r="91" spans="1:8" x14ac:dyDescent="0.25">
      <c r="A91">
        <v>2038</v>
      </c>
      <c r="B91">
        <f t="shared" si="7"/>
        <v>2.0763441835161846E-2</v>
      </c>
      <c r="C91">
        <f t="shared" si="7"/>
        <v>3.726539124127301E-2</v>
      </c>
      <c r="D91">
        <f t="shared" si="7"/>
        <v>2.3664883488983587E-2</v>
      </c>
      <c r="E91">
        <f>B91*Parameters!$B$13+(1-B91)</f>
        <v>0.99138317163840783</v>
      </c>
      <c r="F91">
        <f>(B91*Parameters!$B$13+C91*Parameters!$B$14+Calculation!$B$11)/E91</f>
        <v>3.8816202539517917E-2</v>
      </c>
      <c r="G91">
        <f t="shared" si="5"/>
        <v>2.3870572111763664E-2</v>
      </c>
      <c r="H91">
        <f t="shared" si="6"/>
        <v>0.93731322534871842</v>
      </c>
    </row>
    <row r="92" spans="1:8" x14ac:dyDescent="0.25">
      <c r="A92">
        <v>2039</v>
      </c>
      <c r="B92">
        <f t="shared" si="7"/>
        <v>2.0763441835161846E-2</v>
      </c>
      <c r="C92">
        <f t="shared" si="7"/>
        <v>3.726539124127301E-2</v>
      </c>
      <c r="D92">
        <f t="shared" si="7"/>
        <v>2.3664883488983587E-2</v>
      </c>
      <c r="E92">
        <f>B92*Parameters!$B$13+(1-B92)</f>
        <v>0.99138317163840783</v>
      </c>
      <c r="F92">
        <f>(B92*Parameters!$B$13+C92*Parameters!$B$14+Calculation!$B$11)/E92</f>
        <v>3.8816202539517917E-2</v>
      </c>
      <c r="G92">
        <f t="shared" si="5"/>
        <v>2.3870572111763664E-2</v>
      </c>
      <c r="H92">
        <f t="shared" si="6"/>
        <v>0.93731322534871842</v>
      </c>
    </row>
    <row r="93" spans="1:8" x14ac:dyDescent="0.25">
      <c r="A93">
        <v>2040</v>
      </c>
      <c r="B93">
        <f t="shared" si="7"/>
        <v>2.0763441835161846E-2</v>
      </c>
      <c r="C93">
        <f t="shared" si="7"/>
        <v>3.726539124127301E-2</v>
      </c>
      <c r="D93">
        <f t="shared" si="7"/>
        <v>2.3664883488983587E-2</v>
      </c>
      <c r="E93">
        <f>B93*Parameters!$B$13+(1-B93)</f>
        <v>0.99138317163840783</v>
      </c>
      <c r="F93">
        <f>(B93*Parameters!$B$13+C93*Parameters!$B$14+Calculation!$B$11)/E93</f>
        <v>3.8816202539517917E-2</v>
      </c>
      <c r="G93">
        <f t="shared" si="5"/>
        <v>2.3870572111763664E-2</v>
      </c>
      <c r="H93">
        <f t="shared" si="6"/>
        <v>0.93731322534871842</v>
      </c>
    </row>
    <row r="94" spans="1:8" x14ac:dyDescent="0.25">
      <c r="A94">
        <v>2041</v>
      </c>
      <c r="B94">
        <f t="shared" si="7"/>
        <v>2.0763441835161846E-2</v>
      </c>
      <c r="C94">
        <f t="shared" si="7"/>
        <v>3.726539124127301E-2</v>
      </c>
      <c r="D94">
        <f t="shared" si="7"/>
        <v>2.3664883488983587E-2</v>
      </c>
      <c r="E94">
        <f>B94*Parameters!$B$13+(1-B94)</f>
        <v>0.99138317163840783</v>
      </c>
      <c r="F94">
        <f>(B94*Parameters!$B$13+C94*Parameters!$B$14+Calculation!$B$11)/E94</f>
        <v>3.8816202539517917E-2</v>
      </c>
      <c r="G94">
        <f t="shared" si="5"/>
        <v>2.3870572111763664E-2</v>
      </c>
      <c r="H94">
        <f t="shared" si="6"/>
        <v>0.93731322534871842</v>
      </c>
    </row>
    <row r="95" spans="1:8" x14ac:dyDescent="0.25">
      <c r="A95">
        <v>2042</v>
      </c>
      <c r="B95">
        <f t="shared" si="7"/>
        <v>2.0763441835161846E-2</v>
      </c>
      <c r="C95">
        <f t="shared" si="7"/>
        <v>3.726539124127301E-2</v>
      </c>
      <c r="D95">
        <f t="shared" si="7"/>
        <v>2.3664883488983587E-2</v>
      </c>
      <c r="E95">
        <f>B95*Parameters!$B$13+(1-B95)</f>
        <v>0.99138317163840783</v>
      </c>
      <c r="F95">
        <f>(B95*Parameters!$B$13+C95*Parameters!$B$14+Calculation!$B$11)/E95</f>
        <v>3.8816202539517917E-2</v>
      </c>
      <c r="G95">
        <f t="shared" si="5"/>
        <v>2.3870572111763664E-2</v>
      </c>
      <c r="H95">
        <f t="shared" si="6"/>
        <v>0.93731322534871842</v>
      </c>
    </row>
    <row r="96" spans="1:8" x14ac:dyDescent="0.25">
      <c r="A96">
        <v>2043</v>
      </c>
      <c r="B96">
        <f t="shared" si="7"/>
        <v>2.0763441835161846E-2</v>
      </c>
      <c r="C96">
        <f t="shared" si="7"/>
        <v>3.726539124127301E-2</v>
      </c>
      <c r="D96">
        <f t="shared" si="7"/>
        <v>2.3664883488983587E-2</v>
      </c>
      <c r="E96">
        <f>B96*Parameters!$B$13+(1-B96)</f>
        <v>0.99138317163840783</v>
      </c>
      <c r="F96">
        <f>(B96*Parameters!$B$13+C96*Parameters!$B$14+Calculation!$B$11)/E96</f>
        <v>3.8816202539517917E-2</v>
      </c>
      <c r="G96">
        <f t="shared" si="5"/>
        <v>2.3870572111763664E-2</v>
      </c>
      <c r="H96">
        <f t="shared" si="6"/>
        <v>0.93731322534871842</v>
      </c>
    </row>
    <row r="97" spans="1:8" x14ac:dyDescent="0.25">
      <c r="A97">
        <v>2044</v>
      </c>
      <c r="B97">
        <f t="shared" si="7"/>
        <v>2.0763441835161846E-2</v>
      </c>
      <c r="C97">
        <f t="shared" si="7"/>
        <v>3.726539124127301E-2</v>
      </c>
      <c r="D97">
        <f t="shared" si="7"/>
        <v>2.3664883488983587E-2</v>
      </c>
      <c r="E97">
        <f>B97*Parameters!$B$13+(1-B97)</f>
        <v>0.99138317163840783</v>
      </c>
      <c r="F97">
        <f>(B97*Parameters!$B$13+C97*Parameters!$B$14+Calculation!$B$11)/E97</f>
        <v>3.8816202539517917E-2</v>
      </c>
      <c r="G97">
        <f t="shared" si="5"/>
        <v>2.3870572111763664E-2</v>
      </c>
      <c r="H97">
        <f t="shared" si="6"/>
        <v>0.93731322534871842</v>
      </c>
    </row>
    <row r="98" spans="1:8" x14ac:dyDescent="0.25">
      <c r="A98">
        <v>2045</v>
      </c>
      <c r="B98">
        <f t="shared" si="7"/>
        <v>2.0763441835161846E-2</v>
      </c>
      <c r="C98">
        <f t="shared" si="7"/>
        <v>3.726539124127301E-2</v>
      </c>
      <c r="D98">
        <f t="shared" si="7"/>
        <v>2.3664883488983587E-2</v>
      </c>
      <c r="E98">
        <f>B98*Parameters!$B$13+(1-B98)</f>
        <v>0.99138317163840783</v>
      </c>
      <c r="F98">
        <f>(B98*Parameters!$B$13+C98*Parameters!$B$14+Calculation!$B$11)/E98</f>
        <v>3.8816202539517917E-2</v>
      </c>
      <c r="G98">
        <f t="shared" si="5"/>
        <v>2.3870572111763664E-2</v>
      </c>
      <c r="H98">
        <f t="shared" si="6"/>
        <v>0.93731322534871842</v>
      </c>
    </row>
    <row r="99" spans="1:8" x14ac:dyDescent="0.25">
      <c r="A99">
        <v>2046</v>
      </c>
      <c r="B99">
        <f t="shared" si="7"/>
        <v>2.0763441835161846E-2</v>
      </c>
      <c r="C99">
        <f t="shared" si="7"/>
        <v>3.726539124127301E-2</v>
      </c>
      <c r="D99">
        <f t="shared" si="7"/>
        <v>2.3664883488983587E-2</v>
      </c>
      <c r="E99">
        <f>B99*Parameters!$B$13+(1-B99)</f>
        <v>0.99138317163840783</v>
      </c>
      <c r="F99">
        <f>(B99*Parameters!$B$13+C99*Parameters!$B$14+Calculation!$B$11)/E99</f>
        <v>3.8816202539517917E-2</v>
      </c>
      <c r="G99">
        <f t="shared" si="5"/>
        <v>2.3870572111763664E-2</v>
      </c>
      <c r="H99">
        <f t="shared" ref="H99:H130" si="8">1-F99-G99</f>
        <v>0.93731322534871842</v>
      </c>
    </row>
    <row r="100" spans="1:8" x14ac:dyDescent="0.25">
      <c r="A100">
        <v>2047</v>
      </c>
      <c r="B100">
        <f t="shared" si="7"/>
        <v>2.0763441835161846E-2</v>
      </c>
      <c r="C100">
        <f t="shared" si="7"/>
        <v>3.726539124127301E-2</v>
      </c>
      <c r="D100">
        <f t="shared" si="7"/>
        <v>2.3664883488983587E-2</v>
      </c>
      <c r="E100">
        <f>B100*Parameters!$B$13+(1-B100)</f>
        <v>0.99138317163840783</v>
      </c>
      <c r="F100">
        <f>(B100*Parameters!$B$13+C100*Parameters!$B$14+Calculation!$B$11)/E100</f>
        <v>3.8816202539517917E-2</v>
      </c>
      <c r="G100">
        <f t="shared" si="5"/>
        <v>2.3870572111763664E-2</v>
      </c>
      <c r="H100">
        <f t="shared" si="8"/>
        <v>0.93731322534871842</v>
      </c>
    </row>
    <row r="101" spans="1:8" x14ac:dyDescent="0.25">
      <c r="A101">
        <v>2048</v>
      </c>
      <c r="B101">
        <f t="shared" si="7"/>
        <v>2.0763441835161846E-2</v>
      </c>
      <c r="C101">
        <f t="shared" si="7"/>
        <v>3.726539124127301E-2</v>
      </c>
      <c r="D101">
        <f t="shared" si="7"/>
        <v>2.3664883488983587E-2</v>
      </c>
      <c r="E101">
        <f>B101*Parameters!$B$13+(1-B101)</f>
        <v>0.99138317163840783</v>
      </c>
      <c r="F101">
        <f>(B101*Parameters!$B$13+C101*Parameters!$B$14+Calculation!$B$11)/E101</f>
        <v>3.8816202539517917E-2</v>
      </c>
      <c r="G101">
        <f t="shared" si="5"/>
        <v>2.3870572111763664E-2</v>
      </c>
      <c r="H101">
        <f t="shared" si="8"/>
        <v>0.93731322534871842</v>
      </c>
    </row>
    <row r="102" spans="1:8" x14ac:dyDescent="0.25">
      <c r="A102">
        <v>2049</v>
      </c>
      <c r="B102">
        <f t="shared" si="7"/>
        <v>2.0763441835161846E-2</v>
      </c>
      <c r="C102">
        <f t="shared" si="7"/>
        <v>3.726539124127301E-2</v>
      </c>
      <c r="D102">
        <f t="shared" si="7"/>
        <v>2.3664883488983587E-2</v>
      </c>
      <c r="E102">
        <f>B102*Parameters!$B$13+(1-B102)</f>
        <v>0.99138317163840783</v>
      </c>
      <c r="F102">
        <f>(B102*Parameters!$B$13+C102*Parameters!$B$14+Calculation!$B$11)/E102</f>
        <v>3.8816202539517917E-2</v>
      </c>
      <c r="G102">
        <f t="shared" si="5"/>
        <v>2.3870572111763664E-2</v>
      </c>
      <c r="H102">
        <f t="shared" si="8"/>
        <v>0.93731322534871842</v>
      </c>
    </row>
    <row r="103" spans="1:8" x14ac:dyDescent="0.25">
      <c r="A103">
        <v>2050</v>
      </c>
      <c r="B103">
        <f t="shared" si="7"/>
        <v>2.0763441835161846E-2</v>
      </c>
      <c r="C103">
        <f t="shared" si="7"/>
        <v>3.726539124127301E-2</v>
      </c>
      <c r="D103">
        <f t="shared" si="7"/>
        <v>2.3664883488983587E-2</v>
      </c>
      <c r="E103">
        <f>B103*Parameters!$B$13+(1-B103)</f>
        <v>0.99138317163840783</v>
      </c>
      <c r="F103">
        <f>(B103*Parameters!$B$13+C103*Parameters!$B$14+Calculation!$B$11)/E103</f>
        <v>3.8816202539517917E-2</v>
      </c>
      <c r="G103">
        <f t="shared" si="5"/>
        <v>2.3870572111763664E-2</v>
      </c>
      <c r="H103">
        <f t="shared" si="8"/>
        <v>0.93731322534871842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
  <sheetViews>
    <sheetView workbookViewId="0"/>
  </sheetViews>
  <sheetFormatPr defaultRowHeight="15" x14ac:dyDescent="0.25"/>
  <cols>
    <col min="1" max="1" width="90" customWidth="1"/>
  </cols>
  <sheetData>
    <row r="1" spans="1:2" x14ac:dyDescent="0.25">
      <c r="A1" t="s">
        <v>216</v>
      </c>
      <c r="B1">
        <f>IF(ABS(Calculation!B2/510000-1)&gt;0.01,1,0)</f>
        <v>0</v>
      </c>
    </row>
    <row r="2" spans="1:2" x14ac:dyDescent="0.25">
      <c r="A2" t="s">
        <v>217</v>
      </c>
      <c r="B2">
        <f>IF(OR(MIN('Use Split'!F3:F103)&lt;0,MAX('Use Split'!F3:F103)&gt;0.3),1,0)</f>
        <v>0</v>
      </c>
    </row>
    <row r="3" spans="1:2" x14ac:dyDescent="0.25">
      <c r="A3" t="s">
        <v>218</v>
      </c>
      <c r="B3">
        <f>IF(OR(MIN('Use Split'!H3:H103)&lt;0.5,MAX('Use Split'!H3:H103)&gt;1),1,0)</f>
        <v>0</v>
      </c>
    </row>
    <row r="4" spans="1:2" x14ac:dyDescent="0.25">
      <c r="A4" t="s">
        <v>219</v>
      </c>
      <c r="B4">
        <f>IF(OR(Parameters!B5+Calculation!B4&gt;1,Parameters!B9+Parameters!B12&gt;1),1,0)</f>
        <v>0</v>
      </c>
    </row>
    <row r="5" spans="1:2" x14ac:dyDescent="0.25">
      <c r="A5" t="s">
        <v>220</v>
      </c>
      <c r="B5">
        <f>IF(ABS(SUM('USGS MYB 2023 T14'!C34,'USGS MYB 2023 T14'!E34,'USGS MYB 2023 T14'!G34,'USGS MYB 2023 T14'!I34,'USGS MYB 2023 T14'!K34,'USGS MYB 2023 T14'!M34)/'USGS MYB 2023 T14'!O34-1)&gt;0.02,1,0)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3864"/>
  </sheetPr>
  <dimension ref="A1:B6"/>
  <sheetViews>
    <sheetView workbookViewId="0"/>
  </sheetViews>
  <sheetFormatPr defaultRowHeight="15" x14ac:dyDescent="0.25"/>
  <sheetData>
    <row r="1" spans="1:2" x14ac:dyDescent="0.25">
      <c r="A1" t="s">
        <v>221</v>
      </c>
      <c r="B1" t="s">
        <v>222</v>
      </c>
    </row>
    <row r="2" spans="1:2" x14ac:dyDescent="0.25">
      <c r="A2" t="s">
        <v>223</v>
      </c>
      <c r="B2">
        <f>Calculation!$B$2</f>
        <v>510101.64051355212</v>
      </c>
    </row>
    <row r="3" spans="1:2" x14ac:dyDescent="0.25">
      <c r="A3" t="s">
        <v>224</v>
      </c>
      <c r="B3">
        <f>Calculation!$B$2</f>
        <v>510101.64051355212</v>
      </c>
    </row>
    <row r="4" spans="1:2" x14ac:dyDescent="0.25">
      <c r="A4" t="s">
        <v>225</v>
      </c>
      <c r="B4">
        <f>Calculation!$B$2</f>
        <v>510101.64051355212</v>
      </c>
    </row>
    <row r="5" spans="1:2" x14ac:dyDescent="0.25">
      <c r="A5" t="s">
        <v>226</v>
      </c>
      <c r="B5">
        <f>Calculation!$B$2</f>
        <v>510101.64051355212</v>
      </c>
    </row>
    <row r="6" spans="1:2" x14ac:dyDescent="0.25">
      <c r="A6" t="s">
        <v>227</v>
      </c>
      <c r="B6">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CX3"/>
  <sheetViews>
    <sheetView workbookViewId="0"/>
  </sheetViews>
  <sheetFormatPr defaultRowHeight="15" x14ac:dyDescent="0.25"/>
  <sheetData>
    <row r="1" spans="1:102" x14ac:dyDescent="0.25">
      <c r="A1" t="s">
        <v>228</v>
      </c>
      <c r="B1">
        <v>1950</v>
      </c>
      <c r="C1">
        <v>1951</v>
      </c>
      <c r="D1">
        <v>1952</v>
      </c>
      <c r="E1">
        <v>1953</v>
      </c>
      <c r="F1">
        <v>1954</v>
      </c>
      <c r="G1">
        <v>1955</v>
      </c>
      <c r="H1">
        <v>1956</v>
      </c>
      <c r="I1">
        <v>1957</v>
      </c>
      <c r="J1">
        <v>1958</v>
      </c>
      <c r="K1">
        <v>1959</v>
      </c>
      <c r="L1">
        <v>1960</v>
      </c>
      <c r="M1">
        <v>1961</v>
      </c>
      <c r="N1">
        <v>1962</v>
      </c>
      <c r="O1">
        <v>1963</v>
      </c>
      <c r="P1">
        <v>1964</v>
      </c>
      <c r="Q1">
        <v>1965</v>
      </c>
      <c r="R1">
        <v>1966</v>
      </c>
      <c r="S1">
        <v>1967</v>
      </c>
      <c r="T1">
        <v>1968</v>
      </c>
      <c r="U1">
        <v>1969</v>
      </c>
      <c r="V1">
        <v>1970</v>
      </c>
      <c r="W1">
        <v>1971</v>
      </c>
      <c r="X1">
        <v>1972</v>
      </c>
      <c r="Y1">
        <v>1973</v>
      </c>
      <c r="Z1">
        <v>1974</v>
      </c>
      <c r="AA1">
        <v>1975</v>
      </c>
      <c r="AB1">
        <v>1976</v>
      </c>
      <c r="AC1">
        <v>1977</v>
      </c>
      <c r="AD1">
        <v>1978</v>
      </c>
      <c r="AE1">
        <v>1979</v>
      </c>
      <c r="AF1">
        <v>1980</v>
      </c>
      <c r="AG1">
        <v>1981</v>
      </c>
      <c r="AH1">
        <v>1982</v>
      </c>
      <c r="AI1">
        <v>1983</v>
      </c>
      <c r="AJ1">
        <v>1984</v>
      </c>
      <c r="AK1">
        <v>1985</v>
      </c>
      <c r="AL1">
        <v>1986</v>
      </c>
      <c r="AM1">
        <v>1987</v>
      </c>
      <c r="AN1">
        <v>1988</v>
      </c>
      <c r="AO1">
        <v>1989</v>
      </c>
      <c r="AP1">
        <v>1990</v>
      </c>
      <c r="AQ1">
        <v>1991</v>
      </c>
      <c r="AR1">
        <v>1992</v>
      </c>
      <c r="AS1">
        <v>1993</v>
      </c>
      <c r="AT1">
        <v>1994</v>
      </c>
      <c r="AU1">
        <v>1995</v>
      </c>
      <c r="AV1">
        <v>1996</v>
      </c>
      <c r="AW1">
        <v>1997</v>
      </c>
      <c r="AX1">
        <v>1998</v>
      </c>
      <c r="AY1">
        <v>1999</v>
      </c>
      <c r="AZ1">
        <v>2000</v>
      </c>
      <c r="BA1">
        <v>2001</v>
      </c>
      <c r="BB1">
        <v>2002</v>
      </c>
      <c r="BC1">
        <v>2003</v>
      </c>
      <c r="BD1">
        <v>2004</v>
      </c>
      <c r="BE1">
        <v>2005</v>
      </c>
      <c r="BF1">
        <v>2006</v>
      </c>
      <c r="BG1">
        <v>2007</v>
      </c>
      <c r="BH1">
        <v>2008</v>
      </c>
      <c r="BI1">
        <v>2009</v>
      </c>
      <c r="BJ1">
        <v>2010</v>
      </c>
      <c r="BK1">
        <v>2011</v>
      </c>
      <c r="BL1">
        <v>2012</v>
      </c>
      <c r="BM1">
        <v>2013</v>
      </c>
      <c r="BN1">
        <v>2014</v>
      </c>
      <c r="BO1">
        <v>2015</v>
      </c>
      <c r="BP1">
        <v>2016</v>
      </c>
      <c r="BQ1">
        <v>2017</v>
      </c>
      <c r="BR1">
        <v>2018</v>
      </c>
      <c r="BS1">
        <v>2019</v>
      </c>
      <c r="BT1">
        <v>2020</v>
      </c>
      <c r="BU1">
        <v>2021</v>
      </c>
      <c r="BV1">
        <v>2022</v>
      </c>
      <c r="BW1">
        <v>2023</v>
      </c>
      <c r="BX1">
        <v>2024</v>
      </c>
      <c r="BY1">
        <v>2025</v>
      </c>
      <c r="BZ1">
        <v>2026</v>
      </c>
      <c r="CA1">
        <v>2027</v>
      </c>
      <c r="CB1">
        <v>2028</v>
      </c>
      <c r="CC1">
        <v>2029</v>
      </c>
      <c r="CD1">
        <v>2030</v>
      </c>
      <c r="CE1">
        <v>2031</v>
      </c>
      <c r="CF1">
        <v>2032</v>
      </c>
      <c r="CG1">
        <v>2033</v>
      </c>
      <c r="CH1">
        <v>2034</v>
      </c>
      <c r="CI1">
        <v>2035</v>
      </c>
      <c r="CJ1">
        <v>2036</v>
      </c>
      <c r="CK1">
        <v>2037</v>
      </c>
      <c r="CL1">
        <v>2038</v>
      </c>
      <c r="CM1">
        <v>2039</v>
      </c>
      <c r="CN1">
        <v>2040</v>
      </c>
      <c r="CO1">
        <v>2041</v>
      </c>
      <c r="CP1">
        <v>2042</v>
      </c>
      <c r="CQ1">
        <v>2043</v>
      </c>
      <c r="CR1">
        <v>2044</v>
      </c>
      <c r="CS1">
        <v>2045</v>
      </c>
      <c r="CT1">
        <v>2046</v>
      </c>
      <c r="CU1">
        <v>2047</v>
      </c>
      <c r="CV1">
        <v>2048</v>
      </c>
      <c r="CW1">
        <v>2049</v>
      </c>
      <c r="CX1">
        <v>2050</v>
      </c>
    </row>
    <row r="2" spans="1:102" x14ac:dyDescent="0.25">
      <c r="A2" t="s">
        <v>147</v>
      </c>
      <c r="B2">
        <f>'Use Split'!H3</f>
        <v>0.91139845182474943</v>
      </c>
      <c r="C2">
        <f>'Use Split'!H4</f>
        <v>0.91139845182474943</v>
      </c>
      <c r="D2">
        <f>'Use Split'!H5</f>
        <v>0.91139845182474943</v>
      </c>
      <c r="E2">
        <f>'Use Split'!H6</f>
        <v>0.91139845182474943</v>
      </c>
      <c r="F2">
        <f>'Use Split'!H7</f>
        <v>0.91139845182474943</v>
      </c>
      <c r="G2">
        <f>'Use Split'!H8</f>
        <v>0.91139845182474943</v>
      </c>
      <c r="H2">
        <f>'Use Split'!H9</f>
        <v>0.91139845182474943</v>
      </c>
      <c r="I2">
        <f>'Use Split'!H10</f>
        <v>0.91139845182474943</v>
      </c>
      <c r="J2">
        <f>'Use Split'!H11</f>
        <v>0.91139845182474943</v>
      </c>
      <c r="K2">
        <f>'Use Split'!H12</f>
        <v>0.91139845182474943</v>
      </c>
      <c r="L2">
        <f>'Use Split'!H13</f>
        <v>0.91139845182474943</v>
      </c>
      <c r="M2">
        <f>'Use Split'!H14</f>
        <v>0.91139845182474943</v>
      </c>
      <c r="N2">
        <f>'Use Split'!H15</f>
        <v>0.91139845182474943</v>
      </c>
      <c r="O2">
        <f>'Use Split'!H16</f>
        <v>0.91139845182474943</v>
      </c>
      <c r="P2">
        <f>'Use Split'!H17</f>
        <v>0.91139845182474943</v>
      </c>
      <c r="Q2">
        <f>'Use Split'!H18</f>
        <v>0.91139845182474943</v>
      </c>
      <c r="R2">
        <f>'Use Split'!H19</f>
        <v>0.91139845182474943</v>
      </c>
      <c r="S2">
        <f>'Use Split'!H20</f>
        <v>0.91139845182474943</v>
      </c>
      <c r="T2">
        <f>'Use Split'!H21</f>
        <v>0.91139845182474943</v>
      </c>
      <c r="U2">
        <f>'Use Split'!H22</f>
        <v>0.91139845182474943</v>
      </c>
      <c r="V2">
        <f>'Use Split'!H23</f>
        <v>0.91139845182474943</v>
      </c>
      <c r="W2">
        <f>'Use Split'!H24</f>
        <v>0.91139845182474943</v>
      </c>
      <c r="X2">
        <f>'Use Split'!H25</f>
        <v>0.91139845182474943</v>
      </c>
      <c r="Y2">
        <f>'Use Split'!H26</f>
        <v>0.91139845182474943</v>
      </c>
      <c r="Z2">
        <f>'Use Split'!H27</f>
        <v>0.91139845182474943</v>
      </c>
      <c r="AA2">
        <f>'Use Split'!H28</f>
        <v>0.91139845182474943</v>
      </c>
      <c r="AB2">
        <f>'Use Split'!H29</f>
        <v>0.91426685229678739</v>
      </c>
      <c r="AC2">
        <f>'Use Split'!H30</f>
        <v>0.91091286758942314</v>
      </c>
      <c r="AD2">
        <f>'Use Split'!H31</f>
        <v>0.91020727086957798</v>
      </c>
      <c r="AE2">
        <f>'Use Split'!H32</f>
        <v>0.90836171019389489</v>
      </c>
      <c r="AF2">
        <f>'Use Split'!H33</f>
        <v>0.91862202663545367</v>
      </c>
      <c r="AG2">
        <f>'Use Split'!H34</f>
        <v>0.91925558680615804</v>
      </c>
      <c r="AH2">
        <f>'Use Split'!H35</f>
        <v>0.91975209953292969</v>
      </c>
      <c r="AI2">
        <f>'Use Split'!H36</f>
        <v>0.91981536966019939</v>
      </c>
      <c r="AJ2">
        <f>'Use Split'!H37</f>
        <v>0.92214525194261165</v>
      </c>
      <c r="AK2">
        <f>'Use Split'!H38</f>
        <v>0.92594869852174133</v>
      </c>
      <c r="AL2">
        <f>'Use Split'!H39</f>
        <v>0.92519154176151353</v>
      </c>
      <c r="AM2">
        <f>'Use Split'!H40</f>
        <v>0.92796019452384415</v>
      </c>
      <c r="AN2">
        <f>'Use Split'!H41</f>
        <v>0.92415681681604145</v>
      </c>
      <c r="AO2">
        <f>'Use Split'!H42</f>
        <v>0.92470797554659034</v>
      </c>
      <c r="AP2">
        <f>'Use Split'!H43</f>
        <v>0.91585570208272926</v>
      </c>
      <c r="AQ2">
        <f>'Use Split'!H44</f>
        <v>0.8983374263191819</v>
      </c>
      <c r="AR2">
        <f>'Use Split'!H45</f>
        <v>0.90366148935265289</v>
      </c>
      <c r="AS2">
        <f>'Use Split'!H46</f>
        <v>0.92627025234705118</v>
      </c>
      <c r="AT2">
        <f>'Use Split'!H47</f>
        <v>0.93425110354644025</v>
      </c>
      <c r="AU2">
        <f>'Use Split'!H48</f>
        <v>0.93744984527559772</v>
      </c>
      <c r="AV2">
        <f>'Use Split'!H49</f>
        <v>0.93794552867609793</v>
      </c>
      <c r="AW2">
        <f>'Use Split'!H50</f>
        <v>0.92838254255886754</v>
      </c>
      <c r="AX2">
        <f>'Use Split'!H51</f>
        <v>0.94161120096186446</v>
      </c>
      <c r="AY2">
        <f>'Use Split'!H52</f>
        <v>0.93681486487022558</v>
      </c>
      <c r="AZ2">
        <f>'Use Split'!H53</f>
        <v>0.93800908046329223</v>
      </c>
      <c r="BA2">
        <f>'Use Split'!H54</f>
        <v>0.93450818573588978</v>
      </c>
      <c r="BB2">
        <f>'Use Split'!H55</f>
        <v>0.94225835123352708</v>
      </c>
      <c r="BC2">
        <f>'Use Split'!H56</f>
        <v>0.93733290934584479</v>
      </c>
      <c r="BD2">
        <f>'Use Split'!H57</f>
        <v>0.93733191668360927</v>
      </c>
      <c r="BE2">
        <f>'Use Split'!H58</f>
        <v>0.93733092491940317</v>
      </c>
      <c r="BF2">
        <f>'Use Split'!H59</f>
        <v>0.9373299340520086</v>
      </c>
      <c r="BG2">
        <f>'Use Split'!H60</f>
        <v>0.93732894408020939</v>
      </c>
      <c r="BH2">
        <f>'Use Split'!H61</f>
        <v>0.9373279550027922</v>
      </c>
      <c r="BI2">
        <f>'Use Split'!H62</f>
        <v>0.93732696681854522</v>
      </c>
      <c r="BJ2">
        <f>'Use Split'!H63</f>
        <v>0.93732597952625929</v>
      </c>
      <c r="BK2">
        <f>'Use Split'!H64</f>
        <v>0.93732499312472739</v>
      </c>
      <c r="BL2">
        <f>'Use Split'!H65</f>
        <v>0.93732400761274448</v>
      </c>
      <c r="BM2">
        <f>'Use Split'!H66</f>
        <v>0.93732302298910775</v>
      </c>
      <c r="BN2">
        <f>'Use Split'!H67</f>
        <v>0.9373220392526167</v>
      </c>
      <c r="BO2">
        <f>'Use Split'!H68</f>
        <v>0.93732105640207286</v>
      </c>
      <c r="BP2">
        <f>'Use Split'!H69</f>
        <v>0.93732007443627996</v>
      </c>
      <c r="BQ2">
        <f>'Use Split'!H70</f>
        <v>0.93731909335404373</v>
      </c>
      <c r="BR2">
        <f>'Use Split'!H71</f>
        <v>0.93731811315417246</v>
      </c>
      <c r="BS2">
        <f>'Use Split'!H72</f>
        <v>0.9373171338354761</v>
      </c>
      <c r="BT2">
        <f>'Use Split'!H73</f>
        <v>0.93731615539676705</v>
      </c>
      <c r="BU2">
        <f>'Use Split'!H74</f>
        <v>0.93731517783685958</v>
      </c>
      <c r="BV2">
        <f>'Use Split'!H75</f>
        <v>0.93731420115457054</v>
      </c>
      <c r="BW2">
        <f>'Use Split'!H76</f>
        <v>0.93731322534871842</v>
      </c>
      <c r="BX2">
        <f>'Use Split'!H77</f>
        <v>0.93731322534871842</v>
      </c>
      <c r="BY2">
        <f>'Use Split'!H78</f>
        <v>0.93731322534871842</v>
      </c>
      <c r="BZ2">
        <f>'Use Split'!H79</f>
        <v>0.93731322534871842</v>
      </c>
      <c r="CA2">
        <f>'Use Split'!H80</f>
        <v>0.93731322534871842</v>
      </c>
      <c r="CB2">
        <f>'Use Split'!H81</f>
        <v>0.93731322534871842</v>
      </c>
      <c r="CC2">
        <f>'Use Split'!H82</f>
        <v>0.93731322534871842</v>
      </c>
      <c r="CD2">
        <f>'Use Split'!H83</f>
        <v>0.93731322534871842</v>
      </c>
      <c r="CE2">
        <f>'Use Split'!H84</f>
        <v>0.93731322534871842</v>
      </c>
      <c r="CF2">
        <f>'Use Split'!H85</f>
        <v>0.93731322534871842</v>
      </c>
      <c r="CG2">
        <f>'Use Split'!H86</f>
        <v>0.93731322534871842</v>
      </c>
      <c r="CH2">
        <f>'Use Split'!H87</f>
        <v>0.93731322534871842</v>
      </c>
      <c r="CI2">
        <f>'Use Split'!H88</f>
        <v>0.93731322534871842</v>
      </c>
      <c r="CJ2">
        <f>'Use Split'!H89</f>
        <v>0.93731322534871842</v>
      </c>
      <c r="CK2">
        <f>'Use Split'!H90</f>
        <v>0.93731322534871842</v>
      </c>
      <c r="CL2">
        <f>'Use Split'!H91</f>
        <v>0.93731322534871842</v>
      </c>
      <c r="CM2">
        <f>'Use Split'!H92</f>
        <v>0.93731322534871842</v>
      </c>
      <c r="CN2">
        <f>'Use Split'!H93</f>
        <v>0.93731322534871842</v>
      </c>
      <c r="CO2">
        <f>'Use Split'!H94</f>
        <v>0.93731322534871842</v>
      </c>
      <c r="CP2">
        <f>'Use Split'!H95</f>
        <v>0.93731322534871842</v>
      </c>
      <c r="CQ2">
        <f>'Use Split'!H96</f>
        <v>0.93731322534871842</v>
      </c>
      <c r="CR2">
        <f>'Use Split'!H97</f>
        <v>0.93731322534871842</v>
      </c>
      <c r="CS2">
        <f>'Use Split'!H98</f>
        <v>0.93731322534871842</v>
      </c>
      <c r="CT2">
        <f>'Use Split'!H99</f>
        <v>0.93731322534871842</v>
      </c>
      <c r="CU2">
        <f>'Use Split'!H100</f>
        <v>0.93731322534871842</v>
      </c>
      <c r="CV2">
        <f>'Use Split'!H101</f>
        <v>0.93731322534871842</v>
      </c>
      <c r="CW2">
        <f>'Use Split'!H102</f>
        <v>0.93731322534871842</v>
      </c>
      <c r="CX2">
        <f>'Use Split'!H103</f>
        <v>0.93731322534871842</v>
      </c>
    </row>
    <row r="3" spans="1:102" x14ac:dyDescent="0.25">
      <c r="A3" t="s">
        <v>229</v>
      </c>
      <c r="B3">
        <f>'Use Split'!F3</f>
        <v>6.8226190586925209E-2</v>
      </c>
      <c r="C3">
        <f>'Use Split'!F4</f>
        <v>6.8226190586925209E-2</v>
      </c>
      <c r="D3">
        <f>'Use Split'!F5</f>
        <v>6.8226190586925209E-2</v>
      </c>
      <c r="E3">
        <f>'Use Split'!F6</f>
        <v>6.8226190586925209E-2</v>
      </c>
      <c r="F3">
        <f>'Use Split'!F7</f>
        <v>6.8226190586925209E-2</v>
      </c>
      <c r="G3">
        <f>'Use Split'!F8</f>
        <v>6.8226190586925209E-2</v>
      </c>
      <c r="H3">
        <f>'Use Split'!F9</f>
        <v>6.8226190586925209E-2</v>
      </c>
      <c r="I3">
        <f>'Use Split'!F10</f>
        <v>6.8226190586925209E-2</v>
      </c>
      <c r="J3">
        <f>'Use Split'!F11</f>
        <v>6.8226190586925209E-2</v>
      </c>
      <c r="K3">
        <f>'Use Split'!F12</f>
        <v>6.8226190586925209E-2</v>
      </c>
      <c r="L3">
        <f>'Use Split'!F13</f>
        <v>6.8226190586925209E-2</v>
      </c>
      <c r="M3">
        <f>'Use Split'!F14</f>
        <v>6.8226190586925209E-2</v>
      </c>
      <c r="N3">
        <f>'Use Split'!F15</f>
        <v>6.8226190586925209E-2</v>
      </c>
      <c r="O3">
        <f>'Use Split'!F16</f>
        <v>6.8226190586925209E-2</v>
      </c>
      <c r="P3">
        <f>'Use Split'!F17</f>
        <v>6.8226190586925209E-2</v>
      </c>
      <c r="Q3">
        <f>'Use Split'!F18</f>
        <v>6.8226190586925209E-2</v>
      </c>
      <c r="R3">
        <f>'Use Split'!F19</f>
        <v>6.8226190586925209E-2</v>
      </c>
      <c r="S3">
        <f>'Use Split'!F20</f>
        <v>6.8226190586925209E-2</v>
      </c>
      <c r="T3">
        <f>'Use Split'!F21</f>
        <v>6.8226190586925209E-2</v>
      </c>
      <c r="U3">
        <f>'Use Split'!F22</f>
        <v>6.8226190586925209E-2</v>
      </c>
      <c r="V3">
        <f>'Use Split'!F23</f>
        <v>6.8226190586925209E-2</v>
      </c>
      <c r="W3">
        <f>'Use Split'!F24</f>
        <v>6.8226190586925209E-2</v>
      </c>
      <c r="X3">
        <f>'Use Split'!F25</f>
        <v>6.8226190586925209E-2</v>
      </c>
      <c r="Y3">
        <f>'Use Split'!F26</f>
        <v>6.8226190586925209E-2</v>
      </c>
      <c r="Z3">
        <f>'Use Split'!F27</f>
        <v>6.8226190586925209E-2</v>
      </c>
      <c r="AA3">
        <f>'Use Split'!F28</f>
        <v>6.8226190586925209E-2</v>
      </c>
      <c r="AB3">
        <f>'Use Split'!F29</f>
        <v>6.8171118018403434E-2</v>
      </c>
      <c r="AC3">
        <f>'Use Split'!F30</f>
        <v>6.947146619841621E-2</v>
      </c>
      <c r="AD3">
        <f>'Use Split'!F31</f>
        <v>7.1144706885003392E-2</v>
      </c>
      <c r="AE3">
        <f>'Use Split'!F32</f>
        <v>7.3746213572454117E-2</v>
      </c>
      <c r="AF3">
        <f>'Use Split'!F33</f>
        <v>6.3562869806652961E-2</v>
      </c>
      <c r="AG3">
        <f>'Use Split'!F34</f>
        <v>5.6941656146155213E-2</v>
      </c>
      <c r="AH3">
        <f>'Use Split'!F35</f>
        <v>5.7547293438863514E-2</v>
      </c>
      <c r="AI3">
        <f>'Use Split'!F36</f>
        <v>6.0927508930444997E-2</v>
      </c>
      <c r="AJ3">
        <f>'Use Split'!F37</f>
        <v>5.8672480902832266E-2</v>
      </c>
      <c r="AK3">
        <f>'Use Split'!F38</f>
        <v>5.6875056778750453E-2</v>
      </c>
      <c r="AL3">
        <f>'Use Split'!F39</f>
        <v>5.518839541747482E-2</v>
      </c>
      <c r="AM3">
        <f>'Use Split'!F40</f>
        <v>5.3803285419637116E-2</v>
      </c>
      <c r="AN3">
        <f>'Use Split'!F41</f>
        <v>5.0301574648404124E-2</v>
      </c>
      <c r="AO3">
        <f>'Use Split'!F42</f>
        <v>5.0385588419601231E-2</v>
      </c>
      <c r="AP3">
        <f>'Use Split'!F43</f>
        <v>5.0840856147680122E-2</v>
      </c>
      <c r="AQ3">
        <f>'Use Split'!F44</f>
        <v>4.989938567325921E-2</v>
      </c>
      <c r="AR3">
        <f>'Use Split'!F45</f>
        <v>5.2607032317513819E-2</v>
      </c>
      <c r="AS3">
        <f>'Use Split'!F46</f>
        <v>5.974857138867834E-2</v>
      </c>
      <c r="AT3">
        <f>'Use Split'!F47</f>
        <v>5.3542069782772629E-2</v>
      </c>
      <c r="AU3">
        <f>'Use Split'!F48</f>
        <v>5.003360214396927E-2</v>
      </c>
      <c r="AV3">
        <f>'Use Split'!F49</f>
        <v>4.7522712874541101E-2</v>
      </c>
      <c r="AW3">
        <f>'Use Split'!F50</f>
        <v>4.7211746251914433E-2</v>
      </c>
      <c r="AX3">
        <f>'Use Split'!F51</f>
        <v>4.7344137840985838E-2</v>
      </c>
      <c r="AY3">
        <f>'Use Split'!F52</f>
        <v>5.2617747446561176E-2</v>
      </c>
      <c r="AZ3">
        <f>'Use Split'!F53</f>
        <v>4.8436538539653226E-2</v>
      </c>
      <c r="BA3">
        <f>'Use Split'!F54</f>
        <v>4.8240162928284758E-2</v>
      </c>
      <c r="BB3">
        <f>'Use Split'!F55</f>
        <v>4.6680561376135979E-2</v>
      </c>
      <c r="BC3">
        <f>'Use Split'!F56</f>
        <v>4.9487140201173632E-2</v>
      </c>
      <c r="BD3">
        <f>'Use Split'!F57</f>
        <v>4.8949005757939659E-2</v>
      </c>
      <c r="BE3">
        <f>'Use Split'!F58</f>
        <v>4.8411358147559265E-2</v>
      </c>
      <c r="BF3">
        <f>'Use Split'!F59</f>
        <v>4.7874196709698176E-2</v>
      </c>
      <c r="BG3">
        <f>'Use Split'!F60</f>
        <v>4.7337520785215866E-2</v>
      </c>
      <c r="BH3">
        <f>'Use Split'!F61</f>
        <v>4.6801329716162722E-2</v>
      </c>
      <c r="BI3">
        <f>'Use Split'!F62</f>
        <v>4.6265622845777489E-2</v>
      </c>
      <c r="BJ3">
        <f>'Use Split'!F63</f>
        <v>4.5730399518484524E-2</v>
      </c>
      <c r="BK3">
        <f>'Use Split'!F64</f>
        <v>4.5195659079891093E-2</v>
      </c>
      <c r="BL3">
        <f>'Use Split'!F65</f>
        <v>4.4661400876784781E-2</v>
      </c>
      <c r="BM3">
        <f>'Use Split'!F66</f>
        <v>4.4127624257130772E-2</v>
      </c>
      <c r="BN3">
        <f>'Use Split'!F67</f>
        <v>4.359432857006923E-2</v>
      </c>
      <c r="BO3">
        <f>'Use Split'!F68</f>
        <v>4.306151316591264E-2</v>
      </c>
      <c r="BP3">
        <f>'Use Split'!F69</f>
        <v>4.2529177396143134E-2</v>
      </c>
      <c r="BQ3">
        <f>'Use Split'!F70</f>
        <v>4.1997320613409946E-2</v>
      </c>
      <c r="BR3">
        <f>'Use Split'!F71</f>
        <v>4.1465942171526715E-2</v>
      </c>
      <c r="BS3">
        <f>'Use Split'!F72</f>
        <v>4.0935041425468881E-2</v>
      </c>
      <c r="BT3">
        <f>'Use Split'!F73</f>
        <v>4.0404617731371086E-2</v>
      </c>
      <c r="BU3">
        <f>'Use Split'!F74</f>
        <v>3.9874670446524589E-2</v>
      </c>
      <c r="BV3">
        <f>'Use Split'!F75</f>
        <v>3.9345198929374652E-2</v>
      </c>
      <c r="BW3">
        <f>'Use Split'!F76</f>
        <v>3.8816202539517917E-2</v>
      </c>
      <c r="BX3">
        <f>'Use Split'!F77</f>
        <v>3.8816202539517917E-2</v>
      </c>
      <c r="BY3">
        <f>'Use Split'!F78</f>
        <v>3.8816202539517917E-2</v>
      </c>
      <c r="BZ3">
        <f>'Use Split'!F79</f>
        <v>3.8816202539517917E-2</v>
      </c>
      <c r="CA3">
        <f>'Use Split'!F80</f>
        <v>3.8816202539517917E-2</v>
      </c>
      <c r="CB3">
        <f>'Use Split'!F81</f>
        <v>3.8816202539517917E-2</v>
      </c>
      <c r="CC3">
        <f>'Use Split'!F82</f>
        <v>3.8816202539517917E-2</v>
      </c>
      <c r="CD3">
        <f>'Use Split'!F83</f>
        <v>3.8816202539517917E-2</v>
      </c>
      <c r="CE3">
        <f>'Use Split'!F84</f>
        <v>3.8816202539517917E-2</v>
      </c>
      <c r="CF3">
        <f>'Use Split'!F85</f>
        <v>3.8816202539517917E-2</v>
      </c>
      <c r="CG3">
        <f>'Use Split'!F86</f>
        <v>3.8816202539517917E-2</v>
      </c>
      <c r="CH3">
        <f>'Use Split'!F87</f>
        <v>3.8816202539517917E-2</v>
      </c>
      <c r="CI3">
        <f>'Use Split'!F88</f>
        <v>3.8816202539517917E-2</v>
      </c>
      <c r="CJ3">
        <f>'Use Split'!F89</f>
        <v>3.8816202539517917E-2</v>
      </c>
      <c r="CK3">
        <f>'Use Split'!F90</f>
        <v>3.8816202539517917E-2</v>
      </c>
      <c r="CL3">
        <f>'Use Split'!F91</f>
        <v>3.8816202539517917E-2</v>
      </c>
      <c r="CM3">
        <f>'Use Split'!F92</f>
        <v>3.8816202539517917E-2</v>
      </c>
      <c r="CN3">
        <f>'Use Split'!F93</f>
        <v>3.8816202539517917E-2</v>
      </c>
      <c r="CO3">
        <f>'Use Split'!F94</f>
        <v>3.8816202539517917E-2</v>
      </c>
      <c r="CP3">
        <f>'Use Split'!F95</f>
        <v>3.8816202539517917E-2</v>
      </c>
      <c r="CQ3">
        <f>'Use Split'!F96</f>
        <v>3.8816202539517917E-2</v>
      </c>
      <c r="CR3">
        <f>'Use Split'!F97</f>
        <v>3.8816202539517917E-2</v>
      </c>
      <c r="CS3">
        <f>'Use Split'!F98</f>
        <v>3.8816202539517917E-2</v>
      </c>
      <c r="CT3">
        <f>'Use Split'!F99</f>
        <v>3.8816202539517917E-2</v>
      </c>
      <c r="CU3">
        <f>'Use Split'!F100</f>
        <v>3.8816202539517917E-2</v>
      </c>
      <c r="CV3">
        <f>'Use Split'!F101</f>
        <v>3.8816202539517917E-2</v>
      </c>
      <c r="CW3">
        <f>'Use Split'!F102</f>
        <v>3.8816202539517917E-2</v>
      </c>
      <c r="CX3">
        <f>'Use Split'!F103</f>
        <v>3.8816202539517917E-2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3"/>
  <sheetViews>
    <sheetView workbookViewId="0"/>
  </sheetViews>
  <sheetFormatPr defaultRowHeight="15" x14ac:dyDescent="0.25"/>
  <sheetData>
    <row r="1" spans="1:2" x14ac:dyDescent="0.25">
      <c r="A1" t="s">
        <v>228</v>
      </c>
      <c r="B1" t="s">
        <v>230</v>
      </c>
    </row>
    <row r="2" spans="1:2" x14ac:dyDescent="0.25">
      <c r="A2" t="s">
        <v>147</v>
      </c>
      <c r="B2">
        <f>Parameters!B5</f>
        <v>0.161</v>
      </c>
    </row>
    <row r="3" spans="1:2" x14ac:dyDescent="0.25">
      <c r="A3" t="s">
        <v>229</v>
      </c>
      <c r="B3">
        <f>Parameters!B9</f>
        <v>0.75</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B3"/>
  <sheetViews>
    <sheetView workbookViewId="0"/>
  </sheetViews>
  <sheetFormatPr defaultRowHeight="15" x14ac:dyDescent="0.25"/>
  <sheetData>
    <row r="1" spans="1:2" x14ac:dyDescent="0.25">
      <c r="A1" t="s">
        <v>231</v>
      </c>
      <c r="B1" t="s">
        <v>232</v>
      </c>
    </row>
    <row r="2" spans="1:2" x14ac:dyDescent="0.25">
      <c r="A2" t="s">
        <v>147</v>
      </c>
      <c r="B2">
        <f>Parameters!B6</f>
        <v>65</v>
      </c>
    </row>
    <row r="3" spans="1:2" x14ac:dyDescent="0.25">
      <c r="A3" t="s">
        <v>229</v>
      </c>
      <c r="B3">
        <f>Calculation!B3</f>
        <v>1.0412328196584757</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3"/>
  <sheetViews>
    <sheetView workbookViewId="0"/>
  </sheetViews>
  <sheetFormatPr defaultRowHeight="15" x14ac:dyDescent="0.25"/>
  <sheetData>
    <row r="1" spans="1:2" x14ac:dyDescent="0.25">
      <c r="A1" t="s">
        <v>228</v>
      </c>
      <c r="B1" t="s">
        <v>233</v>
      </c>
    </row>
    <row r="2" spans="1:2" x14ac:dyDescent="0.25">
      <c r="A2" t="s">
        <v>147</v>
      </c>
      <c r="B2">
        <f>Calculation!B4</f>
        <v>1.4999999999999999E-2</v>
      </c>
    </row>
    <row r="3" spans="1:2" x14ac:dyDescent="0.25">
      <c r="A3" t="s">
        <v>229</v>
      </c>
      <c r="B3">
        <f>Parameters!B12</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Parameters</vt:lpstr>
      <vt:lpstr>USGS MYB 2023 T12</vt:lpstr>
      <vt:lpstr>USGS MYB 2023 T14</vt:lpstr>
      <vt:lpstr>USGS end use 1975-2003</vt:lpstr>
      <vt:lpstr>Calculation</vt:lpstr>
      <vt:lpstr>Use Split</vt:lpstr>
      <vt:lpstr>Checks</vt:lpstr>
      <vt:lpstr>CCUP-potential</vt:lpstr>
      <vt:lpstr>CCUP-use-share</vt:lpstr>
      <vt:lpstr>CCUP-inservice-share</vt:lpstr>
      <vt:lpstr>CCUP-inservice-time</vt:lpstr>
      <vt:lpstr>CCUP-eol-share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 O'Brien</cp:lastModifiedBy>
  <dcterms:created xsi:type="dcterms:W3CDTF">2026-10-26T17:34:18Z</dcterms:created>
  <dcterms:modified xsi:type="dcterms:W3CDTF">2026-10-26T17:34:22Z</dcterms:modified>
</cp:coreProperties>
</file>