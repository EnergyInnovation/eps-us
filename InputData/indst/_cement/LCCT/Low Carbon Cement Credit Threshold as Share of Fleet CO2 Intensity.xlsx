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LCCT\"/>
    </mc:Choice>
  </mc:AlternateContent>
  <xr:revisionPtr revIDLastSave="0" documentId="13_ncr:1_{FBDD06D7-8C76-41D7-83A0-31F07E7F8310}" xr6:coauthVersionLast="47" xr6:coauthVersionMax="47" xr10:uidLastSave="{00000000-0000-0000-0000-000000000000}"/>
  <bookViews>
    <workbookView xWindow="1900" yWindow="1900" windowWidth="14400" windowHeight="8170" xr2:uid="{00000000-000D-0000-FFFF-FFFF00000000}"/>
  </bookViews>
  <sheets>
    <sheet name="About" sheetId="1" r:id="rId1"/>
    <sheet name="Assumptions" sheetId="2" r:id="rId2"/>
    <sheet name="Derivation" sheetId="3" r:id="rId3"/>
    <sheet name="Checks" sheetId="4" r:id="rId4"/>
    <sheet name="LCC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 l="1"/>
  <c r="B4" i="2" s="1"/>
  <c r="B2" i="5" s="1"/>
  <c r="B3" i="4" s="1"/>
  <c r="C3" i="4" s="1"/>
</calcChain>
</file>

<file path=xl/sharedStrings.xml><?xml version="1.0" encoding="utf-8"?>
<sst xmlns="http://schemas.openxmlformats.org/spreadsheetml/2006/main" count="45" uniqueCount="41">
  <si>
    <t>LCCT Low Carbon Cement Credit Threshold as Share of Fleet CO2 Intensity</t>
  </si>
  <si>
    <t>Sources:</t>
  </si>
  <si>
    <t>Design of a per-tonne low-carbon materials credit with an intensity threshold</t>
  </si>
  <si>
    <t>New Mexico Legislature</t>
  </si>
  <si>
    <t>House Bill 153, Industrial Carbon Reduction Act (2026 session), committee text</t>
  </si>
  <si>
    <t>https://www.nmlegis.gov/Sessions/26%20Regular/bills/house/HB0153.html</t>
  </si>
  <si>
    <t>Proposed a credit of 85 dollars per tonne of CO2 avoided below the industry benchmark for cement, concrete and other industrial products, open to producers at least 40 percent below the benchmark intensity, for production before 2039. The 40-percent-below rule is the eligibility template used here; the bill's final status (a reported veto) should be checked.</t>
  </si>
  <si>
    <t>U.S. plant CO2 intensity per tonne of cement (the reference the thresholds are set against)</t>
  </si>
  <si>
    <t>U.S. Environmental Protection Agency</t>
  </si>
  <si>
    <t>U.S. Cement Industry Carbon Intensities (2019), EPA 430-F-21-004</t>
  </si>
  <si>
    <t>https://www.epa.gov/system/files/documents/2021-10/cement-carbon-intensities-fact-sheet.pdf</t>
  </si>
  <si>
    <t>Kiln CO2 (fuel plus calcination, excluding biogenic CO2) per tonne of cement at the 92 U.S. plants with continuous emissions monitors in 2019: 0.722 at the cleaner quartile, 0.776 at the median plant, 0.886 at the dirtier quartile. Direct emissions only, the same basis as the model's pathway intensities.</t>
  </si>
  <si>
    <t>Notes:</t>
  </si>
  <si>
    <t>Purpose and layout</t>
  </si>
  <si>
    <t>LCCT is the share of last year's fleet-average direct CO2 intensity (per tonne of cement) at or below which cement earns the Low Carbon Cement Production Tax Credit. Edit the 'Assumptions' tab; the 'Derivation' tab turns the percent-below rule into a share; the 'LCCT' tab is exported to LCCT.csv.</t>
  </si>
  <si>
    <t>Why a share rather than kilograms</t>
  </si>
  <si>
    <t>The eligibility rule is written as a percent below the industry benchmark, and the model's pathway intensities (direct kiln CO2) sit on a different basis from published plant or declaration values. A share of last year's fleet average applies the rule on the model's own basis and tightens as the fleet cleans up, as a benchmark that is periodically re-set does.</t>
  </si>
  <si>
    <t>U.S. value</t>
  </si>
  <si>
    <t>0.6: 40 percent below the benchmark, following the New Mexico eligibility rule. With the U.S. inputs the CCS and alternative-chemistry pathways qualify. The electric kiln does not: it removes the fuel CO2 but keeps the calcination CO2, which is about two thirds of a conventional kiln's total, so it lands near 0.66 of the fleet average (EPA's 2019 plant data put calcination at roughly 60 percent of kiln CO2). A rule of 30 percent below (0.7) would include it; a near-zero credit would use about 0.2.</t>
  </si>
  <si>
    <t>Other regions</t>
  </si>
  <si>
    <t>Set the percent-below rule to the policy design.</t>
  </si>
  <si>
    <t>Values (edit here)</t>
  </si>
  <si>
    <t>Share of last year's fleet-average direct CO2 intensity at or below which cement earns the production tax credit.</t>
  </si>
  <si>
    <t>Quantity</t>
  </si>
  <si>
    <t>Value</t>
  </si>
  <si>
    <t>Basis</t>
  </si>
  <si>
    <t>Low Carbon Cement Credit Threshold as Share of Fleet CO2 Intensity</t>
  </si>
  <si>
    <t>Derivation tab: one minus the percent-below rule</t>
  </si>
  <si>
    <t>From the eligibility rule to a share of the fleet average</t>
  </si>
  <si>
    <t>What share of the benchmark intensity must a plant beat to earn the credit?</t>
  </si>
  <si>
    <t>Step</t>
  </si>
  <si>
    <t>Explanation</t>
  </si>
  <si>
    <t>Required reduction below the benchmark (fraction)</t>
  </si>
  <si>
    <t>New Mexico HB 153 eligibility rule</t>
  </si>
  <si>
    <t>THRESHOLD USED IN THE OUTPUT FILE (share of fleet average)</t>
  </si>
  <si>
    <t>One minus the required reduction</t>
  </si>
  <si>
    <t>Live checks</t>
  </si>
  <si>
    <t>Check</t>
  </si>
  <si>
    <t>Result</t>
  </si>
  <si>
    <t>Exported values are positive numbers (count of non-positive)</t>
  </si>
  <si>
    <t>Unit: fraction of last year fleet CO2 intensity per metric ton 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</si>
</sst>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3" fillId="3" borderId="0" xfId="0" applyFont="1" applyFill="1" applyAlignment="1">
      <alignment horizontal="left" vertical="top" wrapText="1"/>
    </xf>
    <xf numFmtId="0" fontId="0" fillId="0" borderId="0" xfId="0" applyAlignment="1">
      <alignment horizontal="lef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pa.gov/system/files/documents/2021-10/cement-carbon-intensities-fact-sheet.pdf" TargetMode="External"/><Relationship Id="rId1" Type="http://schemas.openxmlformats.org/officeDocument/2006/relationships/hyperlink" Target="https://www.nmlegis.gov/Sessions/26%20Regular/bills/house/HB015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workbookViewId="0"/>
  </sheetViews>
  <sheetFormatPr defaultRowHeight="14.5" x14ac:dyDescent="0.35"/>
  <cols>
    <col min="1" max="1" width="24" customWidth="1"/>
    <col min="2" max="2" width="110" customWidth="1"/>
  </cols>
  <sheetData>
    <row r="1" spans="1:2" x14ac:dyDescent="0.35">
      <c r="A1" s="1" t="s">
        <v>0</v>
      </c>
    </row>
    <row r="3" spans="1:2" x14ac:dyDescent="0.35">
      <c r="A3" s="1" t="s">
        <v>1</v>
      </c>
      <c r="B3" s="2" t="s">
        <v>2</v>
      </c>
    </row>
    <row r="4" spans="1:2" x14ac:dyDescent="0.35">
      <c r="B4" s="3" t="s">
        <v>3</v>
      </c>
    </row>
    <row r="5" spans="1:2" x14ac:dyDescent="0.35">
      <c r="B5" s="3" t="s">
        <v>4</v>
      </c>
    </row>
    <row r="6" spans="1:2" x14ac:dyDescent="0.35">
      <c r="B6" s="3">
        <v>2026</v>
      </c>
    </row>
    <row r="7" spans="1:2" x14ac:dyDescent="0.35">
      <c r="B7" s="4" t="s">
        <v>5</v>
      </c>
    </row>
    <row r="8" spans="1:2" ht="43.5" x14ac:dyDescent="0.35">
      <c r="B8" s="3" t="s">
        <v>6</v>
      </c>
    </row>
    <row r="10" spans="1:2" x14ac:dyDescent="0.35">
      <c r="B10" s="2" t="s">
        <v>7</v>
      </c>
    </row>
    <row r="11" spans="1:2" x14ac:dyDescent="0.35">
      <c r="B11" s="3" t="s">
        <v>8</v>
      </c>
    </row>
    <row r="12" spans="1:2" x14ac:dyDescent="0.35">
      <c r="B12" s="3" t="s">
        <v>9</v>
      </c>
    </row>
    <row r="13" spans="1:2" x14ac:dyDescent="0.35">
      <c r="B13" s="3">
        <v>2021</v>
      </c>
    </row>
    <row r="14" spans="1:2" x14ac:dyDescent="0.35">
      <c r="B14" s="4" t="s">
        <v>10</v>
      </c>
    </row>
    <row r="15" spans="1:2" ht="43.5" x14ac:dyDescent="0.35">
      <c r="B15" s="3" t="s">
        <v>11</v>
      </c>
    </row>
    <row r="17" spans="1:2" x14ac:dyDescent="0.35">
      <c r="A17" s="1" t="s">
        <v>12</v>
      </c>
    </row>
    <row r="18" spans="1:2" ht="43.5" x14ac:dyDescent="0.35">
      <c r="A18" s="5" t="s">
        <v>13</v>
      </c>
      <c r="B18" s="3" t="s">
        <v>14</v>
      </c>
    </row>
    <row r="19" spans="1:2" ht="43.5" x14ac:dyDescent="0.35">
      <c r="A19" s="5" t="s">
        <v>15</v>
      </c>
      <c r="B19" s="3" t="s">
        <v>16</v>
      </c>
    </row>
    <row r="20" spans="1:2" ht="58" x14ac:dyDescent="0.35">
      <c r="A20" s="5" t="s">
        <v>17</v>
      </c>
      <c r="B20" s="3" t="s">
        <v>18</v>
      </c>
    </row>
    <row r="21" spans="1:2" x14ac:dyDescent="0.35">
      <c r="A21" s="5" t="s">
        <v>19</v>
      </c>
      <c r="B21" s="3" t="s">
        <v>20</v>
      </c>
    </row>
  </sheetData>
  <hyperlinks>
    <hyperlink ref="B7" r:id="rId1" xr:uid="{00000000-0004-0000-0000-000000000000}"/>
    <hyperlink ref="B14" r:id="rId2" xr:uid="{00000000-0004-0000-0000-00000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sheetViews>
  <sheetFormatPr defaultRowHeight="14.5" x14ac:dyDescent="0.35"/>
  <cols>
    <col min="1" max="1" width="60" customWidth="1"/>
    <col min="2" max="2" width="16" customWidth="1"/>
    <col min="3" max="3" width="90" customWidth="1"/>
  </cols>
  <sheetData>
    <row r="1" spans="1:3" x14ac:dyDescent="0.35">
      <c r="A1" s="1" t="s">
        <v>21</v>
      </c>
    </row>
    <row r="2" spans="1:3" ht="45" customHeight="1" x14ac:dyDescent="0.35">
      <c r="A2" s="7" t="s">
        <v>22</v>
      </c>
      <c r="B2" s="8"/>
      <c r="C2" s="8"/>
    </row>
    <row r="3" spans="1:3" ht="20" customHeight="1" x14ac:dyDescent="0.35">
      <c r="A3" s="6" t="s">
        <v>23</v>
      </c>
      <c r="B3" s="6" t="s">
        <v>24</v>
      </c>
      <c r="C3" s="6" t="s">
        <v>25</v>
      </c>
    </row>
    <row r="4" spans="1:3" x14ac:dyDescent="0.35">
      <c r="A4" t="s">
        <v>26</v>
      </c>
      <c r="B4">
        <f>Derivation!B5</f>
        <v>0.6</v>
      </c>
      <c r="C4" s="3" t="s">
        <v>27</v>
      </c>
    </row>
  </sheetData>
  <mergeCells count="1">
    <mergeCell ref="A2:C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heetViews>
  <sheetFormatPr defaultRowHeight="14.5" x14ac:dyDescent="0.35"/>
  <cols>
    <col min="1" max="1" width="62" customWidth="1"/>
    <col min="2" max="2" width="18" customWidth="1"/>
    <col min="3" max="3" width="80" customWidth="1"/>
  </cols>
  <sheetData>
    <row r="1" spans="1:3" x14ac:dyDescent="0.35">
      <c r="A1" s="1" t="s">
        <v>28</v>
      </c>
    </row>
    <row r="2" spans="1:3" ht="40" customHeight="1" x14ac:dyDescent="0.35">
      <c r="A2" s="7" t="s">
        <v>29</v>
      </c>
      <c r="B2" s="8"/>
      <c r="C2" s="8"/>
    </row>
    <row r="3" spans="1:3" ht="20" customHeight="1" x14ac:dyDescent="0.35">
      <c r="A3" s="6" t="s">
        <v>30</v>
      </c>
      <c r="B3" s="6" t="s">
        <v>24</v>
      </c>
      <c r="C3" s="6" t="s">
        <v>31</v>
      </c>
    </row>
    <row r="4" spans="1:3" x14ac:dyDescent="0.35">
      <c r="A4" t="s">
        <v>32</v>
      </c>
      <c r="B4">
        <v>0.4</v>
      </c>
      <c r="C4" s="3" t="s">
        <v>33</v>
      </c>
    </row>
    <row r="5" spans="1:3" x14ac:dyDescent="0.35">
      <c r="A5" t="s">
        <v>34</v>
      </c>
      <c r="B5">
        <f>1-B4</f>
        <v>0.6</v>
      </c>
      <c r="C5" s="3" t="s">
        <v>35</v>
      </c>
    </row>
  </sheetData>
  <mergeCells count="1">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
  <sheetViews>
    <sheetView workbookViewId="0"/>
  </sheetViews>
  <sheetFormatPr defaultRowHeight="14.5" x14ac:dyDescent="0.35"/>
  <cols>
    <col min="1" max="1" width="60" customWidth="1"/>
  </cols>
  <sheetData>
    <row r="1" spans="1:3" x14ac:dyDescent="0.35">
      <c r="A1" s="1" t="s">
        <v>36</v>
      </c>
    </row>
    <row r="2" spans="1:3" ht="20" customHeight="1" x14ac:dyDescent="0.35">
      <c r="A2" s="6" t="s">
        <v>37</v>
      </c>
      <c r="B2" s="6" t="s">
        <v>24</v>
      </c>
      <c r="C2" s="6" t="s">
        <v>38</v>
      </c>
    </row>
    <row r="3" spans="1:3" x14ac:dyDescent="0.35">
      <c r="A3" t="s">
        <v>39</v>
      </c>
      <c r="B3">
        <f>COUNTIF(LCCT!B2:B2,"&lt;=0")+COUNTBLANK(LCCT!B2:B2)</f>
        <v>0</v>
      </c>
      <c r="C3" t="str">
        <f>IF(B3=0,"PASS","FAIL")</f>
        <v>PASS</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B2"/>
  <sheetViews>
    <sheetView workbookViewId="0"/>
  </sheetViews>
  <sheetFormatPr defaultRowHeight="14.5" x14ac:dyDescent="0.35"/>
  <cols>
    <col min="1" max="1" width="62" customWidth="1"/>
  </cols>
  <sheetData>
    <row r="1" spans="1:2" x14ac:dyDescent="0.35">
      <c r="A1" t="s">
        <v>40</v>
      </c>
      <c r="B1" t="s">
        <v>24</v>
      </c>
    </row>
    <row r="2" spans="1:2" x14ac:dyDescent="0.35">
      <c r="A2" t="s">
        <v>26</v>
      </c>
      <c r="B2">
        <f>Assumptions!B4</f>
        <v>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Assumptions</vt:lpstr>
      <vt:lpstr>Derivation</vt:lpstr>
      <vt:lpstr>Checks</vt:lpstr>
      <vt:lpstr>LCCT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2026-10-17T12:31:00Z</dcterms:created>
  <dcterms:modified xsi:type="dcterms:W3CDTF">2026-10-17T12:31:14Z</dcterms:modified>
</cp:coreProperties>
</file>