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SPAbY\"/>
    </mc:Choice>
  </mc:AlternateContent>
  <xr:revisionPtr revIDLastSave="0" documentId="13_ncr:1_{73A9AC8B-604C-46ED-9C7C-981A32D399C2}" xr6:coauthVersionLast="47" xr6:coauthVersionMax="47" xr10:uidLastSave="{00000000-0000-0000-0000-000000000000}"/>
  <bookViews>
    <workbookView xWindow="-110" yWindow="-110" windowWidth="19420" windowHeight="11500" xr2:uid="{00000000-000D-0000-FFFF-FFFF00000000}"/>
  </bookViews>
  <sheets>
    <sheet name="About" sheetId="1" r:id="rId1"/>
    <sheet name="Ramp" sheetId="2" r:id="rId2"/>
    <sheet name="CSPAb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D14" i="2" s="1"/>
  <c r="C13" i="2"/>
  <c r="C14" i="2" s="1"/>
  <c r="B13" i="2"/>
  <c r="B14" i="2" s="1"/>
  <c r="AE8" i="2"/>
  <c r="AE2" i="3" s="1"/>
  <c r="AD8" i="2"/>
  <c r="AD2" i="3" s="1"/>
  <c r="AC8" i="2"/>
  <c r="AC2" i="3" s="1"/>
  <c r="AB8" i="2"/>
  <c r="AB2" i="3" s="1"/>
  <c r="AA8" i="2"/>
  <c r="AA2" i="3" s="1"/>
  <c r="Z8" i="2"/>
  <c r="Z2" i="3" s="1"/>
  <c r="Y8" i="2"/>
  <c r="Y2" i="3" s="1"/>
  <c r="X8" i="2"/>
  <c r="X2" i="3" s="1"/>
  <c r="W8" i="2"/>
  <c r="W2" i="3" s="1"/>
  <c r="V8" i="2"/>
  <c r="V2" i="3" s="1"/>
  <c r="U8" i="2"/>
  <c r="U2" i="3" s="1"/>
  <c r="T8" i="2"/>
  <c r="T2" i="3" s="1"/>
  <c r="S8" i="2"/>
  <c r="S2" i="3" s="1"/>
  <c r="R8" i="2"/>
  <c r="R2" i="3" s="1"/>
  <c r="Q8" i="2"/>
  <c r="Q2" i="3" s="1"/>
  <c r="P8" i="2"/>
  <c r="P2" i="3" s="1"/>
  <c r="O8" i="2"/>
  <c r="O2" i="3" s="1"/>
  <c r="N8" i="2"/>
  <c r="N2" i="3" s="1"/>
  <c r="M8" i="2"/>
  <c r="M2" i="3" s="1"/>
  <c r="L8" i="2"/>
  <c r="L2" i="3" s="1"/>
  <c r="K8" i="2"/>
  <c r="K2" i="3" s="1"/>
  <c r="J8" i="2"/>
  <c r="J2" i="3" s="1"/>
  <c r="I8" i="2"/>
  <c r="I2" i="3" s="1"/>
  <c r="H8" i="2"/>
  <c r="H2" i="3" s="1"/>
  <c r="G8" i="2"/>
  <c r="G2" i="3" s="1"/>
  <c r="F8" i="2"/>
  <c r="F2" i="3" s="1"/>
  <c r="E8" i="2"/>
  <c r="E2" i="3" s="1"/>
  <c r="D8" i="2"/>
  <c r="D2" i="3" s="1"/>
  <c r="C8" i="2"/>
  <c r="C2" i="3" s="1"/>
  <c r="B8" i="2"/>
  <c r="B2" i="3" s="1"/>
  <c r="E13" i="2" l="1"/>
  <c r="E14" i="2" s="1"/>
</calcChain>
</file>

<file path=xl/sharedStrings.xml><?xml version="1.0" encoding="utf-8"?>
<sst xmlns="http://schemas.openxmlformats.org/spreadsheetml/2006/main" count="37" uniqueCount="36">
  <si>
    <t>CSPAbY Clinker Substitution Potential Available by Year</t>
  </si>
  <si>
    <t>Share of the long-run clinker substitution potential that SCM supply can support, by year</t>
  </si>
  <si>
    <t>Milestone year</t>
  </si>
  <si>
    <t>Share of potential available (EI judgment; see About notes)</t>
  </si>
  <si>
    <t>Annual values (0 through 2025, then straight lines between milestones)</t>
  </si>
  <si>
    <t>Year</t>
  </si>
  <si>
    <t>Share of potential available</t>
  </si>
  <si>
    <t>Implied U.S. floor for reference: BAU ratio minus share x (BAU ratio - MACtCR 0.65), using BCtCR values for these years</t>
  </si>
  <si>
    <t>BCtCR U.S. BAU ratio (copied for reference)</t>
  </si>
  <si>
    <t>Share available</t>
  </si>
  <si>
    <t>Lowest reachable ratio</t>
  </si>
  <si>
    <t>Unit: dimensionless</t>
  </si>
  <si>
    <t>Clinker Substitution Potential Available by Year</t>
  </si>
  <si>
    <t>Sources:</t>
  </si>
  <si>
    <t>Industry pace of clinker reduction</t>
  </si>
  <si>
    <t>Portland Cement Association (PCA)</t>
  </si>
  <si>
    <t>Roadmap to Carbon Neutrality (January 2024 update)</t>
  </si>
  <si>
    <t>https://www.cement.org/wp-content/uploads/2024/05/Roadmap_Jan2024.pdf</t>
  </si>
  <si>
    <t>Targets clinker-to-cement ratios of 0.85 by 2030, 0.80 by 2040 and 0.75 by 2050, and says going below 0.75 requires consistent availability of SCMs. This is the industry's own aspirational pace; the ramp here allows a faster pace under strong policy, but not an immediate jump to the long-run floor.</t>
  </si>
  <si>
    <t>Global pathway for comparison</t>
  </si>
  <si>
    <t>Global Cement and Concrete Association (GCCA)</t>
  </si>
  <si>
    <t>Concrete Future: The GCCA 2050 Cement and Concrete Industry Roadmap for Net Zero Concrete</t>
  </si>
  <si>
    <t>https://gccassociation.org/concretefuture/wp-content/uploads/2021/10/GCCA-Concrete-Future-Roadmap-Document-AW.pdf</t>
  </si>
  <si>
    <t>Global clinker-to-binder ratio of 0.63 (2020), 0.58 (2030) and 0.52 (2050): roughly 40% of the 2020-2050 decline happens by 2030, in line with a 0.4 share in 2030 here.</t>
  </si>
  <si>
    <t>Limits on SCM supply</t>
  </si>
  <si>
    <t>U.S. Geological Survey</t>
  </si>
  <si>
    <t>Mineral Commodity Summaries 2026: Iron and Steel Slag</t>
  </si>
  <si>
    <t>https://pubs.usgs.gov/periodicals/mcs2026/mcs2026-iron-steel-slag.pdf</t>
  </si>
  <si>
    <t>Granulated slag is under 30% of the 16 million tons of U.S. slag sold, and imports are expected to decline. Reaching the 0.65 floor needs roughly 32-35 million tons a year of reactive SCMs by 2050, up from about 20 million today, mostly from a calcined clay industry that does not yet exist at scale in the U.S. and from harvested fly ash.</t>
  </si>
  <si>
    <t>Notes:</t>
  </si>
  <si>
    <t>Purpose and layout</t>
  </si>
  <si>
    <t>This file gives the share of the long-run clinker substitution potential that supplementary cementitious material (SCM) supply can support in each year, from 0 to 1. The long-run potential is the gap between the business-as-usual clinker-to-cement ratio (BCtCR) and the lowest achievable ratio (MACtCR). In each policy year the EPS uses the smaller of the clinker-substitution lever (as scheduled) and this share, so a policy that reaches full deployment early cannot lower the ratio faster than SCM supply can grow.
'Ramp' holds the milestone values, which are the values to change, and fills in the years between with straight lines. It also shows the lowest U.S. ratio each milestone allows, as a reference. The 'CSPAbY' tab reads from 'Ramp' and is exported to CSPAbY.csv.</t>
  </si>
  <si>
    <t>U.S. values</t>
  </si>
  <si>
    <t>0 through 2025, 0.4 in 2030, 0.7 in 2040 and 1.0 in 2050. With the U.S. business-as-usual path in BCtCR and a 0.65 floor, that caps the reachable ratio at about 0.75 in 2030, 0.72 in 2035, 0.70 in 2040 and 0.65 in 2050. These milestones are our judgment: they let policy move faster than PCA's own targets (0.85 by 2030) while giving the new calcined clay and harvested-ash supply time to build, and the 2030 share matches the share of the 2020-2050 decline that the GCCA global roadmap puts in its first decade.</t>
  </si>
  <si>
    <t>Using it for other regions</t>
  </si>
  <si>
    <t>The same ramp applies to every region by default. A region that already has a large SCM industry (for example, India's calcined clay and fly ash supply) could reasonably move faster, and one with little SCM supply slower; change the milestones on the 'Ramp' tab and re-export the 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</si>
</sst>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2" fillId="2" borderId="0" xfId="0" applyFont="1" applyFill="1" applyAlignment="1">
      <alignment horizontal="left" vertical="top" wrapText="1"/>
    </xf>
    <xf numFmtId="0" fontId="0" fillId="0" borderId="0" xfId="0" applyFont="1" applyAlignment="1">
      <alignment horizontal="left" vertical="top" wrapText="1"/>
    </xf>
    <xf numFmtId="0" fontId="4" fillId="0" borderId="0" xfId="1"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ubs.usgs.gov/periodicals/mcs2026/mcs2026-iron-steel-slag.pdf" TargetMode="External"/><Relationship Id="rId2" Type="http://schemas.openxmlformats.org/officeDocument/2006/relationships/hyperlink" Target="https://gccassociation.org/concretefuture/wp-content/uploads/2021/10/GCCA-Concrete-Future-Roadmap-Document-AW.pdf" TargetMode="External"/><Relationship Id="rId1" Type="http://schemas.openxmlformats.org/officeDocument/2006/relationships/hyperlink" Target="https://www.cement.org/wp-content/uploads/2024/05/Roadmap_Jan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3" t="s">
        <v>0</v>
      </c>
    </row>
    <row r="3" spans="1:2" x14ac:dyDescent="0.35">
      <c r="A3" s="2" t="s">
        <v>13</v>
      </c>
      <c r="B3" s="4" t="s">
        <v>14</v>
      </c>
    </row>
    <row r="4" spans="1:2" x14ac:dyDescent="0.35">
      <c r="B4" s="5" t="s">
        <v>15</v>
      </c>
    </row>
    <row r="5" spans="1:2" x14ac:dyDescent="0.35">
      <c r="B5" s="5" t="s">
        <v>16</v>
      </c>
    </row>
    <row r="6" spans="1:2" x14ac:dyDescent="0.35">
      <c r="B6" s="5">
        <v>2024</v>
      </c>
    </row>
    <row r="7" spans="1:2" x14ac:dyDescent="0.35">
      <c r="B7" s="6" t="s">
        <v>17</v>
      </c>
    </row>
    <row r="8" spans="1:2" ht="43.5" x14ac:dyDescent="0.35">
      <c r="B8" s="5" t="s">
        <v>18</v>
      </c>
    </row>
    <row r="10" spans="1:2" x14ac:dyDescent="0.35">
      <c r="B10" s="4" t="s">
        <v>19</v>
      </c>
    </row>
    <row r="11" spans="1:2" x14ac:dyDescent="0.35">
      <c r="B11" s="5" t="s">
        <v>20</v>
      </c>
    </row>
    <row r="12" spans="1:2" x14ac:dyDescent="0.35">
      <c r="B12" s="5" t="s">
        <v>21</v>
      </c>
    </row>
    <row r="13" spans="1:2" x14ac:dyDescent="0.35">
      <c r="B13" s="5">
        <v>2021</v>
      </c>
    </row>
    <row r="14" spans="1:2" x14ac:dyDescent="0.35">
      <c r="B14" s="6" t="s">
        <v>22</v>
      </c>
    </row>
    <row r="15" spans="1:2" ht="29" x14ac:dyDescent="0.35">
      <c r="B15" s="5" t="s">
        <v>23</v>
      </c>
    </row>
    <row r="17" spans="1:2" x14ac:dyDescent="0.35">
      <c r="B17" s="4" t="s">
        <v>24</v>
      </c>
    </row>
    <row r="18" spans="1:2" x14ac:dyDescent="0.35">
      <c r="B18" s="5" t="s">
        <v>25</v>
      </c>
    </row>
    <row r="19" spans="1:2" x14ac:dyDescent="0.35">
      <c r="B19" s="5" t="s">
        <v>26</v>
      </c>
    </row>
    <row r="20" spans="1:2" x14ac:dyDescent="0.35">
      <c r="B20" s="5">
        <v>2026</v>
      </c>
    </row>
    <row r="21" spans="1:2" x14ac:dyDescent="0.35">
      <c r="B21" s="6" t="s">
        <v>27</v>
      </c>
    </row>
    <row r="22" spans="1:2" ht="43.5" x14ac:dyDescent="0.35">
      <c r="B22" s="5" t="s">
        <v>28</v>
      </c>
    </row>
    <row r="25" spans="1:2" x14ac:dyDescent="0.35">
      <c r="A25" s="2" t="s">
        <v>29</v>
      </c>
    </row>
    <row r="26" spans="1:2" ht="101.5" x14ac:dyDescent="0.35">
      <c r="A26" s="2" t="s">
        <v>30</v>
      </c>
      <c r="B26" s="5" t="s">
        <v>31</v>
      </c>
    </row>
    <row r="27" spans="1:2" ht="58" x14ac:dyDescent="0.35">
      <c r="A27" s="2" t="s">
        <v>32</v>
      </c>
      <c r="B27" s="5" t="s">
        <v>33</v>
      </c>
    </row>
    <row r="28" spans="1:2" ht="43.5" x14ac:dyDescent="0.35">
      <c r="A28" s="2" t="s">
        <v>34</v>
      </c>
      <c r="B28" s="5" t="s">
        <v>35</v>
      </c>
    </row>
  </sheetData>
  <hyperlinks>
    <hyperlink ref="B7" r:id="rId1" xr:uid="{BABE7917-C861-4D1A-8ACF-AB1C5BEC2D37}"/>
    <hyperlink ref="B14" r:id="rId2" xr:uid="{2E7019D4-DDD6-450F-A1CF-795E6DFDAC47}"/>
    <hyperlink ref="B21" r:id="rId3" xr:uid="{4BE6F92F-FC25-4124-9A75-90DA68760F8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4"/>
  <sheetViews>
    <sheetView workbookViewId="0"/>
  </sheetViews>
  <sheetFormatPr defaultRowHeight="14.5" x14ac:dyDescent="0.35"/>
  <cols>
    <col min="1" max="1" width="62" customWidth="1"/>
  </cols>
  <sheetData>
    <row r="1" spans="1:31" x14ac:dyDescent="0.35">
      <c r="A1" s="1" t="s">
        <v>1</v>
      </c>
    </row>
    <row r="3" spans="1:31" x14ac:dyDescent="0.35">
      <c r="A3" s="1" t="s">
        <v>2</v>
      </c>
      <c r="B3">
        <v>2025</v>
      </c>
      <c r="C3">
        <v>2030</v>
      </c>
      <c r="D3">
        <v>2040</v>
      </c>
      <c r="E3">
        <v>2050</v>
      </c>
    </row>
    <row r="4" spans="1:31" x14ac:dyDescent="0.35">
      <c r="A4" t="s">
        <v>3</v>
      </c>
      <c r="B4">
        <v>0</v>
      </c>
      <c r="C4">
        <v>0.4</v>
      </c>
      <c r="D4">
        <v>0.7</v>
      </c>
      <c r="E4">
        <v>1</v>
      </c>
    </row>
    <row r="6" spans="1:31" x14ac:dyDescent="0.35">
      <c r="A6" s="1" t="s">
        <v>4</v>
      </c>
    </row>
    <row r="7" spans="1:31" x14ac:dyDescent="0.35">
      <c r="A7" t="s">
        <v>5</v>
      </c>
      <c r="B7">
        <v>2021</v>
      </c>
      <c r="C7">
        <v>2022</v>
      </c>
      <c r="D7">
        <v>2023</v>
      </c>
      <c r="E7">
        <v>2024</v>
      </c>
      <c r="F7">
        <v>2025</v>
      </c>
      <c r="G7">
        <v>2026</v>
      </c>
      <c r="H7">
        <v>2027</v>
      </c>
      <c r="I7">
        <v>2028</v>
      </c>
      <c r="J7">
        <v>2029</v>
      </c>
      <c r="K7">
        <v>2030</v>
      </c>
      <c r="L7">
        <v>2031</v>
      </c>
      <c r="M7">
        <v>2032</v>
      </c>
      <c r="N7">
        <v>2033</v>
      </c>
      <c r="O7">
        <v>2034</v>
      </c>
      <c r="P7">
        <v>2035</v>
      </c>
      <c r="Q7">
        <v>2036</v>
      </c>
      <c r="R7">
        <v>2037</v>
      </c>
      <c r="S7">
        <v>2038</v>
      </c>
      <c r="T7">
        <v>2039</v>
      </c>
      <c r="U7">
        <v>2040</v>
      </c>
      <c r="V7">
        <v>2041</v>
      </c>
      <c r="W7">
        <v>2042</v>
      </c>
      <c r="X7">
        <v>2043</v>
      </c>
      <c r="Y7">
        <v>2044</v>
      </c>
      <c r="Z7">
        <v>2045</v>
      </c>
      <c r="AA7">
        <v>2046</v>
      </c>
      <c r="AB7">
        <v>2047</v>
      </c>
      <c r="AC7">
        <v>2048</v>
      </c>
      <c r="AD7">
        <v>2049</v>
      </c>
      <c r="AE7">
        <v>2050</v>
      </c>
    </row>
    <row r="8" spans="1:31" x14ac:dyDescent="0.35">
      <c r="A8" t="s">
        <v>6</v>
      </c>
      <c r="B8">
        <f t="shared" ref="B8:AE8" si="0">IF(B7&lt;=$B$3,$B$4,IF(B7&lt;=$C$3,$B$4+($C$4-$B$4)*(B7-$B$3)/($C$3-$B$3),IF(B7&lt;=$D$3,$C$4+($D$4-$C$4)*(B7-$C$3)/($D$3-$C$3),$D$4+($E$4-$D$4)*(B7-$D$3)/($E$3-$D$3))))</f>
        <v>0</v>
      </c>
      <c r="C8">
        <f t="shared" si="0"/>
        <v>0</v>
      </c>
      <c r="D8">
        <f t="shared" si="0"/>
        <v>0</v>
      </c>
      <c r="E8">
        <f t="shared" si="0"/>
        <v>0</v>
      </c>
      <c r="F8">
        <f t="shared" si="0"/>
        <v>0</v>
      </c>
      <c r="G8">
        <f t="shared" si="0"/>
        <v>0.08</v>
      </c>
      <c r="H8">
        <f t="shared" si="0"/>
        <v>0.16</v>
      </c>
      <c r="I8">
        <f t="shared" si="0"/>
        <v>0.24000000000000005</v>
      </c>
      <c r="J8">
        <f t="shared" si="0"/>
        <v>0.32</v>
      </c>
      <c r="K8">
        <f t="shared" si="0"/>
        <v>0.4</v>
      </c>
      <c r="L8">
        <f t="shared" si="0"/>
        <v>0.43</v>
      </c>
      <c r="M8">
        <f t="shared" si="0"/>
        <v>0.46</v>
      </c>
      <c r="N8">
        <f t="shared" si="0"/>
        <v>0.49</v>
      </c>
      <c r="O8">
        <f t="shared" si="0"/>
        <v>0.52</v>
      </c>
      <c r="P8">
        <f t="shared" si="0"/>
        <v>0.55000000000000004</v>
      </c>
      <c r="Q8">
        <f t="shared" si="0"/>
        <v>0.57999999999999996</v>
      </c>
      <c r="R8">
        <f t="shared" si="0"/>
        <v>0.61</v>
      </c>
      <c r="S8">
        <f t="shared" si="0"/>
        <v>0.6399999999999999</v>
      </c>
      <c r="T8">
        <f t="shared" si="0"/>
        <v>0.66999999999999993</v>
      </c>
      <c r="U8">
        <f t="shared" si="0"/>
        <v>0.7</v>
      </c>
      <c r="V8">
        <f t="shared" si="0"/>
        <v>0.73</v>
      </c>
      <c r="W8">
        <f t="shared" si="0"/>
        <v>0.76</v>
      </c>
      <c r="X8">
        <f t="shared" si="0"/>
        <v>0.78999999999999992</v>
      </c>
      <c r="Y8">
        <f t="shared" si="0"/>
        <v>0.82</v>
      </c>
      <c r="Z8">
        <f t="shared" si="0"/>
        <v>0.85</v>
      </c>
      <c r="AA8">
        <f t="shared" si="0"/>
        <v>0.88</v>
      </c>
      <c r="AB8">
        <f t="shared" si="0"/>
        <v>0.91</v>
      </c>
      <c r="AC8">
        <f t="shared" si="0"/>
        <v>0.94</v>
      </c>
      <c r="AD8">
        <f t="shared" si="0"/>
        <v>0.97</v>
      </c>
      <c r="AE8">
        <f t="shared" si="0"/>
        <v>1</v>
      </c>
    </row>
    <row r="10" spans="1:31" x14ac:dyDescent="0.35">
      <c r="A10" s="1" t="s">
        <v>7</v>
      </c>
    </row>
    <row r="11" spans="1:31" x14ac:dyDescent="0.35">
      <c r="A11" t="s">
        <v>5</v>
      </c>
      <c r="B11">
        <v>2030</v>
      </c>
      <c r="C11">
        <v>2035</v>
      </c>
      <c r="D11">
        <v>2040</v>
      </c>
      <c r="E11">
        <v>2050</v>
      </c>
    </row>
    <row r="12" spans="1:31" x14ac:dyDescent="0.35">
      <c r="A12" t="s">
        <v>8</v>
      </c>
      <c r="B12">
        <v>0.82030000000000003</v>
      </c>
      <c r="C12">
        <v>0.81289999999999996</v>
      </c>
      <c r="D12">
        <v>0.8115</v>
      </c>
      <c r="E12">
        <v>0.80940000000000001</v>
      </c>
    </row>
    <row r="13" spans="1:31" x14ac:dyDescent="0.35">
      <c r="A13" t="s">
        <v>9</v>
      </c>
      <c r="B13">
        <f>INDEX($B$8:$AE$8,MATCH(B11,$B$7:$AE$7,0))</f>
        <v>0.4</v>
      </c>
      <c r="C13">
        <f>INDEX($B$8:$AE$8,MATCH(C11,$B$7:$AE$7,0))</f>
        <v>0.55000000000000004</v>
      </c>
      <c r="D13">
        <f>INDEX($B$8:$AE$8,MATCH(D11,$B$7:$AE$7,0))</f>
        <v>0.7</v>
      </c>
      <c r="E13">
        <f>INDEX($B$8:$AE$8,MATCH(E11,$B$7:$AE$7,0))</f>
        <v>1</v>
      </c>
    </row>
    <row r="14" spans="1:31" x14ac:dyDescent="0.35">
      <c r="A14" t="s">
        <v>10</v>
      </c>
      <c r="B14">
        <f>B12-B13*(B12-0.65)</f>
        <v>0.75218000000000007</v>
      </c>
      <c r="C14">
        <f>C12-C13*(C12-0.65)</f>
        <v>0.72330499999999998</v>
      </c>
      <c r="D14">
        <f>D12-D13*(D12-0.65)</f>
        <v>0.69845000000000002</v>
      </c>
      <c r="E14">
        <f>E12-E13*(E12-0.65)</f>
        <v>0.65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AE2"/>
  <sheetViews>
    <sheetView workbookViewId="0"/>
  </sheetViews>
  <sheetFormatPr defaultRowHeight="14.5" x14ac:dyDescent="0.35"/>
  <cols>
    <col min="1" max="1" width="13" customWidth="1"/>
  </cols>
  <sheetData>
    <row r="1" spans="1:31" x14ac:dyDescent="0.35">
      <c r="A1" t="s">
        <v>11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12</v>
      </c>
      <c r="B2">
        <f>Ramp!B8</f>
        <v>0</v>
      </c>
      <c r="C2">
        <f>Ramp!C8</f>
        <v>0</v>
      </c>
      <c r="D2">
        <f>Ramp!D8</f>
        <v>0</v>
      </c>
      <c r="E2">
        <f>Ramp!E8</f>
        <v>0</v>
      </c>
      <c r="F2">
        <f>Ramp!F8</f>
        <v>0</v>
      </c>
      <c r="G2">
        <f>Ramp!G8</f>
        <v>0.08</v>
      </c>
      <c r="H2">
        <f>Ramp!H8</f>
        <v>0.16</v>
      </c>
      <c r="I2">
        <f>Ramp!I8</f>
        <v>0.24000000000000005</v>
      </c>
      <c r="J2">
        <f>Ramp!J8</f>
        <v>0.32</v>
      </c>
      <c r="K2">
        <f>Ramp!K8</f>
        <v>0.4</v>
      </c>
      <c r="L2">
        <f>Ramp!L8</f>
        <v>0.43</v>
      </c>
      <c r="M2">
        <f>Ramp!M8</f>
        <v>0.46</v>
      </c>
      <c r="N2">
        <f>Ramp!N8</f>
        <v>0.49</v>
      </c>
      <c r="O2">
        <f>Ramp!O8</f>
        <v>0.52</v>
      </c>
      <c r="P2">
        <f>Ramp!P8</f>
        <v>0.55000000000000004</v>
      </c>
      <c r="Q2">
        <f>Ramp!Q8</f>
        <v>0.57999999999999996</v>
      </c>
      <c r="R2">
        <f>Ramp!R8</f>
        <v>0.61</v>
      </c>
      <c r="S2">
        <f>Ramp!S8</f>
        <v>0.6399999999999999</v>
      </c>
      <c r="T2">
        <f>Ramp!T8</f>
        <v>0.66999999999999993</v>
      </c>
      <c r="U2">
        <f>Ramp!U8</f>
        <v>0.7</v>
      </c>
      <c r="V2">
        <f>Ramp!V8</f>
        <v>0.73</v>
      </c>
      <c r="W2">
        <f>Ramp!W8</f>
        <v>0.76</v>
      </c>
      <c r="X2">
        <f>Ramp!X8</f>
        <v>0.78999999999999992</v>
      </c>
      <c r="Y2">
        <f>Ramp!Y8</f>
        <v>0.82</v>
      </c>
      <c r="Z2">
        <f>Ramp!Z8</f>
        <v>0.85</v>
      </c>
      <c r="AA2">
        <f>Ramp!AA8</f>
        <v>0.88</v>
      </c>
      <c r="AB2">
        <f>Ramp!AB8</f>
        <v>0.91</v>
      </c>
      <c r="AC2">
        <f>Ramp!AC8</f>
        <v>0.94</v>
      </c>
      <c r="AD2">
        <f>Ramp!AD8</f>
        <v>0.97</v>
      </c>
      <c r="AE2">
        <f>Ramp!AE8</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Ramp</vt:lpstr>
      <vt:lpstr>CSPAbY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2026-10-09T21:34:43Z</dcterms:created>
  <dcterms:modified xsi:type="dcterms:W3CDTF">2026-10-09T21:35:55Z</dcterms:modified>
</cp:coreProperties>
</file>