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CRSW\"/>
    </mc:Choice>
  </mc:AlternateContent>
  <xr:revisionPtr revIDLastSave="0" documentId="13_ncr:1_{22C57854-77DA-4580-B1BB-E6109DD456B1}" xr6:coauthVersionLast="47" xr6:coauthVersionMax="47" xr10:uidLastSave="{00000000-0000-0000-0000-000000000000}"/>
  <bookViews>
    <workbookView xWindow="-120" yWindow="-120" windowWidth="29040" windowHeight="17520" xr2:uid="{00000000-000D-0000-FFFF-FFFF00000000}"/>
  </bookViews>
  <sheets>
    <sheet name="About" sheetId="1" r:id="rId1"/>
    <sheet name="Derivation" sheetId="2" r:id="rId2"/>
    <sheet name="CRSW" sheetId="4"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5" i="4" l="1"/>
  <c r="AD5" i="4"/>
  <c r="AC5" i="4"/>
  <c r="AB5" i="4"/>
  <c r="AA5" i="4"/>
  <c r="Z5" i="4"/>
  <c r="Y5" i="4"/>
  <c r="X5" i="4"/>
  <c r="W5" i="4"/>
  <c r="V5" i="4"/>
  <c r="U5" i="4"/>
  <c r="T5" i="4"/>
  <c r="S5" i="4"/>
  <c r="R5" i="4"/>
  <c r="Q5" i="4"/>
  <c r="P5" i="4"/>
  <c r="O5" i="4"/>
  <c r="N5" i="4"/>
  <c r="M5" i="4"/>
  <c r="L5" i="4"/>
  <c r="K5" i="4"/>
  <c r="J5" i="4"/>
  <c r="I5" i="4"/>
  <c r="H5" i="4"/>
  <c r="G5" i="4"/>
  <c r="F5" i="4"/>
  <c r="E5" i="4"/>
  <c r="D5" i="4"/>
  <c r="C5" i="4"/>
  <c r="B5" i="4"/>
  <c r="AE4" i="4"/>
  <c r="AD4" i="4"/>
  <c r="AC4" i="4"/>
  <c r="AB4" i="4"/>
  <c r="AA4" i="4"/>
  <c r="Z4" i="4"/>
  <c r="Y4" i="4"/>
  <c r="X4" i="4"/>
  <c r="W4" i="4"/>
  <c r="V4" i="4"/>
  <c r="U4" i="4"/>
  <c r="T4" i="4"/>
  <c r="S4" i="4"/>
  <c r="R4" i="4"/>
  <c r="Q4" i="4"/>
  <c r="P4" i="4"/>
  <c r="O4" i="4"/>
  <c r="N4" i="4"/>
  <c r="M4" i="4"/>
  <c r="L4" i="4"/>
  <c r="K4" i="4"/>
  <c r="J4" i="4"/>
  <c r="I4" i="4"/>
  <c r="H4" i="4"/>
  <c r="G4" i="4"/>
  <c r="F4" i="4"/>
  <c r="E4" i="4"/>
  <c r="D4" i="4"/>
  <c r="C4" i="4"/>
  <c r="B4" i="4"/>
  <c r="AE3" i="4"/>
  <c r="AD3" i="4"/>
  <c r="AC3" i="4"/>
  <c r="AB3" i="4"/>
  <c r="AA3" i="4"/>
  <c r="Z3" i="4"/>
  <c r="Y3" i="4"/>
  <c r="X3" i="4"/>
  <c r="W3" i="4"/>
  <c r="V3" i="4"/>
  <c r="U3" i="4"/>
  <c r="T3" i="4"/>
  <c r="S3" i="4"/>
  <c r="R3" i="4"/>
  <c r="Q3" i="4"/>
  <c r="P3" i="4"/>
  <c r="O3" i="4"/>
  <c r="N3" i="4"/>
  <c r="M3" i="4"/>
  <c r="L3" i="4"/>
  <c r="K3" i="4"/>
  <c r="J3" i="4"/>
  <c r="I3" i="4"/>
  <c r="H3" i="4"/>
  <c r="G3" i="4"/>
  <c r="F3" i="4"/>
  <c r="E3" i="4"/>
  <c r="D3" i="4"/>
  <c r="C3" i="4"/>
  <c r="B3" i="4"/>
  <c r="AE2" i="4"/>
  <c r="AD2" i="4"/>
  <c r="AC2" i="4"/>
  <c r="AB2" i="4"/>
  <c r="AA2" i="4"/>
  <c r="Z2" i="4"/>
  <c r="Y2" i="4"/>
  <c r="X2" i="4"/>
  <c r="W2" i="4"/>
  <c r="V2" i="4"/>
  <c r="U2" i="4"/>
  <c r="T2" i="4"/>
  <c r="S2" i="4"/>
  <c r="R2" i="4"/>
  <c r="Q2" i="4"/>
  <c r="P2" i="4"/>
  <c r="O2" i="4"/>
  <c r="N2" i="4"/>
  <c r="M2" i="4"/>
  <c r="L2" i="4"/>
  <c r="K2" i="4"/>
  <c r="J2" i="4"/>
  <c r="I2" i="4"/>
  <c r="H2" i="4"/>
  <c r="G2" i="4"/>
  <c r="F2" i="4"/>
  <c r="E2" i="4"/>
  <c r="D2" i="4"/>
  <c r="C2" i="4"/>
  <c r="B2" i="4"/>
</calcChain>
</file>

<file path=xl/sharedStrings.xml><?xml version="1.0" encoding="utf-8"?>
<sst xmlns="http://schemas.openxmlformats.org/spreadsheetml/2006/main" count="27" uniqueCount="27">
  <si>
    <t>CRSW Cement Overhaul Shareweight</t>
  </si>
  <si>
    <t>Sources:</t>
  </si>
  <si>
    <t>Notes:</t>
  </si>
  <si>
    <t>Calibration weight (flat time series)</t>
  </si>
  <si>
    <t>Cement Overhaul Shareweight (all pathways and years; calibrated value)</t>
  </si>
  <si>
    <t>Calibration target: average overhaul share of dry-kiln capacity reaching a decision, 2026-2050, in the BAU run (target 0.485; result at this weight)</t>
  </si>
  <si>
    <t>dry kiln with precalciner</t>
  </si>
  <si>
    <t>dry kiln with CCS</t>
  </si>
  <si>
    <t>electric kiln</t>
  </si>
  <si>
    <t>alternative chemistry cement</t>
  </si>
  <si>
    <t>Fleet age used as the calibration check</t>
  </si>
  <si>
    <t>Portland Cement Association (PCA)</t>
  </si>
  <si>
    <t>U.S. cement kiln fleet age statistics</t>
  </si>
  <si>
    <t>(no public link)</t>
  </si>
  <si>
    <t>The calibration is compared with a U.S. fleet mean operating age of about 36 years, attributed to PCA (2019).</t>
  </si>
  <si>
    <t>Campaign length used in the calibration</t>
  </si>
  <si>
    <t>EPS input file</t>
  </si>
  <si>
    <t>CPPL, Cement Pathway Campaign Length (another EPS input file)</t>
  </si>
  <si>
    <t>InputData/indst/_cement/CPPL (EPS input file)</t>
  </si>
  <si>
    <t>A campaign length of 25 years, the average time between overhaul decisions. The mean retirement age that the weight produces depends on this value, so the weight should be re-checked if CPPL changes.</t>
  </si>
  <si>
    <t>Purpose and layout</t>
  </si>
  <si>
    <t>When a kiln reaches an overhaul-or-replace decision, the EPS cement module compares the annualized cost of overhauling it with the annualized cost of building a new kiln, and splits the decision between the two using a cost-based share. This file multiplies the overhaul side of that split by a calibration weight. It stands in for reasons existing kilns stay in service that costs alone do not capture: the plant's integration with its site, its location next to a limestone quarry, and the permitting difficulty of a replacement. A smaller weight favors replacement; a larger one favors overhaul.
The 'Derivation' tab holds the weight and the calibration target and result; it is the one place to change the value. The 'CRSW' tab has one row per pathway, each reading the weight by formula, and is what gets exported to CRSW.csv.</t>
  </si>
  <si>
    <t>U.S. values</t>
  </si>
  <si>
    <t>The weight is 0.129678, the same for all four pathways and every year. It is a calibration setting, not a market observation. We chose it so that, in the business-as-usual run, the average overhaul share of dry kiln capacity reaching a decision over 2026-2050 is about 0.485 (the model result is 0.4857). That corresponds to kilns retiring at a mean age of roughly 49 years with a 25-year campaign length, which we judge a reasonable match to the long lives of U.S. kilns; for comparison, the fleet's mean operating age is about 36 years. The target share is our judgment.</t>
  </si>
  <si>
    <t>Keeping it in step with other inputs</t>
  </si>
  <si>
    <t>The right weight depends on the cost comparison it multiplies, so it should be re-solved if the capital costs of new kilns or overhauls (CPCC and CRCC), the campaign length (CPPL), or the fuel and technology choice settings change. The other three pathways use the same weight as the dry kiln; the calibration only constrains the dry kiln, so that is also our judgment. With the default CCS subsidy (a 45Q-type credit), the business-as-usual run builds some CCS kilns from about 2030, because the subsidy exceeds the cost of capture, transport, storage, and energy; this affects which replacement choices the weight acts on.</t>
  </si>
  <si>
    <t>Unit: dimensionless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</si>
</sst>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b/>
      <sz val="11"/>
      <color theme="1"/>
      <name val="Calibri"/>
      <family val="2"/>
      <scheme val="minor"/>
    </font>
  </fonts>
  <fills count="3">
    <fill>
      <patternFill patternType="none"/>
    </fill>
    <fill>
      <patternFill patternType="gray125"/>
    </fill>
    <fill>
      <patternFill patternType="solid">
        <fgColor rgb="FFD9D9D9"/>
        <bgColor indexed="64"/>
      </patternFill>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2" fillId="0" borderId="0" xfId="0" applyFont="1" applyAlignment="1">
      <alignment horizontal="left" vertical="top" wrapText="1"/>
    </xf>
    <xf numFmtId="0" fontId="2" fillId="0" borderId="0" xfId="0" applyFont="1" applyAlignment="1">
      <alignment horizontal="left" vertical="top"/>
    </xf>
    <xf numFmtId="0" fontId="2" fillId="2" borderId="0" xfId="0" applyFont="1" applyFill="1" applyAlignment="1">
      <alignment horizontal="left" vertical="top" wrapText="1"/>
    </xf>
    <xf numFmtId="0" fontId="0" fillId="0" borderId="0" xfId="0"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1"/>
  <sheetViews>
    <sheetView tabSelected="1" workbookViewId="0"/>
  </sheetViews>
  <sheetFormatPr defaultRowHeight="15" x14ac:dyDescent="0.25"/>
  <cols>
    <col min="1" max="1" width="14.7109375" customWidth="1"/>
    <col min="2" max="2" width="110.7109375" customWidth="1"/>
    <col min="3" max="3" width="3.7109375" customWidth="1"/>
  </cols>
  <sheetData>
    <row r="1" spans="1:2" x14ac:dyDescent="0.25">
      <c r="A1" s="3" t="s">
        <v>0</v>
      </c>
    </row>
    <row r="3" spans="1:2" x14ac:dyDescent="0.25">
      <c r="A3" s="2" t="s">
        <v>1</v>
      </c>
      <c r="B3" s="4" t="s">
        <v>10</v>
      </c>
    </row>
    <row r="4" spans="1:2" x14ac:dyDescent="0.25">
      <c r="B4" s="5" t="s">
        <v>11</v>
      </c>
    </row>
    <row r="5" spans="1:2" x14ac:dyDescent="0.25">
      <c r="B5" s="5" t="s">
        <v>12</v>
      </c>
    </row>
    <row r="6" spans="1:2" x14ac:dyDescent="0.25">
      <c r="B6" s="5">
        <v>2019</v>
      </c>
    </row>
    <row r="7" spans="1:2" x14ac:dyDescent="0.25">
      <c r="B7" s="5" t="s">
        <v>13</v>
      </c>
    </row>
    <row r="8" spans="1:2" x14ac:dyDescent="0.25">
      <c r="B8" s="5" t="s">
        <v>14</v>
      </c>
    </row>
    <row r="10" spans="1:2" x14ac:dyDescent="0.25">
      <c r="B10" s="4" t="s">
        <v>15</v>
      </c>
    </row>
    <row r="11" spans="1:2" x14ac:dyDescent="0.25">
      <c r="B11" s="5" t="s">
        <v>16</v>
      </c>
    </row>
    <row r="12" spans="1:2" x14ac:dyDescent="0.25">
      <c r="B12" s="5" t="s">
        <v>17</v>
      </c>
    </row>
    <row r="13" spans="1:2" x14ac:dyDescent="0.25">
      <c r="B13" s="5">
        <v>2026</v>
      </c>
    </row>
    <row r="14" spans="1:2" x14ac:dyDescent="0.25">
      <c r="B14" s="5" t="s">
        <v>18</v>
      </c>
    </row>
    <row r="15" spans="1:2" ht="30" x14ac:dyDescent="0.25">
      <c r="B15" s="5" t="s">
        <v>19</v>
      </c>
    </row>
    <row r="18" spans="1:2" x14ac:dyDescent="0.25">
      <c r="A18" s="2" t="s">
        <v>2</v>
      </c>
    </row>
    <row r="19" spans="1:2" ht="135" x14ac:dyDescent="0.25">
      <c r="A19" s="2" t="s">
        <v>20</v>
      </c>
      <c r="B19" s="5" t="s">
        <v>21</v>
      </c>
    </row>
    <row r="20" spans="1:2" ht="75" x14ac:dyDescent="0.25">
      <c r="A20" s="2" t="s">
        <v>22</v>
      </c>
      <c r="B20" s="5" t="s">
        <v>23</v>
      </c>
    </row>
    <row r="21" spans="1:2" ht="90" x14ac:dyDescent="0.25">
      <c r="A21" s="2" t="s">
        <v>24</v>
      </c>
      <c r="B21" s="5" t="s">
        <v>25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
  <sheetViews>
    <sheetView workbookViewId="0"/>
  </sheetViews>
  <sheetFormatPr defaultRowHeight="15" x14ac:dyDescent="0.25"/>
  <sheetData>
    <row r="1" spans="1:2" x14ac:dyDescent="0.25">
      <c r="A1" s="1" t="s">
        <v>3</v>
      </c>
    </row>
    <row r="3" spans="1:2" x14ac:dyDescent="0.25">
      <c r="A3" t="s">
        <v>4</v>
      </c>
      <c r="B3">
        <v>0.12967799999999999</v>
      </c>
    </row>
    <row r="5" spans="1:2" x14ac:dyDescent="0.25">
      <c r="A5" t="s">
        <v>5</v>
      </c>
      <c r="B5">
        <v>0.48570000000000002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sheetPr>
  <dimension ref="A1:AE5"/>
  <sheetViews>
    <sheetView workbookViewId="0"/>
  </sheetViews>
  <sheetFormatPr defaultRowHeight="15" x14ac:dyDescent="0.25"/>
  <sheetData>
    <row r="1" spans="1:31" x14ac:dyDescent="0.25">
      <c r="A1" t="s">
        <v>26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6</v>
      </c>
      <c r="B2">
        <f>Derivation!$B$3</f>
        <v>0.12967799999999999</v>
      </c>
      <c r="C2">
        <f>Derivation!$B$3</f>
        <v>0.12967799999999999</v>
      </c>
      <c r="D2">
        <f>Derivation!$B$3</f>
        <v>0.12967799999999999</v>
      </c>
      <c r="E2">
        <f>Derivation!$B$3</f>
        <v>0.12967799999999999</v>
      </c>
      <c r="F2">
        <f>Derivation!$B$3</f>
        <v>0.12967799999999999</v>
      </c>
      <c r="G2">
        <f>Derivation!$B$3</f>
        <v>0.12967799999999999</v>
      </c>
      <c r="H2">
        <f>Derivation!$B$3</f>
        <v>0.12967799999999999</v>
      </c>
      <c r="I2">
        <f>Derivation!$B$3</f>
        <v>0.12967799999999999</v>
      </c>
      <c r="J2">
        <f>Derivation!$B$3</f>
        <v>0.12967799999999999</v>
      </c>
      <c r="K2">
        <f>Derivation!$B$3</f>
        <v>0.12967799999999999</v>
      </c>
      <c r="L2">
        <f>Derivation!$B$3</f>
        <v>0.12967799999999999</v>
      </c>
      <c r="M2">
        <f>Derivation!$B$3</f>
        <v>0.12967799999999999</v>
      </c>
      <c r="N2">
        <f>Derivation!$B$3</f>
        <v>0.12967799999999999</v>
      </c>
      <c r="O2">
        <f>Derivation!$B$3</f>
        <v>0.12967799999999999</v>
      </c>
      <c r="P2">
        <f>Derivation!$B$3</f>
        <v>0.12967799999999999</v>
      </c>
      <c r="Q2">
        <f>Derivation!$B$3</f>
        <v>0.12967799999999999</v>
      </c>
      <c r="R2">
        <f>Derivation!$B$3</f>
        <v>0.12967799999999999</v>
      </c>
      <c r="S2">
        <f>Derivation!$B$3</f>
        <v>0.12967799999999999</v>
      </c>
      <c r="T2">
        <f>Derivation!$B$3</f>
        <v>0.12967799999999999</v>
      </c>
      <c r="U2">
        <f>Derivation!$B$3</f>
        <v>0.12967799999999999</v>
      </c>
      <c r="V2">
        <f>Derivation!$B$3</f>
        <v>0.12967799999999999</v>
      </c>
      <c r="W2">
        <f>Derivation!$B$3</f>
        <v>0.12967799999999999</v>
      </c>
      <c r="X2">
        <f>Derivation!$B$3</f>
        <v>0.12967799999999999</v>
      </c>
      <c r="Y2">
        <f>Derivation!$B$3</f>
        <v>0.12967799999999999</v>
      </c>
      <c r="Z2">
        <f>Derivation!$B$3</f>
        <v>0.12967799999999999</v>
      </c>
      <c r="AA2">
        <f>Derivation!$B$3</f>
        <v>0.12967799999999999</v>
      </c>
      <c r="AB2">
        <f>Derivation!$B$3</f>
        <v>0.12967799999999999</v>
      </c>
      <c r="AC2">
        <f>Derivation!$B$3</f>
        <v>0.12967799999999999</v>
      </c>
      <c r="AD2">
        <f>Derivation!$B$3</f>
        <v>0.12967799999999999</v>
      </c>
      <c r="AE2">
        <f>Derivation!$B$3</f>
        <v>0.12967799999999999</v>
      </c>
    </row>
    <row r="3" spans="1:31" x14ac:dyDescent="0.25">
      <c r="A3" t="s">
        <v>7</v>
      </c>
      <c r="B3">
        <f>Derivation!$B$3</f>
        <v>0.12967799999999999</v>
      </c>
      <c r="C3">
        <f>Derivation!$B$3</f>
        <v>0.12967799999999999</v>
      </c>
      <c r="D3">
        <f>Derivation!$B$3</f>
        <v>0.12967799999999999</v>
      </c>
      <c r="E3">
        <f>Derivation!$B$3</f>
        <v>0.12967799999999999</v>
      </c>
      <c r="F3">
        <f>Derivation!$B$3</f>
        <v>0.12967799999999999</v>
      </c>
      <c r="G3">
        <f>Derivation!$B$3</f>
        <v>0.12967799999999999</v>
      </c>
      <c r="H3">
        <f>Derivation!$B$3</f>
        <v>0.12967799999999999</v>
      </c>
      <c r="I3">
        <f>Derivation!$B$3</f>
        <v>0.12967799999999999</v>
      </c>
      <c r="J3">
        <f>Derivation!$B$3</f>
        <v>0.12967799999999999</v>
      </c>
      <c r="K3">
        <f>Derivation!$B$3</f>
        <v>0.12967799999999999</v>
      </c>
      <c r="L3">
        <f>Derivation!$B$3</f>
        <v>0.12967799999999999</v>
      </c>
      <c r="M3">
        <f>Derivation!$B$3</f>
        <v>0.12967799999999999</v>
      </c>
      <c r="N3">
        <f>Derivation!$B$3</f>
        <v>0.12967799999999999</v>
      </c>
      <c r="O3">
        <f>Derivation!$B$3</f>
        <v>0.12967799999999999</v>
      </c>
      <c r="P3">
        <f>Derivation!$B$3</f>
        <v>0.12967799999999999</v>
      </c>
      <c r="Q3">
        <f>Derivation!$B$3</f>
        <v>0.12967799999999999</v>
      </c>
      <c r="R3">
        <f>Derivation!$B$3</f>
        <v>0.12967799999999999</v>
      </c>
      <c r="S3">
        <f>Derivation!$B$3</f>
        <v>0.12967799999999999</v>
      </c>
      <c r="T3">
        <f>Derivation!$B$3</f>
        <v>0.12967799999999999</v>
      </c>
      <c r="U3">
        <f>Derivation!$B$3</f>
        <v>0.12967799999999999</v>
      </c>
      <c r="V3">
        <f>Derivation!$B$3</f>
        <v>0.12967799999999999</v>
      </c>
      <c r="W3">
        <f>Derivation!$B$3</f>
        <v>0.12967799999999999</v>
      </c>
      <c r="X3">
        <f>Derivation!$B$3</f>
        <v>0.12967799999999999</v>
      </c>
      <c r="Y3">
        <f>Derivation!$B$3</f>
        <v>0.12967799999999999</v>
      </c>
      <c r="Z3">
        <f>Derivation!$B$3</f>
        <v>0.12967799999999999</v>
      </c>
      <c r="AA3">
        <f>Derivation!$B$3</f>
        <v>0.12967799999999999</v>
      </c>
      <c r="AB3">
        <f>Derivation!$B$3</f>
        <v>0.12967799999999999</v>
      </c>
      <c r="AC3">
        <f>Derivation!$B$3</f>
        <v>0.12967799999999999</v>
      </c>
      <c r="AD3">
        <f>Derivation!$B$3</f>
        <v>0.12967799999999999</v>
      </c>
      <c r="AE3">
        <f>Derivation!$B$3</f>
        <v>0.12967799999999999</v>
      </c>
    </row>
    <row r="4" spans="1:31" x14ac:dyDescent="0.25">
      <c r="A4" t="s">
        <v>8</v>
      </c>
      <c r="B4">
        <f>Derivation!$B$3</f>
        <v>0.12967799999999999</v>
      </c>
      <c r="C4">
        <f>Derivation!$B$3</f>
        <v>0.12967799999999999</v>
      </c>
      <c r="D4">
        <f>Derivation!$B$3</f>
        <v>0.12967799999999999</v>
      </c>
      <c r="E4">
        <f>Derivation!$B$3</f>
        <v>0.12967799999999999</v>
      </c>
      <c r="F4">
        <f>Derivation!$B$3</f>
        <v>0.12967799999999999</v>
      </c>
      <c r="G4">
        <f>Derivation!$B$3</f>
        <v>0.12967799999999999</v>
      </c>
      <c r="H4">
        <f>Derivation!$B$3</f>
        <v>0.12967799999999999</v>
      </c>
      <c r="I4">
        <f>Derivation!$B$3</f>
        <v>0.12967799999999999</v>
      </c>
      <c r="J4">
        <f>Derivation!$B$3</f>
        <v>0.12967799999999999</v>
      </c>
      <c r="K4">
        <f>Derivation!$B$3</f>
        <v>0.12967799999999999</v>
      </c>
      <c r="L4">
        <f>Derivation!$B$3</f>
        <v>0.12967799999999999</v>
      </c>
      <c r="M4">
        <f>Derivation!$B$3</f>
        <v>0.12967799999999999</v>
      </c>
      <c r="N4">
        <f>Derivation!$B$3</f>
        <v>0.12967799999999999</v>
      </c>
      <c r="O4">
        <f>Derivation!$B$3</f>
        <v>0.12967799999999999</v>
      </c>
      <c r="P4">
        <f>Derivation!$B$3</f>
        <v>0.12967799999999999</v>
      </c>
      <c r="Q4">
        <f>Derivation!$B$3</f>
        <v>0.12967799999999999</v>
      </c>
      <c r="R4">
        <f>Derivation!$B$3</f>
        <v>0.12967799999999999</v>
      </c>
      <c r="S4">
        <f>Derivation!$B$3</f>
        <v>0.12967799999999999</v>
      </c>
      <c r="T4">
        <f>Derivation!$B$3</f>
        <v>0.12967799999999999</v>
      </c>
      <c r="U4">
        <f>Derivation!$B$3</f>
        <v>0.12967799999999999</v>
      </c>
      <c r="V4">
        <f>Derivation!$B$3</f>
        <v>0.12967799999999999</v>
      </c>
      <c r="W4">
        <f>Derivation!$B$3</f>
        <v>0.12967799999999999</v>
      </c>
      <c r="X4">
        <f>Derivation!$B$3</f>
        <v>0.12967799999999999</v>
      </c>
      <c r="Y4">
        <f>Derivation!$B$3</f>
        <v>0.12967799999999999</v>
      </c>
      <c r="Z4">
        <f>Derivation!$B$3</f>
        <v>0.12967799999999999</v>
      </c>
      <c r="AA4">
        <f>Derivation!$B$3</f>
        <v>0.12967799999999999</v>
      </c>
      <c r="AB4">
        <f>Derivation!$B$3</f>
        <v>0.12967799999999999</v>
      </c>
      <c r="AC4">
        <f>Derivation!$B$3</f>
        <v>0.12967799999999999</v>
      </c>
      <c r="AD4">
        <f>Derivation!$B$3</f>
        <v>0.12967799999999999</v>
      </c>
      <c r="AE4">
        <f>Derivation!$B$3</f>
        <v>0.12967799999999999</v>
      </c>
    </row>
    <row r="5" spans="1:31" x14ac:dyDescent="0.25">
      <c r="A5" t="s">
        <v>9</v>
      </c>
      <c r="B5">
        <f>Derivation!$B$3</f>
        <v>0.12967799999999999</v>
      </c>
      <c r="C5">
        <f>Derivation!$B$3</f>
        <v>0.12967799999999999</v>
      </c>
      <c r="D5">
        <f>Derivation!$B$3</f>
        <v>0.12967799999999999</v>
      </c>
      <c r="E5">
        <f>Derivation!$B$3</f>
        <v>0.12967799999999999</v>
      </c>
      <c r="F5">
        <f>Derivation!$B$3</f>
        <v>0.12967799999999999</v>
      </c>
      <c r="G5">
        <f>Derivation!$B$3</f>
        <v>0.12967799999999999</v>
      </c>
      <c r="H5">
        <f>Derivation!$B$3</f>
        <v>0.12967799999999999</v>
      </c>
      <c r="I5">
        <f>Derivation!$B$3</f>
        <v>0.12967799999999999</v>
      </c>
      <c r="J5">
        <f>Derivation!$B$3</f>
        <v>0.12967799999999999</v>
      </c>
      <c r="K5">
        <f>Derivation!$B$3</f>
        <v>0.12967799999999999</v>
      </c>
      <c r="L5">
        <f>Derivation!$B$3</f>
        <v>0.12967799999999999</v>
      </c>
      <c r="M5">
        <f>Derivation!$B$3</f>
        <v>0.12967799999999999</v>
      </c>
      <c r="N5">
        <f>Derivation!$B$3</f>
        <v>0.12967799999999999</v>
      </c>
      <c r="O5">
        <f>Derivation!$B$3</f>
        <v>0.12967799999999999</v>
      </c>
      <c r="P5">
        <f>Derivation!$B$3</f>
        <v>0.12967799999999999</v>
      </c>
      <c r="Q5">
        <f>Derivation!$B$3</f>
        <v>0.12967799999999999</v>
      </c>
      <c r="R5">
        <f>Derivation!$B$3</f>
        <v>0.12967799999999999</v>
      </c>
      <c r="S5">
        <f>Derivation!$B$3</f>
        <v>0.12967799999999999</v>
      </c>
      <c r="T5">
        <f>Derivation!$B$3</f>
        <v>0.12967799999999999</v>
      </c>
      <c r="U5">
        <f>Derivation!$B$3</f>
        <v>0.12967799999999999</v>
      </c>
      <c r="V5">
        <f>Derivation!$B$3</f>
        <v>0.12967799999999999</v>
      </c>
      <c r="W5">
        <f>Derivation!$B$3</f>
        <v>0.12967799999999999</v>
      </c>
      <c r="X5">
        <f>Derivation!$B$3</f>
        <v>0.12967799999999999</v>
      </c>
      <c r="Y5">
        <f>Derivation!$B$3</f>
        <v>0.12967799999999999</v>
      </c>
      <c r="Z5">
        <f>Derivation!$B$3</f>
        <v>0.12967799999999999</v>
      </c>
      <c r="AA5">
        <f>Derivation!$B$3</f>
        <v>0.12967799999999999</v>
      </c>
      <c r="AB5">
        <f>Derivation!$B$3</f>
        <v>0.12967799999999999</v>
      </c>
      <c r="AC5">
        <f>Derivation!$B$3</f>
        <v>0.12967799999999999</v>
      </c>
      <c r="AD5">
        <f>Derivation!$B$3</f>
        <v>0.12967799999999999</v>
      </c>
      <c r="AE5">
        <f>Derivation!$B$3</f>
        <v>0.12967799999999999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About</vt:lpstr>
      <vt:lpstr>Derivation</vt:lpstr>
      <vt:lpstr>CRSW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2026-08-26T11:48:09Z</dcterms:created>
  <dcterms:modified xsi:type="dcterms:W3CDTF">2026-10-05T17:22:12Z</dcterms:modified>
</cp:coreProperties>
</file>