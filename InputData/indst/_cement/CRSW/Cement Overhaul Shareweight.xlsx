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RSW\"/>
    </mc:Choice>
  </mc:AlternateContent>
  <xr:revisionPtr revIDLastSave="0" documentId="13_ncr:1_{087D576D-CAF4-460E-B079-F94AFD7B4621}" xr6:coauthVersionLast="47" xr6:coauthVersionMax="47" xr10:uidLastSave="{00000000-0000-0000-0000-000000000000}"/>
  <bookViews>
    <workbookView xWindow="3510" yWindow="3510" windowWidth="21600" windowHeight="12525" xr2:uid="{00000000-000D-0000-FFFF-FFFF00000000}"/>
  </bookViews>
  <sheets>
    <sheet name="About" sheetId="1" r:id="rId1"/>
    <sheet name="Derivation" sheetId="2" r:id="rId2"/>
    <sheet name="CRSW"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6" i="4" l="1"/>
  <c r="AD6" i="4"/>
  <c r="AC6" i="4"/>
  <c r="AB6" i="4"/>
  <c r="AA6" i="4"/>
  <c r="Z6" i="4"/>
  <c r="Y6" i="4"/>
  <c r="X6" i="4"/>
  <c r="W6" i="4"/>
  <c r="V6" i="4"/>
  <c r="U6" i="4"/>
  <c r="T6" i="4"/>
  <c r="S6" i="4"/>
  <c r="R6" i="4"/>
  <c r="Q6" i="4"/>
  <c r="P6" i="4"/>
  <c r="O6" i="4"/>
  <c r="N6" i="4"/>
  <c r="M6" i="4"/>
  <c r="L6" i="4"/>
  <c r="K6" i="4"/>
  <c r="J6" i="4"/>
  <c r="I6" i="4"/>
  <c r="H6" i="4"/>
  <c r="G6" i="4"/>
  <c r="F6" i="4"/>
  <c r="E6" i="4"/>
  <c r="D6" i="4"/>
  <c r="C6" i="4"/>
  <c r="B6" i="4"/>
  <c r="AE4" i="4"/>
  <c r="AE5" i="4" s="1"/>
  <c r="AD4" i="4"/>
  <c r="AD5" i="4" s="1"/>
  <c r="AC4" i="4"/>
  <c r="AC5" i="4" s="1"/>
  <c r="AB4" i="4"/>
  <c r="AB5" i="4" s="1"/>
  <c r="AA4" i="4"/>
  <c r="AA5" i="4" s="1"/>
  <c r="Z4" i="4"/>
  <c r="Z5" i="4" s="1"/>
  <c r="Y4" i="4"/>
  <c r="Y5" i="4" s="1"/>
  <c r="X4" i="4"/>
  <c r="X5" i="4" s="1"/>
  <c r="W4" i="4"/>
  <c r="W5" i="4" s="1"/>
  <c r="V4" i="4"/>
  <c r="V5" i="4" s="1"/>
  <c r="U4" i="4"/>
  <c r="U5" i="4" s="1"/>
  <c r="T4" i="4"/>
  <c r="T5" i="4" s="1"/>
  <c r="S4" i="4"/>
  <c r="S5" i="4" s="1"/>
  <c r="R4" i="4"/>
  <c r="R5" i="4" s="1"/>
  <c r="Q4" i="4"/>
  <c r="Q5" i="4" s="1"/>
  <c r="P4" i="4"/>
  <c r="P5" i="4" s="1"/>
  <c r="O4" i="4"/>
  <c r="O5" i="4" s="1"/>
  <c r="N4" i="4"/>
  <c r="N5" i="4" s="1"/>
  <c r="M4" i="4"/>
  <c r="M5" i="4" s="1"/>
  <c r="L4" i="4"/>
  <c r="L5" i="4" s="1"/>
  <c r="K4" i="4"/>
  <c r="K5" i="4" s="1"/>
  <c r="J4" i="4"/>
  <c r="J5" i="4" s="1"/>
  <c r="I4" i="4"/>
  <c r="I5" i="4" s="1"/>
  <c r="H4" i="4"/>
  <c r="H5" i="4" s="1"/>
  <c r="G4" i="4"/>
  <c r="G5" i="4" s="1"/>
  <c r="F4" i="4"/>
  <c r="F5" i="4" s="1"/>
  <c r="E4" i="4"/>
  <c r="E5" i="4" s="1"/>
  <c r="D4" i="4"/>
  <c r="D5" i="4" s="1"/>
  <c r="C4" i="4"/>
  <c r="C5" i="4" s="1"/>
  <c r="B4" i="4"/>
  <c r="B5" i="4" s="1"/>
  <c r="AE3" i="4"/>
  <c r="AD3" i="4"/>
  <c r="AC3" i="4"/>
  <c r="AB3" i="4"/>
  <c r="AA3" i="4"/>
  <c r="Z3" i="4"/>
  <c r="Y3" i="4"/>
  <c r="X3" i="4"/>
  <c r="W3" i="4"/>
  <c r="V3" i="4"/>
  <c r="U3" i="4"/>
  <c r="T3" i="4"/>
  <c r="S3" i="4"/>
  <c r="R3" i="4"/>
  <c r="Q3" i="4"/>
  <c r="P3" i="4"/>
  <c r="O3" i="4"/>
  <c r="N3" i="4"/>
  <c r="M3" i="4"/>
  <c r="L3" i="4"/>
  <c r="K3" i="4"/>
  <c r="J3" i="4"/>
  <c r="I3" i="4"/>
  <c r="H3" i="4"/>
  <c r="G3" i="4"/>
  <c r="F3" i="4"/>
  <c r="E3" i="4"/>
  <c r="D3" i="4"/>
  <c r="C3" i="4"/>
  <c r="B3" i="4"/>
  <c r="AE2" i="4"/>
  <c r="AD2" i="4"/>
  <c r="AC2" i="4"/>
  <c r="AB2" i="4"/>
  <c r="AA2" i="4"/>
  <c r="Z2" i="4"/>
  <c r="Y2" i="4"/>
  <c r="X2" i="4"/>
  <c r="W2" i="4"/>
  <c r="V2" i="4"/>
  <c r="U2" i="4"/>
  <c r="T2" i="4"/>
  <c r="S2" i="4"/>
  <c r="R2" i="4"/>
  <c r="Q2" i="4"/>
  <c r="P2" i="4"/>
  <c r="O2" i="4"/>
  <c r="N2" i="4"/>
  <c r="M2" i="4"/>
  <c r="L2" i="4"/>
  <c r="K2" i="4"/>
  <c r="J2" i="4"/>
  <c r="I2" i="4"/>
  <c r="H2" i="4"/>
  <c r="G2" i="4"/>
  <c r="F2" i="4"/>
  <c r="E2" i="4"/>
  <c r="D2" i="4"/>
  <c r="C2" i="4"/>
  <c r="B2" i="4"/>
</calcChain>
</file>

<file path=xl/sharedStrings.xml><?xml version="1.0" encoding="utf-8"?>
<sst xmlns="http://schemas.openxmlformats.org/spreadsheetml/2006/main" count="40" uniqueCount="40">
  <si>
    <t>CRSW Cement Overhaul Shareweight</t>
  </si>
  <si>
    <t>Sources:</t>
  </si>
  <si>
    <t>Notes:</t>
  </si>
  <si>
    <t>Calibration weight (flat time series)</t>
  </si>
  <si>
    <t>Cement Overhaul Shareweight (all pathways and years; calibrated value)</t>
  </si>
  <si>
    <t>Calibration target: average overhaul share of dry-kiln capacity reaching a decision, 2026-2050, in the BAU run (target 0.485; result at this weight)</t>
  </si>
  <si>
    <t>dry kiln with precalciner</t>
  </si>
  <si>
    <t>dry kiln with CCS</t>
  </si>
  <si>
    <t>electric kiln</t>
  </si>
  <si>
    <t>alternative chemistry cement</t>
  </si>
  <si>
    <t>Campaign length used in the calibration</t>
  </si>
  <si>
    <t>EPS input file</t>
  </si>
  <si>
    <t>CPPL, Cement Pathway Campaign Length (another EPS input file)</t>
  </si>
  <si>
    <t>InputData/indst/_cement/CPPL (EPS input file)</t>
  </si>
  <si>
    <t>Purpose and layout</t>
  </si>
  <si>
    <t>When a kiln reaches an overhaul-or-replace decision, the EPS cement module compares the annualized cost of overhauling it with the annualized cost of building a new kiln, and splits the decision between the two using a cost-based share. This file multiplies the overhaul side of that split by a calibration weight. It stands in for reasons existing kilns stay in service that costs alone do not capture: the plant's integration with its site, its location next to a limestone quarry, and the permitting difficulty of a replacement. A smaller weight favors replacement; a larger one favors overhaul.
The 'Derivation' tab holds the weight and the calibration target and result; it is the one place to change the value. The 'CRSW' tab has one row per pathway, each reading the weight by formula, and is what gets exported to CRSW.csv.</t>
  </si>
  <si>
    <t>U.S. values</t>
  </si>
  <si>
    <t>Keeping it in step with other inputs</t>
  </si>
  <si>
    <t>Unit: dimensionless</t>
  </si>
  <si>
    <t>U.S. kiln fleet age</t>
  </si>
  <si>
    <t>Princeton University, Net-Zero America project</t>
  </si>
  <si>
    <t>Net-Zero America, Annex K (Cement industry), p. 22</t>
  </si>
  <si>
    <t>https://netzeroamerica.princeton.edu/img/NZA%20Annex%20K%20-%20Cement%20industry.pdf</t>
  </si>
  <si>
    <t>The unretired U.S. kiln fleet averaged 36 years old in 2018, built from the Portland Cement Association's 2016 Plant Information Summary and EPA greenhouse gas reporting data (92 kilns from before 2000, average install or modernization year 1972; 38 kilns since 2000, average 2005). Weighted by capacity instead of kiln count, the average is about 30 years.</t>
  </si>
  <si>
    <t>Kiln counts and closures over time</t>
  </si>
  <si>
    <t>U.S. Geological Survey</t>
  </si>
  <si>
    <t>Minerals Yearbook, Cement chapters (2000, 2005, 2010, 2022)</t>
  </si>
  <si>
    <t>https://www.usgs.gov/centers/national-minerals-information-center/cement-statistics-and-information</t>
  </si>
  <si>
    <t>U.S. kilns fell from 199 in 2000 to 185 (2005), 153 (2010) and 126 (2022) while capacity stayed roughly flat, which reflects consolidation and the retirement of wet and long dry kilns. From 2000 to 2018, older kilns left the fleet at roughly 3.3% of capacity a year.</t>
  </si>
  <si>
    <t>Plant ages today</t>
  </si>
  <si>
    <t>Global Energy Monitor</t>
  </si>
  <si>
    <t>Global Cement and Concrete Tracker (July 2026 public map data)</t>
  </si>
  <si>
    <t>https://globalenergymonitor.org/projects/global-cement-and-concrete-tracker/</t>
  </si>
  <si>
    <t>58% of U.S. operating capacity is at sites more than 50 years old (64 of 96 plants). These are site start years, not kiln years, so they show that U.S. sites keep running through brownfield replacement lines.</t>
  </si>
  <si>
    <t>A campaign length of 25 years, the average time between overhaul decisions. The mean retirement age that the weight produces depends on this value.</t>
  </si>
  <si>
    <t>The right weight depends on the cost comparison it multiplies, so it should be re-solved whenever the capital costs of new kilns or overhauls (the CPCaOC file), the campaign length (CPPL), or the fuel and technology choice settings change. The other three pathways use the same weight as the dry kiln; the calibration only constrains the dry kiln, so that is our judgment. The 2026-2050 decisions fall mostly on kilns that will then be 50-75 years old; if real retirement odds rise with age, a single weight will retire too few of them. Buying the Portland Cement Association's Plant Information Summary (kiln-age and retired-facility tables) would allow a direct estimate.</t>
  </si>
  <si>
    <t>The weight is 0.097704, the same for all four pathways and every year. It is a calibration setting, not a market observation. We chose it so that, in the business-as-usual run, the average overhaul share of dry kiln capacity reaching a decision over 2026-2050 is 0.485 (the model result is 0.4848). With 25-year campaigns that means kilns retire at a mean age of about 49 years, and a fleet in steady state with that retirement pattern has an average age of about 36 years, which matches the Net-Zero America figure. Other ways of reading the data give overhaul shares of 0.41-0.57, so 0.40-0.60 is a reasonable range.</t>
  </si>
  <si>
    <t>electric kiln with CCS</t>
  </si>
  <si>
    <t>Electric kiln with CCS</t>
  </si>
  <si>
    <t>The electric kiln with CCS is the electric kiln with a capture unit on its nearly pure CO2 stream, so it uses the electric kiln's value here (same kiln). Its capture is added through CCF (95 percent of calcination CO2 captured) and the CDSC capture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</si>
</sst>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applyAlignment="1">
      <alignment horizontal="left" vertical="top" wrapText="1"/>
    </xf>
    <xf numFmtId="0" fontId="2" fillId="0" borderId="0" xfId="0" applyFont="1" applyAlignment="1">
      <alignment horizontal="left" vertical="top"/>
    </xf>
    <xf numFmtId="0" fontId="2" fillId="2" borderId="0" xfId="0" applyFont="1" applyFill="1" applyAlignment="1">
      <alignment horizontal="left" vertical="top" wrapText="1"/>
    </xf>
    <xf numFmtId="0" fontId="4" fillId="0" borderId="0" xfId="1" applyFont="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2"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lobalenergymonitor.org/projects/global-cement-and-concrete-tracker/" TargetMode="External"/><Relationship Id="rId2" Type="http://schemas.openxmlformats.org/officeDocument/2006/relationships/hyperlink" Target="https://www.usgs.gov/centers/national-minerals-information-center/cement-statistics-and-information" TargetMode="External"/><Relationship Id="rId1" Type="http://schemas.openxmlformats.org/officeDocument/2006/relationships/hyperlink" Target="https://netzeroamerica.princeton.edu/img/NZA%20Annex%20K%20-%20Cement%20industr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14.5703125" customWidth="1"/>
    <col min="2" max="2" width="110.5703125" customWidth="1"/>
    <col min="3" max="3" width="3.5703125" customWidth="1"/>
    <col min="4" max="4" width="9.140625" customWidth="1"/>
  </cols>
  <sheetData>
    <row r="1" spans="1:2" x14ac:dyDescent="0.25">
      <c r="A1" s="3" t="s">
        <v>0</v>
      </c>
    </row>
    <row r="3" spans="1:2" x14ac:dyDescent="0.25">
      <c r="A3" s="2" t="s">
        <v>1</v>
      </c>
      <c r="B3" s="4" t="s">
        <v>19</v>
      </c>
    </row>
    <row r="4" spans="1:2" x14ac:dyDescent="0.25">
      <c r="B4" s="6" t="s">
        <v>20</v>
      </c>
    </row>
    <row r="5" spans="1:2" x14ac:dyDescent="0.25">
      <c r="B5" s="6" t="s">
        <v>21</v>
      </c>
    </row>
    <row r="6" spans="1:2" x14ac:dyDescent="0.25">
      <c r="B6" s="6">
        <v>2021</v>
      </c>
    </row>
    <row r="7" spans="1:2" x14ac:dyDescent="0.25">
      <c r="B7" s="5" t="s">
        <v>22</v>
      </c>
    </row>
    <row r="8" spans="1:2" ht="60" x14ac:dyDescent="0.25">
      <c r="B8" s="6" t="s">
        <v>23</v>
      </c>
    </row>
    <row r="10" spans="1:2" x14ac:dyDescent="0.25">
      <c r="B10" s="4" t="s">
        <v>24</v>
      </c>
    </row>
    <row r="11" spans="1:2" x14ac:dyDescent="0.25">
      <c r="B11" s="6" t="s">
        <v>25</v>
      </c>
    </row>
    <row r="12" spans="1:2" x14ac:dyDescent="0.25">
      <c r="B12" s="6" t="s">
        <v>26</v>
      </c>
    </row>
    <row r="13" spans="1:2" x14ac:dyDescent="0.25">
      <c r="B13" s="6">
        <v>2024</v>
      </c>
    </row>
    <row r="14" spans="1:2" x14ac:dyDescent="0.25">
      <c r="B14" s="5" t="s">
        <v>27</v>
      </c>
    </row>
    <row r="15" spans="1:2" ht="45" x14ac:dyDescent="0.25">
      <c r="B15" s="6" t="s">
        <v>28</v>
      </c>
    </row>
    <row r="17" spans="1:2" x14ac:dyDescent="0.25">
      <c r="B17" s="4" t="s">
        <v>29</v>
      </c>
    </row>
    <row r="18" spans="1:2" x14ac:dyDescent="0.25">
      <c r="B18" s="6" t="s">
        <v>30</v>
      </c>
    </row>
    <row r="19" spans="1:2" x14ac:dyDescent="0.25">
      <c r="B19" s="6" t="s">
        <v>31</v>
      </c>
    </row>
    <row r="20" spans="1:2" x14ac:dyDescent="0.25">
      <c r="B20" s="6">
        <v>2026</v>
      </c>
    </row>
    <row r="21" spans="1:2" x14ac:dyDescent="0.25">
      <c r="B21" s="5" t="s">
        <v>32</v>
      </c>
    </row>
    <row r="22" spans="1:2" ht="30" x14ac:dyDescent="0.25">
      <c r="B22" s="6" t="s">
        <v>33</v>
      </c>
    </row>
    <row r="24" spans="1:2" x14ac:dyDescent="0.25">
      <c r="B24" s="4" t="s">
        <v>10</v>
      </c>
    </row>
    <row r="25" spans="1:2" x14ac:dyDescent="0.25">
      <c r="B25" s="6" t="s">
        <v>11</v>
      </c>
    </row>
    <row r="26" spans="1:2" x14ac:dyDescent="0.25">
      <c r="B26" s="6" t="s">
        <v>12</v>
      </c>
    </row>
    <row r="27" spans="1:2" x14ac:dyDescent="0.25">
      <c r="B27" s="6">
        <v>2026</v>
      </c>
    </row>
    <row r="28" spans="1:2" x14ac:dyDescent="0.25">
      <c r="B28" s="6" t="s">
        <v>13</v>
      </c>
    </row>
    <row r="29" spans="1:2" ht="30" x14ac:dyDescent="0.25">
      <c r="B29" s="6" t="s">
        <v>34</v>
      </c>
    </row>
    <row r="32" spans="1:2" x14ac:dyDescent="0.25">
      <c r="A32" s="2" t="s">
        <v>2</v>
      </c>
    </row>
    <row r="33" spans="1:2" ht="135" x14ac:dyDescent="0.25">
      <c r="A33" s="2" t="s">
        <v>14</v>
      </c>
      <c r="B33" s="6" t="s">
        <v>15</v>
      </c>
    </row>
    <row r="34" spans="1:2" ht="90" x14ac:dyDescent="0.25">
      <c r="A34" s="2" t="s">
        <v>16</v>
      </c>
      <c r="B34" s="6" t="s">
        <v>36</v>
      </c>
    </row>
    <row r="35" spans="1:2" ht="90" x14ac:dyDescent="0.25">
      <c r="A35" s="2" t="s">
        <v>17</v>
      </c>
      <c r="B35" s="6" t="s">
        <v>35</v>
      </c>
    </row>
    <row r="36" spans="1:2" ht="45" x14ac:dyDescent="0.25">
      <c r="A36" s="8" t="s">
        <v>38</v>
      </c>
      <c r="B36" s="7" t="s">
        <v>39</v>
      </c>
    </row>
  </sheetData>
  <hyperlinks>
    <hyperlink ref="B7" r:id="rId1" xr:uid="{A029AC34-2335-430E-A61B-724B3426F6E4}"/>
    <hyperlink ref="B14" r:id="rId2" xr:uid="{1A4FD09B-58F5-4134-987F-D749AE688238}"/>
    <hyperlink ref="B21" r:id="rId3" xr:uid="{221C8014-6C7D-4B52-89CC-9EF07F6FF3E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5" x14ac:dyDescent="0.25"/>
  <sheetData>
    <row r="1" spans="1:2" x14ac:dyDescent="0.25">
      <c r="A1" s="1" t="s">
        <v>3</v>
      </c>
    </row>
    <row r="3" spans="1:2" x14ac:dyDescent="0.25">
      <c r="A3" t="s">
        <v>4</v>
      </c>
      <c r="B3">
        <v>9.7703999999999999E-2</v>
      </c>
    </row>
    <row r="5" spans="1:2" x14ac:dyDescent="0.25">
      <c r="A5" t="s">
        <v>5</v>
      </c>
      <c r="B5">
        <v>0.48480000000000001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AE6"/>
  <sheetViews>
    <sheetView workbookViewId="0"/>
  </sheetViews>
  <sheetFormatPr defaultRowHeight="15" x14ac:dyDescent="0.25"/>
  <sheetData>
    <row r="1" spans="1:31" x14ac:dyDescent="0.25">
      <c r="A1" t="s">
        <v>18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f>Derivation!$B$3</f>
        <v>9.7703999999999999E-2</v>
      </c>
      <c r="C2">
        <f>Derivation!$B$3</f>
        <v>9.7703999999999999E-2</v>
      </c>
      <c r="D2">
        <f>Derivation!$B$3</f>
        <v>9.7703999999999999E-2</v>
      </c>
      <c r="E2">
        <f>Derivation!$B$3</f>
        <v>9.7703999999999999E-2</v>
      </c>
      <c r="F2">
        <f>Derivation!$B$3</f>
        <v>9.7703999999999999E-2</v>
      </c>
      <c r="G2">
        <f>Derivation!$B$3</f>
        <v>9.7703999999999999E-2</v>
      </c>
      <c r="H2">
        <f>Derivation!$B$3</f>
        <v>9.7703999999999999E-2</v>
      </c>
      <c r="I2">
        <f>Derivation!$B$3</f>
        <v>9.7703999999999999E-2</v>
      </c>
      <c r="J2">
        <f>Derivation!$B$3</f>
        <v>9.7703999999999999E-2</v>
      </c>
      <c r="K2">
        <f>Derivation!$B$3</f>
        <v>9.7703999999999999E-2</v>
      </c>
      <c r="L2">
        <f>Derivation!$B$3</f>
        <v>9.7703999999999999E-2</v>
      </c>
      <c r="M2">
        <f>Derivation!$B$3</f>
        <v>9.7703999999999999E-2</v>
      </c>
      <c r="N2">
        <f>Derivation!$B$3</f>
        <v>9.7703999999999999E-2</v>
      </c>
      <c r="O2">
        <f>Derivation!$B$3</f>
        <v>9.7703999999999999E-2</v>
      </c>
      <c r="P2">
        <f>Derivation!$B$3</f>
        <v>9.7703999999999999E-2</v>
      </c>
      <c r="Q2">
        <f>Derivation!$B$3</f>
        <v>9.7703999999999999E-2</v>
      </c>
      <c r="R2">
        <f>Derivation!$B$3</f>
        <v>9.7703999999999999E-2</v>
      </c>
      <c r="S2">
        <f>Derivation!$B$3</f>
        <v>9.7703999999999999E-2</v>
      </c>
      <c r="T2">
        <f>Derivation!$B$3</f>
        <v>9.7703999999999999E-2</v>
      </c>
      <c r="U2">
        <f>Derivation!$B$3</f>
        <v>9.7703999999999999E-2</v>
      </c>
      <c r="V2">
        <f>Derivation!$B$3</f>
        <v>9.7703999999999999E-2</v>
      </c>
      <c r="W2">
        <f>Derivation!$B$3</f>
        <v>9.7703999999999999E-2</v>
      </c>
      <c r="X2">
        <f>Derivation!$B$3</f>
        <v>9.7703999999999999E-2</v>
      </c>
      <c r="Y2">
        <f>Derivation!$B$3</f>
        <v>9.7703999999999999E-2</v>
      </c>
      <c r="Z2">
        <f>Derivation!$B$3</f>
        <v>9.7703999999999999E-2</v>
      </c>
      <c r="AA2">
        <f>Derivation!$B$3</f>
        <v>9.7703999999999999E-2</v>
      </c>
      <c r="AB2">
        <f>Derivation!$B$3</f>
        <v>9.7703999999999999E-2</v>
      </c>
      <c r="AC2">
        <f>Derivation!$B$3</f>
        <v>9.7703999999999999E-2</v>
      </c>
      <c r="AD2">
        <f>Derivation!$B$3</f>
        <v>9.7703999999999999E-2</v>
      </c>
      <c r="AE2">
        <f>Derivation!$B$3</f>
        <v>9.7703999999999999E-2</v>
      </c>
    </row>
    <row r="3" spans="1:31" x14ac:dyDescent="0.25">
      <c r="A3" t="s">
        <v>7</v>
      </c>
      <c r="B3">
        <f>Derivation!$B$3</f>
        <v>9.7703999999999999E-2</v>
      </c>
      <c r="C3">
        <f>Derivation!$B$3</f>
        <v>9.7703999999999999E-2</v>
      </c>
      <c r="D3">
        <f>Derivation!$B$3</f>
        <v>9.7703999999999999E-2</v>
      </c>
      <c r="E3">
        <f>Derivation!$B$3</f>
        <v>9.7703999999999999E-2</v>
      </c>
      <c r="F3">
        <f>Derivation!$B$3</f>
        <v>9.7703999999999999E-2</v>
      </c>
      <c r="G3">
        <f>Derivation!$B$3</f>
        <v>9.7703999999999999E-2</v>
      </c>
      <c r="H3">
        <f>Derivation!$B$3</f>
        <v>9.7703999999999999E-2</v>
      </c>
      <c r="I3">
        <f>Derivation!$B$3</f>
        <v>9.7703999999999999E-2</v>
      </c>
      <c r="J3">
        <f>Derivation!$B$3</f>
        <v>9.7703999999999999E-2</v>
      </c>
      <c r="K3">
        <f>Derivation!$B$3</f>
        <v>9.7703999999999999E-2</v>
      </c>
      <c r="L3">
        <f>Derivation!$B$3</f>
        <v>9.7703999999999999E-2</v>
      </c>
      <c r="M3">
        <f>Derivation!$B$3</f>
        <v>9.7703999999999999E-2</v>
      </c>
      <c r="N3">
        <f>Derivation!$B$3</f>
        <v>9.7703999999999999E-2</v>
      </c>
      <c r="O3">
        <f>Derivation!$B$3</f>
        <v>9.7703999999999999E-2</v>
      </c>
      <c r="P3">
        <f>Derivation!$B$3</f>
        <v>9.7703999999999999E-2</v>
      </c>
      <c r="Q3">
        <f>Derivation!$B$3</f>
        <v>9.7703999999999999E-2</v>
      </c>
      <c r="R3">
        <f>Derivation!$B$3</f>
        <v>9.7703999999999999E-2</v>
      </c>
      <c r="S3">
        <f>Derivation!$B$3</f>
        <v>9.7703999999999999E-2</v>
      </c>
      <c r="T3">
        <f>Derivation!$B$3</f>
        <v>9.7703999999999999E-2</v>
      </c>
      <c r="U3">
        <f>Derivation!$B$3</f>
        <v>9.7703999999999999E-2</v>
      </c>
      <c r="V3">
        <f>Derivation!$B$3</f>
        <v>9.7703999999999999E-2</v>
      </c>
      <c r="W3">
        <f>Derivation!$B$3</f>
        <v>9.7703999999999999E-2</v>
      </c>
      <c r="X3">
        <f>Derivation!$B$3</f>
        <v>9.7703999999999999E-2</v>
      </c>
      <c r="Y3">
        <f>Derivation!$B$3</f>
        <v>9.7703999999999999E-2</v>
      </c>
      <c r="Z3">
        <f>Derivation!$B$3</f>
        <v>9.7703999999999999E-2</v>
      </c>
      <c r="AA3">
        <f>Derivation!$B$3</f>
        <v>9.7703999999999999E-2</v>
      </c>
      <c r="AB3">
        <f>Derivation!$B$3</f>
        <v>9.7703999999999999E-2</v>
      </c>
      <c r="AC3">
        <f>Derivation!$B$3</f>
        <v>9.7703999999999999E-2</v>
      </c>
      <c r="AD3">
        <f>Derivation!$B$3</f>
        <v>9.7703999999999999E-2</v>
      </c>
      <c r="AE3">
        <f>Derivation!$B$3</f>
        <v>9.7703999999999999E-2</v>
      </c>
    </row>
    <row r="4" spans="1:31" x14ac:dyDescent="0.25">
      <c r="A4" t="s">
        <v>8</v>
      </c>
      <c r="B4">
        <f>Derivation!$B$3</f>
        <v>9.7703999999999999E-2</v>
      </c>
      <c r="C4">
        <f>Derivation!$B$3</f>
        <v>9.7703999999999999E-2</v>
      </c>
      <c r="D4">
        <f>Derivation!$B$3</f>
        <v>9.7703999999999999E-2</v>
      </c>
      <c r="E4">
        <f>Derivation!$B$3</f>
        <v>9.7703999999999999E-2</v>
      </c>
      <c r="F4">
        <f>Derivation!$B$3</f>
        <v>9.7703999999999999E-2</v>
      </c>
      <c r="G4">
        <f>Derivation!$B$3</f>
        <v>9.7703999999999999E-2</v>
      </c>
      <c r="H4">
        <f>Derivation!$B$3</f>
        <v>9.7703999999999999E-2</v>
      </c>
      <c r="I4">
        <f>Derivation!$B$3</f>
        <v>9.7703999999999999E-2</v>
      </c>
      <c r="J4">
        <f>Derivation!$B$3</f>
        <v>9.7703999999999999E-2</v>
      </c>
      <c r="K4">
        <f>Derivation!$B$3</f>
        <v>9.7703999999999999E-2</v>
      </c>
      <c r="L4">
        <f>Derivation!$B$3</f>
        <v>9.7703999999999999E-2</v>
      </c>
      <c r="M4">
        <f>Derivation!$B$3</f>
        <v>9.7703999999999999E-2</v>
      </c>
      <c r="N4">
        <f>Derivation!$B$3</f>
        <v>9.7703999999999999E-2</v>
      </c>
      <c r="O4">
        <f>Derivation!$B$3</f>
        <v>9.7703999999999999E-2</v>
      </c>
      <c r="P4">
        <f>Derivation!$B$3</f>
        <v>9.7703999999999999E-2</v>
      </c>
      <c r="Q4">
        <f>Derivation!$B$3</f>
        <v>9.7703999999999999E-2</v>
      </c>
      <c r="R4">
        <f>Derivation!$B$3</f>
        <v>9.7703999999999999E-2</v>
      </c>
      <c r="S4">
        <f>Derivation!$B$3</f>
        <v>9.7703999999999999E-2</v>
      </c>
      <c r="T4">
        <f>Derivation!$B$3</f>
        <v>9.7703999999999999E-2</v>
      </c>
      <c r="U4">
        <f>Derivation!$B$3</f>
        <v>9.7703999999999999E-2</v>
      </c>
      <c r="V4">
        <f>Derivation!$B$3</f>
        <v>9.7703999999999999E-2</v>
      </c>
      <c r="W4">
        <f>Derivation!$B$3</f>
        <v>9.7703999999999999E-2</v>
      </c>
      <c r="X4">
        <f>Derivation!$B$3</f>
        <v>9.7703999999999999E-2</v>
      </c>
      <c r="Y4">
        <f>Derivation!$B$3</f>
        <v>9.7703999999999999E-2</v>
      </c>
      <c r="Z4">
        <f>Derivation!$B$3</f>
        <v>9.7703999999999999E-2</v>
      </c>
      <c r="AA4">
        <f>Derivation!$B$3</f>
        <v>9.7703999999999999E-2</v>
      </c>
      <c r="AB4">
        <f>Derivation!$B$3</f>
        <v>9.7703999999999999E-2</v>
      </c>
      <c r="AC4">
        <f>Derivation!$B$3</f>
        <v>9.7703999999999999E-2</v>
      </c>
      <c r="AD4">
        <f>Derivation!$B$3</f>
        <v>9.7703999999999999E-2</v>
      </c>
      <c r="AE4">
        <f>Derivation!$B$3</f>
        <v>9.7703999999999999E-2</v>
      </c>
    </row>
    <row r="5" spans="1:31" x14ac:dyDescent="0.25">
      <c r="A5" t="s">
        <v>37</v>
      </c>
      <c r="B5">
        <f>B4</f>
        <v>9.7703999999999999E-2</v>
      </c>
      <c r="C5">
        <f>C4</f>
        <v>9.7703999999999999E-2</v>
      </c>
      <c r="D5">
        <f>D4</f>
        <v>9.7703999999999999E-2</v>
      </c>
      <c r="E5">
        <f>E4</f>
        <v>9.7703999999999999E-2</v>
      </c>
      <c r="F5">
        <f>F4</f>
        <v>9.7703999999999999E-2</v>
      </c>
      <c r="G5">
        <f>G4</f>
        <v>9.7703999999999999E-2</v>
      </c>
      <c r="H5">
        <f>H4</f>
        <v>9.7703999999999999E-2</v>
      </c>
      <c r="I5">
        <f>I4</f>
        <v>9.7703999999999999E-2</v>
      </c>
      <c r="J5">
        <f>J4</f>
        <v>9.7703999999999999E-2</v>
      </c>
      <c r="K5">
        <f>K4</f>
        <v>9.7703999999999999E-2</v>
      </c>
      <c r="L5">
        <f>L4</f>
        <v>9.7703999999999999E-2</v>
      </c>
      <c r="M5">
        <f>M4</f>
        <v>9.7703999999999999E-2</v>
      </c>
      <c r="N5">
        <f>N4</f>
        <v>9.7703999999999999E-2</v>
      </c>
      <c r="O5">
        <f>O4</f>
        <v>9.7703999999999999E-2</v>
      </c>
      <c r="P5">
        <f>P4</f>
        <v>9.7703999999999999E-2</v>
      </c>
      <c r="Q5">
        <f>Q4</f>
        <v>9.7703999999999999E-2</v>
      </c>
      <c r="R5">
        <f>R4</f>
        <v>9.7703999999999999E-2</v>
      </c>
      <c r="S5">
        <f>S4</f>
        <v>9.7703999999999999E-2</v>
      </c>
      <c r="T5">
        <f>T4</f>
        <v>9.7703999999999999E-2</v>
      </c>
      <c r="U5">
        <f>U4</f>
        <v>9.7703999999999999E-2</v>
      </c>
      <c r="V5">
        <f>V4</f>
        <v>9.7703999999999999E-2</v>
      </c>
      <c r="W5">
        <f>W4</f>
        <v>9.7703999999999999E-2</v>
      </c>
      <c r="X5">
        <f>X4</f>
        <v>9.7703999999999999E-2</v>
      </c>
      <c r="Y5">
        <f>Y4</f>
        <v>9.7703999999999999E-2</v>
      </c>
      <c r="Z5">
        <f>Z4</f>
        <v>9.7703999999999999E-2</v>
      </c>
      <c r="AA5">
        <f>AA4</f>
        <v>9.7703999999999999E-2</v>
      </c>
      <c r="AB5">
        <f>AB4</f>
        <v>9.7703999999999999E-2</v>
      </c>
      <c r="AC5">
        <f>AC4</f>
        <v>9.7703999999999999E-2</v>
      </c>
      <c r="AD5">
        <f>AD4</f>
        <v>9.7703999999999999E-2</v>
      </c>
      <c r="AE5">
        <f>AE4</f>
        <v>9.7703999999999999E-2</v>
      </c>
    </row>
    <row r="6" spans="1:31" x14ac:dyDescent="0.25">
      <c r="A6" t="s">
        <v>9</v>
      </c>
      <c r="B6">
        <f>Derivation!$B$3</f>
        <v>9.7703999999999999E-2</v>
      </c>
      <c r="C6">
        <f>Derivation!$B$3</f>
        <v>9.7703999999999999E-2</v>
      </c>
      <c r="D6">
        <f>Derivation!$B$3</f>
        <v>9.7703999999999999E-2</v>
      </c>
      <c r="E6">
        <f>Derivation!$B$3</f>
        <v>9.7703999999999999E-2</v>
      </c>
      <c r="F6">
        <f>Derivation!$B$3</f>
        <v>9.7703999999999999E-2</v>
      </c>
      <c r="G6">
        <f>Derivation!$B$3</f>
        <v>9.7703999999999999E-2</v>
      </c>
      <c r="H6">
        <f>Derivation!$B$3</f>
        <v>9.7703999999999999E-2</v>
      </c>
      <c r="I6">
        <f>Derivation!$B$3</f>
        <v>9.7703999999999999E-2</v>
      </c>
      <c r="J6">
        <f>Derivation!$B$3</f>
        <v>9.7703999999999999E-2</v>
      </c>
      <c r="K6">
        <f>Derivation!$B$3</f>
        <v>9.7703999999999999E-2</v>
      </c>
      <c r="L6">
        <f>Derivation!$B$3</f>
        <v>9.7703999999999999E-2</v>
      </c>
      <c r="M6">
        <f>Derivation!$B$3</f>
        <v>9.7703999999999999E-2</v>
      </c>
      <c r="N6">
        <f>Derivation!$B$3</f>
        <v>9.7703999999999999E-2</v>
      </c>
      <c r="O6">
        <f>Derivation!$B$3</f>
        <v>9.7703999999999999E-2</v>
      </c>
      <c r="P6">
        <f>Derivation!$B$3</f>
        <v>9.7703999999999999E-2</v>
      </c>
      <c r="Q6">
        <f>Derivation!$B$3</f>
        <v>9.7703999999999999E-2</v>
      </c>
      <c r="R6">
        <f>Derivation!$B$3</f>
        <v>9.7703999999999999E-2</v>
      </c>
      <c r="S6">
        <f>Derivation!$B$3</f>
        <v>9.7703999999999999E-2</v>
      </c>
      <c r="T6">
        <f>Derivation!$B$3</f>
        <v>9.7703999999999999E-2</v>
      </c>
      <c r="U6">
        <f>Derivation!$B$3</f>
        <v>9.7703999999999999E-2</v>
      </c>
      <c r="V6">
        <f>Derivation!$B$3</f>
        <v>9.7703999999999999E-2</v>
      </c>
      <c r="W6">
        <f>Derivation!$B$3</f>
        <v>9.7703999999999999E-2</v>
      </c>
      <c r="X6">
        <f>Derivation!$B$3</f>
        <v>9.7703999999999999E-2</v>
      </c>
      <c r="Y6">
        <f>Derivation!$B$3</f>
        <v>9.7703999999999999E-2</v>
      </c>
      <c r="Z6">
        <f>Derivation!$B$3</f>
        <v>9.7703999999999999E-2</v>
      </c>
      <c r="AA6">
        <f>Derivation!$B$3</f>
        <v>9.7703999999999999E-2</v>
      </c>
      <c r="AB6">
        <f>Derivation!$B$3</f>
        <v>9.7703999999999999E-2</v>
      </c>
      <c r="AC6">
        <f>Derivation!$B$3</f>
        <v>9.7703999999999999E-2</v>
      </c>
      <c r="AD6">
        <f>Derivation!$B$3</f>
        <v>9.7703999999999999E-2</v>
      </c>
      <c r="AE6">
        <f>Derivation!$B$3</f>
        <v>9.7703999999999999E-2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Derivation</vt:lpstr>
      <vt:lpstr>CRSW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2026-08-26T11:48:09Z</dcterms:created>
  <dcterms:modified xsi:type="dcterms:W3CDTF">2026-10-19T18:21:00Z</dcterms:modified>
</cp:coreProperties>
</file>