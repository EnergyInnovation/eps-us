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TOA\"/>
    </mc:Choice>
  </mc:AlternateContent>
  <xr:revisionPtr revIDLastSave="0" documentId="13_ncr:1_{B768AC48-31B0-4287-9E1E-26CA45F6F607}" xr6:coauthVersionLast="47" xr6:coauthVersionMax="47" xr10:uidLastSave="{00000000-0000-0000-0000-000000000000}"/>
  <bookViews>
    <workbookView xWindow="-120" yWindow="-120" windowWidth="29040" windowHeight="17520" xr2:uid="{00000000-000D-0000-FFFF-FFFF00000000}"/>
  </bookViews>
  <sheets>
    <sheet name="About" sheetId="1" r:id="rId1"/>
    <sheet name="Regions" sheetId="2" r:id="rId2"/>
    <sheet name="Derivation" sheetId="3" r:id="rId3"/>
    <sheet name="CTOAvT"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 r="B2" i="3"/>
  <c r="B1" i="3"/>
  <c r="U6" i="3" l="1"/>
  <c r="U2" i="5" s="1"/>
  <c r="V6" i="3"/>
  <c r="V2" i="5" s="1"/>
  <c r="D6" i="3"/>
  <c r="D2" i="5" s="1"/>
  <c r="H6" i="3"/>
  <c r="H2" i="5" s="1"/>
  <c r="I6" i="3"/>
  <c r="I2" i="5" s="1"/>
  <c r="M6" i="3"/>
  <c r="M2" i="5" s="1"/>
  <c r="N6" i="3"/>
  <c r="N2" i="5" s="1"/>
  <c r="O6" i="3"/>
  <c r="O2" i="5" s="1"/>
  <c r="G6" i="3"/>
  <c r="G2" i="5" s="1"/>
  <c r="J6" i="3"/>
  <c r="J2" i="5" s="1"/>
  <c r="K6" i="3"/>
  <c r="K2" i="5" s="1"/>
  <c r="P6" i="3"/>
  <c r="P2" i="5" s="1"/>
  <c r="B6" i="3"/>
  <c r="B2" i="5" s="1"/>
  <c r="L6" i="3"/>
  <c r="L2" i="5" s="1"/>
  <c r="C6" i="3"/>
  <c r="C2" i="5" s="1"/>
  <c r="R6" i="3"/>
  <c r="R2" i="5" s="1"/>
  <c r="S6" i="3"/>
  <c r="S2" i="5" s="1"/>
  <c r="E6" i="3"/>
  <c r="E2" i="5" s="1"/>
  <c r="F6" i="3"/>
  <c r="F2" i="5" s="1"/>
  <c r="Q6" i="3"/>
  <c r="Q2" i="5" s="1"/>
  <c r="T6" i="3"/>
  <c r="T2" i="5" s="1"/>
</calcChain>
</file>

<file path=xl/sharedStrings.xml><?xml version="1.0" encoding="utf-8"?>
<sst xmlns="http://schemas.openxmlformats.org/spreadsheetml/2006/main" count="66" uniqueCount="49">
  <si>
    <t>CTOAvT Cement Tightness Operating Adder vs Tightness</t>
  </si>
  <si>
    <t>Sources:</t>
  </si>
  <si>
    <t>https://pubs.usgs.gov/periodicals/mcs2026/mcs2026-cement.pdf</t>
  </si>
  <si>
    <t>Notes:</t>
  </si>
  <si>
    <t>Selected region (drop-down):</t>
  </si>
  <si>
    <t>United States</t>
  </si>
  <si>
    <t>Region</t>
  </si>
  <si>
    <t>Ramp start tau0</t>
  </si>
  <si>
    <t>Saturation multiplier at tau=1</t>
  </si>
  <si>
    <t>Status</t>
  </si>
  <si>
    <t>Note</t>
  </si>
  <si>
    <t>ROUGH</t>
  </si>
  <si>
    <t>import-parity premium ~$19-21/t on ~$62-69/t reference</t>
  </si>
  <si>
    <t>China</t>
  </si>
  <si>
    <t>TO FILL</t>
  </si>
  <si>
    <t>regional import-parity premium not researched; blank = adder off (Derivation returns zero)</t>
  </si>
  <si>
    <t>India</t>
  </si>
  <si>
    <t>EU-27</t>
  </si>
  <si>
    <t>Japan</t>
  </si>
  <si>
    <t>Brazil</t>
  </si>
  <si>
    <t>Mexico</t>
  </si>
  <si>
    <t>Canada</t>
  </si>
  <si>
    <t>Indonesia</t>
  </si>
  <si>
    <t>Australia</t>
  </si>
  <si>
    <t>Selected region</t>
  </si>
  <si>
    <t>tau0 (blank = 1, adder off)</t>
  </si>
  <si>
    <t>Saturation multiplier (blank = 0)</t>
  </si>
  <si>
    <t>tau</t>
  </si>
  <si>
    <t>multiplier = 0 for tau &lt;= tau0, else sat x ((tau - tau0)/(1 - tau0))^2, rounded to 4 decimals</t>
  </si>
  <si>
    <t>Cement Tightness Operating Adder Multiplier</t>
  </si>
  <si>
    <t>U.S. cement price</t>
  </si>
  <si>
    <t>U.S. Geological Survey</t>
  </si>
  <si>
    <t>Mineral Commodity Summaries 2026: Cement</t>
  </si>
  <si>
    <t>Average mill unit value of $160 per metric ton for 2024-2025. This is the domestic price against which landed imports of roughly $95-120 per ton look cheap.</t>
  </si>
  <si>
    <t>Landed import cost</t>
  </si>
  <si>
    <t>S&amp;P Global Commodity Insights (Platts)</t>
  </si>
  <si>
    <t>Platts Turkey CEMDEX cement export price assessment, plus freight</t>
  </si>
  <si>
    <t>(no public link)</t>
  </si>
  <si>
    <t>Used, with a freight estimate, to put landed U.S. import cost at roughly $95-120 per metric ton. We worked from secondary summaries, not the Platts assessment itself, and the terminal-handling component of the premium is our own judgment.</t>
  </si>
  <si>
    <t>Purpose and layout</t>
  </si>
  <si>
    <t>This file gives a 'congestion adder' for the overhaul-or-replace decision on cement kilns. When the existing fleet is running near the top of its historical range, serving demand from it gets more expensive: maintenance gets deferred and the marginal tons cost about what imports would. The adder is a multiplier on the average cost of new clinker capacity per ton, added to the fleet's marginal operating cost in the retire-alternative cost (see CRBW for the other half of that blend). It is a function of fleet tightness, which runs from 0 (bottom of the region's historical utilization range, CULB) to 1 (top, CUUB). The adder is zero up to a starting tightness tau0, then rises as a quadratic to a saturation level at tightness 1: multiplier = saturation x ((tau - tau0) / (1 - tau0))^2.
It is a shadow decision cost only: it changes which option looks cheaper but books no dollars to any cash-flow entity. The tabs are 'Regions' (tau0 and saturation for each region), 'Derivation' (samples the curve at 21 points, tau = 0 to 1 in steps of 0.05), and the last tab, 'CTOAvT', which reads the Derivation and is exported to CTOAvT.csv.</t>
  </si>
  <si>
    <t>Using it for other regions</t>
  </si>
  <si>
    <t>We set this file up to be adaptable to each of the main EPS regions. If you are working on a non-US region, use the drop-down selector at the top of the 'Regions' tab to choose a different country, and the 'CTOAvT' tab updates on its own; just re-export the CSV. Only the U.S. has values. For every other region the row is blank (TO FILL), which turns the adder off, so the curve is all zeros. To fill one in, estimate a regional import-parity congestion premium, divide it by that region's average new clinker capacity cost, and enter that as the saturation multiplier with a starting tightness.</t>
  </si>
  <si>
    <t>U.S. values</t>
  </si>
  <si>
    <t>For the U.S. national file version, the adder starts at tightness 0.7, so it is zero throughout the normal operating range and a no-policy run is not affected. It saturates at a multiplier of 0.31 at tightness 1. On the roughly $62-69 per ton reference new-build cost, that is about $19-21 per ton, the middle of our $15-25 per ton central estimate of the import-parity congestion premium (the research range is $0-50 per ton). The premium comes from terminal and logistics congestion rather than from price, because imports at the coast are structurally cheaper than domestic cement. The curve is a rough estimate, not a fitted one.</t>
  </si>
  <si>
    <t>Limited effect</t>
  </si>
  <si>
    <t>The adder enters only the slack-market part of the retire-alternative cost, which is weighted by one minus the blend weight in CRBW. Where the adder is non-zero (tightness above 0.7), the U.S. blend weight is already 0.94 or higher, so the adder's effect on the decision cost is under 10 cents per ton at any tightness (about 6 cents at most). A region with a differently calibrated blend weight curve could see a larger effect.</t>
  </si>
  <si>
    <t>Pick a region from the drop-down in B1. The Derivation and the export tab update on their own; re-export the CSV afterward. A blank cell means no sourced value yet.</t>
  </si>
  <si>
    <t>Unit: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</si>
</sst>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rgb="FFC00000"/>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xf numFmtId="0" fontId="0" fillId="0" borderId="0" xfId="0" applyAlignment="1">
      <alignment horizontal="left" vertical="top" wrapText="1"/>
    </xf>
    <xf numFmtId="0" fontId="2" fillId="0" borderId="0" xfId="0" applyFont="1"/>
    <xf numFmtId="0" fontId="1"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4" fillId="2" borderId="0" xfId="0" applyFont="1" applyFill="1" applyAlignment="1">
      <alignment horizontal="left" vertical="top" wrapText="1"/>
    </xf>
    <xf numFmtId="0" fontId="5" fillId="0" borderId="0" xfId="1"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s.usgs.gov/periodicals/mcs2026/mcs2026-cemen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tabSelected="1" workbookViewId="0"/>
  </sheetViews>
  <sheetFormatPr defaultRowHeight="15" x14ac:dyDescent="0.25"/>
  <cols>
    <col min="1" max="1" width="14.7109375" customWidth="1"/>
    <col min="2" max="2" width="110.7109375" customWidth="1"/>
    <col min="3" max="3" width="3.7109375" customWidth="1"/>
  </cols>
  <sheetData>
    <row r="1" spans="1:2" x14ac:dyDescent="0.25">
      <c r="A1" s="6" t="s">
        <v>0</v>
      </c>
    </row>
    <row r="3" spans="1:2" x14ac:dyDescent="0.25">
      <c r="A3" s="5" t="s">
        <v>1</v>
      </c>
      <c r="B3" s="7" t="s">
        <v>30</v>
      </c>
    </row>
    <row r="4" spans="1:2" x14ac:dyDescent="0.25">
      <c r="B4" s="2" t="s">
        <v>31</v>
      </c>
    </row>
    <row r="5" spans="1:2" x14ac:dyDescent="0.25">
      <c r="B5" s="2" t="s">
        <v>32</v>
      </c>
    </row>
    <row r="6" spans="1:2" x14ac:dyDescent="0.25">
      <c r="B6" s="2">
        <v>2026</v>
      </c>
    </row>
    <row r="7" spans="1:2" x14ac:dyDescent="0.25">
      <c r="B7" s="8" t="s">
        <v>2</v>
      </c>
    </row>
    <row r="8" spans="1:2" ht="30" x14ac:dyDescent="0.25">
      <c r="B8" s="2" t="s">
        <v>33</v>
      </c>
    </row>
    <row r="10" spans="1:2" x14ac:dyDescent="0.25">
      <c r="B10" s="7" t="s">
        <v>34</v>
      </c>
    </row>
    <row r="11" spans="1:2" x14ac:dyDescent="0.25">
      <c r="B11" s="2" t="s">
        <v>35</v>
      </c>
    </row>
    <row r="12" spans="1:2" x14ac:dyDescent="0.25">
      <c r="B12" s="2" t="s">
        <v>36</v>
      </c>
    </row>
    <row r="13" spans="1:2" x14ac:dyDescent="0.25">
      <c r="B13" s="2"/>
    </row>
    <row r="14" spans="1:2" x14ac:dyDescent="0.25">
      <c r="B14" s="2" t="s">
        <v>37</v>
      </c>
    </row>
    <row r="15" spans="1:2" ht="45" x14ac:dyDescent="0.25">
      <c r="B15" s="2" t="s">
        <v>38</v>
      </c>
    </row>
    <row r="18" spans="1:2" x14ac:dyDescent="0.25">
      <c r="A18" s="5" t="s">
        <v>3</v>
      </c>
    </row>
    <row r="19" spans="1:2" ht="165" x14ac:dyDescent="0.25">
      <c r="A19" s="5" t="s">
        <v>39</v>
      </c>
      <c r="B19" s="2" t="s">
        <v>40</v>
      </c>
    </row>
    <row r="20" spans="1:2" ht="75" x14ac:dyDescent="0.25">
      <c r="A20" s="5" t="s">
        <v>41</v>
      </c>
      <c r="B20" s="2" t="s">
        <v>42</v>
      </c>
    </row>
    <row r="21" spans="1:2" ht="90" x14ac:dyDescent="0.25">
      <c r="A21" s="5" t="s">
        <v>43</v>
      </c>
      <c r="B21" s="2" t="s">
        <v>44</v>
      </c>
    </row>
    <row r="22" spans="1:2" ht="60" x14ac:dyDescent="0.25">
      <c r="A22" s="5" t="s">
        <v>45</v>
      </c>
      <c r="B22" s="2" t="s">
        <v>46</v>
      </c>
    </row>
  </sheetData>
  <hyperlinks>
    <hyperlink ref="B7" r:id="rId1" xr:uid="{E6465185-DFEE-4DB5-A4BC-2039FEC0E4CF}"/>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workbookViewId="0">
      <pane xSplit="1" ySplit="4" topLeftCell="B5" activePane="bottomRight" state="frozen"/>
      <selection pane="topRight"/>
      <selection pane="bottomLeft"/>
      <selection pane="bottomRight"/>
    </sheetView>
  </sheetViews>
  <sheetFormatPr defaultRowHeight="15" x14ac:dyDescent="0.25"/>
  <cols>
    <col min="1" max="1" width="16" customWidth="1"/>
    <col min="2" max="2" width="14" customWidth="1"/>
    <col min="3" max="3" width="18" customWidth="1"/>
    <col min="4" max="4" width="12" customWidth="1"/>
    <col min="5" max="5" width="80" customWidth="1"/>
  </cols>
  <sheetData>
    <row r="1" spans="1:5" x14ac:dyDescent="0.25">
      <c r="A1" s="1" t="s">
        <v>4</v>
      </c>
      <c r="B1" s="3" t="s">
        <v>5</v>
      </c>
    </row>
    <row r="2" spans="1:5" ht="180" x14ac:dyDescent="0.25">
      <c r="A2" s="2" t="s">
        <v>47</v>
      </c>
    </row>
    <row r="4" spans="1:5" ht="30" x14ac:dyDescent="0.25">
      <c r="A4" s="4" t="s">
        <v>6</v>
      </c>
      <c r="B4" s="4" t="s">
        <v>7</v>
      </c>
      <c r="C4" s="4" t="s">
        <v>8</v>
      </c>
      <c r="D4" s="4" t="s">
        <v>9</v>
      </c>
      <c r="E4" s="4" t="s">
        <v>10</v>
      </c>
    </row>
    <row r="5" spans="1:5" x14ac:dyDescent="0.25">
      <c r="A5" t="s">
        <v>5</v>
      </c>
      <c r="B5">
        <v>0.7</v>
      </c>
      <c r="C5">
        <v>0.31</v>
      </c>
      <c r="D5" t="s">
        <v>11</v>
      </c>
      <c r="E5" t="s">
        <v>12</v>
      </c>
    </row>
    <row r="6" spans="1:5" x14ac:dyDescent="0.25">
      <c r="A6" t="s">
        <v>13</v>
      </c>
      <c r="D6" t="s">
        <v>14</v>
      </c>
      <c r="E6" t="s">
        <v>15</v>
      </c>
    </row>
    <row r="7" spans="1:5" x14ac:dyDescent="0.25">
      <c r="A7" t="s">
        <v>16</v>
      </c>
      <c r="D7" t="s">
        <v>14</v>
      </c>
      <c r="E7" t="s">
        <v>15</v>
      </c>
    </row>
    <row r="8" spans="1:5" x14ac:dyDescent="0.25">
      <c r="A8" t="s">
        <v>17</v>
      </c>
      <c r="D8" t="s">
        <v>14</v>
      </c>
      <c r="E8" t="s">
        <v>15</v>
      </c>
    </row>
    <row r="9" spans="1:5" x14ac:dyDescent="0.25">
      <c r="A9" t="s">
        <v>18</v>
      </c>
      <c r="D9" t="s">
        <v>14</v>
      </c>
      <c r="E9" t="s">
        <v>15</v>
      </c>
    </row>
    <row r="10" spans="1:5" x14ac:dyDescent="0.25">
      <c r="A10" t="s">
        <v>19</v>
      </c>
      <c r="D10" t="s">
        <v>14</v>
      </c>
      <c r="E10" t="s">
        <v>15</v>
      </c>
    </row>
    <row r="11" spans="1:5" x14ac:dyDescent="0.25">
      <c r="A11" t="s">
        <v>20</v>
      </c>
      <c r="D11" t="s">
        <v>14</v>
      </c>
      <c r="E11" t="s">
        <v>15</v>
      </c>
    </row>
    <row r="12" spans="1:5" x14ac:dyDescent="0.25">
      <c r="A12" t="s">
        <v>21</v>
      </c>
      <c r="D12" t="s">
        <v>14</v>
      </c>
      <c r="E12" t="s">
        <v>15</v>
      </c>
    </row>
    <row r="13" spans="1:5" x14ac:dyDescent="0.25">
      <c r="A13" t="s">
        <v>22</v>
      </c>
      <c r="D13" t="s">
        <v>14</v>
      </c>
      <c r="E13" t="s">
        <v>15</v>
      </c>
    </row>
    <row r="14" spans="1:5" x14ac:dyDescent="0.25">
      <c r="A14" t="s">
        <v>23</v>
      </c>
      <c r="D14" t="s">
        <v>14</v>
      </c>
      <c r="E14" t="s">
        <v>15</v>
      </c>
    </row>
  </sheetData>
  <dataValidations count="1">
    <dataValidation type="list" sqref="B1" xr:uid="{00000000-0002-0000-0100-000000000000}">
      <formula1>$A$5:$A$14</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6"/>
  <sheetViews>
    <sheetView workbookViewId="0"/>
  </sheetViews>
  <sheetFormatPr defaultRowHeight="15" x14ac:dyDescent="0.25"/>
  <cols>
    <col min="1" max="1" width="60" customWidth="1"/>
  </cols>
  <sheetData>
    <row r="1" spans="1:22" x14ac:dyDescent="0.25">
      <c r="A1" t="s">
        <v>24</v>
      </c>
      <c r="B1" t="str">
        <f>Regions!B1</f>
        <v>United States</v>
      </c>
    </row>
    <row r="2" spans="1:22" x14ac:dyDescent="0.25">
      <c r="A2" t="s">
        <v>25</v>
      </c>
      <c r="B2">
        <f>IF(ISNUMBER(INDEX(Regions!$B$5:$B$14,MATCH(Regions!$B$1,Regions!$A$5:$A$14,0))),INDEX(Regions!$B$5:$B$14,MATCH(Regions!$B$1,Regions!$A$5:$A$14,0)),1)</f>
        <v>0.7</v>
      </c>
    </row>
    <row r="3" spans="1:22" x14ac:dyDescent="0.25">
      <c r="A3" t="s">
        <v>26</v>
      </c>
      <c r="B3">
        <f>IF(ISNUMBER(INDEX(Regions!$C$5:$C$14,MATCH(Regions!$B$1,Regions!$A$5:$A$14,0))),INDEX(Regions!$C$5:$C$14,MATCH(Regions!$B$1,Regions!$A$5:$A$14,0)),0)</f>
        <v>0.31</v>
      </c>
    </row>
    <row r="5" spans="1:22" x14ac:dyDescent="0.25">
      <c r="A5" t="s">
        <v>27</v>
      </c>
      <c r="B5">
        <v>0</v>
      </c>
      <c r="C5">
        <v>0.05</v>
      </c>
      <c r="D5">
        <v>0.1</v>
      </c>
      <c r="E5">
        <v>0.15</v>
      </c>
      <c r="F5">
        <v>0.2</v>
      </c>
      <c r="G5">
        <v>0.25</v>
      </c>
      <c r="H5">
        <v>0.3</v>
      </c>
      <c r="I5">
        <v>0.35</v>
      </c>
      <c r="J5">
        <v>0.4</v>
      </c>
      <c r="K5">
        <v>0.45</v>
      </c>
      <c r="L5">
        <v>0.5</v>
      </c>
      <c r="M5">
        <v>0.55000000000000004</v>
      </c>
      <c r="N5">
        <v>0.6</v>
      </c>
      <c r="O5">
        <v>0.65</v>
      </c>
      <c r="P5">
        <v>0.7</v>
      </c>
      <c r="Q5">
        <v>0.75</v>
      </c>
      <c r="R5">
        <v>0.8</v>
      </c>
      <c r="S5">
        <v>0.85</v>
      </c>
      <c r="T5">
        <v>0.9</v>
      </c>
      <c r="U5">
        <v>0.95</v>
      </c>
      <c r="V5">
        <v>1</v>
      </c>
    </row>
    <row r="6" spans="1:22" x14ac:dyDescent="0.25">
      <c r="A6" t="s">
        <v>28</v>
      </c>
      <c r="B6">
        <f t="shared" ref="B6:V6" si="0">IF(B5&lt;=$B$2,0,ROUND($B$3*((B5-$B$2)/(1-$B$2))^2,4))</f>
        <v>0</v>
      </c>
      <c r="C6">
        <f t="shared" si="0"/>
        <v>0</v>
      </c>
      <c r="D6">
        <f t="shared" si="0"/>
        <v>0</v>
      </c>
      <c r="E6">
        <f t="shared" si="0"/>
        <v>0</v>
      </c>
      <c r="F6">
        <f t="shared" si="0"/>
        <v>0</v>
      </c>
      <c r="G6">
        <f t="shared" si="0"/>
        <v>0</v>
      </c>
      <c r="H6">
        <f t="shared" si="0"/>
        <v>0</v>
      </c>
      <c r="I6">
        <f t="shared" si="0"/>
        <v>0</v>
      </c>
      <c r="J6">
        <f t="shared" si="0"/>
        <v>0</v>
      </c>
      <c r="K6">
        <f t="shared" si="0"/>
        <v>0</v>
      </c>
      <c r="L6">
        <f t="shared" si="0"/>
        <v>0</v>
      </c>
      <c r="M6">
        <f t="shared" si="0"/>
        <v>0</v>
      </c>
      <c r="N6">
        <f t="shared" si="0"/>
        <v>0</v>
      </c>
      <c r="O6">
        <f t="shared" si="0"/>
        <v>0</v>
      </c>
      <c r="P6">
        <f t="shared" si="0"/>
        <v>0</v>
      </c>
      <c r="Q6">
        <f t="shared" si="0"/>
        <v>8.6E-3</v>
      </c>
      <c r="R6">
        <f t="shared" si="0"/>
        <v>3.44E-2</v>
      </c>
      <c r="S6">
        <f t="shared" si="0"/>
        <v>7.7499999999999999E-2</v>
      </c>
      <c r="T6">
        <f t="shared" si="0"/>
        <v>0.13780000000000001</v>
      </c>
      <c r="U6">
        <f t="shared" si="0"/>
        <v>0.21529999999999999</v>
      </c>
      <c r="V6">
        <f t="shared" si="0"/>
        <v>0.31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V2"/>
  <sheetViews>
    <sheetView workbookViewId="0"/>
  </sheetViews>
  <sheetFormatPr defaultRowHeight="15" x14ac:dyDescent="0.25"/>
  <sheetData>
    <row r="1" spans="1:22" x14ac:dyDescent="0.25">
      <c r="A1" t="s">
        <v>48</v>
      </c>
      <c r="B1">
        <v>0</v>
      </c>
      <c r="C1">
        <v>0.05</v>
      </c>
      <c r="D1">
        <v>0.1</v>
      </c>
      <c r="E1">
        <v>0.15</v>
      </c>
      <c r="F1">
        <v>0.2</v>
      </c>
      <c r="G1">
        <v>0.25</v>
      </c>
      <c r="H1">
        <v>0.3</v>
      </c>
      <c r="I1">
        <v>0.35</v>
      </c>
      <c r="J1">
        <v>0.4</v>
      </c>
      <c r="K1">
        <v>0.45</v>
      </c>
      <c r="L1">
        <v>0.5</v>
      </c>
      <c r="M1">
        <v>0.55000000000000004</v>
      </c>
      <c r="N1">
        <v>0.6</v>
      </c>
      <c r="O1">
        <v>0.65</v>
      </c>
      <c r="P1">
        <v>0.7</v>
      </c>
      <c r="Q1">
        <v>0.75</v>
      </c>
      <c r="R1">
        <v>0.8</v>
      </c>
      <c r="S1">
        <v>0.85</v>
      </c>
      <c r="T1">
        <v>0.9</v>
      </c>
      <c r="U1">
        <v>0.95</v>
      </c>
      <c r="V1">
        <v>1</v>
      </c>
    </row>
    <row r="2" spans="1:22" x14ac:dyDescent="0.25">
      <c r="A2" t="s">
        <v>29</v>
      </c>
      <c r="B2">
        <f>Derivation!B6</f>
        <v>0</v>
      </c>
      <c r="C2">
        <f>Derivation!C6</f>
        <v>0</v>
      </c>
      <c r="D2">
        <f>Derivation!D6</f>
        <v>0</v>
      </c>
      <c r="E2">
        <f>Derivation!E6</f>
        <v>0</v>
      </c>
      <c r="F2">
        <f>Derivation!F6</f>
        <v>0</v>
      </c>
      <c r="G2">
        <f>Derivation!G6</f>
        <v>0</v>
      </c>
      <c r="H2">
        <f>Derivation!H6</f>
        <v>0</v>
      </c>
      <c r="I2">
        <f>Derivation!I6</f>
        <v>0</v>
      </c>
      <c r="J2">
        <f>Derivation!J6</f>
        <v>0</v>
      </c>
      <c r="K2">
        <f>Derivation!K6</f>
        <v>0</v>
      </c>
      <c r="L2">
        <f>Derivation!L6</f>
        <v>0</v>
      </c>
      <c r="M2">
        <f>Derivation!M6</f>
        <v>0</v>
      </c>
      <c r="N2">
        <f>Derivation!N6</f>
        <v>0</v>
      </c>
      <c r="O2">
        <f>Derivation!O6</f>
        <v>0</v>
      </c>
      <c r="P2">
        <f>Derivation!P6</f>
        <v>0</v>
      </c>
      <c r="Q2">
        <f>Derivation!Q6</f>
        <v>8.6E-3</v>
      </c>
      <c r="R2">
        <f>Derivation!R6</f>
        <v>3.44E-2</v>
      </c>
      <c r="S2">
        <f>Derivation!S6</f>
        <v>7.7499999999999999E-2</v>
      </c>
      <c r="T2">
        <f>Derivation!T6</f>
        <v>0.13780000000000001</v>
      </c>
      <c r="U2">
        <f>Derivation!U6</f>
        <v>0.21529999999999999</v>
      </c>
      <c r="V2">
        <f>Derivation!V6</f>
        <v>0.31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Regions</vt:lpstr>
      <vt:lpstr>Derivation</vt:lpstr>
      <vt:lpstr>CTOAvT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2026-09-29T18:40:23Z</dcterms:created>
  <dcterms:modified xsi:type="dcterms:W3CDTF">2026-10-05T17:22:13Z</dcterms:modified>
</cp:coreProperties>
</file>