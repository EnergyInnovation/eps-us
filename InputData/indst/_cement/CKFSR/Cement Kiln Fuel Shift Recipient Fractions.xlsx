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CKFSR\"/>
    </mc:Choice>
  </mc:AlternateContent>
  <xr:revisionPtr revIDLastSave="0" documentId="13_ncr:1_{181519D2-31EE-49B5-98B9-B323E4BEA1B1}" xr6:coauthVersionLast="47" xr6:coauthVersionMax="47" xr10:uidLastSave="{00000000-0000-0000-0000-000000000000}"/>
  <bookViews>
    <workbookView xWindow="31095" yWindow="2295" windowWidth="21600" windowHeight="12585" xr2:uid="{00000000-000D-0000-FFFF-FFFF00000000}"/>
  </bookViews>
  <sheets>
    <sheet name="About" sheetId="1" r:id="rId1"/>
    <sheet name="Recipient Fractions" sheetId="2" r:id="rId2"/>
    <sheet name="Checks" sheetId="3" r:id="rId3"/>
    <sheet name="CKFSR"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4" l="1"/>
  <c r="C13" i="4"/>
  <c r="B13" i="4"/>
  <c r="A13" i="4"/>
  <c r="D12" i="4"/>
  <c r="C12" i="4"/>
  <c r="B12" i="4"/>
  <c r="A12" i="4"/>
  <c r="D11" i="4"/>
  <c r="C11" i="4"/>
  <c r="B11" i="4"/>
  <c r="A11" i="4"/>
  <c r="D10" i="4"/>
  <c r="C10" i="4"/>
  <c r="B10" i="4"/>
  <c r="A10" i="4"/>
  <c r="D9" i="4"/>
  <c r="C9" i="4"/>
  <c r="B9" i="4"/>
  <c r="A9" i="4"/>
  <c r="D8" i="4"/>
  <c r="C8" i="4"/>
  <c r="B8" i="4"/>
  <c r="A8" i="4"/>
  <c r="D7" i="4"/>
  <c r="C7" i="4"/>
  <c r="B7" i="4"/>
  <c r="A7" i="4"/>
  <c r="D6" i="4"/>
  <c r="C6" i="4"/>
  <c r="B6" i="4"/>
  <c r="A6" i="4"/>
  <c r="D5" i="4"/>
  <c r="C5" i="4"/>
  <c r="B5" i="4"/>
  <c r="A5" i="4"/>
  <c r="D4" i="4"/>
  <c r="C4" i="4"/>
  <c r="B4" i="4"/>
  <c r="A4" i="4"/>
  <c r="D3" i="4"/>
  <c r="C3" i="4"/>
  <c r="B3" i="4"/>
  <c r="A3" i="4"/>
  <c r="D2" i="4"/>
  <c r="C2" i="4"/>
  <c r="B2" i="4"/>
  <c r="A2" i="4"/>
  <c r="B4" i="3"/>
  <c r="C4" i="3" s="1"/>
  <c r="G15" i="2"/>
  <c r="G14" i="2"/>
  <c r="G13" i="2"/>
  <c r="G12" i="2"/>
  <c r="G11" i="2"/>
  <c r="G10" i="2"/>
  <c r="G9" i="2"/>
  <c r="G8" i="2"/>
  <c r="G7" i="2"/>
  <c r="G6" i="2"/>
  <c r="G5" i="2"/>
  <c r="G4" i="2"/>
  <c r="B5" i="3" s="1"/>
  <c r="C5" i="3" s="1"/>
  <c r="B3" i="3" l="1"/>
  <c r="C3" i="3" s="1"/>
</calcChain>
</file>

<file path=xl/sharedStrings.xml><?xml version="1.0" encoding="utf-8"?>
<sst xmlns="http://schemas.openxmlformats.org/spreadsheetml/2006/main" count="65" uniqueCount="65">
  <si>
    <t>CKFSR Cement Kiln Fuel Shift Recipient Fractions</t>
  </si>
  <si>
    <t>Sources:</t>
  </si>
  <si>
    <t>Why the U.S. values send every fossil kiln fuel to alternative fuels</t>
  </si>
  <si>
    <t>Global Cement and Concrete Association (GCCA)</t>
  </si>
  <si>
    <t>Concrete Future: The GCCA 2050 Cement and Concrete Industry Roadmap for Net Zero Concrete</t>
  </si>
  <si>
    <t>https://gccassociation.org/concretefuture/</t>
  </si>
  <si>
    <t>The roadmap treats the thermal substitution rate, the share of kiln heat supplied by alternative fuels, as the main kiln-fuel lever (about 6 percent worldwide today rising to 22 percent in 2030 and 43 percent in 2050), and national kiln-fuel policies are written the same way (India, China, Mexico, the EU). Sending every fossil kiln fuel to alternative fuels in the same proportion makes the lever a thermal substitution rate on the fossil fuels. Used for that design choice only; no number from the roadmap enters this file.</t>
  </si>
  <si>
    <t>Where alternative fuels, gas and hydrogen are fired in a precalciner kiln (for editing the rows)</t>
  </si>
  <si>
    <t>European Cement Research Academy (ECRA) and Cement Sustainability Initiative (CSI)</t>
  </si>
  <si>
    <t>Development of State of the Art Techniques in Cement Manufacturing: Trying to Look Ahead (CSI/ECRA Technology Papers)</t>
  </si>
  <si>
    <t>https://ecra-online.org/research/technology-papers/</t>
  </si>
  <si>
    <t>Coarse solid wastes (tires, refuse-derived fuel, plastics) are fed to the calciner and kiln inlet, where coal and petroleum coke are fired; liquid wastes are injected at the main burner. Useful when deciding how to route each fuel for a region (for example, sending only part of the natural gas row to alternative fuels and keeping the rest as gas). Not used for the U.S. values.</t>
  </si>
  <si>
    <t>Notes:</t>
  </si>
  <si>
    <t>Purpose and layout</t>
  </si>
  <si>
    <t>The kiln fuel shift policy (Fraction of Fossil Kiln Energy Shifted) takes the same share of every fossil fuel the kilns burn: coal, natural gas, and the petroleum coke the model carries on the petroleum diesel and residual fuel oil elements. This file says where that shifted energy goes. Each fossil fuel's row splits its shifted energy across three destinations: alternative fuels (tire-derived fuel, engineered waste fuels, waste oils and solvents, biomass residues, which the model carries on the biomass element), natural gas, and hydrogen. Each fossil row must add up to one. Rows for the other fuels are not used and stay zero. Edit the 'Recipient Fractions' tab; the 'Checks' tab tests the rows; the 'CKFSR' tab is exported to CKFSR.csv.</t>
  </si>
  <si>
    <t>How the U.S. values were set</t>
  </si>
  <si>
    <t>For the U.S. every fossil kiln fuel sends all of its shifted energy to alternative fuels, because nearly all kiln-fuel policy in force or proposed is a thermal substitution target. With these values the policy setting is simply the share of fossil kiln heat replaced by alternative fuels. A target T for a fleet that already gets a share A of its kiln heat from alternative fuels corresponds to a setting of (T - A) / (1 - A).</t>
  </si>
  <si>
    <t>Other ways to use the rows</t>
  </si>
  <si>
    <t>A coal-to-gas kiln conversion program, as in parts of China, sends the coal and petroleum coke rows to natural gas and leaves the natural gas row on natural gas (a fuel sent to itself is unchanged). A hydrogen co-firing program sends every fossil row to hydrogen. A mixed policy splits a row, for example half of coal to alternative fuels and half to natural gas. The same policy setting then applies to whatever routing the rows describe.</t>
  </si>
  <si>
    <t>Confidence</t>
  </si>
  <si>
    <t>The U.S. routing is a modelling choice that matches how kiln-fuel policies are written, not a measured quantity. Kilns fire coarse solid wastes mainly in place of coal and petroleum coke, so a uniform share across the fuels may take somewhat more from natural gas than real plants would.</t>
  </si>
  <si>
    <t>Where each fossil kiln fuel's shifted energy goes (edit here)</t>
  </si>
  <si>
    <t>Each row is one fuel in the model's fuel list. For the four fossil kiln fuels, enter the fraction of the energy the policy takes from that fuel that goes to each destination; the three fractions must add up to one. Leave the other rows at zero.</t>
  </si>
  <si>
    <t>Fuel</t>
  </si>
  <si>
    <t>Model fuel name</t>
  </si>
  <si>
    <t>Fossil kiln fuel?
1 = yes</t>
  </si>
  <si>
    <t>To alternative fuels
fraction</t>
  </si>
  <si>
    <t>To natural gas
fraction</t>
  </si>
  <si>
    <t>To hydrogen
fraction</t>
  </si>
  <si>
    <t>Row total
must be 1 for fossil fuels</t>
  </si>
  <si>
    <t>Electricity</t>
  </si>
  <si>
    <t>electricity if</t>
  </si>
  <si>
    <t>Coal</t>
  </si>
  <si>
    <t>hard coal if</t>
  </si>
  <si>
    <t>Natural gas</t>
  </si>
  <si>
    <t>natural gas if</t>
  </si>
  <si>
    <t>Biomass (carries the alternative fuels)</t>
  </si>
  <si>
    <t>biomass if</t>
  </si>
  <si>
    <t>Petroleum diesel (carries part of the petroleum coke)</t>
  </si>
  <si>
    <t>petroleum diesel if</t>
  </si>
  <si>
    <t>Heat</t>
  </si>
  <si>
    <t>heat if</t>
  </si>
  <si>
    <t>Crude oil</t>
  </si>
  <si>
    <t>crude oil if</t>
  </si>
  <si>
    <t>Heavy or residual fuel oil (carries part of the petroleum coke)</t>
  </si>
  <si>
    <t>heavy or residual fuel oil if</t>
  </si>
  <si>
    <t>LPG, propane or butane</t>
  </si>
  <si>
    <t>LPG propane or butane if</t>
  </si>
  <si>
    <t>Hydrogen</t>
  </si>
  <si>
    <t>hydrogen if</t>
  </si>
  <si>
    <t>Green hydrogen</t>
  </si>
  <si>
    <t>green hydrogen if</t>
  </si>
  <si>
    <t>Low carbon hydrogen</t>
  </si>
  <si>
    <t>low carbon hydrogen if</t>
  </si>
  <si>
    <t>Live checks</t>
  </si>
  <si>
    <t>Check</t>
  </si>
  <si>
    <t>Value</t>
  </si>
  <si>
    <t>Result</t>
  </si>
  <si>
    <t>Fossil fuel rows whose fractions do not add up to 1 (count)</t>
  </si>
  <si>
    <t>Fractions below 0 or above 1 (count)</t>
  </si>
  <si>
    <t>Non-fossil rows with any nonzero fraction (count; these rows are not used)</t>
  </si>
  <si>
    <t>Unit: dimensionless</t>
  </si>
  <si>
    <t>to alternative fuels</t>
  </si>
  <si>
    <t>to natural gas</t>
  </si>
  <si>
    <t>to hydrogen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</si>
</sst>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0" fontId="3" fillId="3" borderId="0" xfId="0" applyFont="1" applyFill="1" applyAlignment="1">
      <alignment horizontal="left" vertical="top" wrapText="1"/>
    </xf>
    <xf numFmtId="0" fontId="0" fillId="0" borderId="0" xfId="0" applyAlignment="1">
      <alignment horizontal="lef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ecra-online.org/research/technology-papers/" TargetMode="External"/><Relationship Id="rId1" Type="http://schemas.openxmlformats.org/officeDocument/2006/relationships/hyperlink" Target="https://gccassociation.org/concretefutu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tabSelected="1" workbookViewId="0"/>
  </sheetViews>
  <sheetFormatPr defaultRowHeight="15" x14ac:dyDescent="0.25"/>
  <cols>
    <col min="1" max="1" width="22" customWidth="1"/>
    <col min="2" max="2" width="110" customWidth="1"/>
  </cols>
  <sheetData>
    <row r="1" spans="1:2" x14ac:dyDescent="0.25">
      <c r="A1" s="1" t="s">
        <v>0</v>
      </c>
    </row>
    <row r="3" spans="1:2" x14ac:dyDescent="0.25">
      <c r="A3" s="1" t="s">
        <v>1</v>
      </c>
      <c r="B3" s="2" t="s">
        <v>2</v>
      </c>
    </row>
    <row r="4" spans="1:2" x14ac:dyDescent="0.25">
      <c r="B4" s="3" t="s">
        <v>3</v>
      </c>
    </row>
    <row r="5" spans="1:2" x14ac:dyDescent="0.25">
      <c r="B5" s="3" t="s">
        <v>4</v>
      </c>
    </row>
    <row r="6" spans="1:2" x14ac:dyDescent="0.25">
      <c r="B6" s="3">
        <v>2021</v>
      </c>
    </row>
    <row r="7" spans="1:2" x14ac:dyDescent="0.25">
      <c r="B7" s="4" t="s">
        <v>5</v>
      </c>
    </row>
    <row r="8" spans="1:2" ht="75" x14ac:dyDescent="0.25">
      <c r="B8" s="3" t="s">
        <v>6</v>
      </c>
    </row>
    <row r="10" spans="1:2" x14ac:dyDescent="0.25">
      <c r="B10" s="2" t="s">
        <v>7</v>
      </c>
    </row>
    <row r="11" spans="1:2" x14ac:dyDescent="0.25">
      <c r="B11" s="3" t="s">
        <v>8</v>
      </c>
    </row>
    <row r="12" spans="1:2" ht="30" x14ac:dyDescent="0.25">
      <c r="B12" s="3" t="s">
        <v>9</v>
      </c>
    </row>
    <row r="13" spans="1:2" x14ac:dyDescent="0.25">
      <c r="B13" s="3">
        <v>2017</v>
      </c>
    </row>
    <row r="14" spans="1:2" x14ac:dyDescent="0.25">
      <c r="B14" s="4" t="s">
        <v>10</v>
      </c>
    </row>
    <row r="15" spans="1:2" ht="60" x14ac:dyDescent="0.25">
      <c r="B15" s="3" t="s">
        <v>11</v>
      </c>
    </row>
    <row r="18" spans="1:2" x14ac:dyDescent="0.25">
      <c r="A18" s="1" t="s">
        <v>12</v>
      </c>
    </row>
    <row r="19" spans="1:2" ht="105" x14ac:dyDescent="0.25">
      <c r="A19" s="5" t="s">
        <v>13</v>
      </c>
      <c r="B19" s="3" t="s">
        <v>14</v>
      </c>
    </row>
    <row r="20" spans="1:2" ht="60" x14ac:dyDescent="0.25">
      <c r="A20" s="5" t="s">
        <v>15</v>
      </c>
      <c r="B20" s="3" t="s">
        <v>16</v>
      </c>
    </row>
    <row r="21" spans="1:2" ht="60" x14ac:dyDescent="0.25">
      <c r="A21" s="5" t="s">
        <v>17</v>
      </c>
      <c r="B21" s="3" t="s">
        <v>18</v>
      </c>
    </row>
    <row r="22" spans="1:2" ht="45" x14ac:dyDescent="0.25">
      <c r="A22" s="5" t="s">
        <v>19</v>
      </c>
      <c r="B22" s="3" t="s">
        <v>20</v>
      </c>
    </row>
  </sheetData>
  <hyperlinks>
    <hyperlink ref="B7" r:id="rId1" xr:uid="{00000000-0004-0000-0000-000000000000}"/>
    <hyperlink ref="B14" r:id="rId2" xr:uid="{00000000-0004-0000-0000-000001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
  <sheetViews>
    <sheetView workbookViewId="0"/>
  </sheetViews>
  <sheetFormatPr defaultRowHeight="15" x14ac:dyDescent="0.25"/>
  <cols>
    <col min="1" max="1" width="52" customWidth="1"/>
    <col min="2" max="2" width="30" customWidth="1"/>
    <col min="3" max="3" width="14" customWidth="1"/>
    <col min="4" max="6" width="16" customWidth="1"/>
    <col min="7" max="7" width="18" customWidth="1"/>
  </cols>
  <sheetData>
    <row r="1" spans="1:7" x14ac:dyDescent="0.25">
      <c r="A1" s="1" t="s">
        <v>21</v>
      </c>
    </row>
    <row r="2" spans="1:7" ht="45" customHeight="1" x14ac:dyDescent="0.25">
      <c r="A2" s="7" t="s">
        <v>22</v>
      </c>
      <c r="B2" s="8"/>
      <c r="C2" s="8"/>
      <c r="D2" s="8"/>
      <c r="E2" s="8"/>
      <c r="F2" s="8"/>
      <c r="G2" s="8"/>
    </row>
    <row r="3" spans="1:7" ht="48" customHeight="1" x14ac:dyDescent="0.25">
      <c r="A3" s="6" t="s">
        <v>23</v>
      </c>
      <c r="B3" s="6" t="s">
        <v>24</v>
      </c>
      <c r="C3" s="6" t="s">
        <v>25</v>
      </c>
      <c r="D3" s="6" t="s">
        <v>26</v>
      </c>
      <c r="E3" s="6" t="s">
        <v>27</v>
      </c>
      <c r="F3" s="6" t="s">
        <v>28</v>
      </c>
      <c r="G3" s="6" t="s">
        <v>29</v>
      </c>
    </row>
    <row r="4" spans="1:7" x14ac:dyDescent="0.25">
      <c r="A4" t="s">
        <v>30</v>
      </c>
      <c r="B4" t="s">
        <v>31</v>
      </c>
      <c r="C4">
        <v>0</v>
      </c>
      <c r="D4">
        <v>0</v>
      </c>
      <c r="E4">
        <v>0</v>
      </c>
      <c r="F4">
        <v>0</v>
      </c>
      <c r="G4">
        <f t="shared" ref="G4:G15" si="0">SUM(D4:F4)</f>
        <v>0</v>
      </c>
    </row>
    <row r="5" spans="1:7" x14ac:dyDescent="0.25">
      <c r="A5" t="s">
        <v>32</v>
      </c>
      <c r="B5" t="s">
        <v>33</v>
      </c>
      <c r="C5">
        <v>1</v>
      </c>
      <c r="D5">
        <v>1</v>
      </c>
      <c r="E5">
        <v>0</v>
      </c>
      <c r="F5">
        <v>0</v>
      </c>
      <c r="G5">
        <f t="shared" si="0"/>
        <v>1</v>
      </c>
    </row>
    <row r="6" spans="1:7" x14ac:dyDescent="0.25">
      <c r="A6" t="s">
        <v>34</v>
      </c>
      <c r="B6" t="s">
        <v>35</v>
      </c>
      <c r="C6">
        <v>1</v>
      </c>
      <c r="D6">
        <v>1</v>
      </c>
      <c r="E6">
        <v>0</v>
      </c>
      <c r="F6">
        <v>0</v>
      </c>
      <c r="G6">
        <f t="shared" si="0"/>
        <v>1</v>
      </c>
    </row>
    <row r="7" spans="1:7" x14ac:dyDescent="0.25">
      <c r="A7" t="s">
        <v>36</v>
      </c>
      <c r="B7" t="s">
        <v>37</v>
      </c>
      <c r="C7">
        <v>0</v>
      </c>
      <c r="D7">
        <v>0</v>
      </c>
      <c r="E7">
        <v>0</v>
      </c>
      <c r="F7">
        <v>0</v>
      </c>
      <c r="G7">
        <f t="shared" si="0"/>
        <v>0</v>
      </c>
    </row>
    <row r="8" spans="1:7" x14ac:dyDescent="0.25">
      <c r="A8" t="s">
        <v>38</v>
      </c>
      <c r="B8" t="s">
        <v>39</v>
      </c>
      <c r="C8">
        <v>1</v>
      </c>
      <c r="D8">
        <v>1</v>
      </c>
      <c r="E8">
        <v>0</v>
      </c>
      <c r="F8">
        <v>0</v>
      </c>
      <c r="G8">
        <f t="shared" si="0"/>
        <v>1</v>
      </c>
    </row>
    <row r="9" spans="1:7" x14ac:dyDescent="0.25">
      <c r="A9" t="s">
        <v>40</v>
      </c>
      <c r="B9" t="s">
        <v>41</v>
      </c>
      <c r="C9">
        <v>0</v>
      </c>
      <c r="D9">
        <v>0</v>
      </c>
      <c r="E9">
        <v>0</v>
      </c>
      <c r="F9">
        <v>0</v>
      </c>
      <c r="G9">
        <f t="shared" si="0"/>
        <v>0</v>
      </c>
    </row>
    <row r="10" spans="1:7" x14ac:dyDescent="0.25">
      <c r="A10" t="s">
        <v>42</v>
      </c>
      <c r="B10" t="s">
        <v>43</v>
      </c>
      <c r="C10">
        <v>0</v>
      </c>
      <c r="D10">
        <v>0</v>
      </c>
      <c r="E10">
        <v>0</v>
      </c>
      <c r="F10">
        <v>0</v>
      </c>
      <c r="G10">
        <f t="shared" si="0"/>
        <v>0</v>
      </c>
    </row>
    <row r="11" spans="1:7" x14ac:dyDescent="0.25">
      <c r="A11" t="s">
        <v>44</v>
      </c>
      <c r="B11" t="s">
        <v>45</v>
      </c>
      <c r="C11">
        <v>1</v>
      </c>
      <c r="D11">
        <v>1</v>
      </c>
      <c r="E11">
        <v>0</v>
      </c>
      <c r="F11">
        <v>0</v>
      </c>
      <c r="G11">
        <f t="shared" si="0"/>
        <v>1</v>
      </c>
    </row>
    <row r="12" spans="1:7" x14ac:dyDescent="0.25">
      <c r="A12" t="s">
        <v>46</v>
      </c>
      <c r="B12" t="s">
        <v>47</v>
      </c>
      <c r="C12">
        <v>0</v>
      </c>
      <c r="D12">
        <v>0</v>
      </c>
      <c r="E12">
        <v>0</v>
      </c>
      <c r="F12">
        <v>0</v>
      </c>
      <c r="G12">
        <f t="shared" si="0"/>
        <v>0</v>
      </c>
    </row>
    <row r="13" spans="1:7" x14ac:dyDescent="0.25">
      <c r="A13" t="s">
        <v>48</v>
      </c>
      <c r="B13" t="s">
        <v>49</v>
      </c>
      <c r="C13">
        <v>0</v>
      </c>
      <c r="D13">
        <v>0</v>
      </c>
      <c r="E13">
        <v>0</v>
      </c>
      <c r="F13">
        <v>0</v>
      </c>
      <c r="G13">
        <f t="shared" si="0"/>
        <v>0</v>
      </c>
    </row>
    <row r="14" spans="1:7" x14ac:dyDescent="0.25">
      <c r="A14" t="s">
        <v>50</v>
      </c>
      <c r="B14" t="s">
        <v>51</v>
      </c>
      <c r="C14">
        <v>0</v>
      </c>
      <c r="D14">
        <v>0</v>
      </c>
      <c r="E14">
        <v>0</v>
      </c>
      <c r="F14">
        <v>0</v>
      </c>
      <c r="G14">
        <f t="shared" si="0"/>
        <v>0</v>
      </c>
    </row>
    <row r="15" spans="1:7" x14ac:dyDescent="0.25">
      <c r="A15" t="s">
        <v>52</v>
      </c>
      <c r="B15" t="s">
        <v>53</v>
      </c>
      <c r="C15">
        <v>0</v>
      </c>
      <c r="D15">
        <v>0</v>
      </c>
      <c r="E15">
        <v>0</v>
      </c>
      <c r="F15">
        <v>0</v>
      </c>
      <c r="G15">
        <f t="shared" si="0"/>
        <v>0</v>
      </c>
    </row>
  </sheetData>
  <mergeCells count="1">
    <mergeCell ref="A2:G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workbookViewId="0"/>
  </sheetViews>
  <sheetFormatPr defaultRowHeight="15" x14ac:dyDescent="0.25"/>
  <cols>
    <col min="1" max="1" width="70" customWidth="1"/>
    <col min="2" max="3" width="10" customWidth="1"/>
  </cols>
  <sheetData>
    <row r="1" spans="1:3" x14ac:dyDescent="0.25">
      <c r="A1" s="1" t="s">
        <v>54</v>
      </c>
    </row>
    <row r="2" spans="1:3" ht="20.100000000000001" customHeight="1" x14ac:dyDescent="0.25">
      <c r="A2" s="6" t="s">
        <v>55</v>
      </c>
      <c r="B2" s="6" t="s">
        <v>56</v>
      </c>
      <c r="C2" s="6" t="s">
        <v>57</v>
      </c>
    </row>
    <row r="3" spans="1:3" x14ac:dyDescent="0.25">
      <c r="A3" t="s">
        <v>58</v>
      </c>
      <c r="B3">
        <f>SUMPRODUCT(('Recipient Fractions'!C4:C15=1)*(ABS('Recipient Fractions'!G4:G15-1)&gt;0.000001))</f>
        <v>0</v>
      </c>
      <c r="C3" t="str">
        <f>IF(B3=0,"PASS","FAIL")</f>
        <v>PASS</v>
      </c>
    </row>
    <row r="4" spans="1:3" x14ac:dyDescent="0.25">
      <c r="A4" t="s">
        <v>59</v>
      </c>
      <c r="B4">
        <f>COUNTIF('Recipient Fractions'!D4:F15,"&lt;0")+COUNTIF('Recipient Fractions'!D4:F15,"&gt;1")</f>
        <v>0</v>
      </c>
      <c r="C4" t="str">
        <f>IF(B4=0,"PASS","FAIL")</f>
        <v>PASS</v>
      </c>
    </row>
    <row r="5" spans="1:3" x14ac:dyDescent="0.25">
      <c r="A5" t="s">
        <v>60</v>
      </c>
      <c r="B5">
        <f>SUMPRODUCT(('Recipient Fractions'!C4:C15=0)*('Recipient Fractions'!G4:G15&lt;&gt;0))</f>
        <v>0</v>
      </c>
      <c r="C5" t="str">
        <f>IF(B5=0,"PASS","CHECK")</f>
        <v>PASS</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D13"/>
  <sheetViews>
    <sheetView workbookViewId="0"/>
  </sheetViews>
  <sheetFormatPr defaultRowHeight="15" x14ac:dyDescent="0.25"/>
  <cols>
    <col min="1" max="1" width="30" customWidth="1"/>
  </cols>
  <sheetData>
    <row r="1" spans="1:4" x14ac:dyDescent="0.25">
      <c r="A1" t="s">
        <v>61</v>
      </c>
      <c r="B1" t="s">
        <v>62</v>
      </c>
      <c r="C1" t="s">
        <v>63</v>
      </c>
      <c r="D1" t="s">
        <v>64</v>
      </c>
    </row>
    <row r="2" spans="1:4" x14ac:dyDescent="0.25">
      <c r="A2" t="str">
        <f>'Recipient Fractions'!B4</f>
        <v>electricity if</v>
      </c>
      <c r="B2">
        <f>'Recipient Fractions'!D4</f>
        <v>0</v>
      </c>
      <c r="C2">
        <f>'Recipient Fractions'!E4</f>
        <v>0</v>
      </c>
      <c r="D2">
        <f>'Recipient Fractions'!F4</f>
        <v>0</v>
      </c>
    </row>
    <row r="3" spans="1:4" x14ac:dyDescent="0.25">
      <c r="A3" t="str">
        <f>'Recipient Fractions'!B5</f>
        <v>hard coal if</v>
      </c>
      <c r="B3">
        <f>'Recipient Fractions'!D5</f>
        <v>1</v>
      </c>
      <c r="C3">
        <f>'Recipient Fractions'!E5</f>
        <v>0</v>
      </c>
      <c r="D3">
        <f>'Recipient Fractions'!F5</f>
        <v>0</v>
      </c>
    </row>
    <row r="4" spans="1:4" x14ac:dyDescent="0.25">
      <c r="A4" t="str">
        <f>'Recipient Fractions'!B6</f>
        <v>natural gas if</v>
      </c>
      <c r="B4">
        <f>'Recipient Fractions'!D6</f>
        <v>1</v>
      </c>
      <c r="C4">
        <f>'Recipient Fractions'!E6</f>
        <v>0</v>
      </c>
      <c r="D4">
        <f>'Recipient Fractions'!F6</f>
        <v>0</v>
      </c>
    </row>
    <row r="5" spans="1:4" x14ac:dyDescent="0.25">
      <c r="A5" t="str">
        <f>'Recipient Fractions'!B7</f>
        <v>biomass if</v>
      </c>
      <c r="B5">
        <f>'Recipient Fractions'!D7</f>
        <v>0</v>
      </c>
      <c r="C5">
        <f>'Recipient Fractions'!E7</f>
        <v>0</v>
      </c>
      <c r="D5">
        <f>'Recipient Fractions'!F7</f>
        <v>0</v>
      </c>
    </row>
    <row r="6" spans="1:4" x14ac:dyDescent="0.25">
      <c r="A6" t="str">
        <f>'Recipient Fractions'!B8</f>
        <v>petroleum diesel if</v>
      </c>
      <c r="B6">
        <f>'Recipient Fractions'!D8</f>
        <v>1</v>
      </c>
      <c r="C6">
        <f>'Recipient Fractions'!E8</f>
        <v>0</v>
      </c>
      <c r="D6">
        <f>'Recipient Fractions'!F8</f>
        <v>0</v>
      </c>
    </row>
    <row r="7" spans="1:4" x14ac:dyDescent="0.25">
      <c r="A7" t="str">
        <f>'Recipient Fractions'!B9</f>
        <v>heat if</v>
      </c>
      <c r="B7">
        <f>'Recipient Fractions'!D9</f>
        <v>0</v>
      </c>
      <c r="C7">
        <f>'Recipient Fractions'!E9</f>
        <v>0</v>
      </c>
      <c r="D7">
        <f>'Recipient Fractions'!F9</f>
        <v>0</v>
      </c>
    </row>
    <row r="8" spans="1:4" x14ac:dyDescent="0.25">
      <c r="A8" t="str">
        <f>'Recipient Fractions'!B10</f>
        <v>crude oil if</v>
      </c>
      <c r="B8">
        <f>'Recipient Fractions'!D10</f>
        <v>0</v>
      </c>
      <c r="C8">
        <f>'Recipient Fractions'!E10</f>
        <v>0</v>
      </c>
      <c r="D8">
        <f>'Recipient Fractions'!F10</f>
        <v>0</v>
      </c>
    </row>
    <row r="9" spans="1:4" x14ac:dyDescent="0.25">
      <c r="A9" t="str">
        <f>'Recipient Fractions'!B11</f>
        <v>heavy or residual fuel oil if</v>
      </c>
      <c r="B9">
        <f>'Recipient Fractions'!D11</f>
        <v>1</v>
      </c>
      <c r="C9">
        <f>'Recipient Fractions'!E11</f>
        <v>0</v>
      </c>
      <c r="D9">
        <f>'Recipient Fractions'!F11</f>
        <v>0</v>
      </c>
    </row>
    <row r="10" spans="1:4" x14ac:dyDescent="0.25">
      <c r="A10" t="str">
        <f>'Recipient Fractions'!B12</f>
        <v>LPG propane or butane if</v>
      </c>
      <c r="B10">
        <f>'Recipient Fractions'!D12</f>
        <v>0</v>
      </c>
      <c r="C10">
        <f>'Recipient Fractions'!E12</f>
        <v>0</v>
      </c>
      <c r="D10">
        <f>'Recipient Fractions'!F12</f>
        <v>0</v>
      </c>
    </row>
    <row r="11" spans="1:4" x14ac:dyDescent="0.25">
      <c r="A11" t="str">
        <f>'Recipient Fractions'!B13</f>
        <v>hydrogen if</v>
      </c>
      <c r="B11">
        <f>'Recipient Fractions'!D13</f>
        <v>0</v>
      </c>
      <c r="C11">
        <f>'Recipient Fractions'!E13</f>
        <v>0</v>
      </c>
      <c r="D11">
        <f>'Recipient Fractions'!F13</f>
        <v>0</v>
      </c>
    </row>
    <row r="12" spans="1:4" x14ac:dyDescent="0.25">
      <c r="A12" t="str">
        <f>'Recipient Fractions'!B14</f>
        <v>green hydrogen if</v>
      </c>
      <c r="B12">
        <f>'Recipient Fractions'!D14</f>
        <v>0</v>
      </c>
      <c r="C12">
        <f>'Recipient Fractions'!E14</f>
        <v>0</v>
      </c>
      <c r="D12">
        <f>'Recipient Fractions'!F14</f>
        <v>0</v>
      </c>
    </row>
    <row r="13" spans="1:4" x14ac:dyDescent="0.25">
      <c r="A13" t="str">
        <f>'Recipient Fractions'!B15</f>
        <v>low carbon hydrogen if</v>
      </c>
      <c r="B13">
        <f>'Recipient Fractions'!D15</f>
        <v>0</v>
      </c>
      <c r="C13">
        <f>'Recipient Fractions'!E15</f>
        <v>0</v>
      </c>
      <c r="D13">
        <f>'Recipient Fractions'!F15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Recipient Fractions</vt:lpstr>
      <vt:lpstr>Checks</vt:lpstr>
      <vt:lpstr>CKFSR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2026-10-14T15:15:27Z</dcterms:created>
  <dcterms:modified xsi:type="dcterms:W3CDTF">2026-10-14T15:27:09Z</dcterms:modified>
</cp:coreProperties>
</file>