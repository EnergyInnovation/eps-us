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RBW\"/>
    </mc:Choice>
  </mc:AlternateContent>
  <xr:revisionPtr revIDLastSave="0" documentId="13_ncr:1_{55261DC0-782D-498C-B05A-C2F2573FFC81}" xr6:coauthVersionLast="47" xr6:coauthVersionMax="47" xr10:uidLastSave="{00000000-0000-0000-0000-000000000000}"/>
  <bookViews>
    <workbookView xWindow="-110" yWindow="-110" windowWidth="19420" windowHeight="11500" xr2:uid="{00000000-000D-0000-FFFF-FFFF00000000}"/>
  </bookViews>
  <sheets>
    <sheet name="About" sheetId="1" r:id="rId1"/>
    <sheet name="Regions" sheetId="2" r:id="rId2"/>
    <sheet name="Derivation" sheetId="3" r:id="rId3"/>
    <sheet name="CRBWvT"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 i="3" l="1"/>
  <c r="V2" i="5" s="1"/>
  <c r="B6" i="3"/>
  <c r="B2" i="5" s="1"/>
  <c r="B3" i="3"/>
  <c r="B2" i="3"/>
  <c r="T6" i="3" s="1"/>
  <c r="B1" i="3"/>
  <c r="C6" i="3" l="1"/>
  <c r="D6" i="3"/>
  <c r="D2" i="5" s="1"/>
  <c r="E6" i="3"/>
  <c r="E2" i="5" s="1"/>
  <c r="F6" i="3"/>
  <c r="G6" i="3"/>
  <c r="G2" i="5" s="1"/>
  <c r="H6" i="3"/>
  <c r="H2" i="5" s="1"/>
  <c r="I6" i="3"/>
  <c r="I2" i="5" s="1"/>
  <c r="J6" i="3"/>
  <c r="J2" i="5" s="1"/>
  <c r="K6" i="3"/>
  <c r="K2" i="5" s="1"/>
  <c r="L6" i="3"/>
  <c r="L2" i="5" s="1"/>
  <c r="M6" i="3"/>
  <c r="M2" i="5" s="1"/>
  <c r="N6" i="3"/>
  <c r="N2" i="5" s="1"/>
  <c r="O6" i="3"/>
  <c r="O2" i="5" s="1"/>
  <c r="P6" i="3"/>
  <c r="P2" i="5" s="1"/>
  <c r="Q6" i="3"/>
  <c r="R6" i="3"/>
  <c r="R2" i="5" s="1"/>
  <c r="S6" i="3"/>
  <c r="S2" i="5" s="1"/>
  <c r="Q2" i="5"/>
  <c r="U6" i="3"/>
  <c r="U2" i="5"/>
  <c r="T2" i="5"/>
  <c r="C2" i="5"/>
  <c r="F2" i="5"/>
</calcChain>
</file>

<file path=xl/sharedStrings.xml><?xml version="1.0" encoding="utf-8"?>
<sst xmlns="http://schemas.openxmlformats.org/spreadsheetml/2006/main" count="64" uniqueCount="46">
  <si>
    <t>CRBWvT Cement Replacement Blend Weight vs Tightness</t>
  </si>
  <si>
    <t>Sources:</t>
  </si>
  <si>
    <t>Notes:</t>
  </si>
  <si>
    <t>Selected region (drop-down):</t>
  </si>
  <si>
    <t>United States</t>
  </si>
  <si>
    <t>Region</t>
  </si>
  <si>
    <t>p (steepness)</t>
  </si>
  <si>
    <t>k (midpoint shifter)</t>
  </si>
  <si>
    <t>Status</t>
  </si>
  <si>
    <t>Note</t>
  </si>
  <si>
    <t>China</t>
  </si>
  <si>
    <t>UNCALIBRATED - template</t>
  </si>
  <si>
    <t>India</t>
  </si>
  <si>
    <t>EU-27</t>
  </si>
  <si>
    <t>Japan</t>
  </si>
  <si>
    <t>Brazil</t>
  </si>
  <si>
    <t>Mexico</t>
  </si>
  <si>
    <t>Canada</t>
  </si>
  <si>
    <t>Indonesia</t>
  </si>
  <si>
    <t>Australia</t>
  </si>
  <si>
    <t>Selected region</t>
  </si>
  <si>
    <t>p</t>
  </si>
  <si>
    <t>k</t>
  </si>
  <si>
    <t>tau</t>
  </si>
  <si>
    <t>Cement Replacement Blend Weight</t>
  </si>
  <si>
    <t>U.S. start-year utilization</t>
  </si>
  <si>
    <t>U.S. Geological Survey</t>
  </si>
  <si>
    <t>Mineral Commodity Summaries 2026: Cement</t>
  </si>
  <si>
    <t>https://pubs.usgs.gov/periodicals/mcs2026/mcs2026-cement.pdf</t>
  </si>
  <si>
    <t>2025 clinker production of 69 million metric tons over 100 million of capacity gives the start-year utilization of 0.69 (SYCCU). It sets the U.S. start-year tightness used to calibrate k. The data are in the SYCCU workbook, not here.</t>
  </si>
  <si>
    <t>U.S. utilization bounds</t>
  </si>
  <si>
    <t>Minerals Yearbook, Cement chapter, Table 5 (apparent annual capacity and utilization)</t>
  </si>
  <si>
    <t>https://www.usgs.gov/centers/national-minerals-information-center/cement-statistics-and-information</t>
  </si>
  <si>
    <t>The U.S. lower bound of 0.49 (2009 trough) and upper bound of 0.85 (2005 peak) that define tightness; they live in the CULB and CUUB workbooks, which carry the caveats.</t>
  </si>
  <si>
    <t>Purpose and layout</t>
  </si>
  <si>
    <t>Using it for other regions</t>
  </si>
  <si>
    <t>We set this file up to be adaptable to each of the main EPS regions. If you are working on a non-US region, use the drop-down selector at the top of the 'Regions' tab to choose a different country, and the 'CRBWvT' tab updates on its own; just re-export the CSV. Every non-US row currently holds the template values (p = 2, k = 1) and is marked UNCALIBRATED. Those are placeholders, not results. To calibrate a region, solve for k so that the weight at the region's start-year tightness equals the build-new share that region's no-policy run should show (see the U.S. note), and enter it on the 'Regions' tab. Tightness itself needs that region's CULB, CUUB, and start-year utilization.</t>
  </si>
  <si>
    <t>U.S. values</t>
  </si>
  <si>
    <t>Pick a region from the drop-down in B1. The Derivation and the export tab update on their own; re-export the CSV afterward. A blank cell means no sourced value yet.</t>
  </si>
  <si>
    <t>CALIBRATED</t>
  </si>
  <si>
    <t>k solved so the curve reproduces the start-year overhaul-or-replace mix (see About notes)</t>
  </si>
  <si>
    <t>k = 1.0 is a template, not a value: solve k from the region's start-year tightness and calibrated overhaul share, as was done for the US (see About notes).</t>
  </si>
  <si>
    <t>Unit: dimensionless</t>
  </si>
  <si>
    <t>w(tau) = tau^p / (tau^p + k (1-tau)^p)</t>
  </si>
  <si>
    <t>When a kiln reaches the end of a campaign, EPS compares the cost of overhauling it with the cost of retiring it and replacing the output. The cost of the retire alternative is a blend of two things: what it costs the rest of the fleet to absorb the lost output (just the operating cost, since the capital is already sunk) and what it costs to build new capacity. This file gives the weight on the build-new cost as a function of 'fleet tightness', which runs from 0 (utilization at the bottom of the region's historical range, CULB) to 1 (at the top, CUUB). In a slack market the weight is near 0 because other kilns can pick up the output; in a tight market it is near 1 because new capacity is needed.
The curve is w = tau^p / (tau^p + k x (1 - tau)^p), with tightness written as tau. It is exactly 0 at tau = 0 and exactly 1 at tau = 1. p sets how steep the S-curve is, and k shifts its midpoint (p = 1 and k = 1 is a straight line). The tabs are 'Regions' (p and k for each region), 'Derivation' (samples the curve at 21 points, tau = 0 to 1 in steps of 0.05), and the last tab, 'CRBWvT', which reads the Derivation and is exported to CRBWvT.csv. This file has no outside data tab; it is a calibrated curve. The curve is the same for every kiln pathway.</t>
  </si>
  <si>
    <t>For the U.S. national file version, p = 2, our judgment for a gentle S-curve; running with p = 1 or 3 made little difference. k = 0.3686 was solved so that at the U.S. start-year tightness (about 0.55, from the 2025 utilization of 0.69 inside the 0.49 to 0.85 range) the weight is 0.7964. That value is one minus the average share of retiring kiln output that the rest of the fleet could absorb over 2026-2035 in a no-policy run, so the BAU overhaul-or-replace mix matches the start-year calibration.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</si>
</sst>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rgb="FFC00000"/>
      <name val="Calibri"/>
      <family val="2"/>
    </font>
    <font>
      <u/>
      <sz val="11"/>
      <color theme="10"/>
      <name val="Calibri"/>
      <family val="2"/>
      <scheme val="minor"/>
    </font>
    <font>
      <b/>
      <sz val="11"/>
      <color theme="1"/>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0" xfId="0" applyFont="1"/>
    <xf numFmtId="0" fontId="0" fillId="0" borderId="0" xfId="0" applyAlignment="1">
      <alignment horizontal="left" vertical="top" wrapText="1"/>
    </xf>
    <xf numFmtId="0" fontId="2" fillId="0" borderId="0" xfId="0" applyFont="1"/>
    <xf numFmtId="0" fontId="1"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4" fillId="2" borderId="0" xfId="0" applyFont="1" applyFill="1" applyAlignment="1">
      <alignment horizontal="left" vertical="top" wrapText="1"/>
    </xf>
    <xf numFmtId="0" fontId="5" fillId="0" borderId="0" xfId="1" applyFont="1" applyAlignment="1">
      <alignment horizontal="left" vertical="top" wrapText="1"/>
    </xf>
    <xf numFmtId="0" fontId="0"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usgs.gov/centers/national-minerals-information-center/cement-statistics-and-information" TargetMode="External"/><Relationship Id="rId1" Type="http://schemas.openxmlformats.org/officeDocument/2006/relationships/hyperlink" Target="https://pubs.usgs.gov/periodicals/mcs2026/mcs2026-cemen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workbookViewId="0"/>
  </sheetViews>
  <sheetFormatPr defaultRowHeight="14.5" x14ac:dyDescent="0.35"/>
  <cols>
    <col min="1" max="1" width="14.6328125" customWidth="1"/>
    <col min="2" max="2" width="110.6328125" customWidth="1"/>
    <col min="3" max="3" width="3.6328125" customWidth="1"/>
    <col min="4" max="4" width="9.08984375" customWidth="1"/>
  </cols>
  <sheetData>
    <row r="1" spans="1:2" x14ac:dyDescent="0.35">
      <c r="A1" s="6" t="s">
        <v>0</v>
      </c>
    </row>
    <row r="3" spans="1:2" x14ac:dyDescent="0.35">
      <c r="A3" s="5" t="s">
        <v>1</v>
      </c>
      <c r="B3" s="7" t="s">
        <v>25</v>
      </c>
    </row>
    <row r="4" spans="1:2" x14ac:dyDescent="0.35">
      <c r="B4" s="9" t="s">
        <v>26</v>
      </c>
    </row>
    <row r="5" spans="1:2" x14ac:dyDescent="0.35">
      <c r="B5" s="9" t="s">
        <v>27</v>
      </c>
    </row>
    <row r="6" spans="1:2" x14ac:dyDescent="0.35">
      <c r="B6" s="9">
        <v>2026</v>
      </c>
    </row>
    <row r="7" spans="1:2" x14ac:dyDescent="0.35">
      <c r="B7" s="8" t="s">
        <v>28</v>
      </c>
    </row>
    <row r="8" spans="1:2" ht="29" x14ac:dyDescent="0.35">
      <c r="B8" s="9" t="s">
        <v>29</v>
      </c>
    </row>
    <row r="10" spans="1:2" x14ac:dyDescent="0.35">
      <c r="B10" s="7" t="s">
        <v>30</v>
      </c>
    </row>
    <row r="11" spans="1:2" x14ac:dyDescent="0.35">
      <c r="B11" s="9" t="s">
        <v>26</v>
      </c>
    </row>
    <row r="12" spans="1:2" x14ac:dyDescent="0.35">
      <c r="B12" s="9" t="s">
        <v>31</v>
      </c>
    </row>
    <row r="13" spans="1:2" x14ac:dyDescent="0.35">
      <c r="B13" s="9"/>
    </row>
    <row r="14" spans="1:2" x14ac:dyDescent="0.35">
      <c r="B14" s="8" t="s">
        <v>32</v>
      </c>
    </row>
    <row r="15" spans="1:2" ht="29" x14ac:dyDescent="0.35">
      <c r="B15" s="9" t="s">
        <v>33</v>
      </c>
    </row>
    <row r="18" spans="1:2" x14ac:dyDescent="0.35">
      <c r="A18" s="5" t="s">
        <v>2</v>
      </c>
    </row>
    <row r="19" spans="1:2" ht="174" x14ac:dyDescent="0.35">
      <c r="A19" s="5" t="s">
        <v>34</v>
      </c>
      <c r="B19" s="9" t="s">
        <v>44</v>
      </c>
    </row>
    <row r="20" spans="1:2" ht="87" x14ac:dyDescent="0.35">
      <c r="A20" s="5" t="s">
        <v>35</v>
      </c>
      <c r="B20" s="9" t="s">
        <v>36</v>
      </c>
    </row>
    <row r="21" spans="1:2" ht="58" x14ac:dyDescent="0.35">
      <c r="A21" s="5" t="s">
        <v>37</v>
      </c>
      <c r="B21" s="9" t="s">
        <v>45</v>
      </c>
    </row>
  </sheetData>
  <hyperlinks>
    <hyperlink ref="B7" r:id="rId1" xr:uid="{767C7D1E-4D5D-497B-A3F8-559E7907E74E}"/>
    <hyperlink ref="B14" r:id="rId2" xr:uid="{103023CF-1AEB-4DB9-95E7-E164A3C694C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12" customWidth="1"/>
    <col min="3" max="3" width="16" customWidth="1"/>
    <col min="4" max="4" width="24" customWidth="1"/>
    <col min="5" max="5" width="80" customWidth="1"/>
  </cols>
  <sheetData>
    <row r="1" spans="1:5" x14ac:dyDescent="0.35">
      <c r="A1" s="1" t="s">
        <v>3</v>
      </c>
      <c r="B1" s="3" t="s">
        <v>4</v>
      </c>
    </row>
    <row r="2" spans="1:5" ht="174" x14ac:dyDescent="0.35">
      <c r="A2" s="2" t="s">
        <v>38</v>
      </c>
    </row>
    <row r="4" spans="1:5" ht="29" x14ac:dyDescent="0.35">
      <c r="A4" s="4" t="s">
        <v>5</v>
      </c>
      <c r="B4" s="4" t="s">
        <v>6</v>
      </c>
      <c r="C4" s="4" t="s">
        <v>7</v>
      </c>
      <c r="D4" s="4" t="s">
        <v>8</v>
      </c>
      <c r="E4" s="4" t="s">
        <v>9</v>
      </c>
    </row>
    <row r="5" spans="1:5" x14ac:dyDescent="0.35">
      <c r="A5" t="s">
        <v>4</v>
      </c>
      <c r="B5">
        <v>2</v>
      </c>
      <c r="C5">
        <v>0.36859999999999998</v>
      </c>
      <c r="D5" t="s">
        <v>39</v>
      </c>
      <c r="E5" t="s">
        <v>40</v>
      </c>
    </row>
    <row r="6" spans="1:5" x14ac:dyDescent="0.35">
      <c r="A6" t="s">
        <v>10</v>
      </c>
      <c r="B6">
        <v>2</v>
      </c>
      <c r="C6">
        <v>1</v>
      </c>
      <c r="D6" t="s">
        <v>11</v>
      </c>
      <c r="E6" t="s">
        <v>41</v>
      </c>
    </row>
    <row r="7" spans="1:5" x14ac:dyDescent="0.35">
      <c r="A7" t="s">
        <v>12</v>
      </c>
      <c r="B7">
        <v>2</v>
      </c>
      <c r="C7">
        <v>1</v>
      </c>
      <c r="D7" t="s">
        <v>11</v>
      </c>
      <c r="E7" t="s">
        <v>41</v>
      </c>
    </row>
    <row r="8" spans="1:5" x14ac:dyDescent="0.35">
      <c r="A8" t="s">
        <v>13</v>
      </c>
      <c r="B8">
        <v>2</v>
      </c>
      <c r="C8">
        <v>1</v>
      </c>
      <c r="D8" t="s">
        <v>11</v>
      </c>
      <c r="E8" t="s">
        <v>41</v>
      </c>
    </row>
    <row r="9" spans="1:5" x14ac:dyDescent="0.35">
      <c r="A9" t="s">
        <v>14</v>
      </c>
      <c r="B9">
        <v>2</v>
      </c>
      <c r="C9">
        <v>1</v>
      </c>
      <c r="D9" t="s">
        <v>11</v>
      </c>
      <c r="E9" t="s">
        <v>41</v>
      </c>
    </row>
    <row r="10" spans="1:5" x14ac:dyDescent="0.35">
      <c r="A10" t="s">
        <v>15</v>
      </c>
      <c r="B10">
        <v>2</v>
      </c>
      <c r="C10">
        <v>1</v>
      </c>
      <c r="D10" t="s">
        <v>11</v>
      </c>
      <c r="E10" t="s">
        <v>41</v>
      </c>
    </row>
    <row r="11" spans="1:5" x14ac:dyDescent="0.35">
      <c r="A11" t="s">
        <v>16</v>
      </c>
      <c r="B11">
        <v>2</v>
      </c>
      <c r="C11">
        <v>1</v>
      </c>
      <c r="D11" t="s">
        <v>11</v>
      </c>
      <c r="E11" t="s">
        <v>41</v>
      </c>
    </row>
    <row r="12" spans="1:5" x14ac:dyDescent="0.35">
      <c r="A12" t="s">
        <v>17</v>
      </c>
      <c r="B12">
        <v>2</v>
      </c>
      <c r="C12">
        <v>1</v>
      </c>
      <c r="D12" t="s">
        <v>11</v>
      </c>
      <c r="E12" t="s">
        <v>41</v>
      </c>
    </row>
    <row r="13" spans="1:5" x14ac:dyDescent="0.35">
      <c r="A13" t="s">
        <v>18</v>
      </c>
      <c r="B13">
        <v>2</v>
      </c>
      <c r="C13">
        <v>1</v>
      </c>
      <c r="D13" t="s">
        <v>11</v>
      </c>
      <c r="E13" t="s">
        <v>41</v>
      </c>
    </row>
    <row r="14" spans="1:5" x14ac:dyDescent="0.35">
      <c r="A14" t="s">
        <v>19</v>
      </c>
      <c r="B14">
        <v>2</v>
      </c>
      <c r="C14">
        <v>1</v>
      </c>
      <c r="D14" t="s">
        <v>11</v>
      </c>
      <c r="E14" t="s">
        <v>41</v>
      </c>
    </row>
  </sheetData>
  <dataValidations count="1">
    <dataValidation type="list" sqref="B1" xr:uid="{00000000-0002-0000-0100-000000000000}">
      <formula1>$A$5:$A$14</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6"/>
  <sheetViews>
    <sheetView workbookViewId="0"/>
  </sheetViews>
  <sheetFormatPr defaultRowHeight="14.5" x14ac:dyDescent="0.35"/>
  <cols>
    <col min="1" max="1" width="60" customWidth="1"/>
  </cols>
  <sheetData>
    <row r="1" spans="1:22" x14ac:dyDescent="0.35">
      <c r="A1" t="s">
        <v>20</v>
      </c>
      <c r="B1" t="str">
        <f>Regions!B1</f>
        <v>United States</v>
      </c>
    </row>
    <row r="2" spans="1:22" x14ac:dyDescent="0.35">
      <c r="A2" t="s">
        <v>21</v>
      </c>
      <c r="B2">
        <f>INDEX(Regions!$B$5:$B$14,MATCH(Regions!$B$1,Regions!$A$5:$A$14,0))</f>
        <v>2</v>
      </c>
    </row>
    <row r="3" spans="1:22" x14ac:dyDescent="0.35">
      <c r="A3" t="s">
        <v>22</v>
      </c>
      <c r="B3">
        <f>INDEX(Regions!$C$5:$C$14,MATCH(Regions!$B$1,Regions!$A$5:$A$14,0))</f>
        <v>0.36859999999999998</v>
      </c>
    </row>
    <row r="5" spans="1:22" x14ac:dyDescent="0.35">
      <c r="A5" t="s">
        <v>23</v>
      </c>
      <c r="B5">
        <v>0</v>
      </c>
      <c r="C5">
        <v>0.05</v>
      </c>
      <c r="D5">
        <v>0.1</v>
      </c>
      <c r="E5">
        <v>0.15</v>
      </c>
      <c r="F5">
        <v>0.2</v>
      </c>
      <c r="G5">
        <v>0.25</v>
      </c>
      <c r="H5">
        <v>0.3</v>
      </c>
      <c r="I5">
        <v>0.35</v>
      </c>
      <c r="J5">
        <v>0.4</v>
      </c>
      <c r="K5">
        <v>0.45</v>
      </c>
      <c r="L5">
        <v>0.5</v>
      </c>
      <c r="M5">
        <v>0.55000000000000004</v>
      </c>
      <c r="N5">
        <v>0.6</v>
      </c>
      <c r="O5">
        <v>0.65</v>
      </c>
      <c r="P5">
        <v>0.7</v>
      </c>
      <c r="Q5">
        <v>0.75</v>
      </c>
      <c r="R5">
        <v>0.8</v>
      </c>
      <c r="S5">
        <v>0.85</v>
      </c>
      <c r="T5">
        <v>0.9</v>
      </c>
      <c r="U5">
        <v>0.95</v>
      </c>
      <c r="V5">
        <v>1</v>
      </c>
    </row>
    <row r="6" spans="1:22" x14ac:dyDescent="0.35">
      <c r="A6" t="s">
        <v>43</v>
      </c>
      <c r="B6">
        <f t="shared" ref="B6:V6" si="0">IF(B5&lt;=0,0,IF(B5&gt;=1,1,(B5^$B$2/(B5^$B$2+$B$3*(1-B5)^$B$2))))</f>
        <v>0</v>
      </c>
      <c r="C6">
        <f t="shared" si="0"/>
        <v>7.459090617508277E-3</v>
      </c>
      <c r="D6">
        <f t="shared" si="0"/>
        <v>3.240797754775316E-2</v>
      </c>
      <c r="E6">
        <f t="shared" si="0"/>
        <v>7.7904945579067464E-2</v>
      </c>
      <c r="F6">
        <f t="shared" si="0"/>
        <v>0.14497796334957086</v>
      </c>
      <c r="G6">
        <f t="shared" si="0"/>
        <v>0.23162088293880581</v>
      </c>
      <c r="H6">
        <f t="shared" si="0"/>
        <v>0.33257702853510906</v>
      </c>
      <c r="I6">
        <f t="shared" si="0"/>
        <v>0.44027768043747428</v>
      </c>
      <c r="J6">
        <f t="shared" si="0"/>
        <v>0.54664224997950095</v>
      </c>
      <c r="K6">
        <f t="shared" si="0"/>
        <v>0.64490137785965984</v>
      </c>
      <c r="L6">
        <f t="shared" si="0"/>
        <v>0.73067368113400555</v>
      </c>
      <c r="M6">
        <f t="shared" si="0"/>
        <v>0.80208621962844195</v>
      </c>
      <c r="N6">
        <f t="shared" si="0"/>
        <v>0.85923776063545398</v>
      </c>
      <c r="O6">
        <f t="shared" si="0"/>
        <v>0.90344667579735849</v>
      </c>
      <c r="P6">
        <f t="shared" si="0"/>
        <v>0.93659088563269588</v>
      </c>
      <c r="Q6">
        <f t="shared" si="0"/>
        <v>0.96065580769805514</v>
      </c>
      <c r="R6">
        <f t="shared" si="0"/>
        <v>0.97748127512432348</v>
      </c>
      <c r="S6">
        <f t="shared" si="0"/>
        <v>0.98865137689374638</v>
      </c>
      <c r="T6">
        <f t="shared" si="0"/>
        <v>0.99546999702587979</v>
      </c>
      <c r="U6">
        <f t="shared" si="0"/>
        <v>0.99897998885348638</v>
      </c>
      <c r="V6">
        <f t="shared" si="0"/>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V2"/>
  <sheetViews>
    <sheetView workbookViewId="0"/>
  </sheetViews>
  <sheetFormatPr defaultRowHeight="14.5" x14ac:dyDescent="0.35"/>
  <sheetData>
    <row r="1" spans="1:22" x14ac:dyDescent="0.35">
      <c r="A1" t="s">
        <v>42</v>
      </c>
      <c r="B1">
        <v>0</v>
      </c>
      <c r="C1">
        <v>0.05</v>
      </c>
      <c r="D1">
        <v>0.1</v>
      </c>
      <c r="E1">
        <v>0.15</v>
      </c>
      <c r="F1">
        <v>0.2</v>
      </c>
      <c r="G1">
        <v>0.25</v>
      </c>
      <c r="H1">
        <v>0.3</v>
      </c>
      <c r="I1">
        <v>0.35</v>
      </c>
      <c r="J1">
        <v>0.4</v>
      </c>
      <c r="K1">
        <v>0.45</v>
      </c>
      <c r="L1">
        <v>0.5</v>
      </c>
      <c r="M1">
        <v>0.55000000000000004</v>
      </c>
      <c r="N1">
        <v>0.6</v>
      </c>
      <c r="O1">
        <v>0.65</v>
      </c>
      <c r="P1">
        <v>0.7</v>
      </c>
      <c r="Q1">
        <v>0.75</v>
      </c>
      <c r="R1">
        <v>0.8</v>
      </c>
      <c r="S1">
        <v>0.85</v>
      </c>
      <c r="T1">
        <v>0.9</v>
      </c>
      <c r="U1">
        <v>0.95</v>
      </c>
      <c r="V1">
        <v>1</v>
      </c>
    </row>
    <row r="2" spans="1:22" x14ac:dyDescent="0.35">
      <c r="A2" t="s">
        <v>24</v>
      </c>
      <c r="B2">
        <f>Derivation!B6</f>
        <v>0</v>
      </c>
      <c r="C2">
        <f>Derivation!C6</f>
        <v>7.459090617508277E-3</v>
      </c>
      <c r="D2">
        <f>Derivation!D6</f>
        <v>3.240797754775316E-2</v>
      </c>
      <c r="E2">
        <f>Derivation!E6</f>
        <v>7.7904945579067464E-2</v>
      </c>
      <c r="F2">
        <f>Derivation!F6</f>
        <v>0.14497796334957086</v>
      </c>
      <c r="G2">
        <f>Derivation!G6</f>
        <v>0.23162088293880581</v>
      </c>
      <c r="H2">
        <f>Derivation!H6</f>
        <v>0.33257702853510906</v>
      </c>
      <c r="I2">
        <f>Derivation!I6</f>
        <v>0.44027768043747428</v>
      </c>
      <c r="J2">
        <f>Derivation!J6</f>
        <v>0.54664224997950095</v>
      </c>
      <c r="K2">
        <f>Derivation!K6</f>
        <v>0.64490137785965984</v>
      </c>
      <c r="L2">
        <f>Derivation!L6</f>
        <v>0.73067368113400555</v>
      </c>
      <c r="M2">
        <f>Derivation!M6</f>
        <v>0.80208621962844195</v>
      </c>
      <c r="N2">
        <f>Derivation!N6</f>
        <v>0.85923776063545398</v>
      </c>
      <c r="O2">
        <f>Derivation!O6</f>
        <v>0.90344667579735849</v>
      </c>
      <c r="P2">
        <f>Derivation!P6</f>
        <v>0.93659088563269588</v>
      </c>
      <c r="Q2">
        <f>Derivation!Q6</f>
        <v>0.96065580769805514</v>
      </c>
      <c r="R2">
        <f>Derivation!R6</f>
        <v>0.97748127512432348</v>
      </c>
      <c r="S2">
        <f>Derivation!S6</f>
        <v>0.98865137689374638</v>
      </c>
      <c r="T2">
        <f>Derivation!T6</f>
        <v>0.99546999702587979</v>
      </c>
      <c r="U2">
        <f>Derivation!U6</f>
        <v>0.99897998885348638</v>
      </c>
      <c r="V2">
        <f>Derivation!V6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Regions</vt:lpstr>
      <vt:lpstr>Derivation</vt:lpstr>
      <vt:lpstr>CRBWvT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2026-09-29T18:40:23Z</dcterms:created>
  <dcterms:modified xsi:type="dcterms:W3CDTF">2026-10-09T17:52:58Z</dcterms:modified>
</cp:coreProperties>
</file>