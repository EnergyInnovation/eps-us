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UUB\"/>
    </mc:Choice>
  </mc:AlternateContent>
  <xr:revisionPtr revIDLastSave="0" documentId="13_ncr:1_{2B47D01A-788B-412D-BD5A-DEA4551254BA}" xr6:coauthVersionLast="47" xr6:coauthVersionMax="47" xr10:uidLastSave="{00000000-0000-0000-0000-000000000000}"/>
  <bookViews>
    <workbookView xWindow="-110" yWindow="-110" windowWidth="19420" windowHeight="11500" xr2:uid="{00000000-000D-0000-FFFF-FFFF00000000}"/>
  </bookViews>
  <sheets>
    <sheet name="About" sheetId="1" r:id="rId1"/>
    <sheet name="Regions" sheetId="2" r:id="rId2"/>
    <sheet name="Regional anchors master" sheetId="3" r:id="rId3"/>
    <sheet name="Derivation" sheetId="4" r:id="rId4"/>
    <sheet name="Checks" sheetId="5" r:id="rId5"/>
    <sheet name="CUUB"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B2" i="4"/>
  <c r="B1" i="4"/>
  <c r="B2" i="6" l="1"/>
  <c r="B4" i="5" l="1"/>
  <c r="B3" i="5"/>
</calcChain>
</file>

<file path=xl/sharedStrings.xml><?xml version="1.0" encoding="utf-8"?>
<sst xmlns="http://schemas.openxmlformats.org/spreadsheetml/2006/main" count="238" uniqueCount="160">
  <si>
    <t>CUUB Cement Utilization Upper Bound</t>
  </si>
  <si>
    <t>Sources:</t>
  </si>
  <si>
    <t>Minerals Yearbook, Cement chapter, Table 5 (apparent annual capacity and utilization)</t>
  </si>
  <si>
    <t>https://www.usgs.gov/centers/national-minerals-information-center/cement-statistics-and-information</t>
  </si>
  <si>
    <t>Notes:</t>
  </si>
  <si>
    <t>Selected region (drop-down):</t>
  </si>
  <si>
    <t>United States</t>
  </si>
  <si>
    <t>Region</t>
  </si>
  <si>
    <t>Cement Utilization Upper Bound</t>
  </si>
  <si>
    <t>Year</t>
  </si>
  <si>
    <t>Confidence</t>
  </si>
  <si>
    <t>Basis</t>
  </si>
  <si>
    <t>Primary source</t>
  </si>
  <si>
    <t>Notes</t>
  </si>
  <si>
    <t>2005</t>
  </si>
  <si>
    <t>HIGH</t>
  </si>
  <si>
    <t>clinker (USGS apparent annual capacity)</t>
  </si>
  <si>
    <t>USGS Minerals Yearbook Cement ch. Table 5</t>
  </si>
  <si>
    <t>2009 trough=financial crisis; 0.85=USGS 'full practicable capacity'; grinding-basis twin runs ~3-4 pts lower; no USGS utilization table after 2017 - PCA follow-up needed; SYCCU 0.69 (USGS 2025) sits mid-band</t>
  </si>
  <si>
    <t>China</t>
  </si>
  <si>
    <t>PROXY</t>
  </si>
  <si>
    <t>LOW-MED</t>
  </si>
  <si>
    <t>clinker (CCA; registered capacity)</t>
  </si>
  <si>
    <t>China Cement Association via Global Cement/CemNet</t>
  </si>
  <si>
    <t>India</t>
  </si>
  <si>
    <t>2007</t>
  </si>
  <si>
    <t>MEDIUM</t>
  </si>
  <si>
    <t>cement (CMA installed; CMA covers ~70% of capacity)</t>
  </si>
  <si>
    <t>CMA via ICRA/CRISIL press</t>
  </si>
  <si>
    <t>EU-27</t>
  </si>
  <si>
    <t>clinker (OneStone CCF2Up; cement-basis twin 0.653)</t>
  </si>
  <si>
    <t>OneStone via ZKG; Cembureau to verify</t>
  </si>
  <si>
    <t>trough inferred from ~200% capacity-to-consumption reports 2013-14 (UNVERIFIED); no pre-2008 peak found - 0.85 PROXY; grinding capacity exceeds clinker capacity (import-fed mills)</t>
  </si>
  <si>
    <t>Japan</t>
  </si>
  <si>
    <t>NONE</t>
  </si>
  <si>
    <t>clinker (JCA kiln operation ratio)</t>
  </si>
  <si>
    <t>JCA jcassoc.or.jp/cement/2eng/e_02c.html (image-only - manual read)</t>
  </si>
  <si>
    <t>JCA publishes the exact needed series as an image; secular demand decline since 1990 (86-&gt;~30Mt) with stepwise capacity rationalization; staged band is PROXY until the JCA chart is read</t>
  </si>
  <si>
    <t>Brazil</t>
  </si>
  <si>
    <t>2010</t>
  </si>
  <si>
    <t>cement (SNIC installed capacity)</t>
  </si>
  <si>
    <t>SNIC Relatorio Anual 2023 Grafico 7</t>
  </si>
  <si>
    <t>Mexico</t>
  </si>
  <si>
    <t>LOW</t>
  </si>
  <si>
    <t>unknown (CANACEM capacity vintage unclear)</t>
  </si>
  <si>
    <t>CANACEM Informe Estadistico / INEGI EMIM to obtain</t>
  </si>
  <si>
    <t>Canada</t>
  </si>
  <si>
    <t>cement (integrated-plant capacity)</t>
  </si>
  <si>
    <t>Global Cement May-2017 citing StatCan; CAC to verify</t>
  </si>
  <si>
    <t>only one matched-year point (2016); production trough 2009 documented but no same-year capacity denominator; band values are US-analog PROXIES</t>
  </si>
  <si>
    <t>Indonesia</t>
  </si>
  <si>
    <t>2012</t>
  </si>
  <si>
    <t>cement (ASI installed incl. idle licensed lines)</t>
  </si>
  <si>
    <t>ASI via dataindonesia.id / CemNet (Indocement)</t>
  </si>
  <si>
    <t>Australia</t>
  </si>
  <si>
    <t>clinker (CIF integrated kilns; derived arithmetic)</t>
  </si>
  <si>
    <t>CIF cement.org.au; VDZ decarbonisation report to verify</t>
  </si>
  <si>
    <t>no published rate; 0.76 = 5.26Mt production / ~6.88Mt summed nameplate (own arithmetic, vintages differ); kilns run 'full or not at all' (CIF) and clinker imports &gt;40% of demand - the utilization margin may act via import share here</t>
  </si>
  <si>
    <t>region</t>
  </si>
  <si>
    <t>CULB</t>
  </si>
  <si>
    <t>CULB_year</t>
  </si>
  <si>
    <t>CUUB</t>
  </si>
  <si>
    <t>CUUB_year</t>
  </si>
  <si>
    <t>util_recent</t>
  </si>
  <si>
    <t>util_recent_year</t>
  </si>
  <si>
    <t>basis</t>
  </si>
  <si>
    <t>confidence</t>
  </si>
  <si>
    <t>primary_source</t>
  </si>
  <si>
    <t>notes</t>
  </si>
  <si>
    <t>US</t>
  </si>
  <si>
    <t>explicit 2007-2023 series; trough=2015-18 domestic recession not 2008-09; 2023 value ambiguous in extraction (0.67-0.76) - use 2022</t>
  </si>
  <si>
    <t>FY2021 COVID trough; 0.88=Aug-2007 CMA point cited in a 2008 article (weak); recent 0.71-0.75 range</t>
  </si>
  <si>
    <t>0.929 peak 2012 well-attested; recent estimates 0.56 vs 0.65 disagree (installed vs operable denominator); post-2015 capacity glut</t>
  </si>
  <si>
    <t>2024 trough=property collapse + chronic overcapacity; NO verified historical peak - 0.85 is a PROXY pending CCA/NBS archives; clinker vs cement rates differ; registered-vs-operable gap (32.5 ban, capacity swaps)</t>
  </si>
  <si>
    <t>EU</t>
  </si>
  <si>
    <t>NO utilization series found; staged band is a US-analog PROXY; CANACEM 39.6Mt capacity vs 51.5Mt 2021 production are different vintages - do not combine</t>
  </si>
  <si>
    <t>Selected region</t>
  </si>
  <si>
    <t>Year / confidence</t>
  </si>
  <si>
    <t>Utilization Upper Bound</t>
  </si>
  <si>
    <t>Checks</t>
  </si>
  <si>
    <t>Value between 0.3 and 0.95</t>
  </si>
  <si>
    <t>Upper bound above the start-year utilization in SYCCU (0.69)</t>
  </si>
  <si>
    <t>U.S. upper bound</t>
  </si>
  <si>
    <t>U.S. Geological Survey</t>
  </si>
  <si>
    <t>2009 and 2017 editions</t>
  </si>
  <si>
    <t>0.85, the 2005 peak. This is USGS's 'full practicable capacity', cited retrospectively in the Yearbook text for 2009 and 2017. It is a rounded contemporaneous estimate, not a tabulated figure. Clinker basis. USGS has not published a utilization table since 2017, so more recent years need a follow-up with the Portland Cement Association.</t>
  </si>
  <si>
    <t>U.S. 2025 utilization (for context)</t>
  </si>
  <si>
    <t>Mineral Commodity Summaries 2026: Cement</t>
  </si>
  <si>
    <t>https://pubs.usgs.gov/periodicals/mcs2026/mcs2026-cement.pdf</t>
  </si>
  <si>
    <t>2025 clinker production of 69 million metric tons against 100 million of capacity gives 0.69, the model's start-year utilization (SYCCU), which sits in the middle of the U.S. band. The capacity figures for Brazil, China, India, Indonesia, and Mexico in the same report are used only as cross-checks in the row notes.</t>
  </si>
  <si>
    <t>Sindicato Nacional da Industria do Cimento (SNIC)</t>
  </si>
  <si>
    <t>SNIC Annual Report 2023, Graph 7</t>
  </si>
  <si>
    <t>http://snic.org.br/assets/pdf/relatorio_anual/1732731328.pdf</t>
  </si>
  <si>
    <t>An explicit 2007-2023 utilization series on installed cement capacity (HIGH confidence). The upper bound is 0.85, listed for 2010.</t>
  </si>
  <si>
    <t>China Cement Association (CCA), via Global Cement</t>
  </si>
  <si>
    <t>Update on China - April 2025</t>
  </si>
  <si>
    <t>https://www.globalcement.com/news/analysis/19311-update-on-china-april-2025</t>
  </si>
  <si>
    <t>No verified historical peak was found for China, so the 0.85 is a placeholder (PROXY) pending China Cement Association or National Bureau of Statistics archives. The 2024 reading of 53% utilization (SNIPPET) is the only recent China figure.</t>
  </si>
  <si>
    <t>China and India capacity</t>
  </si>
  <si>
    <t>Global Energy Monitor</t>
  </si>
  <si>
    <t>New data insights: Global Cement and Concrete Tracker</t>
  </si>
  <si>
    <t>https://globalenergymonitor.org/article/new-data-insights-global-cement-and-concrete-tracker</t>
  </si>
  <si>
    <t>Operating clinker capacity of 1,636.9 million tons for China and 402.5 for India (DIRECT). We could not compute China's utilization on this base because clinker output is not found. For India, 0.73 x 427 / 402.5 gives about 0.77 clinker utilization (JUDGMENT), inside the band, though the India band is on a cement basis.</t>
  </si>
  <si>
    <t>Cement Manufacturers' Association (CMA) of India, as reported by ICRA and CRISIL</t>
  </si>
  <si>
    <t>Installed-capacity utilization figures in rating-agency press releases</t>
  </si>
  <si>
    <t>(no public link)</t>
  </si>
  <si>
    <t>An upper bound of 0.88, taken from an August 2007 CMA point cited in a 2008 article (weak evidence), on installed cement capacity (MEDIUM confidence).</t>
  </si>
  <si>
    <t>India production and ratio</t>
  </si>
  <si>
    <t>American Council for an Energy-Efficient Economy (ACEEE)</t>
  </si>
  <si>
    <t>Decarbonisation in the Indian Cement Industry</t>
  </si>
  <si>
    <t>https://www.aceee.org/wp-content/uploads/2026/07/ACEEE_Decarbonisation_in_Cement_Industry.pdf</t>
  </si>
  <si>
    <t>Production of 427 million tons and a clinker ratio of 0.73 for fiscal year 2024-25, used only in the India cross-check against Global Energy Monitor capacity.</t>
  </si>
  <si>
    <t>OneStone Consulting Group, via ZKG</t>
  </si>
  <si>
    <t>CCF2Up capacity utilization analysis (EU)</t>
  </si>
  <si>
    <t>2021 utilization of 0.712 on clinker capacity and 0.653 on cement capacity. No pre-2008 EU peak was found, so the 0.85 upper bound is a placeholder (PROXY). Cembureau figures should replace this.</t>
  </si>
  <si>
    <t>Asosiasi Semen Indonesia (ASI), via Data Indonesia and CemNet</t>
  </si>
  <si>
    <t>Indonesian cement utilization reporting (Indocement coverage)</t>
  </si>
  <si>
    <t>A 2012 peak of 0.929, well attested, on installed cement capacity including idle licensed lines (MEDIUM confidence).</t>
  </si>
  <si>
    <t>Indonesia, recent cross-check</t>
  </si>
  <si>
    <t>Global Cement</t>
  </si>
  <si>
    <t>Update on Indonesia - December 2025</t>
  </si>
  <si>
    <t>https://www.globalcement.com/news/analysis/20179-update-on-indonesia-december-2025</t>
  </si>
  <si>
    <t>ASI projects 65% utilization for 2025 (SNIPPET, from a search summary). Clinker production of 57.3 million tons over USGS clinker capacity of 83 gives 0.69 (JUDGMENT).</t>
  </si>
  <si>
    <t>Indonesia clinker production</t>
  </si>
  <si>
    <t>Asosiasi Pengusaha Semen Indonesia (Asperssi)</t>
  </si>
  <si>
    <t>Asperssi ungkap volume produksi &amp; penjualan semen di 2025 dan proyeksi untuk 2026</t>
  </si>
  <si>
    <t>https://asperssi.id/asperssi-ungkap-volume-produksi-penjualan-semen-di-2025-dan-proyeksi-untuk-2026/</t>
  </si>
  <si>
    <t>2025 clinker production of 57.301 million tons (DIRECT), used only in the cross-check above.</t>
  </si>
  <si>
    <t>Mexico cross-check</t>
  </si>
  <si>
    <t>FICEM / CANACEM (Mexican cement chamber)</t>
  </si>
  <si>
    <t>Hoja de Ruta: Industria del Cemento Mexico</t>
  </si>
  <si>
    <t>https://canacem.org.mx/site/wp-content/uploads/2023/03/Hoja-de-Ruta-Mexico-FICEM.pdf</t>
  </si>
  <si>
    <t>The 2016 clinker factor of 0.75 times 2024 cement output of 44 million tons gives about 33 million tons of clinker, or about 0.79 of USGS's 42 million tons of capacity. This is a one-point check only; no Mexican utilization series was found and the bounds are placeholders (PROXY). CANACEM's 39.6 million tons of capacity and 51.5 million tons of 2021 production are different vintages and should not be combined.</t>
  </si>
  <si>
    <t>Global Cement, citing Statistics Canada</t>
  </si>
  <si>
    <t>Canadian cement capacity and production (May 2017)</t>
  </si>
  <si>
    <t>One matched-year point: utilization of 0.73 for 2016 on integrated-plant capacity. No same-year capacity figure exists for the 2009 production trough, so both bounds are placeholders (PROXY). The Cement Association of Canada's plant information should be used to improve this.</t>
  </si>
  <si>
    <t>Japan Cement Association (JCA)</t>
  </si>
  <si>
    <t>Kiln Capacity and Kiln Operation Ratio</t>
  </si>
  <si>
    <t>https://www.jcassoc.or.jp/cement/2eng/e_02c.html</t>
  </si>
  <si>
    <t>JCA publishes exactly the series needed, but only as an image, so we have not read any values; both Japan bounds are placeholders (PROXY). Someone needs to read the chart by hand.</t>
  </si>
  <si>
    <t>Cement Industry Federation (CIF)</t>
  </si>
  <si>
    <t>Australia's cement industry: industry report</t>
  </si>
  <si>
    <t>https://cement.org.au/australias-cement-industry/industry-report/</t>
  </si>
  <si>
    <t>CIF publishes no utilization rate. Our 0.76 reference (not used as a bound) is 5.26 million tons of production over about 6.88 million tons of summed nameplate capacity, our own arithmetic with mismatched vintages. CIF says kilns run 'full or not at all', and clinker imports exceed 40% of demand, so utilization may not be the right margin for Australia. Both Australian bounds are placeholders (PROXY).</t>
  </si>
  <si>
    <t>Purpose and layout</t>
  </si>
  <si>
    <t>Using it for other regions</t>
  </si>
  <si>
    <t>We set this file up to be adaptable to each of the main EPS regions. If you are working on a non-US region, use the drop-down selector at the top of the 'Regions' tab to choose a different country, and the 'CUUB' tab updates on its own; just re-export the CSV. The Confidence column says how far to trust each row, and rows marked PROXY are placeholders borrowed from the U.S. pattern with no observed value behind them. Replace those before relying on a regional run. The bounds are not strictly comparable between regions, because some are measured against clinker capacity and some against cement capacity (see the Basis column).</t>
  </si>
  <si>
    <t>U.S. value</t>
  </si>
  <si>
    <t>Other regions' values</t>
  </si>
  <si>
    <t>Starting values come from national associations, trade press, and our own arithmetic, listed under Sources. Confidence is rated HIGH (Brazil and the U.S.), MEDIUM (India and Indonesia), LOW-MED (China and the EU), LOW (Canada, Mexico, and Australia), or NONE (Japan). Indonesia's 0.93 (2012) is well attested, and India's 0.88 (2007) rests on weak evidence. Brazil's 0.85 comes from its explicit series. China, the EU, Japan, Mexico, Canada, and Australia are placeholders; Australia's 0.90 reflects kilns that run full or not at all. The 'Regions' tab notes give the details. Unlike BCD, these rows do not use the DIRECT/SNIPPET/JUDGMENT tags; where a figure came from a search summary rather than the document, the note says so.</t>
  </si>
  <si>
    <t>Pick a region from the drop-down in B1. The Derivation and the export tab update on their own; re-export the CSV afterward. A blank cell means no sourced value yet.</t>
  </si>
  <si>
    <t>Original research table for all regions, kept for reference (the Derivation does not read it). Figures come from secondary citations of primary sources; check the primary document before use.</t>
  </si>
  <si>
    <t>2024 trough=property collapse + chronic overcapacity; NO verified historical peak - 0.85 is a PROXY pending CCA/NBS archives; clinker vs cement rates differ; registered-vs-operable gap (32.5 ban, capacity swaps) | CCA capacity 1,810 Mt + 53% utilization 2024 (SNIPPET, Global Cement) supports the 0.50 trough; still unclear if clinker or cement basis. GEM 2026 operating clinker capacity 1,636.9 Mt (DIRECT, GEM article); clinker output not found, so utilization on the GEM base is unknown.</t>
  </si>
  <si>
    <t>FY2021 COVID trough; 0.88=Aug-2007 CMA point cited in a 2008 article (weak); recent 0.71-0.75 range | GEM 2026 clinker capacity 402.5 Mt (DIRECT, GEM article); implied clinker utilization ~0.77 (= 0.73 x 427 / 402.5, JUDGMENT) - inside the band, but the band is cement basis (CMA).</t>
  </si>
  <si>
    <t>explicit 2007-2023 series; trough=2015-18 domestic recession not 2008-09; 2023 value ambiguous in extraction (0.67-0.76) - use 2022 | SNIC cement capacity 94 Mt/yr (DIRECT); chart prints 0.76 for 2023 vs 66.5/94 = 0.71 (JUDGMENT) - check chart definition; clinker basis ~47/61 = 0.77 (JUDGMENT, USGS capacity).</t>
  </si>
  <si>
    <t>NO utilization series found; staged band is a US-analog PROXY; CANACEM 39.6Mt capacity vs 51.5Mt 2021 production are different vintages - do not combine | one-point check only - implied clinker ~33 Mt (0.75 x 44, 2016 ratio, JUDGMENT) / USGS clinker capacity 42 = ~0.79; utilization series still TO FILL.</t>
  </si>
  <si>
    <t>0.929 peak 2012 well-attested; recent estimates 0.56 vs 0.65 disagree (installed vs operable denominator); post-2015 capacity glut | ASI projects 0.65 for 2025 (SNIPPET, Global Cement); clinker basis 57.3 / 83 (USGS capacity) = 0.69 (JUDGMENT).</t>
  </si>
  <si>
    <t>Unit: dimensionless</t>
  </si>
  <si>
    <t>This file gives the upper bound of the region's historical clinker-capacity utilization range. Utilization here is the clinker the region needs to make divided by the clinker capacity the fleet has at the start of the year. EPS turns it into a 'fleet tightness' index: (utilization - CULB) / (CUUB - CULB), held between 0 and 1. Zero means the fleet is at the bottom of its historical range (chronic overcapacity, so a retiring kiln's output can be absorbed by the rest of the fleet); one means it is at the top (a tight market that needs new capacity). The tightness index feeds the replacement blend weight (CRBW), which shapes the decision to overhaul or replace a kiln. The upper bound also sets the production ceiling: when demand outpaces capacity, existing kilns can run up to this utilization. Starting utilization (SYCCU) remains the basis for initialization and for sizing new builds.
The tabs are 'Regions' (selector, each region's value, year, confidence, basis, and source), 'Regional anchors master' (the original research table for all regions, kept for reference; the Derivation does not read it), 'Derivation' (picks the selected region's row), and 'Checks' (simple range checks). The last tab, 'CUUB', reads the Derivation and is what gets exported to CUUB.csv.</t>
  </si>
  <si>
    <t>For the U.S. national file version we use 0.85, the 2005 peak of 'full practicable capacity', on a clinker basis. We use the widest range the historical record supports (the deepest trough and highest peak) rather than a narrower 'normal operations' band, so the shape of the CRBW curve, not the band edge, decides where pressure on the fleet gets strong. The 2025 U.S. utilization of 0.69 sits near the middle, at a tightness of about 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</si>
</sst>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rgb="FFC00000"/>
      <name val="Calibri"/>
      <family val="2"/>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horizontal="left" vertical="top" wrapText="1"/>
    </xf>
    <xf numFmtId="0" fontId="2" fillId="0" borderId="0" xfId="0" applyFont="1"/>
    <xf numFmtId="0" fontId="1" fillId="0" borderId="0" xfId="0" applyFont="1" applyAlignment="1">
      <alignment horizontal="left" vertical="top" wrapText="1"/>
    </xf>
    <xf numFmtId="0" fontId="3"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5"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sperssi.id/asperssi-ungkap-volume-produksi-penjualan-semen-di-2025-dan-proyeksi-untuk-2026/" TargetMode="External"/><Relationship Id="rId3" Type="http://schemas.openxmlformats.org/officeDocument/2006/relationships/hyperlink" Target="http://snic.org.br/assets/pdf/relatorio_anual/1732731328.pdf" TargetMode="External"/><Relationship Id="rId7" Type="http://schemas.openxmlformats.org/officeDocument/2006/relationships/hyperlink" Target="https://www.globalcement.com/news/analysis/20179-update-on-indonesia-december-2025" TargetMode="External"/><Relationship Id="rId2" Type="http://schemas.openxmlformats.org/officeDocument/2006/relationships/hyperlink" Target="https://pubs.usgs.gov/periodicals/mcs2026/mcs2026-cement.pdf" TargetMode="External"/><Relationship Id="rId1" Type="http://schemas.openxmlformats.org/officeDocument/2006/relationships/hyperlink" Target="https://www.usgs.gov/centers/national-minerals-information-center/cement-statistics-and-information" TargetMode="External"/><Relationship Id="rId6" Type="http://schemas.openxmlformats.org/officeDocument/2006/relationships/hyperlink" Target="https://www.aceee.org/wp-content/uploads/2026/07/ACEEE_Decarbonisation_in_Cement_Industry.pdf" TargetMode="External"/><Relationship Id="rId11" Type="http://schemas.openxmlformats.org/officeDocument/2006/relationships/hyperlink" Target="https://cement.org.au/australias-cement-industry/industry-report/" TargetMode="External"/><Relationship Id="rId5" Type="http://schemas.openxmlformats.org/officeDocument/2006/relationships/hyperlink" Target="https://globalenergymonitor.org/article/new-data-insights-global-cement-and-concrete-tracker" TargetMode="External"/><Relationship Id="rId10" Type="http://schemas.openxmlformats.org/officeDocument/2006/relationships/hyperlink" Target="https://www.jcassoc.or.jp/cement/2eng/e_02c.html" TargetMode="External"/><Relationship Id="rId4" Type="http://schemas.openxmlformats.org/officeDocument/2006/relationships/hyperlink" Target="https://www.globalcement.com/news/analysis/19311-update-on-china-april-2025" TargetMode="External"/><Relationship Id="rId9" Type="http://schemas.openxmlformats.org/officeDocument/2006/relationships/hyperlink" Target="https://canacem.org.mx/site/wp-content/uploads/2023/03/Hoja-de-Ruta-Mexico-FICEM.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
  <sheetViews>
    <sheetView tabSelected="1" workbookViewId="0"/>
  </sheetViews>
  <sheetFormatPr defaultRowHeight="14.5" x14ac:dyDescent="0.35"/>
  <cols>
    <col min="1" max="1" width="14.6328125" customWidth="1"/>
    <col min="2" max="2" width="110.6328125" customWidth="1"/>
    <col min="3" max="3" width="3.6328125" customWidth="1"/>
    <col min="4" max="4" width="110.6328125" customWidth="1"/>
  </cols>
  <sheetData>
    <row r="1" spans="1:4" x14ac:dyDescent="0.35">
      <c r="A1" s="7" t="s">
        <v>0</v>
      </c>
    </row>
    <row r="3" spans="1:4" x14ac:dyDescent="0.35">
      <c r="A3" s="6" t="s">
        <v>1</v>
      </c>
      <c r="B3" s="8" t="s">
        <v>82</v>
      </c>
      <c r="D3" s="8" t="s">
        <v>50</v>
      </c>
    </row>
    <row r="4" spans="1:4" x14ac:dyDescent="0.35">
      <c r="B4" s="10" t="s">
        <v>83</v>
      </c>
      <c r="D4" s="10" t="s">
        <v>115</v>
      </c>
    </row>
    <row r="5" spans="1:4" x14ac:dyDescent="0.35">
      <c r="B5" s="10" t="s">
        <v>2</v>
      </c>
      <c r="D5" s="10" t="s">
        <v>116</v>
      </c>
    </row>
    <row r="6" spans="1:4" x14ac:dyDescent="0.35">
      <c r="B6" s="10" t="s">
        <v>84</v>
      </c>
      <c r="D6" s="10"/>
    </row>
    <row r="7" spans="1:4" x14ac:dyDescent="0.35">
      <c r="B7" s="9" t="s">
        <v>3</v>
      </c>
      <c r="D7" s="10" t="s">
        <v>105</v>
      </c>
    </row>
    <row r="8" spans="1:4" ht="43.5" x14ac:dyDescent="0.35">
      <c r="B8" s="10" t="s">
        <v>85</v>
      </c>
      <c r="D8" s="10" t="s">
        <v>117</v>
      </c>
    </row>
    <row r="10" spans="1:4" x14ac:dyDescent="0.35">
      <c r="B10" s="8" t="s">
        <v>86</v>
      </c>
      <c r="D10" s="8" t="s">
        <v>118</v>
      </c>
    </row>
    <row r="11" spans="1:4" x14ac:dyDescent="0.35">
      <c r="B11" s="10" t="s">
        <v>83</v>
      </c>
      <c r="D11" s="10" t="s">
        <v>119</v>
      </c>
    </row>
    <row r="12" spans="1:4" x14ac:dyDescent="0.35">
      <c r="B12" s="10" t="s">
        <v>87</v>
      </c>
      <c r="D12" s="10" t="s">
        <v>120</v>
      </c>
    </row>
    <row r="13" spans="1:4" x14ac:dyDescent="0.35">
      <c r="B13" s="10">
        <v>2026</v>
      </c>
      <c r="D13" s="10">
        <v>2025</v>
      </c>
    </row>
    <row r="14" spans="1:4" x14ac:dyDescent="0.35">
      <c r="B14" s="9" t="s">
        <v>88</v>
      </c>
      <c r="D14" s="9" t="s">
        <v>121</v>
      </c>
    </row>
    <row r="15" spans="1:4" ht="43.5" x14ac:dyDescent="0.35">
      <c r="B15" s="10" t="s">
        <v>89</v>
      </c>
      <c r="D15" s="10" t="s">
        <v>122</v>
      </c>
    </row>
    <row r="17" spans="2:4" x14ac:dyDescent="0.35">
      <c r="B17" s="8" t="s">
        <v>38</v>
      </c>
      <c r="D17" s="8" t="s">
        <v>123</v>
      </c>
    </row>
    <row r="18" spans="2:4" x14ac:dyDescent="0.35">
      <c r="B18" s="10" t="s">
        <v>90</v>
      </c>
      <c r="D18" s="10" t="s">
        <v>124</v>
      </c>
    </row>
    <row r="19" spans="2:4" x14ac:dyDescent="0.35">
      <c r="B19" s="10" t="s">
        <v>91</v>
      </c>
      <c r="D19" s="10" t="s">
        <v>125</v>
      </c>
    </row>
    <row r="20" spans="2:4" x14ac:dyDescent="0.35">
      <c r="B20" s="10">
        <v>2024</v>
      </c>
      <c r="D20" s="10">
        <v>2026</v>
      </c>
    </row>
    <row r="21" spans="2:4" x14ac:dyDescent="0.35">
      <c r="B21" s="9" t="s">
        <v>92</v>
      </c>
      <c r="D21" s="9" t="s">
        <v>126</v>
      </c>
    </row>
    <row r="22" spans="2:4" x14ac:dyDescent="0.35">
      <c r="B22" s="10" t="s">
        <v>93</v>
      </c>
      <c r="D22" s="10" t="s">
        <v>127</v>
      </c>
    </row>
    <row r="24" spans="2:4" x14ac:dyDescent="0.35">
      <c r="B24" s="8" t="s">
        <v>19</v>
      </c>
      <c r="D24" s="8" t="s">
        <v>128</v>
      </c>
    </row>
    <row r="25" spans="2:4" x14ac:dyDescent="0.35">
      <c r="B25" s="10" t="s">
        <v>94</v>
      </c>
      <c r="D25" s="10" t="s">
        <v>129</v>
      </c>
    </row>
    <row r="26" spans="2:4" x14ac:dyDescent="0.35">
      <c r="B26" s="10" t="s">
        <v>95</v>
      </c>
      <c r="D26" s="10" t="s">
        <v>130</v>
      </c>
    </row>
    <row r="27" spans="2:4" x14ac:dyDescent="0.35">
      <c r="B27" s="10">
        <v>2025</v>
      </c>
      <c r="D27" s="10"/>
    </row>
    <row r="28" spans="2:4" x14ac:dyDescent="0.35">
      <c r="B28" s="9" t="s">
        <v>96</v>
      </c>
      <c r="D28" s="9" t="s">
        <v>131</v>
      </c>
    </row>
    <row r="29" spans="2:4" ht="58" x14ac:dyDescent="0.35">
      <c r="B29" s="10" t="s">
        <v>97</v>
      </c>
      <c r="D29" s="10" t="s">
        <v>132</v>
      </c>
    </row>
    <row r="31" spans="2:4" x14ac:dyDescent="0.35">
      <c r="B31" s="8" t="s">
        <v>98</v>
      </c>
      <c r="D31" s="8" t="s">
        <v>46</v>
      </c>
    </row>
    <row r="32" spans="2:4" x14ac:dyDescent="0.35">
      <c r="B32" s="10" t="s">
        <v>99</v>
      </c>
      <c r="D32" s="10" t="s">
        <v>133</v>
      </c>
    </row>
    <row r="33" spans="2:4" x14ac:dyDescent="0.35">
      <c r="B33" s="10" t="s">
        <v>100</v>
      </c>
      <c r="D33" s="10" t="s">
        <v>134</v>
      </c>
    </row>
    <row r="34" spans="2:4" x14ac:dyDescent="0.35">
      <c r="B34" s="10">
        <v>2026</v>
      </c>
      <c r="D34" s="10">
        <v>2017</v>
      </c>
    </row>
    <row r="35" spans="2:4" x14ac:dyDescent="0.35">
      <c r="B35" s="9" t="s">
        <v>101</v>
      </c>
      <c r="D35" s="10" t="s">
        <v>105</v>
      </c>
    </row>
    <row r="36" spans="2:4" ht="43.5" x14ac:dyDescent="0.35">
      <c r="B36" s="10" t="s">
        <v>102</v>
      </c>
      <c r="D36" s="10" t="s">
        <v>135</v>
      </c>
    </row>
    <row r="38" spans="2:4" x14ac:dyDescent="0.35">
      <c r="B38" s="8" t="s">
        <v>24</v>
      </c>
      <c r="D38" s="8" t="s">
        <v>33</v>
      </c>
    </row>
    <row r="39" spans="2:4" x14ac:dyDescent="0.35">
      <c r="B39" s="10" t="s">
        <v>103</v>
      </c>
      <c r="D39" s="10" t="s">
        <v>136</v>
      </c>
    </row>
    <row r="40" spans="2:4" x14ac:dyDescent="0.35">
      <c r="B40" s="10" t="s">
        <v>104</v>
      </c>
      <c r="D40" s="10" t="s">
        <v>137</v>
      </c>
    </row>
    <row r="41" spans="2:4" x14ac:dyDescent="0.35">
      <c r="B41" s="10"/>
      <c r="D41" s="10"/>
    </row>
    <row r="42" spans="2:4" x14ac:dyDescent="0.35">
      <c r="B42" s="10" t="s">
        <v>105</v>
      </c>
      <c r="D42" s="9" t="s">
        <v>138</v>
      </c>
    </row>
    <row r="43" spans="2:4" ht="29" x14ac:dyDescent="0.35">
      <c r="B43" s="10" t="s">
        <v>106</v>
      </c>
      <c r="D43" s="10" t="s">
        <v>139</v>
      </c>
    </row>
    <row r="45" spans="2:4" x14ac:dyDescent="0.35">
      <c r="B45" s="8" t="s">
        <v>107</v>
      </c>
      <c r="D45" s="8" t="s">
        <v>54</v>
      </c>
    </row>
    <row r="46" spans="2:4" x14ac:dyDescent="0.35">
      <c r="B46" s="10" t="s">
        <v>108</v>
      </c>
      <c r="D46" s="10" t="s">
        <v>140</v>
      </c>
    </row>
    <row r="47" spans="2:4" x14ac:dyDescent="0.35">
      <c r="B47" s="10" t="s">
        <v>109</v>
      </c>
      <c r="D47" s="10" t="s">
        <v>141</v>
      </c>
    </row>
    <row r="48" spans="2:4" x14ac:dyDescent="0.35">
      <c r="B48" s="10">
        <v>2026</v>
      </c>
      <c r="D48" s="10"/>
    </row>
    <row r="49" spans="1:4" x14ac:dyDescent="0.35">
      <c r="B49" s="9" t="s">
        <v>110</v>
      </c>
      <c r="D49" s="9" t="s">
        <v>142</v>
      </c>
    </row>
    <row r="50" spans="1:4" ht="58" x14ac:dyDescent="0.35">
      <c r="B50" s="10" t="s">
        <v>111</v>
      </c>
      <c r="D50" s="10" t="s">
        <v>143</v>
      </c>
    </row>
    <row r="52" spans="1:4" x14ac:dyDescent="0.35">
      <c r="B52" s="8" t="s">
        <v>29</v>
      </c>
    </row>
    <row r="53" spans="1:4" x14ac:dyDescent="0.35">
      <c r="B53" s="10" t="s">
        <v>112</v>
      </c>
    </row>
    <row r="54" spans="1:4" x14ac:dyDescent="0.35">
      <c r="B54" s="10" t="s">
        <v>113</v>
      </c>
    </row>
    <row r="55" spans="1:4" x14ac:dyDescent="0.35">
      <c r="B55" s="10">
        <v>2021</v>
      </c>
    </row>
    <row r="56" spans="1:4" x14ac:dyDescent="0.35">
      <c r="B56" s="10" t="s">
        <v>105</v>
      </c>
    </row>
    <row r="57" spans="1:4" ht="29" x14ac:dyDescent="0.35">
      <c r="B57" s="10" t="s">
        <v>114</v>
      </c>
    </row>
    <row r="60" spans="1:4" x14ac:dyDescent="0.35">
      <c r="A60" s="6" t="s">
        <v>4</v>
      </c>
    </row>
    <row r="61" spans="1:4" ht="159.5" x14ac:dyDescent="0.35">
      <c r="A61" s="6" t="s">
        <v>144</v>
      </c>
      <c r="B61" s="10" t="s">
        <v>158</v>
      </c>
    </row>
    <row r="62" spans="1:4" ht="87" x14ac:dyDescent="0.35">
      <c r="A62" s="6" t="s">
        <v>145</v>
      </c>
      <c r="B62" s="10" t="s">
        <v>146</v>
      </c>
    </row>
    <row r="63" spans="1:4" ht="58" x14ac:dyDescent="0.35">
      <c r="A63" s="6" t="s">
        <v>147</v>
      </c>
      <c r="B63" s="10" t="s">
        <v>159</v>
      </c>
    </row>
    <row r="64" spans="1:4" ht="87" x14ac:dyDescent="0.35">
      <c r="A64" s="6" t="s">
        <v>148</v>
      </c>
      <c r="B64" s="10" t="s">
        <v>149</v>
      </c>
    </row>
  </sheetData>
  <hyperlinks>
    <hyperlink ref="B7" r:id="rId1" xr:uid="{DB23B333-42A4-4AE0-8B04-3BF865AD80B3}"/>
    <hyperlink ref="B14" r:id="rId2" xr:uid="{F4D93CF1-4207-45C8-AF06-C493A4971F87}"/>
    <hyperlink ref="B21" r:id="rId3" xr:uid="{46DA1831-05F2-4A25-A15B-4B391B9386B7}"/>
    <hyperlink ref="B28" r:id="rId4" xr:uid="{E2808A16-BF77-4463-B632-3A08B5860093}"/>
    <hyperlink ref="B35" r:id="rId5" xr:uid="{B9F86986-E577-43A8-8ED8-8DCD6C629D7B}"/>
    <hyperlink ref="B49" r:id="rId6" xr:uid="{F0AF8119-CAB1-4324-BC70-06BC7AE17EFC}"/>
    <hyperlink ref="D14" r:id="rId7" xr:uid="{9927FE73-CD03-4D40-B4A7-A932F35A2ED8}"/>
    <hyperlink ref="D21" r:id="rId8" xr:uid="{05331FF0-A5EC-4918-AF0E-17452FD25F11}"/>
    <hyperlink ref="D28" r:id="rId9" xr:uid="{AE843CAB-6943-4AE0-A6B1-F2C0D95449CC}"/>
    <hyperlink ref="D42" r:id="rId10" xr:uid="{8C3CDFC8-CCC6-4795-9511-B7356A0DD001}"/>
    <hyperlink ref="D49" r:id="rId11" xr:uid="{4DF4942D-E01D-4A4D-B0AA-D1DA7D7EF90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14" customWidth="1"/>
    <col min="3" max="3" width="10" customWidth="1"/>
    <col min="4" max="4" width="12" customWidth="1"/>
    <col min="5" max="5" width="30" customWidth="1"/>
    <col min="6" max="6" width="40" customWidth="1"/>
    <col min="7" max="7" width="90" customWidth="1"/>
  </cols>
  <sheetData>
    <row r="1" spans="1:7" x14ac:dyDescent="0.35">
      <c r="A1" s="1" t="s">
        <v>5</v>
      </c>
      <c r="B1" s="3" t="s">
        <v>6</v>
      </c>
    </row>
    <row r="2" spans="1:7" ht="174" x14ac:dyDescent="0.35">
      <c r="A2" s="2" t="s">
        <v>150</v>
      </c>
    </row>
    <row r="4" spans="1:7" ht="43.5" x14ac:dyDescent="0.35">
      <c r="A4" s="4" t="s">
        <v>7</v>
      </c>
      <c r="B4" s="4" t="s">
        <v>8</v>
      </c>
      <c r="C4" s="4" t="s">
        <v>9</v>
      </c>
      <c r="D4" s="4" t="s">
        <v>10</v>
      </c>
      <c r="E4" s="4" t="s">
        <v>11</v>
      </c>
      <c r="F4" s="4" t="s">
        <v>12</v>
      </c>
      <c r="G4" s="4" t="s">
        <v>13</v>
      </c>
    </row>
    <row r="5" spans="1:7" x14ac:dyDescent="0.35">
      <c r="A5" t="s">
        <v>6</v>
      </c>
      <c r="B5">
        <v>0.85</v>
      </c>
      <c r="C5" t="s">
        <v>14</v>
      </c>
      <c r="D5" t="s">
        <v>15</v>
      </c>
      <c r="E5" t="s">
        <v>16</v>
      </c>
      <c r="F5" t="s">
        <v>17</v>
      </c>
      <c r="G5" t="s">
        <v>18</v>
      </c>
    </row>
    <row r="6" spans="1:7" x14ac:dyDescent="0.35">
      <c r="A6" t="s">
        <v>19</v>
      </c>
      <c r="B6">
        <v>0.85</v>
      </c>
      <c r="C6" t="s">
        <v>20</v>
      </c>
      <c r="D6" t="s">
        <v>21</v>
      </c>
      <c r="E6" t="s">
        <v>22</v>
      </c>
      <c r="F6" t="s">
        <v>23</v>
      </c>
      <c r="G6" t="s">
        <v>152</v>
      </c>
    </row>
    <row r="7" spans="1:7" x14ac:dyDescent="0.35">
      <c r="A7" t="s">
        <v>24</v>
      </c>
      <c r="B7">
        <v>0.88</v>
      </c>
      <c r="C7" t="s">
        <v>25</v>
      </c>
      <c r="D7" t="s">
        <v>26</v>
      </c>
      <c r="E7" t="s">
        <v>27</v>
      </c>
      <c r="F7" t="s">
        <v>28</v>
      </c>
      <c r="G7" t="s">
        <v>153</v>
      </c>
    </row>
    <row r="8" spans="1:7" x14ac:dyDescent="0.35">
      <c r="A8" t="s">
        <v>29</v>
      </c>
      <c r="B8">
        <v>0.85</v>
      </c>
      <c r="C8" t="s">
        <v>20</v>
      </c>
      <c r="D8" t="s">
        <v>21</v>
      </c>
      <c r="E8" t="s">
        <v>30</v>
      </c>
      <c r="F8" t="s">
        <v>31</v>
      </c>
      <c r="G8" t="s">
        <v>32</v>
      </c>
    </row>
    <row r="9" spans="1:7" x14ac:dyDescent="0.35">
      <c r="A9" t="s">
        <v>33</v>
      </c>
      <c r="B9">
        <v>0.85</v>
      </c>
      <c r="C9" t="s">
        <v>20</v>
      </c>
      <c r="D9" t="s">
        <v>34</v>
      </c>
      <c r="E9" t="s">
        <v>35</v>
      </c>
      <c r="F9" t="s">
        <v>36</v>
      </c>
      <c r="G9" t="s">
        <v>37</v>
      </c>
    </row>
    <row r="10" spans="1:7" x14ac:dyDescent="0.35">
      <c r="A10" t="s">
        <v>38</v>
      </c>
      <c r="B10">
        <v>0.85</v>
      </c>
      <c r="C10" t="s">
        <v>39</v>
      </c>
      <c r="D10" t="s">
        <v>15</v>
      </c>
      <c r="E10" t="s">
        <v>40</v>
      </c>
      <c r="F10" t="s">
        <v>41</v>
      </c>
      <c r="G10" t="s">
        <v>154</v>
      </c>
    </row>
    <row r="11" spans="1:7" x14ac:dyDescent="0.35">
      <c r="A11" t="s">
        <v>42</v>
      </c>
      <c r="B11">
        <v>0.85</v>
      </c>
      <c r="C11" t="s">
        <v>20</v>
      </c>
      <c r="D11" t="s">
        <v>43</v>
      </c>
      <c r="E11" t="s">
        <v>44</v>
      </c>
      <c r="F11" t="s">
        <v>45</v>
      </c>
      <c r="G11" t="s">
        <v>155</v>
      </c>
    </row>
    <row r="12" spans="1:7" x14ac:dyDescent="0.35">
      <c r="A12" t="s">
        <v>46</v>
      </c>
      <c r="B12">
        <v>0.85</v>
      </c>
      <c r="C12" t="s">
        <v>20</v>
      </c>
      <c r="D12" t="s">
        <v>43</v>
      </c>
      <c r="E12" t="s">
        <v>47</v>
      </c>
      <c r="F12" t="s">
        <v>48</v>
      </c>
      <c r="G12" t="s">
        <v>49</v>
      </c>
    </row>
    <row r="13" spans="1:7" x14ac:dyDescent="0.35">
      <c r="A13" t="s">
        <v>50</v>
      </c>
      <c r="B13">
        <v>0.93</v>
      </c>
      <c r="C13" t="s">
        <v>51</v>
      </c>
      <c r="D13" t="s">
        <v>26</v>
      </c>
      <c r="E13" t="s">
        <v>52</v>
      </c>
      <c r="F13" t="s">
        <v>53</v>
      </c>
      <c r="G13" t="s">
        <v>156</v>
      </c>
    </row>
    <row r="14" spans="1:7" x14ac:dyDescent="0.35">
      <c r="A14" t="s">
        <v>54</v>
      </c>
      <c r="B14">
        <v>0.9</v>
      </c>
      <c r="C14" t="s">
        <v>20</v>
      </c>
      <c r="D14" t="s">
        <v>43</v>
      </c>
      <c r="E14" t="s">
        <v>55</v>
      </c>
      <c r="F14" t="s">
        <v>56</v>
      </c>
      <c r="G14" t="s">
        <v>57</v>
      </c>
    </row>
  </sheetData>
  <dataValidations count="1">
    <dataValidation type="list" sqref="B1" xr:uid="{00000000-0002-0000-0100-000000000000}">
      <formula1>$A$5:$A$14</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workbookViewId="0">
      <pane xSplit="1" ySplit="3" topLeftCell="B4" activePane="bottomRight" state="frozen"/>
      <selection pane="topRight"/>
      <selection pane="bottomLeft"/>
      <selection pane="bottomRight"/>
    </sheetView>
  </sheetViews>
  <sheetFormatPr defaultRowHeight="14.5" x14ac:dyDescent="0.35"/>
  <cols>
    <col min="11" max="11" width="90" customWidth="1"/>
  </cols>
  <sheetData>
    <row r="1" spans="1:11" x14ac:dyDescent="0.35">
      <c r="A1" t="s">
        <v>151</v>
      </c>
    </row>
    <row r="3" spans="1:11" x14ac:dyDescent="0.35">
      <c r="A3" t="s">
        <v>58</v>
      </c>
      <c r="B3" t="s">
        <v>59</v>
      </c>
      <c r="C3" t="s">
        <v>60</v>
      </c>
      <c r="D3" t="s">
        <v>61</v>
      </c>
      <c r="E3" t="s">
        <v>62</v>
      </c>
      <c r="F3" t="s">
        <v>63</v>
      </c>
      <c r="G3" t="s">
        <v>64</v>
      </c>
      <c r="H3" t="s">
        <v>65</v>
      </c>
      <c r="I3" t="s">
        <v>66</v>
      </c>
      <c r="J3" t="s">
        <v>67</v>
      </c>
      <c r="K3" t="s">
        <v>68</v>
      </c>
    </row>
    <row r="4" spans="1:11" x14ac:dyDescent="0.35">
      <c r="A4" t="s">
        <v>69</v>
      </c>
      <c r="B4">
        <v>0.49</v>
      </c>
      <c r="C4">
        <v>2009</v>
      </c>
      <c r="D4">
        <v>0.85</v>
      </c>
      <c r="E4">
        <v>2005</v>
      </c>
      <c r="F4">
        <v>0.74</v>
      </c>
      <c r="G4">
        <v>2017</v>
      </c>
      <c r="H4" t="s">
        <v>16</v>
      </c>
      <c r="I4" t="s">
        <v>15</v>
      </c>
      <c r="J4" t="s">
        <v>17</v>
      </c>
      <c r="K4" t="s">
        <v>18</v>
      </c>
    </row>
    <row r="5" spans="1:11" x14ac:dyDescent="0.35">
      <c r="A5" t="s">
        <v>38</v>
      </c>
      <c r="B5">
        <v>0.54</v>
      </c>
      <c r="C5">
        <v>2018</v>
      </c>
      <c r="D5">
        <v>0.85</v>
      </c>
      <c r="E5">
        <v>2010</v>
      </c>
      <c r="F5">
        <v>0.77</v>
      </c>
      <c r="G5">
        <v>2022</v>
      </c>
      <c r="H5" t="s">
        <v>40</v>
      </c>
      <c r="I5" t="s">
        <v>15</v>
      </c>
      <c r="J5" t="s">
        <v>41</v>
      </c>
      <c r="K5" t="s">
        <v>70</v>
      </c>
    </row>
    <row r="6" spans="1:11" x14ac:dyDescent="0.35">
      <c r="A6" t="s">
        <v>24</v>
      </c>
      <c r="B6">
        <v>0.56000000000000005</v>
      </c>
      <c r="C6">
        <v>2021</v>
      </c>
      <c r="D6">
        <v>0.88</v>
      </c>
      <c r="E6">
        <v>2007</v>
      </c>
      <c r="F6">
        <v>0.73</v>
      </c>
      <c r="G6">
        <v>2025</v>
      </c>
      <c r="H6" t="s">
        <v>27</v>
      </c>
      <c r="I6" t="s">
        <v>26</v>
      </c>
      <c r="J6" t="s">
        <v>28</v>
      </c>
      <c r="K6" t="s">
        <v>71</v>
      </c>
    </row>
    <row r="7" spans="1:11" x14ac:dyDescent="0.35">
      <c r="A7" t="s">
        <v>50</v>
      </c>
      <c r="B7">
        <v>0.54</v>
      </c>
      <c r="C7">
        <v>2022</v>
      </c>
      <c r="D7">
        <v>0.93</v>
      </c>
      <c r="E7">
        <v>2012</v>
      </c>
      <c r="F7">
        <v>0.56000000000000005</v>
      </c>
      <c r="G7">
        <v>2024</v>
      </c>
      <c r="H7" t="s">
        <v>52</v>
      </c>
      <c r="I7" t="s">
        <v>26</v>
      </c>
      <c r="J7" t="s">
        <v>53</v>
      </c>
      <c r="K7" t="s">
        <v>72</v>
      </c>
    </row>
    <row r="8" spans="1:11" x14ac:dyDescent="0.35">
      <c r="A8" t="s">
        <v>19</v>
      </c>
      <c r="B8">
        <v>0.5</v>
      </c>
      <c r="C8">
        <v>2024</v>
      </c>
      <c r="D8">
        <v>0.85</v>
      </c>
      <c r="E8" t="s">
        <v>20</v>
      </c>
      <c r="F8">
        <v>0.53</v>
      </c>
      <c r="G8">
        <v>2024</v>
      </c>
      <c r="H8" t="s">
        <v>22</v>
      </c>
      <c r="I8" t="s">
        <v>21</v>
      </c>
      <c r="J8" t="s">
        <v>23</v>
      </c>
      <c r="K8" t="s">
        <v>73</v>
      </c>
    </row>
    <row r="9" spans="1:11" x14ac:dyDescent="0.35">
      <c r="A9" t="s">
        <v>74</v>
      </c>
      <c r="B9">
        <v>0.5</v>
      </c>
      <c r="C9">
        <v>2013</v>
      </c>
      <c r="D9">
        <v>0.85</v>
      </c>
      <c r="E9" t="s">
        <v>20</v>
      </c>
      <c r="F9">
        <v>0.71</v>
      </c>
      <c r="G9">
        <v>2021</v>
      </c>
      <c r="H9" t="s">
        <v>30</v>
      </c>
      <c r="I9" t="s">
        <v>21</v>
      </c>
      <c r="J9" t="s">
        <v>31</v>
      </c>
      <c r="K9" t="s">
        <v>32</v>
      </c>
    </row>
    <row r="10" spans="1:11" x14ac:dyDescent="0.35">
      <c r="A10" t="s">
        <v>46</v>
      </c>
      <c r="B10">
        <v>0.5</v>
      </c>
      <c r="C10" t="s">
        <v>20</v>
      </c>
      <c r="D10">
        <v>0.85</v>
      </c>
      <c r="E10" t="s">
        <v>20</v>
      </c>
      <c r="F10">
        <v>0.73</v>
      </c>
      <c r="G10">
        <v>2016</v>
      </c>
      <c r="H10" t="s">
        <v>47</v>
      </c>
      <c r="I10" t="s">
        <v>43</v>
      </c>
      <c r="J10" t="s">
        <v>48</v>
      </c>
      <c r="K10" t="s">
        <v>49</v>
      </c>
    </row>
    <row r="11" spans="1:11" x14ac:dyDescent="0.35">
      <c r="A11" t="s">
        <v>42</v>
      </c>
      <c r="B11">
        <v>0.49</v>
      </c>
      <c r="C11" t="s">
        <v>20</v>
      </c>
      <c r="D11">
        <v>0.85</v>
      </c>
      <c r="E11" t="s">
        <v>20</v>
      </c>
      <c r="H11" t="s">
        <v>44</v>
      </c>
      <c r="I11" t="s">
        <v>43</v>
      </c>
      <c r="J11" t="s">
        <v>45</v>
      </c>
      <c r="K11" t="s">
        <v>75</v>
      </c>
    </row>
    <row r="12" spans="1:11" x14ac:dyDescent="0.35">
      <c r="A12" t="s">
        <v>33</v>
      </c>
      <c r="B12">
        <v>0.5</v>
      </c>
      <c r="C12" t="s">
        <v>20</v>
      </c>
      <c r="D12">
        <v>0.85</v>
      </c>
      <c r="E12" t="s">
        <v>20</v>
      </c>
      <c r="H12" t="s">
        <v>35</v>
      </c>
      <c r="I12" t="s">
        <v>34</v>
      </c>
      <c r="J12" t="s">
        <v>36</v>
      </c>
      <c r="K12" t="s">
        <v>37</v>
      </c>
    </row>
    <row r="13" spans="1:11" x14ac:dyDescent="0.35">
      <c r="A13" t="s">
        <v>54</v>
      </c>
      <c r="B13">
        <v>0.55000000000000004</v>
      </c>
      <c r="C13" t="s">
        <v>20</v>
      </c>
      <c r="D13">
        <v>0.9</v>
      </c>
      <c r="E13" t="s">
        <v>20</v>
      </c>
      <c r="F13">
        <v>0.76</v>
      </c>
      <c r="G13">
        <v>2021</v>
      </c>
      <c r="H13" t="s">
        <v>55</v>
      </c>
      <c r="I13" t="s">
        <v>43</v>
      </c>
      <c r="J13" t="s">
        <v>56</v>
      </c>
      <c r="K13" t="s">
        <v>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defaultRowHeight="14.5" x14ac:dyDescent="0.35"/>
  <cols>
    <col min="1" max="1" width="40" customWidth="1"/>
  </cols>
  <sheetData>
    <row r="1" spans="1:2" x14ac:dyDescent="0.35">
      <c r="A1" t="s">
        <v>76</v>
      </c>
      <c r="B1" t="str">
        <f>Regions!B1</f>
        <v>United States</v>
      </c>
    </row>
    <row r="2" spans="1:2" x14ac:dyDescent="0.35">
      <c r="A2" t="s">
        <v>8</v>
      </c>
      <c r="B2">
        <f>INDEX(Regions!$B$5:$B$14,MATCH(Regions!$B$1,Regions!$A$5:$A$14,0))</f>
        <v>0.85</v>
      </c>
    </row>
    <row r="3" spans="1:2" x14ac:dyDescent="0.35">
      <c r="A3" t="s">
        <v>77</v>
      </c>
      <c r="B3" t="str">
        <f>INDEX(Regions!$C$5:$C$14,MATCH(Regions!$B$1,Regions!$A$5:$A$14,0))&amp;" / "&amp;INDEX(Regions!$D$5:$D$14,MATCH(Regions!$B$1,Regions!$A$5:$A$14,0))</f>
        <v>2005 / HIGH</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heetViews>
  <sheetFormatPr defaultRowHeight="14.5" x14ac:dyDescent="0.35"/>
  <cols>
    <col min="1" max="1" width="70.7265625" customWidth="1"/>
    <col min="2" max="2" width="12.7265625" customWidth="1"/>
  </cols>
  <sheetData>
    <row r="1" spans="1:2" x14ac:dyDescent="0.35">
      <c r="A1" s="5" t="s">
        <v>79</v>
      </c>
    </row>
    <row r="3" spans="1:2" x14ac:dyDescent="0.35">
      <c r="A3" t="s">
        <v>80</v>
      </c>
      <c r="B3" t="str">
        <f>IF(AND(CUUB!B2&gt;0.3,CUUB!B2&lt;0.95),"PASS","FAIL")</f>
        <v>PASS</v>
      </c>
    </row>
    <row r="4" spans="1:2" x14ac:dyDescent="0.35">
      <c r="A4" t="s">
        <v>81</v>
      </c>
      <c r="B4" t="str">
        <f>IF(CUUB!B2&gt;0.69,"PASS","FAIL")</f>
        <v>PASS</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B2"/>
  <sheetViews>
    <sheetView workbookViewId="0"/>
  </sheetViews>
  <sheetFormatPr defaultRowHeight="14.5" x14ac:dyDescent="0.35"/>
  <sheetData>
    <row r="1" spans="1:2" x14ac:dyDescent="0.35">
      <c r="A1" t="s">
        <v>157</v>
      </c>
      <c r="B1" t="s">
        <v>78</v>
      </c>
    </row>
    <row r="2" spans="1:2" x14ac:dyDescent="0.35">
      <c r="A2" t="s">
        <v>8</v>
      </c>
      <c r="B2">
        <f>Derivation!B2</f>
        <v>0.85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Regions</vt:lpstr>
      <vt:lpstr>Regional anchors master</vt:lpstr>
      <vt:lpstr>Derivation</vt:lpstr>
      <vt:lpstr>Checks</vt:lpstr>
      <vt:lpstr>CUUB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2026-09-29T18:40:22Z</dcterms:created>
  <dcterms:modified xsi:type="dcterms:W3CDTF">2026-10-12T13:36:52Z</dcterms:modified>
</cp:coreProperties>
</file>