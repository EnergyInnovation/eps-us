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IBP\"/>
    </mc:Choice>
  </mc:AlternateContent>
  <xr:revisionPtr revIDLastSave="0" documentId="13_ncr:1_{DDFCFABC-0FC7-4745-8E08-B473504E089F}" xr6:coauthVersionLast="47" xr6:coauthVersionMax="47" xr10:uidLastSave="{00000000-0000-0000-0000-000000000000}"/>
  <bookViews>
    <workbookView xWindow="-120" yWindow="-120" windowWidth="29040" windowHeight="17520" xr2:uid="{00000000-000D-0000-FFFF-FFFF00000000}"/>
  </bookViews>
  <sheets>
    <sheet name="About" sheetId="1" r:id="rId1"/>
    <sheet name="Assumptions" sheetId="2" r:id="rId2"/>
    <sheet name="Derivation" sheetId="3" r:id="rId3"/>
    <sheet name="Checks" sheetId="4" r:id="rId4"/>
    <sheet name="CIBP"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5" l="1"/>
  <c r="B2" i="5"/>
  <c r="B7" i="3"/>
  <c r="B5" i="2" s="1"/>
  <c r="B3" i="5" s="1"/>
  <c r="B3" i="4" s="1"/>
  <c r="C3" i="4" s="1"/>
</calcChain>
</file>

<file path=xl/sharedStrings.xml><?xml version="1.0" encoding="utf-8"?>
<sst xmlns="http://schemas.openxmlformats.org/spreadsheetml/2006/main" count="68" uniqueCount="62">
  <si>
    <t>CIBP Cement Import Border Fee Parameters</t>
  </si>
  <si>
    <t>Sources:</t>
  </si>
  <si>
    <t>U.S. cement import volumes and unit values</t>
  </si>
  <si>
    <t>Border fee designs the lever represents</t>
  </si>
  <si>
    <t>U.S. Geological Survey</t>
  </si>
  <si>
    <t>U.S. Senate</t>
  </si>
  <si>
    <t>Mineral Commodity Summaries 2026, Cement; Mineral Industry Surveys, Cement (monthly)</t>
  </si>
  <si>
    <t>Clean Competition Act (S. 3523, December 2025) and Foreign Pollution Fee Act (S. 1325, 2025)</t>
  </si>
  <si>
    <t>https://pubs.usgs.gov/periodicals/mcs2026/mcs2026-cement.pdf</t>
  </si>
  <si>
    <t>https://www.govinfo.gov/content/pkg/BILLS-119s3523is/html/BILLS-119s3523is.htm</t>
  </si>
  <si>
    <t>Imports of hydraulic cement about 23 million tonnes in 2025 (21 percent of apparent consumption), mainly from Turkey, Vietnam and Canada; average customs (c.i.f.) unit value about 92 dollars per tonne in 2025 (102 in 2023) against a domestic mill value of about 160. The 2025 unit value is the delivered-price basis; it is deflated to the model dollar year on the Derivation tab.</t>
  </si>
  <si>
    <t>The Clean Competition Act charges 60 dollars per tonne of CO2 in 2026, rising with inflation plus 6 points a year, on emissions above the U.S. industry average, for domestic producers and importers alike (cement, NAICS 327310, is covered). The Foreign Pollution Fee Act instead sets ad valorem fees by country of origin (Turkey 100 percent, Vietnam 200 percent, Canada 27 percent for cement in its first phase). The EU CBAM charges the ETS price on the full embodied intensity, phasing in from 2.5 percent in 2026 to 100 percent in 2034. The lever covers the first and third designs.</t>
  </si>
  <si>
    <t>CO2 intensity of cement made in the main exporting countries</t>
  </si>
  <si>
    <t>Converting nominal prices to the model's 2012 dollars</t>
  </si>
  <si>
    <t>European Commission Joint Research Centre</t>
  </si>
  <si>
    <t>U.S. Bureau of Labor Statistics</t>
  </si>
  <si>
    <t>Greenhouse gas intensities of cement and clinker production by country (CBAM background report, 2023)</t>
  </si>
  <si>
    <t>Consumer Price Index for All Urban Consumers (CPI-U), U.S. city average, annual averages</t>
  </si>
  <si>
    <t>https://publications.jrc.ec.europa.eu/repository/handle/JRC134682</t>
  </si>
  <si>
    <t>https://data.bls.gov/pdq/SurveyOutputServlet</t>
  </si>
  <si>
    <t>Modelled direct intensities of about 0.81 to 0.83 tonnes CO2 per tonne of Portland cement for Turkey, Vietnam, Egypt and Algeria (0.83 to 0.85 per tonne of grey clinker). The California Air Resources Board's import estimates from GCCA plant data are lower (0.68 to 0.76 per tonne of cement for China, Vietnam, Mexico, Turkey, Egypt). The JRC value is the shipped default; the CBAM default value for cement is about 1.44 with a mark-up, the value to enter for an EU-style default-based charge. Secondary readings; verify.</t>
  </si>
  <si>
    <t>Annual averages of 229.594 for 2012 and 313.689 for 2024, the series the EPS CPI workbook uses; the 2025 annual average is entered as 322.0 (about 2.7 percent above 2024) and should be replaced with the published value.</t>
  </si>
  <si>
    <t>Trade elasticity between imported and domestic cement</t>
  </si>
  <si>
    <t>Global Trade Analysis Project (Hertel and van der Mensbrugghe)</t>
  </si>
  <si>
    <t>GTAP 10 Data Base documentation, chapter 14, behavioural parameters (mineral products n.e.c.)</t>
  </si>
  <si>
    <t>https://www.gtap.agecon.purdue.edu/resources/res_display.asp?RecordID=5906</t>
  </si>
  <si>
    <t>Armington elasticity of substitution between domestic and imported non-metallic mineral products of about 2.8 to 2.9 (the GTAP behavioural parameters chapter lists 2.8; check the current database release). Fowlie, Reguant and Ryan (Journal of Political Economy 2016) estimate a U.S. cement import supply elasticity of 2.5; Monjon and Quirion use 1.5 to 3 for cement. The shipped value is 2, in the middle of the range; a national elasticity overstates the response of inland markets that imports cannot reach.</t>
  </si>
  <si>
    <t>Notes:</t>
  </si>
  <si>
    <t>Purpose and layout</t>
  </si>
  <si>
    <t>CIBP holds the three numbers the cement border fee policy (Cement Border Fee Rate) needs: the CO2 embodied in a tonne of imported cement, the delivered price of imported cement before any fee, and the trade elasticity that says how strongly the import share falls when the fee raises that price. Edit the 'Assumptions' tab; the 'Derivation' tab deflates the import price; the 'CIBP' tab is exported to CIBP.csv.</t>
  </si>
  <si>
    <t>How the U.S. values were built</t>
  </si>
  <si>
    <t>Import intensity 0.83 tonnes CO2 per tonne, the JRC direct intensity for Portland cement from Turkey and Vietnam, the main U.S. suppliers; this is only about 0.05 above the median U.S. plant, so a fee on the measured intensity gap is small, while a fee on the full intensity (the CBAM switch) is large. Delivered price 92 dollars per tonne in 2025, deflated to about 66 in 2012 dollars. Elasticity 2, between the cement-specific estimates (1.5 to 3). If most imports are blended rather than Portland cement (JRC puts blended cements at about 0.58 to 0.62), the true import intensity is 0.1 to 0.25 lower and the gap to U.S. cement can be close to zero or negative; the differential fee is then near zero.</t>
  </si>
  <si>
    <t>Confidence</t>
  </si>
  <si>
    <t>Medium for the price and import share (USGS), low for the import intensity (modelled country averages; GCCA plant data are behind registration) and for the elasticity (estimates differ by a factor of two and the coastal nature of cement trade is not represented).</t>
  </si>
  <si>
    <t>Values (edit here)</t>
  </si>
  <si>
    <t>Three constants used by the border fee lever; units in the row labels.</t>
  </si>
  <si>
    <t>Quantity</t>
  </si>
  <si>
    <t>Value</t>
  </si>
  <si>
    <t>Basis</t>
  </si>
  <si>
    <t>Cement Import CO2 Intensity (metric tons CO2 per metric ton cement)</t>
  </si>
  <si>
    <t>JRC 2023 direct intensity, Portland cement, Turkey and Vietnam</t>
  </si>
  <si>
    <t>Cement Import Delivered Price (2012 USD per metric ton)</t>
  </si>
  <si>
    <t>Derivation tab: 2025 c.i.f. unit value deflated with the CPI</t>
  </si>
  <si>
    <t>Cement Import Price Elasticity (dimensionless)</t>
  </si>
  <si>
    <t>Armington elasticity, middle of the 1.5 to 3 cement range</t>
  </si>
  <si>
    <t>From the nominal import unit value to a delivered price in 2012 dollars</t>
  </si>
  <si>
    <t>What does a tonne of imported cement cost delivered, in the dollars the model uses?</t>
  </si>
  <si>
    <t>Step</t>
  </si>
  <si>
    <t>Explanation</t>
  </si>
  <si>
    <t>Average c.i.f. import unit value, 2025 (nominal dollars per tonne)</t>
  </si>
  <si>
    <t>USGS Mineral Industry Surveys, cement and clinker imports 2025</t>
  </si>
  <si>
    <t>CPI-U 2012</t>
  </si>
  <si>
    <t>BLS annual average</t>
  </si>
  <si>
    <t>CPI-U 2025 (estimate; replace with the published annual average)</t>
  </si>
  <si>
    <t>About 2.7 percent above the 2024 average of 313.689</t>
  </si>
  <si>
    <t>DELIVERED IMPORT PRICE USED IN THE OUTPUT FILE (2012 dollars per tonne)</t>
  </si>
  <si>
    <t>Nominal value deflated by the CPI ratio</t>
  </si>
  <si>
    <t>Live checks</t>
  </si>
  <si>
    <t>Check</t>
  </si>
  <si>
    <t>Result</t>
  </si>
  <si>
    <t>Exported values are positive numbers (count of non-positive)</t>
  </si>
  <si>
    <t>Unit: see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</si>
</sst>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3" fillId="3" borderId="0" xfId="0" applyFont="1" applyFill="1" applyAlignment="1">
      <alignment horizontal="left" vertical="top" wrapText="1"/>
    </xf>
    <xf numFmtId="0" fontId="0" fillId="0" borderId="0" xfId="0" applyAlignment="1">
      <alignment horizontal="lef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ublications.jrc.ec.europa.eu/repository/handle/JRC134682" TargetMode="External"/><Relationship Id="rId2" Type="http://schemas.openxmlformats.org/officeDocument/2006/relationships/hyperlink" Target="https://www.govinfo.gov/content/pkg/BILLS-119s3523is/html/BILLS-119s3523is.htm" TargetMode="External"/><Relationship Id="rId1" Type="http://schemas.openxmlformats.org/officeDocument/2006/relationships/hyperlink" Target="https://pubs.usgs.gov/periodicals/mcs2026/mcs2026-cement.pdf" TargetMode="External"/><Relationship Id="rId5" Type="http://schemas.openxmlformats.org/officeDocument/2006/relationships/hyperlink" Target="https://www.gtap.agecon.purdue.edu/resources/res_display.asp?RecordID=5906" TargetMode="External"/><Relationship Id="rId4" Type="http://schemas.openxmlformats.org/officeDocument/2006/relationships/hyperlink" Target="https://data.bls.gov/pdq/SurveyOutputServl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workbookViewId="0"/>
  </sheetViews>
  <sheetFormatPr defaultRowHeight="15" x14ac:dyDescent="0.25"/>
  <cols>
    <col min="1" max="1" width="24" customWidth="1"/>
    <col min="2" max="2" width="110" customWidth="1"/>
    <col min="3" max="3" width="3" customWidth="1"/>
    <col min="4" max="4" width="110" customWidth="1"/>
  </cols>
  <sheetData>
    <row r="1" spans="1:4" x14ac:dyDescent="0.25">
      <c r="A1" s="1" t="s">
        <v>0</v>
      </c>
    </row>
    <row r="3" spans="1:4" x14ac:dyDescent="0.25">
      <c r="A3" s="1" t="s">
        <v>1</v>
      </c>
      <c r="B3" s="2" t="s">
        <v>2</v>
      </c>
      <c r="D3" s="2" t="s">
        <v>3</v>
      </c>
    </row>
    <row r="4" spans="1:4" x14ac:dyDescent="0.25">
      <c r="B4" s="3" t="s">
        <v>4</v>
      </c>
      <c r="D4" s="3" t="s">
        <v>5</v>
      </c>
    </row>
    <row r="5" spans="1:4" x14ac:dyDescent="0.25">
      <c r="B5" s="3" t="s">
        <v>6</v>
      </c>
      <c r="D5" s="3" t="s">
        <v>7</v>
      </c>
    </row>
    <row r="6" spans="1:4" x14ac:dyDescent="0.25">
      <c r="B6" s="3">
        <v>2026</v>
      </c>
      <c r="D6" s="3">
        <v>2025</v>
      </c>
    </row>
    <row r="7" spans="1:4" x14ac:dyDescent="0.25">
      <c r="B7" s="4" t="s">
        <v>8</v>
      </c>
      <c r="D7" s="4" t="s">
        <v>9</v>
      </c>
    </row>
    <row r="8" spans="1:4" ht="75" customHeight="1" x14ac:dyDescent="0.25">
      <c r="B8" s="3" t="s">
        <v>10</v>
      </c>
      <c r="D8" s="3" t="s">
        <v>11</v>
      </c>
    </row>
    <row r="10" spans="1:4" x14ac:dyDescent="0.25">
      <c r="B10" s="2" t="s">
        <v>12</v>
      </c>
      <c r="D10" s="2" t="s">
        <v>13</v>
      </c>
    </row>
    <row r="11" spans="1:4" x14ac:dyDescent="0.25">
      <c r="B11" s="3" t="s">
        <v>14</v>
      </c>
      <c r="D11" s="3" t="s">
        <v>15</v>
      </c>
    </row>
    <row r="12" spans="1:4" x14ac:dyDescent="0.25">
      <c r="B12" s="3" t="s">
        <v>16</v>
      </c>
      <c r="D12" s="3" t="s">
        <v>17</v>
      </c>
    </row>
    <row r="13" spans="1:4" x14ac:dyDescent="0.25">
      <c r="B13" s="3">
        <v>2023</v>
      </c>
      <c r="D13" s="3">
        <v>2026</v>
      </c>
    </row>
    <row r="14" spans="1:4" x14ac:dyDescent="0.25">
      <c r="B14" s="4" t="s">
        <v>18</v>
      </c>
      <c r="D14" s="4" t="s">
        <v>19</v>
      </c>
    </row>
    <row r="15" spans="1:4" ht="75" customHeight="1" x14ac:dyDescent="0.25">
      <c r="B15" s="3" t="s">
        <v>20</v>
      </c>
      <c r="D15" s="3" t="s">
        <v>21</v>
      </c>
    </row>
    <row r="17" spans="1:2" x14ac:dyDescent="0.25">
      <c r="B17" s="2" t="s">
        <v>22</v>
      </c>
    </row>
    <row r="18" spans="1:2" x14ac:dyDescent="0.25">
      <c r="B18" s="3" t="s">
        <v>23</v>
      </c>
    </row>
    <row r="19" spans="1:2" x14ac:dyDescent="0.25">
      <c r="B19" s="3" t="s">
        <v>24</v>
      </c>
    </row>
    <row r="20" spans="1:2" x14ac:dyDescent="0.25">
      <c r="B20" s="3">
        <v>2019</v>
      </c>
    </row>
    <row r="21" spans="1:2" x14ac:dyDescent="0.25">
      <c r="B21" s="4" t="s">
        <v>25</v>
      </c>
    </row>
    <row r="22" spans="1:2" ht="60" customHeight="1" x14ac:dyDescent="0.25">
      <c r="B22" s="3" t="s">
        <v>26</v>
      </c>
    </row>
    <row r="24" spans="1:2" x14ac:dyDescent="0.25">
      <c r="A24" s="1" t="s">
        <v>27</v>
      </c>
    </row>
    <row r="25" spans="1:2" ht="60" customHeight="1" x14ac:dyDescent="0.25">
      <c r="A25" s="5" t="s">
        <v>28</v>
      </c>
      <c r="B25" s="3" t="s">
        <v>29</v>
      </c>
    </row>
    <row r="26" spans="1:2" ht="60" customHeight="1" x14ac:dyDescent="0.25">
      <c r="A26" s="5" t="s">
        <v>30</v>
      </c>
      <c r="B26" s="3" t="s">
        <v>31</v>
      </c>
    </row>
    <row r="27" spans="1:2" ht="45" customHeight="1" x14ac:dyDescent="0.25">
      <c r="A27" s="5" t="s">
        <v>32</v>
      </c>
      <c r="B27" s="3" t="s">
        <v>33</v>
      </c>
    </row>
  </sheetData>
  <hyperlinks>
    <hyperlink ref="B7" r:id="rId1" xr:uid="{00000000-0004-0000-0000-000000000000}"/>
    <hyperlink ref="D7" r:id="rId2" xr:uid="{00000000-0004-0000-0000-000001000000}"/>
    <hyperlink ref="B14" r:id="rId3" xr:uid="{00000000-0004-0000-0000-000002000000}"/>
    <hyperlink ref="D14" r:id="rId4" xr:uid="{00000000-0004-0000-0000-000003000000}"/>
    <hyperlink ref="B21" r:id="rId5" xr:uid="{00000000-0004-0000-0000-000004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defaultRowHeight="15" x14ac:dyDescent="0.25"/>
  <cols>
    <col min="1" max="1" width="60" customWidth="1"/>
    <col min="2" max="2" width="16" customWidth="1"/>
    <col min="3" max="3" width="90" customWidth="1"/>
  </cols>
  <sheetData>
    <row r="1" spans="1:3" x14ac:dyDescent="0.25">
      <c r="A1" s="1" t="s">
        <v>34</v>
      </c>
    </row>
    <row r="2" spans="1:3" ht="45" customHeight="1" x14ac:dyDescent="0.25">
      <c r="A2" s="7" t="s">
        <v>35</v>
      </c>
      <c r="B2" s="8"/>
      <c r="C2" s="8"/>
    </row>
    <row r="3" spans="1:3" ht="20.100000000000001" customHeight="1" x14ac:dyDescent="0.25">
      <c r="A3" s="6" t="s">
        <v>36</v>
      </c>
      <c r="B3" s="6" t="s">
        <v>37</v>
      </c>
      <c r="C3" s="6" t="s">
        <v>38</v>
      </c>
    </row>
    <row r="4" spans="1:3" x14ac:dyDescent="0.25">
      <c r="A4" t="s">
        <v>39</v>
      </c>
      <c r="B4">
        <v>0.83</v>
      </c>
      <c r="C4" s="3" t="s">
        <v>40</v>
      </c>
    </row>
    <row r="5" spans="1:3" x14ac:dyDescent="0.25">
      <c r="A5" t="s">
        <v>41</v>
      </c>
      <c r="B5">
        <f>Derivation!B7</f>
        <v>65.598285714285723</v>
      </c>
      <c r="C5" s="3" t="s">
        <v>42</v>
      </c>
    </row>
    <row r="6" spans="1:3" x14ac:dyDescent="0.25">
      <c r="A6" t="s">
        <v>43</v>
      </c>
      <c r="B6">
        <v>2</v>
      </c>
      <c r="C6" s="3" t="s">
        <v>44</v>
      </c>
    </row>
  </sheetData>
  <mergeCells count="1">
    <mergeCell ref="A2:C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heetViews>
  <sheetFormatPr defaultRowHeight="15" x14ac:dyDescent="0.25"/>
  <cols>
    <col min="1" max="1" width="62" customWidth="1"/>
    <col min="2" max="2" width="18" customWidth="1"/>
    <col min="3" max="3" width="80" customWidth="1"/>
  </cols>
  <sheetData>
    <row r="1" spans="1:3" x14ac:dyDescent="0.25">
      <c r="A1" s="1" t="s">
        <v>45</v>
      </c>
    </row>
    <row r="2" spans="1:3" ht="39.950000000000003" customHeight="1" x14ac:dyDescent="0.25">
      <c r="A2" s="7" t="s">
        <v>46</v>
      </c>
      <c r="B2" s="8"/>
      <c r="C2" s="8"/>
    </row>
    <row r="3" spans="1:3" ht="20.100000000000001" customHeight="1" x14ac:dyDescent="0.25">
      <c r="A3" s="6" t="s">
        <v>47</v>
      </c>
      <c r="B3" s="6" t="s">
        <v>37</v>
      </c>
      <c r="C3" s="6" t="s">
        <v>48</v>
      </c>
    </row>
    <row r="4" spans="1:3" x14ac:dyDescent="0.25">
      <c r="A4" t="s">
        <v>49</v>
      </c>
      <c r="B4">
        <v>92</v>
      </c>
      <c r="C4" s="3" t="s">
        <v>50</v>
      </c>
    </row>
    <row r="5" spans="1:3" x14ac:dyDescent="0.25">
      <c r="A5" t="s">
        <v>51</v>
      </c>
      <c r="B5">
        <v>229.59399999999999</v>
      </c>
      <c r="C5" s="3" t="s">
        <v>52</v>
      </c>
    </row>
    <row r="6" spans="1:3" x14ac:dyDescent="0.25">
      <c r="A6" t="s">
        <v>53</v>
      </c>
      <c r="B6">
        <v>322</v>
      </c>
      <c r="C6" s="3" t="s">
        <v>54</v>
      </c>
    </row>
    <row r="7" spans="1:3" x14ac:dyDescent="0.25">
      <c r="A7" t="s">
        <v>55</v>
      </c>
      <c r="B7">
        <f>B4*B5/B6</f>
        <v>65.598285714285723</v>
      </c>
      <c r="C7" s="3" t="s">
        <v>56</v>
      </c>
    </row>
  </sheetData>
  <mergeCells count="1">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
  <sheetViews>
    <sheetView workbookViewId="0"/>
  </sheetViews>
  <sheetFormatPr defaultRowHeight="15" x14ac:dyDescent="0.25"/>
  <cols>
    <col min="1" max="1" width="60" customWidth="1"/>
  </cols>
  <sheetData>
    <row r="1" spans="1:3" x14ac:dyDescent="0.25">
      <c r="A1" s="1" t="s">
        <v>57</v>
      </c>
    </row>
    <row r="2" spans="1:3" ht="20.100000000000001" customHeight="1" x14ac:dyDescent="0.25">
      <c r="A2" s="6" t="s">
        <v>58</v>
      </c>
      <c r="B2" s="6" t="s">
        <v>37</v>
      </c>
      <c r="C2" s="6" t="s">
        <v>59</v>
      </c>
    </row>
    <row r="3" spans="1:3" x14ac:dyDescent="0.25">
      <c r="A3" t="s">
        <v>60</v>
      </c>
      <c r="B3">
        <f>COUNTIF(CIBP!B2:B4,"&lt;=0")+COUNTBLANK(CIBP!B2:B4)</f>
        <v>0</v>
      </c>
      <c r="C3" t="str">
        <f>IF(B3=0,"PASS","FAIL")</f>
        <v>PASS</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B4"/>
  <sheetViews>
    <sheetView workbookViewId="0"/>
  </sheetViews>
  <sheetFormatPr defaultRowHeight="15" x14ac:dyDescent="0.25"/>
  <cols>
    <col min="1" max="1" width="62" customWidth="1"/>
  </cols>
  <sheetData>
    <row r="1" spans="1:2" x14ac:dyDescent="0.25">
      <c r="A1" t="s">
        <v>61</v>
      </c>
      <c r="B1" t="s">
        <v>37</v>
      </c>
    </row>
    <row r="2" spans="1:2" x14ac:dyDescent="0.25">
      <c r="A2" t="s">
        <v>39</v>
      </c>
      <c r="B2">
        <f>Assumptions!B4</f>
        <v>0.83</v>
      </c>
    </row>
    <row r="3" spans="1:2" x14ac:dyDescent="0.25">
      <c r="A3" t="s">
        <v>41</v>
      </c>
      <c r="B3">
        <f>Assumptions!B5</f>
        <v>65.598285714285723</v>
      </c>
    </row>
    <row r="4" spans="1:2" x14ac:dyDescent="0.25">
      <c r="A4" t="s">
        <v>43</v>
      </c>
      <c r="B4">
        <f>Assumptions!B6</f>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Assumptions</vt:lpstr>
      <vt:lpstr>Derivation</vt:lpstr>
      <vt:lpstr>Checks</vt:lpstr>
      <vt:lpstr>CIBP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2026-10-17T02:55:09Z</dcterms:created>
  <dcterms:modified xsi:type="dcterms:W3CDTF">2026-10-19T14:33:08Z</dcterms:modified>
</cp:coreProperties>
</file>