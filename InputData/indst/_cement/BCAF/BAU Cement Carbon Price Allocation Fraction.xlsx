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BCAF\"/>
    </mc:Choice>
  </mc:AlternateContent>
  <xr:revisionPtr revIDLastSave="0" documentId="13_ncr:1_{7E001C81-E478-4DF0-ADCE-B45F6C60F4D1}" xr6:coauthVersionLast="47" xr6:coauthVersionMax="47" xr10:uidLastSave="{00000000-0000-0000-0000-000000000000}"/>
  <bookViews>
    <workbookView xWindow="380" yWindow="380" windowWidth="14400" windowHeight="8170" xr2:uid="{00000000-000D-0000-FFFF-FFFF00000000}"/>
  </bookViews>
  <sheets>
    <sheet name="About" sheetId="1" r:id="rId1"/>
    <sheet name="Values by Year" sheetId="2" r:id="rId2"/>
    <sheet name="Checks" sheetId="3" r:id="rId3"/>
    <sheet name="BCAF"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4" l="1"/>
  <c r="AD2" i="4"/>
  <c r="AC2" i="4"/>
  <c r="AB2" i="4"/>
  <c r="AA2" i="4"/>
  <c r="Z2" i="4"/>
  <c r="Y2" i="4"/>
  <c r="X2" i="4"/>
  <c r="W2" i="4"/>
  <c r="V2" i="4"/>
  <c r="U2" i="4"/>
  <c r="T2" i="4"/>
  <c r="S2" i="4"/>
  <c r="R2" i="4"/>
  <c r="Q2" i="4"/>
  <c r="P2" i="4"/>
  <c r="O2" i="4"/>
  <c r="N2" i="4"/>
  <c r="M2" i="4"/>
  <c r="L2" i="4"/>
  <c r="K2" i="4"/>
  <c r="J2" i="4"/>
  <c r="I2" i="4"/>
  <c r="H2" i="4"/>
  <c r="G2" i="4"/>
  <c r="F2" i="4"/>
  <c r="E2" i="4"/>
  <c r="D2" i="4"/>
  <c r="C2" i="4"/>
  <c r="B2" i="4"/>
  <c r="B3" i="3"/>
  <c r="C3" i="3" s="1"/>
</calcChain>
</file>

<file path=xl/sharedStrings.xml><?xml version="1.0" encoding="utf-8"?>
<sst xmlns="http://schemas.openxmlformats.org/spreadsheetml/2006/main" count="61" uniqueCount="32">
  <si>
    <t>BCAF BAU Cement Carbon Price Allocation Fraction</t>
  </si>
  <si>
    <t>Sources:</t>
  </si>
  <si>
    <t>Why the U.S. value is zero</t>
  </si>
  <si>
    <t>U.S. Environmental Protection Agency</t>
  </si>
  <si>
    <t>Greenhouse Gas Reporting Program, Subpart H (cement production) overview</t>
  </si>
  <si>
    <t>https://www.epa.gov/ghgreporting/subpart-h-cement-production</t>
  </si>
  <si>
    <t>The United States has no federal carbon price on cement, so there is no free allocation or output-based rebate to record; cement plants report their emissions under Subpart H but pay nothing on them. California prices cement under its cap-and-trade program with output-based free allocation, but that state program is not part of the national BAU carbon price in this model.</t>
  </si>
  <si>
    <t>How emissions trading systems allocate allowances to cement (for other regions)</t>
  </si>
  <si>
    <t>European Commission</t>
  </si>
  <si>
    <t>Directive (EU) 2023/959 amending the EU ETS Directive, recital 46 (free allocation phase-out alongside CBAM)</t>
  </si>
  <si>
    <t>https://eur-lex.europa.eu/legal-content/EN/TXT/HTML/?uri=CELEX:32023L0959</t>
  </si>
  <si>
    <t>EU cement installations receive free allowances against the grey clinker benchmark; the share retained falls from 97.5 percent in 2026 to 51.5 percent in 2030 and zero from 2034 as the carbon border adjustment phases in. An EU build would enter that schedule here. California gives cement 100 percent assistance times a cap-adjustment factor (0.824 in 2026, 0.782 in 2030); Canada's output-based pricing system and Korea's ETS allocate against benchmarks as well. Secondary readings of the California and Canadian rules should be checked against the regulations before use.</t>
  </si>
  <si>
    <t>Notes:</t>
  </si>
  <si>
    <t>Purpose and layout</t>
  </si>
  <si>
    <t>BCAF is the share of the cement industry's carbon-price bill that is already handed back in proportion to its output under policies in place, by year. Emissions trading systems do this through free allowances set against a benchmark intensity (see CABI); the effect is that producers still face the full carbon price on each extra tonne of CO2 they emit, but the average cost they pass on to buyers is much smaller. In the model the rebate is paid by government to the cement industry and reduces the carbon cost passed through to cement buyers. The output-based allocation policy adds to this value (the two together are capped at one). Edit the 'Values by Year' tab; the 'BCAF' tab is exported to BCAF.csv.</t>
  </si>
  <si>
    <t>U.S. values</t>
  </si>
  <si>
    <t>Zero in every year: there is no carbon price on U.S. cement and so nothing to hand back.</t>
  </si>
  <si>
    <t>Other regions</t>
  </si>
  <si>
    <t>Enter the share of allowances the cement sector receives free, net of any phase-down (for the EU, the CBAM schedule in the second source). Where a system allocates against a benchmark, the model's CABI input sets that benchmark and this fraction scales how much of the benchmark allocation is retained.</t>
  </si>
  <si>
    <t>BAU share of the cement carbon-price bill handed back against output (edit here)</t>
  </si>
  <si>
    <t>Fraction between 0 and 1 by year. Zero means producers pay the full carbon price on every tonne; one means they receive the carbon price on the benchmark intensity times their output back.</t>
  </si>
  <si>
    <t>Year</t>
  </si>
  <si>
    <t>dimensionless</t>
  </si>
  <si>
    <t>Basis</t>
  </si>
  <si>
    <t>No U.S. carbon price on cement</t>
  </si>
  <si>
    <t>Live checks</t>
  </si>
  <si>
    <t>Check</t>
  </si>
  <si>
    <t>Value</t>
  </si>
  <si>
    <t>Result</t>
  </si>
  <si>
    <t>Values below 0 or above 1 (count)</t>
  </si>
  <si>
    <t>Unit: dimensionless</t>
  </si>
  <si>
    <t>BAU Cement Carbon Price Allocation Fraction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</si>
</sst>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ur-lex.europa.eu/legal-content/EN/TXT/HTML/?uri=CELEX:32023L0959" TargetMode="External"/><Relationship Id="rId1" Type="http://schemas.openxmlformats.org/officeDocument/2006/relationships/hyperlink" Target="https://www.epa.gov/ghgreporting/subpart-h-cement-produ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heetViews>
  <sheetFormatPr defaultRowHeight="14.5" x14ac:dyDescent="0.35"/>
  <cols>
    <col min="1" max="1" width="24" customWidth="1"/>
    <col min="2" max="2" width="110" customWidth="1"/>
  </cols>
  <sheetData>
    <row r="1" spans="1:2" x14ac:dyDescent="0.35">
      <c r="A1" s="1" t="s">
        <v>0</v>
      </c>
    </row>
    <row r="3" spans="1:2" x14ac:dyDescent="0.35">
      <c r="A3" s="1" t="s">
        <v>1</v>
      </c>
      <c r="B3" s="2" t="s">
        <v>2</v>
      </c>
    </row>
    <row r="4" spans="1:2" x14ac:dyDescent="0.35">
      <c r="B4" s="3" t="s">
        <v>3</v>
      </c>
    </row>
    <row r="5" spans="1:2" x14ac:dyDescent="0.35">
      <c r="B5" s="3" t="s">
        <v>4</v>
      </c>
    </row>
    <row r="6" spans="1:2" x14ac:dyDescent="0.35">
      <c r="B6" s="3">
        <v>2025</v>
      </c>
    </row>
    <row r="7" spans="1:2" x14ac:dyDescent="0.35">
      <c r="B7" s="4" t="s">
        <v>5</v>
      </c>
    </row>
    <row r="8" spans="1:2" ht="43.5" x14ac:dyDescent="0.35">
      <c r="B8" s="3" t="s">
        <v>6</v>
      </c>
    </row>
    <row r="10" spans="1:2" x14ac:dyDescent="0.35">
      <c r="B10" s="2" t="s">
        <v>7</v>
      </c>
    </row>
    <row r="11" spans="1:2" x14ac:dyDescent="0.35">
      <c r="B11" s="3" t="s">
        <v>8</v>
      </c>
    </row>
    <row r="12" spans="1:2" x14ac:dyDescent="0.35">
      <c r="B12" s="3" t="s">
        <v>9</v>
      </c>
    </row>
    <row r="13" spans="1:2" x14ac:dyDescent="0.35">
      <c r="B13" s="3">
        <v>2023</v>
      </c>
    </row>
    <row r="14" spans="1:2" x14ac:dyDescent="0.35">
      <c r="B14" s="4" t="s">
        <v>10</v>
      </c>
    </row>
    <row r="15" spans="1:2" ht="72.5" x14ac:dyDescent="0.35">
      <c r="B15" s="3" t="s">
        <v>11</v>
      </c>
    </row>
    <row r="17" spans="1:2" x14ac:dyDescent="0.35">
      <c r="A17" s="1" t="s">
        <v>12</v>
      </c>
    </row>
    <row r="18" spans="1:2" ht="87" x14ac:dyDescent="0.35">
      <c r="A18" s="5" t="s">
        <v>13</v>
      </c>
      <c r="B18" s="3" t="s">
        <v>14</v>
      </c>
    </row>
    <row r="19" spans="1:2" x14ac:dyDescent="0.35">
      <c r="A19" s="5" t="s">
        <v>15</v>
      </c>
      <c r="B19" s="3" t="s">
        <v>16</v>
      </c>
    </row>
    <row r="20" spans="1:2" ht="43.5" x14ac:dyDescent="0.35">
      <c r="A20" s="5" t="s">
        <v>17</v>
      </c>
      <c r="B20" s="3" t="s">
        <v>18</v>
      </c>
    </row>
  </sheetData>
  <hyperlinks>
    <hyperlink ref="B7" r:id="rId1" xr:uid="{00000000-0004-0000-0000-000000000000}"/>
    <hyperlink ref="B14"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workbookViewId="0"/>
  </sheetViews>
  <sheetFormatPr defaultRowHeight="14.5" x14ac:dyDescent="0.35"/>
  <cols>
    <col min="1" max="1" width="10" customWidth="1"/>
    <col min="2" max="2" width="24" customWidth="1"/>
    <col min="3" max="3" width="80" customWidth="1"/>
  </cols>
  <sheetData>
    <row r="1" spans="1:8" x14ac:dyDescent="0.35">
      <c r="A1" s="1" t="s">
        <v>19</v>
      </c>
    </row>
    <row r="2" spans="1:8" ht="45" customHeight="1" x14ac:dyDescent="0.35">
      <c r="A2" s="7" t="s">
        <v>20</v>
      </c>
      <c r="B2" s="8"/>
      <c r="C2" s="8"/>
      <c r="D2" s="8"/>
      <c r="E2" s="8"/>
      <c r="F2" s="8"/>
      <c r="G2" s="8"/>
      <c r="H2" s="8"/>
    </row>
    <row r="3" spans="1:8" ht="36" customHeight="1" x14ac:dyDescent="0.35">
      <c r="A3" s="6" t="s">
        <v>21</v>
      </c>
      <c r="B3" s="6" t="s">
        <v>22</v>
      </c>
      <c r="C3" s="6" t="s">
        <v>23</v>
      </c>
    </row>
    <row r="4" spans="1:8" x14ac:dyDescent="0.35">
      <c r="A4">
        <v>2021</v>
      </c>
      <c r="B4">
        <v>0</v>
      </c>
      <c r="C4" t="s">
        <v>24</v>
      </c>
    </row>
    <row r="5" spans="1:8" x14ac:dyDescent="0.35">
      <c r="A5">
        <v>2022</v>
      </c>
      <c r="B5">
        <v>0</v>
      </c>
      <c r="C5" t="s">
        <v>24</v>
      </c>
    </row>
    <row r="6" spans="1:8" x14ac:dyDescent="0.35">
      <c r="A6">
        <v>2023</v>
      </c>
      <c r="B6">
        <v>0</v>
      </c>
      <c r="C6" t="s">
        <v>24</v>
      </c>
    </row>
    <row r="7" spans="1:8" x14ac:dyDescent="0.35">
      <c r="A7">
        <v>2024</v>
      </c>
      <c r="B7">
        <v>0</v>
      </c>
      <c r="C7" t="s">
        <v>24</v>
      </c>
    </row>
    <row r="8" spans="1:8" x14ac:dyDescent="0.35">
      <c r="A8">
        <v>2025</v>
      </c>
      <c r="B8">
        <v>0</v>
      </c>
      <c r="C8" t="s">
        <v>24</v>
      </c>
    </row>
    <row r="9" spans="1:8" x14ac:dyDescent="0.35">
      <c r="A9">
        <v>2026</v>
      </c>
      <c r="B9">
        <v>0</v>
      </c>
      <c r="C9" t="s">
        <v>24</v>
      </c>
    </row>
    <row r="10" spans="1:8" x14ac:dyDescent="0.35">
      <c r="A10">
        <v>2027</v>
      </c>
      <c r="B10">
        <v>0</v>
      </c>
      <c r="C10" t="s">
        <v>24</v>
      </c>
    </row>
    <row r="11" spans="1:8" x14ac:dyDescent="0.35">
      <c r="A11">
        <v>2028</v>
      </c>
      <c r="B11">
        <v>0</v>
      </c>
      <c r="C11" t="s">
        <v>24</v>
      </c>
    </row>
    <row r="12" spans="1:8" x14ac:dyDescent="0.35">
      <c r="A12">
        <v>2029</v>
      </c>
      <c r="B12">
        <v>0</v>
      </c>
      <c r="C12" t="s">
        <v>24</v>
      </c>
    </row>
    <row r="13" spans="1:8" x14ac:dyDescent="0.35">
      <c r="A13">
        <v>2030</v>
      </c>
      <c r="B13">
        <v>0</v>
      </c>
      <c r="C13" t="s">
        <v>24</v>
      </c>
    </row>
    <row r="14" spans="1:8" x14ac:dyDescent="0.35">
      <c r="A14">
        <v>2031</v>
      </c>
      <c r="B14">
        <v>0</v>
      </c>
      <c r="C14" t="s">
        <v>24</v>
      </c>
    </row>
    <row r="15" spans="1:8" x14ac:dyDescent="0.35">
      <c r="A15">
        <v>2032</v>
      </c>
      <c r="B15">
        <v>0</v>
      </c>
      <c r="C15" t="s">
        <v>24</v>
      </c>
    </row>
    <row r="16" spans="1:8" x14ac:dyDescent="0.35">
      <c r="A16">
        <v>2033</v>
      </c>
      <c r="B16">
        <v>0</v>
      </c>
      <c r="C16" t="s">
        <v>24</v>
      </c>
    </row>
    <row r="17" spans="1:3" x14ac:dyDescent="0.35">
      <c r="A17">
        <v>2034</v>
      </c>
      <c r="B17">
        <v>0</v>
      </c>
      <c r="C17" t="s">
        <v>24</v>
      </c>
    </row>
    <row r="18" spans="1:3" x14ac:dyDescent="0.35">
      <c r="A18">
        <v>2035</v>
      </c>
      <c r="B18">
        <v>0</v>
      </c>
      <c r="C18" t="s">
        <v>24</v>
      </c>
    </row>
    <row r="19" spans="1:3" x14ac:dyDescent="0.35">
      <c r="A19">
        <v>2036</v>
      </c>
      <c r="B19">
        <v>0</v>
      </c>
      <c r="C19" t="s">
        <v>24</v>
      </c>
    </row>
    <row r="20" spans="1:3" x14ac:dyDescent="0.35">
      <c r="A20">
        <v>2037</v>
      </c>
      <c r="B20">
        <v>0</v>
      </c>
      <c r="C20" t="s">
        <v>24</v>
      </c>
    </row>
    <row r="21" spans="1:3" x14ac:dyDescent="0.35">
      <c r="A21">
        <v>2038</v>
      </c>
      <c r="B21">
        <v>0</v>
      </c>
      <c r="C21" t="s">
        <v>24</v>
      </c>
    </row>
    <row r="22" spans="1:3" x14ac:dyDescent="0.35">
      <c r="A22">
        <v>2039</v>
      </c>
      <c r="B22">
        <v>0</v>
      </c>
      <c r="C22" t="s">
        <v>24</v>
      </c>
    </row>
    <row r="23" spans="1:3" x14ac:dyDescent="0.35">
      <c r="A23">
        <v>2040</v>
      </c>
      <c r="B23">
        <v>0</v>
      </c>
      <c r="C23" t="s">
        <v>24</v>
      </c>
    </row>
    <row r="24" spans="1:3" x14ac:dyDescent="0.35">
      <c r="A24">
        <v>2041</v>
      </c>
      <c r="B24">
        <v>0</v>
      </c>
      <c r="C24" t="s">
        <v>24</v>
      </c>
    </row>
    <row r="25" spans="1:3" x14ac:dyDescent="0.35">
      <c r="A25">
        <v>2042</v>
      </c>
      <c r="B25">
        <v>0</v>
      </c>
      <c r="C25" t="s">
        <v>24</v>
      </c>
    </row>
    <row r="26" spans="1:3" x14ac:dyDescent="0.35">
      <c r="A26">
        <v>2043</v>
      </c>
      <c r="B26">
        <v>0</v>
      </c>
      <c r="C26" t="s">
        <v>24</v>
      </c>
    </row>
    <row r="27" spans="1:3" x14ac:dyDescent="0.35">
      <c r="A27">
        <v>2044</v>
      </c>
      <c r="B27">
        <v>0</v>
      </c>
      <c r="C27" t="s">
        <v>24</v>
      </c>
    </row>
    <row r="28" spans="1:3" x14ac:dyDescent="0.35">
      <c r="A28">
        <v>2045</v>
      </c>
      <c r="B28">
        <v>0</v>
      </c>
      <c r="C28" t="s">
        <v>24</v>
      </c>
    </row>
    <row r="29" spans="1:3" x14ac:dyDescent="0.35">
      <c r="A29">
        <v>2046</v>
      </c>
      <c r="B29">
        <v>0</v>
      </c>
      <c r="C29" t="s">
        <v>24</v>
      </c>
    </row>
    <row r="30" spans="1:3" x14ac:dyDescent="0.35">
      <c r="A30">
        <v>2047</v>
      </c>
      <c r="B30">
        <v>0</v>
      </c>
      <c r="C30" t="s">
        <v>24</v>
      </c>
    </row>
    <row r="31" spans="1:3" x14ac:dyDescent="0.35">
      <c r="A31">
        <v>2048</v>
      </c>
      <c r="B31">
        <v>0</v>
      </c>
      <c r="C31" t="s">
        <v>24</v>
      </c>
    </row>
    <row r="32" spans="1:3" x14ac:dyDescent="0.35">
      <c r="A32">
        <v>2049</v>
      </c>
      <c r="B32">
        <v>0</v>
      </c>
      <c r="C32" t="s">
        <v>24</v>
      </c>
    </row>
    <row r="33" spans="1:3" x14ac:dyDescent="0.35">
      <c r="A33">
        <v>2050</v>
      </c>
      <c r="B33">
        <v>0</v>
      </c>
      <c r="C33" t="s">
        <v>24</v>
      </c>
    </row>
  </sheetData>
  <mergeCells count="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heetViews>
  <sheetFormatPr defaultRowHeight="14.5" x14ac:dyDescent="0.35"/>
  <cols>
    <col min="1" max="1" width="60" customWidth="1"/>
  </cols>
  <sheetData>
    <row r="1" spans="1:3" x14ac:dyDescent="0.35">
      <c r="A1" s="1" t="s">
        <v>25</v>
      </c>
    </row>
    <row r="2" spans="1:3" ht="20" customHeight="1" x14ac:dyDescent="0.35">
      <c r="A2" s="6" t="s">
        <v>26</v>
      </c>
      <c r="B2" s="6" t="s">
        <v>27</v>
      </c>
      <c r="C2" s="6" t="s">
        <v>28</v>
      </c>
    </row>
    <row r="3" spans="1:3" x14ac:dyDescent="0.35">
      <c r="A3" t="s">
        <v>29</v>
      </c>
      <c r="B3">
        <f>COUNTIF('Values by Year'!B4:B33,"&lt;0")+COUNTIF('Values by Year'!B4:B33,"&gt;1")</f>
        <v>0</v>
      </c>
      <c r="C3" t="str">
        <f>IF(B3=0,"PASS","FAIL")</f>
        <v>PASS</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AE2"/>
  <sheetViews>
    <sheetView workbookViewId="0"/>
  </sheetViews>
  <sheetFormatPr defaultRowHeight="14.5" x14ac:dyDescent="0.35"/>
  <cols>
    <col min="1" max="1" width="40" customWidth="1"/>
  </cols>
  <sheetData>
    <row r="1" spans="1:31" x14ac:dyDescent="0.35">
      <c r="A1" t="s">
        <v>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31</v>
      </c>
      <c r="B2">
        <f>'Values by Year'!B4</f>
        <v>0</v>
      </c>
      <c r="C2">
        <f>'Values by Year'!B5</f>
        <v>0</v>
      </c>
      <c r="D2">
        <f>'Values by Year'!B6</f>
        <v>0</v>
      </c>
      <c r="E2">
        <f>'Values by Year'!B7</f>
        <v>0</v>
      </c>
      <c r="F2">
        <f>'Values by Year'!B8</f>
        <v>0</v>
      </c>
      <c r="G2">
        <f>'Values by Year'!B9</f>
        <v>0</v>
      </c>
      <c r="H2">
        <f>'Values by Year'!B10</f>
        <v>0</v>
      </c>
      <c r="I2">
        <f>'Values by Year'!B11</f>
        <v>0</v>
      </c>
      <c r="J2">
        <f>'Values by Year'!B12</f>
        <v>0</v>
      </c>
      <c r="K2">
        <f>'Values by Year'!B13</f>
        <v>0</v>
      </c>
      <c r="L2">
        <f>'Values by Year'!B14</f>
        <v>0</v>
      </c>
      <c r="M2">
        <f>'Values by Year'!B15</f>
        <v>0</v>
      </c>
      <c r="N2">
        <f>'Values by Year'!B16</f>
        <v>0</v>
      </c>
      <c r="O2">
        <f>'Values by Year'!B17</f>
        <v>0</v>
      </c>
      <c r="P2">
        <f>'Values by Year'!B18</f>
        <v>0</v>
      </c>
      <c r="Q2">
        <f>'Values by Year'!B19</f>
        <v>0</v>
      </c>
      <c r="R2">
        <f>'Values by Year'!B20</f>
        <v>0</v>
      </c>
      <c r="S2">
        <f>'Values by Year'!B21</f>
        <v>0</v>
      </c>
      <c r="T2">
        <f>'Values by Year'!B22</f>
        <v>0</v>
      </c>
      <c r="U2">
        <f>'Values by Year'!B23</f>
        <v>0</v>
      </c>
      <c r="V2">
        <f>'Values by Year'!B24</f>
        <v>0</v>
      </c>
      <c r="W2">
        <f>'Values by Year'!B25</f>
        <v>0</v>
      </c>
      <c r="X2">
        <f>'Values by Year'!B26</f>
        <v>0</v>
      </c>
      <c r="Y2">
        <f>'Values by Year'!B27</f>
        <v>0</v>
      </c>
      <c r="Z2">
        <f>'Values by Year'!B28</f>
        <v>0</v>
      </c>
      <c r="AA2">
        <f>'Values by Year'!B29</f>
        <v>0</v>
      </c>
      <c r="AB2">
        <f>'Values by Year'!B30</f>
        <v>0</v>
      </c>
      <c r="AC2">
        <f>'Values by Year'!B31</f>
        <v>0</v>
      </c>
      <c r="AD2">
        <f>'Values by Year'!B32</f>
        <v>0</v>
      </c>
      <c r="AE2">
        <f>'Values by Year'!B33</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Values by Year</vt:lpstr>
      <vt:lpstr>Checks</vt:lpstr>
      <vt:lpstr>BCAF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2026-10-17T12:30:59Z</dcterms:created>
  <dcterms:modified xsi:type="dcterms:W3CDTF">2026-10-17T12:32:42Z</dcterms:modified>
</cp:coreProperties>
</file>