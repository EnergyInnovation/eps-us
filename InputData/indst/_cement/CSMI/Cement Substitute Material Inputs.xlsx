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cement-substitute-material-cost\InputData\indst\_cement\CSMI\"/>
    </mc:Choice>
  </mc:AlternateContent>
  <xr:revisionPtr revIDLastSave="0" documentId="13_ncr:1_{FED5B400-302E-434B-B55F-6EFD6A2E740E}" xr6:coauthVersionLast="47" xr6:coauthVersionMax="47" xr10:uidLastSave="{00000000-0000-0000-0000-000000000000}"/>
  <bookViews>
    <workbookView xWindow="-120" yWindow="-120" windowWidth="29040" windowHeight="17520" xr2:uid="{00000000-000D-0000-FFFF-FFFF00000000}"/>
  </bookViews>
  <sheets>
    <sheet name="About" sheetId="1" r:id="rId1"/>
    <sheet name="Price Index" sheetId="2" r:id="rId2"/>
    <sheet name="Materials" sheetId="3" r:id="rId3"/>
    <sheet name="Avoided Clinker Cost" sheetId="4" r:id="rId4"/>
    <sheet name="Mix" sheetId="5" r:id="rId5"/>
    <sheet name="Derivation" sheetId="6" r:id="rId6"/>
    <sheet name="Regions" sheetId="7" r:id="rId7"/>
    <sheet name="Checks" sheetId="8" r:id="rId8"/>
    <sheet name="CSMI-heat" sheetId="9" r:id="rId9"/>
    <sheet name="CSMI-clay-share" sheetId="10" r:id="rId10"/>
    <sheet name="CSMI-net-cos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9" i="6" l="1"/>
  <c r="AD9" i="6"/>
  <c r="AC9" i="6"/>
  <c r="AB9" i="6"/>
  <c r="AA9" i="6"/>
  <c r="Z9" i="6"/>
  <c r="Y9" i="6"/>
  <c r="X9" i="6"/>
  <c r="W9" i="6"/>
  <c r="V9" i="6"/>
  <c r="U9" i="6"/>
  <c r="T9" i="6"/>
  <c r="S9" i="6"/>
  <c r="R9" i="6"/>
  <c r="Q9" i="6"/>
  <c r="P9" i="6"/>
  <c r="O9" i="6"/>
  <c r="N9" i="6"/>
  <c r="M9" i="6"/>
  <c r="L9" i="6"/>
  <c r="K9" i="6"/>
  <c r="J9" i="6"/>
  <c r="I9" i="6"/>
  <c r="H9" i="6"/>
  <c r="G9" i="6"/>
  <c r="F9" i="6"/>
  <c r="E9" i="6"/>
  <c r="D9" i="6"/>
  <c r="C9" i="6"/>
  <c r="B9" i="6"/>
  <c r="AE8" i="6"/>
  <c r="AD8" i="6"/>
  <c r="AC8" i="6"/>
  <c r="AB8" i="6"/>
  <c r="AA8" i="6"/>
  <c r="Z8" i="6"/>
  <c r="Y8" i="6"/>
  <c r="X8" i="6"/>
  <c r="W8" i="6"/>
  <c r="V8" i="6"/>
  <c r="U8" i="6"/>
  <c r="T8" i="6"/>
  <c r="S8" i="6"/>
  <c r="R8" i="6"/>
  <c r="Q8" i="6"/>
  <c r="P8" i="6"/>
  <c r="O8" i="6"/>
  <c r="N8" i="6"/>
  <c r="M8" i="6"/>
  <c r="L8" i="6"/>
  <c r="K8" i="6"/>
  <c r="J8" i="6"/>
  <c r="I8" i="6"/>
  <c r="H8" i="6"/>
  <c r="G8" i="6"/>
  <c r="F8" i="6"/>
  <c r="E8" i="6"/>
  <c r="D8" i="6"/>
  <c r="C8" i="6"/>
  <c r="B8" i="6"/>
  <c r="AE7" i="6"/>
  <c r="AD7" i="6"/>
  <c r="AC7" i="6"/>
  <c r="AB7" i="6"/>
  <c r="AA7" i="6"/>
  <c r="Z7" i="6"/>
  <c r="Y7" i="6"/>
  <c r="X7" i="6"/>
  <c r="W7" i="6"/>
  <c r="V7" i="6"/>
  <c r="U7" i="6"/>
  <c r="T7" i="6"/>
  <c r="S7" i="6"/>
  <c r="R7" i="6"/>
  <c r="Q7" i="6"/>
  <c r="P7" i="6"/>
  <c r="O7" i="6"/>
  <c r="N7" i="6"/>
  <c r="M7" i="6"/>
  <c r="L7" i="6"/>
  <c r="K7" i="6"/>
  <c r="J7" i="6"/>
  <c r="I7" i="6"/>
  <c r="H7" i="6"/>
  <c r="G7" i="6"/>
  <c r="F7" i="6"/>
  <c r="E7" i="6"/>
  <c r="D7" i="6"/>
  <c r="C7" i="6"/>
  <c r="B7" i="6"/>
  <c r="AE6" i="6"/>
  <c r="AD6" i="6"/>
  <c r="AC6" i="6"/>
  <c r="AB6" i="6"/>
  <c r="AA6" i="6"/>
  <c r="Z6" i="6"/>
  <c r="Y6" i="6"/>
  <c r="X6" i="6"/>
  <c r="W6" i="6"/>
  <c r="V6" i="6"/>
  <c r="U6" i="6"/>
  <c r="T6" i="6"/>
  <c r="S6" i="6"/>
  <c r="R6" i="6"/>
  <c r="Q6" i="6"/>
  <c r="P6" i="6"/>
  <c r="O6" i="6"/>
  <c r="N6" i="6"/>
  <c r="M6" i="6"/>
  <c r="L6" i="6"/>
  <c r="K6" i="6"/>
  <c r="J6" i="6"/>
  <c r="I6" i="6"/>
  <c r="H6" i="6"/>
  <c r="G6" i="6"/>
  <c r="F6" i="6"/>
  <c r="E6" i="6"/>
  <c r="D6" i="6"/>
  <c r="C6" i="6"/>
  <c r="B6" i="6"/>
  <c r="AE5" i="6"/>
  <c r="AD5" i="6"/>
  <c r="AC5" i="6"/>
  <c r="AB5" i="6"/>
  <c r="AA5" i="6"/>
  <c r="Z5" i="6"/>
  <c r="Y5" i="6"/>
  <c r="X5" i="6"/>
  <c r="W5" i="6"/>
  <c r="V5" i="6"/>
  <c r="U5" i="6"/>
  <c r="T5" i="6"/>
  <c r="S5" i="6"/>
  <c r="R5" i="6"/>
  <c r="Q5" i="6"/>
  <c r="P5" i="6"/>
  <c r="O5" i="6"/>
  <c r="N5" i="6"/>
  <c r="M5" i="6"/>
  <c r="L5" i="6"/>
  <c r="K5" i="6"/>
  <c r="J5" i="6"/>
  <c r="I5" i="6"/>
  <c r="H5" i="6"/>
  <c r="G5" i="6"/>
  <c r="F5" i="6"/>
  <c r="E5" i="6"/>
  <c r="D5" i="6"/>
  <c r="C5" i="6"/>
  <c r="B5" i="6"/>
  <c r="C9" i="5"/>
  <c r="B9" i="5"/>
  <c r="D5" i="4"/>
  <c r="D4" i="4"/>
  <c r="E8" i="3"/>
  <c r="E7" i="3"/>
  <c r="E6" i="3"/>
  <c r="E5" i="3"/>
  <c r="E4" i="3"/>
  <c r="AD13" i="6" l="1"/>
  <c r="D6" i="4"/>
  <c r="B3" i="8"/>
  <c r="C3" i="8" s="1"/>
  <c r="AE13" i="6"/>
  <c r="AE12" i="6"/>
  <c r="AE2" i="10" s="1"/>
  <c r="AE11" i="6"/>
  <c r="AE2" i="9" s="1"/>
  <c r="AD12" i="6"/>
  <c r="AD2" i="10" s="1"/>
  <c r="AD11" i="6"/>
  <c r="AD2" i="9" s="1"/>
  <c r="AC12" i="6"/>
  <c r="AC2" i="10" s="1"/>
  <c r="AC13" i="6"/>
  <c r="AC11" i="6"/>
  <c r="AC2" i="9" s="1"/>
  <c r="AB13" i="6"/>
  <c r="AB12" i="6"/>
  <c r="AB2" i="10" s="1"/>
  <c r="AB11" i="6"/>
  <c r="AB2" i="9" s="1"/>
  <c r="AA12" i="6"/>
  <c r="AA2" i="10" s="1"/>
  <c r="AA11" i="6"/>
  <c r="AA2" i="9" s="1"/>
  <c r="AA13" i="6"/>
  <c r="Z13" i="6"/>
  <c r="Z12" i="6"/>
  <c r="Z2" i="10" s="1"/>
  <c r="Z11" i="6"/>
  <c r="Z2" i="9" s="1"/>
  <c r="Y13" i="6"/>
  <c r="Y12" i="6"/>
  <c r="Y2" i="10" s="1"/>
  <c r="Y11" i="6"/>
  <c r="Y2" i="9" s="1"/>
  <c r="X13" i="6"/>
  <c r="X12" i="6"/>
  <c r="X2" i="10" s="1"/>
  <c r="X11" i="6"/>
  <c r="X2" i="9" s="1"/>
  <c r="W13" i="6"/>
  <c r="W11" i="6"/>
  <c r="W2" i="9" s="1"/>
  <c r="W12" i="6"/>
  <c r="W2" i="10" s="1"/>
  <c r="V13" i="6"/>
  <c r="V12" i="6"/>
  <c r="V2" i="10" s="1"/>
  <c r="V11" i="6"/>
  <c r="V2" i="9" s="1"/>
  <c r="U11" i="6"/>
  <c r="U2" i="9" s="1"/>
  <c r="U12" i="6"/>
  <c r="U2" i="10" s="1"/>
  <c r="U13" i="6"/>
  <c r="T11" i="6"/>
  <c r="T2" i="9" s="1"/>
  <c r="T13" i="6"/>
  <c r="T12" i="6"/>
  <c r="T2" i="10" s="1"/>
  <c r="S12" i="6"/>
  <c r="S2" i="10" s="1"/>
  <c r="S11" i="6"/>
  <c r="S2" i="9" s="1"/>
  <c r="S13" i="6"/>
  <c r="R13" i="6"/>
  <c r="R12" i="6"/>
  <c r="R2" i="10" s="1"/>
  <c r="R11" i="6"/>
  <c r="R2" i="9" s="1"/>
  <c r="Q11" i="6"/>
  <c r="Q2" i="9" s="1"/>
  <c r="Q12" i="6"/>
  <c r="Q2" i="10" s="1"/>
  <c r="Q13" i="6"/>
  <c r="P11" i="6"/>
  <c r="P2" i="9" s="1"/>
  <c r="P13" i="6"/>
  <c r="P12" i="6"/>
  <c r="P2" i="10" s="1"/>
  <c r="O12" i="6"/>
  <c r="O2" i="10" s="1"/>
  <c r="O11" i="6"/>
  <c r="O2" i="9" s="1"/>
  <c r="O13" i="6"/>
  <c r="N11" i="6"/>
  <c r="N2" i="9" s="1"/>
  <c r="N13" i="6"/>
  <c r="N12" i="6"/>
  <c r="N2" i="10" s="1"/>
  <c r="M13" i="6"/>
  <c r="M12" i="6"/>
  <c r="M2" i="10" s="1"/>
  <c r="M11" i="6"/>
  <c r="M2" i="9" s="1"/>
  <c r="L12" i="6"/>
  <c r="L2" i="10" s="1"/>
  <c r="L13" i="6"/>
  <c r="L11" i="6"/>
  <c r="L2" i="9" s="1"/>
  <c r="K12" i="6"/>
  <c r="K2" i="10" s="1"/>
  <c r="K11" i="6"/>
  <c r="K2" i="9" s="1"/>
  <c r="K13" i="6"/>
  <c r="J13" i="6"/>
  <c r="J11" i="6"/>
  <c r="J2" i="9" s="1"/>
  <c r="J12" i="6"/>
  <c r="J2" i="10" s="1"/>
  <c r="I13" i="6"/>
  <c r="I12" i="6"/>
  <c r="I2" i="10" s="1"/>
  <c r="I11" i="6"/>
  <c r="I2" i="9" s="1"/>
  <c r="H11" i="6"/>
  <c r="H2" i="9" s="1"/>
  <c r="H12" i="6"/>
  <c r="H2" i="10" s="1"/>
  <c r="H13" i="6"/>
  <c r="G13" i="6"/>
  <c r="G12" i="6"/>
  <c r="G2" i="10" s="1"/>
  <c r="G11" i="6"/>
  <c r="G2" i="9" s="1"/>
  <c r="F12" i="6"/>
  <c r="F2" i="10" s="1"/>
  <c r="F13" i="6"/>
  <c r="F11" i="6"/>
  <c r="F2" i="9" s="1"/>
  <c r="E12" i="6"/>
  <c r="E2" i="10" s="1"/>
  <c r="E11" i="6"/>
  <c r="E2" i="9" s="1"/>
  <c r="E13" i="6"/>
  <c r="D11" i="6"/>
  <c r="D2" i="9" s="1"/>
  <c r="D12" i="6"/>
  <c r="D2" i="10" s="1"/>
  <c r="D13" i="6"/>
  <c r="C13" i="6"/>
  <c r="C11" i="6"/>
  <c r="C2" i="9" s="1"/>
  <c r="C12" i="6"/>
  <c r="C2" i="10" s="1"/>
  <c r="B11" i="6"/>
  <c r="B2" i="9" s="1"/>
  <c r="B12" i="6"/>
  <c r="B2" i="10" s="1"/>
  <c r="B5" i="8" s="1"/>
  <c r="C5" i="8" s="1"/>
  <c r="B13" i="6"/>
  <c r="Z14" i="6" l="1"/>
  <c r="Z15" i="6" s="1"/>
  <c r="Z2" i="11" s="1"/>
  <c r="X14" i="6"/>
  <c r="X15" i="6" s="1"/>
  <c r="X2" i="11" s="1"/>
  <c r="W14" i="6"/>
  <c r="W15" i="6" s="1"/>
  <c r="W2" i="11" s="1"/>
  <c r="AE14" i="6"/>
  <c r="AE15" i="6" s="1"/>
  <c r="AE2" i="11" s="1"/>
  <c r="K14" i="6"/>
  <c r="K15" i="6" s="1"/>
  <c r="K2" i="11" s="1"/>
  <c r="J14" i="6"/>
  <c r="J15" i="6" s="1"/>
  <c r="J2" i="11" s="1"/>
  <c r="I14" i="6"/>
  <c r="I15" i="6" s="1"/>
  <c r="I2" i="11" s="1"/>
  <c r="H14" i="6"/>
  <c r="H15" i="6" s="1"/>
  <c r="H2" i="11" s="1"/>
  <c r="G14" i="6"/>
  <c r="G15" i="6" s="1"/>
  <c r="G2" i="11" s="1"/>
  <c r="F14" i="6"/>
  <c r="F15" i="6" s="1"/>
  <c r="F2" i="11" s="1"/>
  <c r="E14" i="6"/>
  <c r="E15" i="6" s="1"/>
  <c r="E2" i="11" s="1"/>
  <c r="D14" i="6"/>
  <c r="D15" i="6" s="1"/>
  <c r="D2" i="11" s="1"/>
  <c r="C14" i="6"/>
  <c r="C15" i="6" s="1"/>
  <c r="C2" i="11" s="1"/>
  <c r="AC14" i="6"/>
  <c r="O14" i="6"/>
  <c r="O15" i="6" s="1"/>
  <c r="O2" i="11" s="1"/>
  <c r="P14" i="6"/>
  <c r="M14" i="6"/>
  <c r="M15" i="6" s="1"/>
  <c r="M2" i="11" s="1"/>
  <c r="L14" i="6"/>
  <c r="L15" i="6" s="1"/>
  <c r="L2" i="11" s="1"/>
  <c r="N14" i="6"/>
  <c r="N15" i="6" s="1"/>
  <c r="N2" i="11" s="1"/>
  <c r="AB14" i="6"/>
  <c r="Q14" i="6"/>
  <c r="R14" i="6"/>
  <c r="R15" i="6" s="1"/>
  <c r="R2" i="11" s="1"/>
  <c r="Y14" i="6"/>
  <c r="S14" i="6"/>
  <c r="S15" i="6" s="1"/>
  <c r="S2" i="11" s="1"/>
  <c r="T14" i="6"/>
  <c r="T15" i="6" s="1"/>
  <c r="T2" i="11" s="1"/>
  <c r="U14" i="6"/>
  <c r="B14" i="6"/>
  <c r="B15" i="6" s="1"/>
  <c r="B2" i="11" s="1"/>
  <c r="AA14" i="6"/>
  <c r="AA15" i="6" s="1"/>
  <c r="AA2" i="11" s="1"/>
  <c r="AD14" i="6"/>
  <c r="AD15" i="6" s="1"/>
  <c r="AD2" i="11" s="1"/>
  <c r="V14" i="6"/>
  <c r="V15" i="6" s="1"/>
  <c r="V2" i="11" s="1"/>
  <c r="Y15" i="6"/>
  <c r="Y2" i="11" s="1"/>
  <c r="Q15" i="6"/>
  <c r="Q2" i="11" s="1"/>
  <c r="AC15" i="6"/>
  <c r="AC2" i="11" s="1"/>
  <c r="AB15" i="6"/>
  <c r="AB2" i="11" s="1"/>
  <c r="U15" i="6"/>
  <c r="U2" i="11" s="1"/>
  <c r="P15" i="6"/>
  <c r="P2" i="11" s="1"/>
  <c r="B4" i="8"/>
  <c r="C4" i="8" s="1"/>
  <c r="B6" i="8" l="1"/>
  <c r="C6" i="8" s="1"/>
</calcChain>
</file>

<file path=xl/sharedStrings.xml><?xml version="1.0" encoding="utf-8"?>
<sst xmlns="http://schemas.openxmlformats.org/spreadsheetml/2006/main" count="223" uniqueCount="200">
  <si>
    <t>CSMI Cement Substitute Material Inputs</t>
  </si>
  <si>
    <t>Sources:</t>
  </si>
  <si>
    <t>Raw clay price and calcined clay costs, North America</t>
  </si>
  <si>
    <t>RMI</t>
  </si>
  <si>
    <t>The Business Case for LC3 (December 2024), page 24 and Exhibits 8-9</t>
  </si>
  <si>
    <t>https://rmi.org/wp-content/uploads/dlm_uploads/2024/12/the_business_case_for_LC3_report.pdf</t>
  </si>
  <si>
    <t>Raw clay $15-25 per tonne in North America; calcined clay about $44 per tonne at its North American plant (including energy), $21-25 at its Latin American plants. Built with the LC3 project's cost tool.</t>
  </si>
  <si>
    <t>US clay, crushed stone, slag and pumice prices</t>
  </si>
  <si>
    <t>U.S. Geological Survey</t>
  </si>
  <si>
    <t>Mineral Commodity Summaries 2026: Clays; Stone (Crushed); Iron and Steel Slag; Pumice and Pumicite</t>
  </si>
  <si>
    <t>https://pubs.usgs.gov/periodicals/mcs2026/mcs2026-stone-crushed.pdf</t>
  </si>
  <si>
    <t>Average unit values for 2025 (estimates): common clay $21 per tonne; crushed stone $18.50 (about 70% limestone and dolomite, 17% used for cement); all slag $40 FOB plant, with ground granulated slag under 30% of tonnage but about 80% of value and some "about $140 or more"; pumice and pumicite $44 FOB mine or mill. The slag chapter also expects slag imports to fall as foreign blast furnaces close. Other chapters: mcs2026-clays.pdf, mcs2026-iron-steel-slag.pdf, mcs2026-pumice.pdf at the same address.</t>
  </si>
  <si>
    <t>US cost assumptions for limestone, clay, fly ash, slag and calcined clay operation, and a 2030s US cement mix</t>
  </si>
  <si>
    <t>U.S. Department of Energy</t>
  </si>
  <si>
    <t>Pathways to Commercial Liftoff: Low-Carbon Cement (updated February 2025), page 26 and Appendix A.2</t>
  </si>
  <si>
    <t>https://liftoff.energy.gov/wp-content/uploads/2023/12/LIFTOFF_Cement_Updated-2.6.25.pdf</t>
  </si>
  <si>
    <t>Limestone about $7 per tonne (crushed stone less transport and margin), raw clay assumed the same, fly ash $45 (industry expert input), slag $55 (market research); calcined clay maintenance $5 and labor $12 per tonne. Representative early-2030s US cement: 65% clinker, 15% limestone, 9% calcined clay, 5% gypsum, 3% fly ash, 2% natural pozzolan, under 1% slag.</t>
  </si>
  <si>
    <t>Imported granulated slag prices</t>
  </si>
  <si>
    <t>United Nations</t>
  </si>
  <si>
    <t>UN Comtrade, US imports of HS 261800 (granulated slag), 2022-2024</t>
  </si>
  <si>
    <t>https://comtradeapi.un.org/public/v1/preview/C/A/HS?reporterCode=842&amp;period=2024&amp;cmdCode=261800&amp;flowCode=M&amp;partnerCode=0</t>
  </si>
  <si>
    <t>Value over quantity: $113 per tonne FOB and $140 CIF in 2024 (1.92 million tonnes), up from $71 and $88 in 2022. Mostly unground granules.</t>
  </si>
  <si>
    <t>US fly ash price (old survey)</t>
  </si>
  <si>
    <t>American Road and Transportation Builders Association, Transportation Development Foundation</t>
  </si>
  <si>
    <t>The Economic Impacts of Prohibiting Coal Fly Ash Use in Transportation Infrastructure Construction</t>
  </si>
  <si>
    <t>https://acaa-usa.org/wp-content/uploads/2021/05/2011FlyAshStudy_lowres-FINAL.pdf</t>
  </si>
  <si>
    <t>Average fly ash price of $40 per short ton FOB ($44 per tonne) in 2010, from a survey of fly ash suppliers. Industry-funded; the only survey-based US price found.</t>
  </si>
  <si>
    <t>Non-fuel costs of making clinker at a reference plant</t>
  </si>
  <si>
    <t>CEMCAP project (SINTEF and partners); IEAGHG</t>
  </si>
  <si>
    <t>CEMCAP D4.6, Comparative techno-economic analysis of CO2 capture in cement plants (rev. 1, 2019); IEAGHG 2013/19, Deployment of CCS in the Cement Industry</t>
  </si>
  <si>
    <t>https://zenodo.org/records/2597091</t>
  </si>
  <si>
    <t>Raw meal EUR 5 per tonne of clinker (Europe; IEAGHG uses EUR 1.5 for China and the Middle East), other variable costs EUR 1.1 plus EUR 0.7 ammonia; fixed costs (labor EUR 8.7, insurance and taxes EUR 4.2, maintenance EUR 5.3) are not credited here.</t>
  </si>
  <si>
    <t>Cross-check on US raw material costs</t>
  </si>
  <si>
    <t>U.S. Census Bureau</t>
  </si>
  <si>
    <t>2022 Economic Census, Materials Consumed by Kind (NAICS 327310 cement manufacturing)</t>
  </si>
  <si>
    <t>https://www2.census.gov/programs-surveys/economic-census/data/2022/sector31/EC2231MATFUEL.zip</t>
  </si>
  <si>
    <t>Purchased nonmetallic minerals $754 million against 79.5 million tonnes of clinker, about $9.50 per tonne (2022 dollars).</t>
  </si>
  <si>
    <t>Heat to calcine clay</t>
  </si>
  <si>
    <t>RILEM TC 282-CCL (Hanein et al.), Materials and Structures</t>
  </si>
  <si>
    <t>Clay calcination technology: state-of-the-art review by the RILEM TC 282-CCL</t>
  </si>
  <si>
    <t>https://eprints.whiterose.ac.uk/id/eprint/181859/</t>
  </si>
  <si>
    <t>Theoretical minimum 1.51 MJ per kg of calcined clay; 2.2-3.0 GJ per tonne at the 50-70% efficiency of real calciners. LC3 project material gives 2.0-2.5 GJ for flash calciners. We use 2.3 GJ.</t>
  </si>
  <si>
    <t>LC3 production costs in emerging markets (low end of the clay ranges)</t>
  </si>
  <si>
    <t>LC3 Project (EPFL and partners)</t>
  </si>
  <si>
    <t>Financial attractiveness of LC3, section 7.3</t>
  </si>
  <si>
    <t>https://lc3.ch/wp-content/uploads/2020/10/2019-LC3FinancialAttractiveness-WEB.pdf</t>
  </si>
  <si>
    <t>Raw clay $4 per tonne near the plant, $17 at about 200 km; calciner operation and maintenance other than fuel $3-4 per tonne of calcined clay. Promoter study.</t>
  </si>
  <si>
    <t>Converting to the model's 2012 dollars</t>
  </si>
  <si>
    <t>U.S. Bureau of Labor Statistics</t>
  </si>
  <si>
    <t>Consumer Price Index for All Urban Consumers (CPI-U), U.S. city average, annual averages</t>
  </si>
  <si>
    <t>https://data.bls.gov/timeseries/CUUR0000SA0</t>
  </si>
  <si>
    <t>229.594 for 2012, 313.689 for 2024 and 321.943 for 2025.</t>
  </si>
  <si>
    <t>Notes:</t>
  </si>
  <si>
    <t>Purpose and layout</t>
  </si>
  <si>
    <t>When a policy lowers the clinker content of cement (the cement measures lever, the carbon-intensity standard or low-carbon procurement), each tonne of clinker removed is replaced by a tonne of other materials: calcined clay, limestone, fly ash, slag and natural pozzolan. This file describes that replacement mix and gives the model three values each year: the heat needed to make the mix (CSMI-heat, BTU per tonne, booked to natural gas), the share of it that is calcined clay (CSMI-clay-share, which sizes the calcined clay plants in the CSCC file), and the net non-energy cost of the mix (CSMI-net-cost, 2012 dollars per tonne). Edit prices on the 'Materials' and 'Avoided Clinker Cost' tabs and the mix on the 'Mix' tab; the 'Derivation' tab combines them; the three dark-blue tabs are exported to CSV.</t>
  </si>
  <si>
    <t>What the net cost covers</t>
  </si>
  <si>
    <t>The net cost is what the replacement materials cost to buy or make, minus the costs of making clinker that are saved when less clinker is made. It leaves out four things the model counts elsewhere: the heat to make the materials (the first output), the capital for calcined clay plants (CSCC), the kiln fuel and electricity saved (the model lowers kiln energy use with clinker output), and the kilns not built. Only costs that vary with output are credited for the clinker no longer made (raw materials and consumables); labor, insurance and maintenance scale with kiln capacity, which the model treats as kiln capital.</t>
  </si>
  <si>
    <t>U.S. values</t>
  </si>
  <si>
    <t>Today's mix is half calcined clay, with limestone, fly ash and slag at 15 percent each and natural pozzolan at 5 percent; it moves in a straight line to 75 percent calcined clay, 10 percent limestone, 7 percent fly ash, 5 percent slag and 3 percent natural pozzolan in 2050, because fresh fly ash shrinks as coal plants retire and slag supply is capped by a handful of US granulators and falling imports (USGS), while DOE expects calcined clay to supply most new substitution. The net cost is about $26 per tonne of clinker replaced in 2026 and about $16 in 2050 (2012 dollars): fly ash and slag sell for close to the price of cement, while the saved non-fuel cost of clinker is only about $10.50 per tonne. A pure limestone calcined clay cement (LC3) mix would be about $9. The heat rises from about 1.31 to 1.80 GJ per tonne as calcined clay grows. The model sets these costs against the kiln fuel the substitution saves (about $26 per tonne of clinker at US prices) and, over time, the kilns not built.</t>
  </si>
  <si>
    <t>Uncertainty</t>
  </si>
  <si>
    <t>Wide. The net cost ranges from about +$6 to +$48 per tonne today and about -$2 to +$36 in 2050, from the low and high price columns. The weakest numbers are the fly ash price (no primary US price series), the natural pozzolan price (only the pumice all-uses value), calcined clay operation and maintenance ($3-17 per tonne across sources), and the saved raw meal cost (a DOE proxy and European reference plants). Fly ash and slag prices move with the cement price. The model also lowers cement electricity with clinker output, which slightly over-credits cement grinding electricity (the blended cement still has to be ground); that offsets a few dollars of the net cost. Finally, the model treats a ton of blended cement as doing the same job as a ton of the cement it replaces, so the slower early strength, faster carbonation and workability limits of high-substitution blends such as LC3 carry no cost here; if builders respond with more cement or admixtures per cubic meter, the savings are slightly overstated.</t>
  </si>
  <si>
    <t>Using it for other regions</t>
  </si>
  <si>
    <t>Mixes and prices differ a lot by region; see the 'Regions' tab. Where coal and steel output is large (China, India, South Africa) fly ash and slag stay cheap and stay in the mix longer; where kaolinitic clay is plentiful (much of the tropics, Brazil) calcined clay is cheaper. Price data outside the US are mostly missing or behind paid services. A workable approach is to scale the quarry- and labor-driven items by a regional cost ratio (IEAGHG uses about 0.3 of Europe's raw material cost for China and the Middle East) and to set fly ash and slag at about half and four-fifths of the regional cement price.</t>
  </si>
  <si>
    <t>U.S. CPI-U annual averages (BLS), used to convert prices to 2012 dollars</t>
  </si>
  <si>
    <t>Year</t>
  </si>
  <si>
    <t>CPI-U</t>
  </si>
  <si>
    <t>Substitute materials: heat to make them and their non-energy cost (edit the blue-header inputs)</t>
  </si>
  <si>
    <t>Material</t>
  </si>
  <si>
    <t>Heat to make (GJ per metric ton)</t>
  </si>
  <si>
    <t>Non-energy cost (USD per metric ton, price year below)</t>
  </si>
  <si>
    <t>Price year</t>
  </si>
  <si>
    <t>Non-energy cost (2012 USD per metric ton)</t>
  </si>
  <si>
    <t>Low (price-year USD)</t>
  </si>
  <si>
    <t>High (price-year USD)</t>
  </si>
  <si>
    <t>What the cost covers and where it comes from</t>
  </si>
  <si>
    <t>Calcined clay</t>
  </si>
  <si>
    <t>Everything except the calcining heat and the calciner capital (both charged separately in the model): about 1.2 t of raw clay per t of calcined clay at $15/t ($18; RMI gives $15-25 for North America, USGS common clay $21 ex-works), plant operation and maintenance about $9 (DOE Liftoff labor and maintenance; LC3 project studies $3-4 in emerging markets), grinding and drying electricity about $2. Heat: 2.3 GJ per t (RILEM range 2.2-3.0 for real calciners).</t>
  </si>
  <si>
    <t>Limestone</t>
  </si>
  <si>
    <t>Ground limestone from the plant's own or a nearby quarry: DOE Liftoff's $7/t production-cost proxy (USGS crushed stone less transport and margin) and USGS crushed stone $18.50/t FOB (2025, all crushed stone, about 70% limestone and dolomite). No heat.</t>
  </si>
  <si>
    <t>Fly ash (about 75% harvested from ponds and landfills)</t>
  </si>
  <si>
    <t>No primary US price series exists. Anchors: ARTBA survey of fly ash suppliers $44/t (2010), DOE Liftoff $45 ('industry expert input'), IMARC $123 (Q2 2025, basis unknown); harvested ash costs more than fresh. Heat: drying harvested ash about 0.9 GJ/t, times its 75% share. The delivered price may already include some of that drying, a double count of well under $1 per t of substitution.</t>
  </si>
  <si>
    <t>Ground granulated blast-furnace slag</t>
  </si>
  <si>
    <t>USGS: ground slag is under 30% of US slag tonnage but about 80% of its value, which implies at least about $103/t, with some "about $140 or more". UN Comtrade US imports of granulated slag (mostly unground) $113/t FOB, $140/t CIF in 2024. Heat: drying, about 0.3 GJ/t.</t>
  </si>
  <si>
    <t>Natural pozzolan</t>
  </si>
  <si>
    <t>No price for cement-grade natural pozzolan was found. USGS pumice and pumicite $44/t FOB mine or mill (2025, all uses, mostly unground); dried and ground product costs more. Heat: drying, about 0.3 GJ/t.</t>
  </si>
  <si>
    <t>Non-fuel variable cost of making a ton of clinker, avoided when clinker is replaced</t>
  </si>
  <si>
    <t>Item</t>
  </si>
  <si>
    <t>USD per metric ton clinker (price year)</t>
  </si>
  <si>
    <t>2012 USD per metric ton clinker</t>
  </si>
  <si>
    <t>Low</t>
  </si>
  <si>
    <t>High</t>
  </si>
  <si>
    <t>Basis</t>
  </si>
  <si>
    <t>Raw materials (quarrying, crushing, purchased correctives)</t>
  </si>
  <si>
    <t>About 1.55 t of raw material per t of clinker at DOE Liftoff's $7/t limestone proxy gives $8.5 (2012$). European reference plants (CEMCAP, IEAGHG) use EUR 5/t clinker ($6.4); US Census 2022 purchased nonmetallic minerals for cement plants come to $7.4 (2012$) per t clinker. Central $8 (2012$), range $5-11.</t>
  </si>
  <si>
    <t>Other variable costs (consumables, NOx reagent, water, refractories)</t>
  </si>
  <si>
    <t>CEMCAP reference plant EUR 1.1/t clinker other variable costs plus EUR 0.7 ammonia ($2.3, 2012$); IEAGHG EUR 0.8/t cement. Central $2.5 (2012$), range $1.5-4. Labor, insurance and maintenance are fixed costs that scale with kiln capacity, which the model already treats as kiln capital, so they are not credited. Electricity is not credited here because the model already lowers cement electricity use with clinker output.</t>
  </si>
  <si>
    <t>TOTAL AVOIDED (2012 USD per metric ton clinker)</t>
  </si>
  <si>
    <t>Marginal substitute mix (share of each metric ton of clinker replaced); edit the anchor-year columns</t>
  </si>
  <si>
    <t>Shares are held flat before the first anchor year and after the last, and move in a straight line between anchors.</t>
  </si>
  <si>
    <t>2026</t>
  </si>
  <si>
    <t>2050</t>
  </si>
  <si>
    <t>Total (must be 1)</t>
  </si>
  <si>
    <t>Mix by year and the three exported values</t>
  </si>
  <si>
    <t>Row</t>
  </si>
  <si>
    <t>2021</t>
  </si>
  <si>
    <t>2022</t>
  </si>
  <si>
    <t>2023</t>
  </si>
  <si>
    <t>2024</t>
  </si>
  <si>
    <t>2025</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</si>
  <si>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</si>
  <si>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</si>
  <si>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</si>
  <si>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</si>
  <si>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</si>
  <si>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</si>
  <si>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</si>
  <si>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</si>
  <si>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</si>
  <si>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</si>
  <si>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</si>
  <si>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</si>
  <si>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</si>
  <si>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</si>
  <si>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</si>
  <si>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</si>
  <si>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</si>
  <si>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</si>
  <si>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</si>
  <si>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</si>
  <si>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</si>
  <si>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</si>
  <si>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</si>
  <si>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Share: Calcined clay</t>
  </si>
  <si>
    <t>Share: Limestone</t>
  </si>
  <si>
    <t>Share: Fly ash (about 75% harvested from ponds and landfills)</t>
  </si>
  <si>
    <t>Share: Ground granulated blast-furnace slag</t>
  </si>
  <si>
    <t>Share: Natural pozzolan</t>
  </si>
  <si>
    <t>Heat per ton of substitution (GJ per metric ton)</t>
  </si>
  <si>
    <t>Calcined clay share of substitution</t>
  </si>
  <si>
    <t>Material non-energy cost (2012 USD per metric ton of substitution)</t>
  </si>
  <si>
    <t>Avoided clinker non-fuel cost (2012 USD per metric ton)</t>
  </si>
  <si>
    <t>NET MATERIAL COST (2012 USD per metric ton of substitution)</t>
  </si>
  <si>
    <t>Other regions: availability and price notes for adapting this file (not read by the model)</t>
  </si>
  <si>
    <t>Region</t>
  </si>
  <si>
    <t>Fly ash</t>
  </si>
  <si>
    <t>Slag</t>
  </si>
  <si>
    <t>Calcined clay / clay</t>
  </si>
  <si>
    <t>Limestone and others</t>
  </si>
  <si>
    <t>Suggested mix direction</t>
  </si>
  <si>
    <t>Quality</t>
  </si>
  <si>
    <t>China</t>
  </si>
  <si>
    <t>About $22-23/t (trade listing)</t>
  </si>
  <si>
    <t>S95 slag powder about $47/t (trade listing)</t>
  </si>
  <si>
    <t>Scale US calcined clay operating costs by about 0.3</t>
  </si>
  <si>
    <t>IEAGHG raw materials EUR 1.5/t clinker (vs EUR 5 Europe)</t>
  </si>
  <si>
    <t>Fly ash and slag stay the marginal materials longer</t>
  </si>
  <si>
    <t>Low (prices unverified)</t>
  </si>
  <si>
    <t>India</t>
  </si>
  <si>
    <t>Trader listings about $15-24/t; power plants must supply ash, transport-cost rules changed in 2021 (unresolved)</t>
  </si>
  <si>
    <t>No price found</t>
  </si>
  <si>
    <t>LC3 beats fly-ash cement only where ash is dear or far (IIT Delhi/TARA 2016)</t>
  </si>
  <si>
    <t>Fly-ash cement (PPC) dominates; calcined clay grows slowly</t>
  </si>
  <si>
    <t>EU</t>
  </si>
  <si>
    <t>Shrinking with coal phase-out; legacy-ash harvesting starting</t>
  </si>
  <si>
    <t>US-like</t>
  </si>
  <si>
    <t>Raw meal EUR 5/t clinker; other variable EUR 1.1-1.8</t>
  </si>
  <si>
    <t>Shift to calcined clay as in the US</t>
  </si>
  <si>
    <t>Medium (costs); low (prices)</t>
  </si>
  <si>
    <t>Brazil</t>
  </si>
  <si>
    <t>Little</t>
  </si>
  <si>
    <t>Some</t>
  </si>
  <si>
    <t>Calcined clay $21-25/t total (RMI, promoter); about $12-15/t non-heat</t>
  </si>
  <si>
    <t>Calcined clay and natural pozzolans already common</t>
  </si>
  <si>
    <t>Mexico</t>
  </si>
  <si>
    <t>Use Latin America values</t>
  </si>
  <si>
    <t>None</t>
  </si>
  <si>
    <t>Indonesia</t>
  </si>
  <si>
    <t>Tropical kaolinitic clays generally plentiful (not verified)</t>
  </si>
  <si>
    <t>South Africa</t>
  </si>
  <si>
    <t>Large coal-ash supply while the coal fleet runs</t>
  </si>
  <si>
    <t>Emerging-market values</t>
  </si>
  <si>
    <t>Fly ash first</t>
  </si>
  <si>
    <t>Canada</t>
  </si>
  <si>
    <t>Use US values</t>
  </si>
  <si>
    <t>RMI North America plant applies</t>
  </si>
  <si>
    <t>As US</t>
  </si>
  <si>
    <t>Live checks</t>
  </si>
  <si>
    <t>Check</t>
  </si>
  <si>
    <t>Value</t>
  </si>
  <si>
    <t>Result</t>
  </si>
  <si>
    <t>Mix shares sum to 1 in every anchor year (count failing)</t>
  </si>
  <si>
    <t>Heat between 0 and 3,000,000 BTU per ton in every year (count failing)</t>
  </si>
  <si>
    <t>Calcined clay share between 0 and 1 (count failing)</t>
  </si>
  <si>
    <t>Net cost between -100 and 100 2012-$ per ton (count failing)</t>
  </si>
  <si>
    <t>Unit: BTU/metric ton</t>
  </si>
  <si>
    <t>Substitute Material Heat per Ton of Substitution</t>
  </si>
  <si>
    <t>Unit: dimensionless</t>
  </si>
  <si>
    <t>Calcined Clay Share of Substitution</t>
  </si>
  <si>
    <t>Unit: 2012 USD/metric ton</t>
  </si>
  <si>
    <t>Net Substitute Material Cost per Ton of Substitution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</si>
</sst>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rgb="FF0563C1"/>
      <name val="Calibri"/>
    </font>
    <font>
      <b/>
      <sz val="11"/>
      <color rgb="FFFFFFFF"/>
      <name val="Calibri"/>
    </font>
    <font>
      <sz val="11"/>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prints.whiterose.ac.uk/id/eprint/181859/" TargetMode="External"/><Relationship Id="rId3" Type="http://schemas.openxmlformats.org/officeDocument/2006/relationships/hyperlink" Target="https://liftoff.energy.gov/wp-content/uploads/2023/12/LIFTOFF_Cement_Updated-2.6.25.pdf" TargetMode="External"/><Relationship Id="rId7" Type="http://schemas.openxmlformats.org/officeDocument/2006/relationships/hyperlink" Target="https://www2.census.gov/programs-surveys/economic-census/data/2022/sector31/EC2231MATFUEL.zip" TargetMode="External"/><Relationship Id="rId2" Type="http://schemas.openxmlformats.org/officeDocument/2006/relationships/hyperlink" Target="https://pubs.usgs.gov/periodicals/mcs2026/mcs2026-stone-crushed.pdf" TargetMode="External"/><Relationship Id="rId1" Type="http://schemas.openxmlformats.org/officeDocument/2006/relationships/hyperlink" Target="https://rmi.org/wp-content/uploads/dlm_uploads/2024/12/the_business_case_for_LC3_report.pdf" TargetMode="External"/><Relationship Id="rId6" Type="http://schemas.openxmlformats.org/officeDocument/2006/relationships/hyperlink" Target="https://zenodo.org/records/2597091" TargetMode="External"/><Relationship Id="rId5" Type="http://schemas.openxmlformats.org/officeDocument/2006/relationships/hyperlink" Target="https://acaa-usa.org/wp-content/uploads/2021/05/2011FlyAshStudy_lowres-FINAL.pdf" TargetMode="External"/><Relationship Id="rId10" Type="http://schemas.openxmlformats.org/officeDocument/2006/relationships/hyperlink" Target="https://data.bls.gov/timeseries/CUUR0000SA0" TargetMode="External"/><Relationship Id="rId4" Type="http://schemas.openxmlformats.org/officeDocument/2006/relationships/hyperlink" Target="https://comtradeapi.un.org/public/v1/preview/C/A/HS?reporterCode=842&amp;period=2024&amp;cmdCode=261800&amp;flowCode=M&amp;partnerCode=0" TargetMode="External"/><Relationship Id="rId9" Type="http://schemas.openxmlformats.org/officeDocument/2006/relationships/hyperlink" Target="https://lc3.ch/wp-content/uploads/2020/10/2019-LC3FinancialAttractiveness-WEB.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9"/>
  <sheetViews>
    <sheetView tabSelected="1" workbookViewId="0"/>
  </sheetViews>
  <sheetFormatPr defaultRowHeight="15" x14ac:dyDescent="0.25"/>
  <cols>
    <col min="1" max="1" width="22"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2024</v>
      </c>
    </row>
    <row r="7" spans="1:2" x14ac:dyDescent="0.25">
      <c r="B7" s="4" t="s">
        <v>5</v>
      </c>
    </row>
    <row r="8" spans="1:2" ht="30" x14ac:dyDescent="0.25">
      <c r="B8" s="3" t="s">
        <v>6</v>
      </c>
    </row>
    <row r="10" spans="1:2" x14ac:dyDescent="0.25">
      <c r="B10" s="2" t="s">
        <v>7</v>
      </c>
    </row>
    <row r="11" spans="1:2" x14ac:dyDescent="0.25">
      <c r="B11" s="3" t="s">
        <v>8</v>
      </c>
    </row>
    <row r="12" spans="1:2" x14ac:dyDescent="0.25">
      <c r="B12" s="3" t="s">
        <v>9</v>
      </c>
    </row>
    <row r="13" spans="1:2" x14ac:dyDescent="0.25">
      <c r="B13" s="3">
        <v>2026</v>
      </c>
    </row>
    <row r="14" spans="1:2" x14ac:dyDescent="0.25">
      <c r="B14" s="4" t="s">
        <v>10</v>
      </c>
    </row>
    <row r="15" spans="1:2" ht="75" x14ac:dyDescent="0.25">
      <c r="B15" s="3" t="s">
        <v>11</v>
      </c>
    </row>
    <row r="17" spans="2:2" x14ac:dyDescent="0.25">
      <c r="B17" s="2" t="s">
        <v>12</v>
      </c>
    </row>
    <row r="18" spans="2:2" x14ac:dyDescent="0.25">
      <c r="B18" s="3" t="s">
        <v>13</v>
      </c>
    </row>
    <row r="19" spans="2:2" x14ac:dyDescent="0.25">
      <c r="B19" s="3" t="s">
        <v>14</v>
      </c>
    </row>
    <row r="20" spans="2:2" x14ac:dyDescent="0.25">
      <c r="B20" s="3">
        <v>2025</v>
      </c>
    </row>
    <row r="21" spans="2:2" x14ac:dyDescent="0.25">
      <c r="B21" s="4" t="s">
        <v>15</v>
      </c>
    </row>
    <row r="22" spans="2:2" ht="60" x14ac:dyDescent="0.25">
      <c r="B22" s="3" t="s">
        <v>16</v>
      </c>
    </row>
    <row r="24" spans="2:2" x14ac:dyDescent="0.25">
      <c r="B24" s="2" t="s">
        <v>17</v>
      </c>
    </row>
    <row r="25" spans="2:2" x14ac:dyDescent="0.25">
      <c r="B25" s="3" t="s">
        <v>18</v>
      </c>
    </row>
    <row r="26" spans="2:2" x14ac:dyDescent="0.25">
      <c r="B26" s="3" t="s">
        <v>19</v>
      </c>
    </row>
    <row r="27" spans="2:2" x14ac:dyDescent="0.25">
      <c r="B27" s="3">
        <v>2025</v>
      </c>
    </row>
    <row r="28" spans="2:2" ht="30" x14ac:dyDescent="0.25">
      <c r="B28" s="4" t="s">
        <v>20</v>
      </c>
    </row>
    <row r="29" spans="2:2" ht="30" x14ac:dyDescent="0.25">
      <c r="B29" s="3" t="s">
        <v>21</v>
      </c>
    </row>
    <row r="31" spans="2:2" x14ac:dyDescent="0.25">
      <c r="B31" s="2" t="s">
        <v>22</v>
      </c>
    </row>
    <row r="32" spans="2:2" x14ac:dyDescent="0.25">
      <c r="B32" s="3" t="s">
        <v>23</v>
      </c>
    </row>
    <row r="33" spans="2:2" x14ac:dyDescent="0.25">
      <c r="B33" s="3" t="s">
        <v>24</v>
      </c>
    </row>
    <row r="34" spans="2:2" x14ac:dyDescent="0.25">
      <c r="B34" s="3">
        <v>2011</v>
      </c>
    </row>
    <row r="35" spans="2:2" x14ac:dyDescent="0.25">
      <c r="B35" s="4" t="s">
        <v>25</v>
      </c>
    </row>
    <row r="36" spans="2:2" ht="30" x14ac:dyDescent="0.25">
      <c r="B36" s="3" t="s">
        <v>26</v>
      </c>
    </row>
    <row r="38" spans="2:2" x14ac:dyDescent="0.25">
      <c r="B38" s="2" t="s">
        <v>27</v>
      </c>
    </row>
    <row r="39" spans="2:2" x14ac:dyDescent="0.25">
      <c r="B39" s="3" t="s">
        <v>28</v>
      </c>
    </row>
    <row r="40" spans="2:2" ht="30" x14ac:dyDescent="0.25">
      <c r="B40" s="3" t="s">
        <v>29</v>
      </c>
    </row>
    <row r="41" spans="2:2" x14ac:dyDescent="0.25">
      <c r="B41" s="3">
        <v>2019</v>
      </c>
    </row>
    <row r="42" spans="2:2" x14ac:dyDescent="0.25">
      <c r="B42" s="4" t="s">
        <v>30</v>
      </c>
    </row>
    <row r="43" spans="2:2" ht="45" x14ac:dyDescent="0.25">
      <c r="B43" s="3" t="s">
        <v>31</v>
      </c>
    </row>
    <row r="45" spans="2:2" x14ac:dyDescent="0.25">
      <c r="B45" s="2" t="s">
        <v>32</v>
      </c>
    </row>
    <row r="46" spans="2:2" x14ac:dyDescent="0.25">
      <c r="B46" s="3" t="s">
        <v>33</v>
      </c>
    </row>
    <row r="47" spans="2:2" x14ac:dyDescent="0.25">
      <c r="B47" s="3" t="s">
        <v>34</v>
      </c>
    </row>
    <row r="48" spans="2:2" x14ac:dyDescent="0.25">
      <c r="B48" s="3">
        <v>2025</v>
      </c>
    </row>
    <row r="49" spans="2:2" x14ac:dyDescent="0.25">
      <c r="B49" s="4" t="s">
        <v>35</v>
      </c>
    </row>
    <row r="50" spans="2:2" x14ac:dyDescent="0.25">
      <c r="B50" s="3" t="s">
        <v>36</v>
      </c>
    </row>
    <row r="52" spans="2:2" x14ac:dyDescent="0.25">
      <c r="B52" s="2" t="s">
        <v>37</v>
      </c>
    </row>
    <row r="53" spans="2:2" x14ac:dyDescent="0.25">
      <c r="B53" s="3" t="s">
        <v>38</v>
      </c>
    </row>
    <row r="54" spans="2:2" x14ac:dyDescent="0.25">
      <c r="B54" s="3" t="s">
        <v>39</v>
      </c>
    </row>
    <row r="55" spans="2:2" x14ac:dyDescent="0.25">
      <c r="B55" s="3">
        <v>2022</v>
      </c>
    </row>
    <row r="56" spans="2:2" x14ac:dyDescent="0.25">
      <c r="B56" s="4" t="s">
        <v>40</v>
      </c>
    </row>
    <row r="57" spans="2:2" ht="30" x14ac:dyDescent="0.25">
      <c r="B57" s="3" t="s">
        <v>41</v>
      </c>
    </row>
    <row r="59" spans="2:2" x14ac:dyDescent="0.25">
      <c r="B59" s="2" t="s">
        <v>42</v>
      </c>
    </row>
    <row r="60" spans="2:2" x14ac:dyDescent="0.25">
      <c r="B60" s="3" t="s">
        <v>43</v>
      </c>
    </row>
    <row r="61" spans="2:2" x14ac:dyDescent="0.25">
      <c r="B61" s="3" t="s">
        <v>44</v>
      </c>
    </row>
    <row r="62" spans="2:2" x14ac:dyDescent="0.25">
      <c r="B62" s="3">
        <v>2019</v>
      </c>
    </row>
    <row r="63" spans="2:2" x14ac:dyDescent="0.25">
      <c r="B63" s="4" t="s">
        <v>45</v>
      </c>
    </row>
    <row r="64" spans="2:2" ht="30" x14ac:dyDescent="0.25">
      <c r="B64" s="3" t="s">
        <v>46</v>
      </c>
    </row>
    <row r="66" spans="1:2" x14ac:dyDescent="0.25">
      <c r="B66" s="2" t="s">
        <v>47</v>
      </c>
    </row>
    <row r="67" spans="1:2" x14ac:dyDescent="0.25">
      <c r="B67" s="3" t="s">
        <v>48</v>
      </c>
    </row>
    <row r="68" spans="1:2" x14ac:dyDescent="0.25">
      <c r="B68" s="3" t="s">
        <v>49</v>
      </c>
    </row>
    <row r="69" spans="1:2" x14ac:dyDescent="0.25">
      <c r="B69" s="3">
        <v>2026</v>
      </c>
    </row>
    <row r="70" spans="1:2" x14ac:dyDescent="0.25">
      <c r="B70" s="4" t="s">
        <v>50</v>
      </c>
    </row>
    <row r="71" spans="1:2" x14ac:dyDescent="0.25">
      <c r="B71" s="3" t="s">
        <v>51</v>
      </c>
    </row>
    <row r="74" spans="1:2" x14ac:dyDescent="0.25">
      <c r="A74" s="1" t="s">
        <v>52</v>
      </c>
    </row>
    <row r="75" spans="1:2" ht="105" x14ac:dyDescent="0.25">
      <c r="A75" s="5" t="s">
        <v>53</v>
      </c>
      <c r="B75" s="3" t="s">
        <v>54</v>
      </c>
    </row>
    <row r="76" spans="1:2" ht="90" x14ac:dyDescent="0.25">
      <c r="A76" s="5" t="s">
        <v>55</v>
      </c>
      <c r="B76" s="3" t="s">
        <v>56</v>
      </c>
    </row>
    <row r="77" spans="1:2" ht="135" x14ac:dyDescent="0.25">
      <c r="A77" s="5" t="s">
        <v>57</v>
      </c>
      <c r="B77" s="3" t="s">
        <v>58</v>
      </c>
    </row>
    <row r="78" spans="1:2" ht="135" x14ac:dyDescent="0.25">
      <c r="A78" s="5" t="s">
        <v>59</v>
      </c>
      <c r="B78" s="3" t="s">
        <v>60</v>
      </c>
    </row>
    <row r="79" spans="1:2" ht="90" x14ac:dyDescent="0.25">
      <c r="A79" s="5" t="s">
        <v>61</v>
      </c>
      <c r="B79" s="3" t="s">
        <v>62</v>
      </c>
    </row>
  </sheetData>
  <hyperlinks>
    <hyperlink ref="B7" r:id="rId1" xr:uid="{00000000-0004-0000-0000-000000000000}"/>
    <hyperlink ref="B14" r:id="rId2" xr:uid="{00000000-0004-0000-0000-000001000000}"/>
    <hyperlink ref="B21" r:id="rId3" xr:uid="{00000000-0004-0000-0000-000002000000}"/>
    <hyperlink ref="B28" r:id="rId4" xr:uid="{00000000-0004-0000-0000-000003000000}"/>
    <hyperlink ref="B35" r:id="rId5" xr:uid="{00000000-0004-0000-0000-000004000000}"/>
    <hyperlink ref="B42" r:id="rId6" xr:uid="{00000000-0004-0000-0000-000005000000}"/>
    <hyperlink ref="B49" r:id="rId7" xr:uid="{00000000-0004-0000-0000-000006000000}"/>
    <hyperlink ref="B56" r:id="rId8" xr:uid="{00000000-0004-0000-0000-000007000000}"/>
    <hyperlink ref="B63" r:id="rId9" xr:uid="{00000000-0004-0000-0000-000008000000}"/>
    <hyperlink ref="B70" r:id="rId10" xr:uid="{00000000-0004-0000-0000-00000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5" x14ac:dyDescent="0.25"/>
  <cols>
    <col min="1" max="1" width="10" customWidth="1"/>
    <col min="2" max="2" width="12" customWidth="1"/>
  </cols>
  <sheetData>
    <row r="1" spans="1:2" x14ac:dyDescent="0.25">
      <c r="A1" s="1" t="s">
        <v>63</v>
      </c>
    </row>
    <row r="3" spans="1:2" ht="20.100000000000001" customHeight="1" x14ac:dyDescent="0.25">
      <c r="A3" s="6" t="s">
        <v>64</v>
      </c>
      <c r="B3" s="6" t="s">
        <v>65</v>
      </c>
    </row>
    <row r="4" spans="1:2" x14ac:dyDescent="0.25">
      <c r="A4">
        <v>2012</v>
      </c>
      <c r="B4">
        <v>229.59399999999999</v>
      </c>
    </row>
    <row r="5" spans="1:2" x14ac:dyDescent="0.25">
      <c r="A5">
        <v>2024</v>
      </c>
      <c r="B5">
        <v>313.68900000000002</v>
      </c>
    </row>
    <row r="6" spans="1:2" x14ac:dyDescent="0.25">
      <c r="A6">
        <v>2025</v>
      </c>
      <c r="B6">
        <v>321.94299999999998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heetViews>
  <sheetFormatPr defaultRowHeight="15" x14ac:dyDescent="0.25"/>
  <cols>
    <col min="1" max="1" width="34" customWidth="1"/>
    <col min="2" max="2" width="14" customWidth="1"/>
    <col min="3" max="3" width="18" customWidth="1"/>
    <col min="4" max="4" width="10" customWidth="1"/>
    <col min="5" max="5" width="18" customWidth="1"/>
    <col min="6" max="7" width="12" customWidth="1"/>
    <col min="8" max="8" width="90" customWidth="1"/>
  </cols>
  <sheetData>
    <row r="1" spans="1:8" x14ac:dyDescent="0.25">
      <c r="A1" s="1" t="s">
        <v>66</v>
      </c>
    </row>
    <row r="3" spans="1:8" ht="48" customHeight="1" x14ac:dyDescent="0.25">
      <c r="A3" s="6" t="s">
        <v>67</v>
      </c>
      <c r="B3" s="6" t="s">
        <v>68</v>
      </c>
      <c r="C3" s="6" t="s">
        <v>69</v>
      </c>
      <c r="D3" s="6" t="s">
        <v>70</v>
      </c>
      <c r="E3" s="6" t="s">
        <v>71</v>
      </c>
      <c r="F3" s="6" t="s">
        <v>72</v>
      </c>
      <c r="G3" s="6" t="s">
        <v>73</v>
      </c>
      <c r="H3" s="6" t="s">
        <v>74</v>
      </c>
    </row>
    <row r="4" spans="1:8" ht="75" x14ac:dyDescent="0.25">
      <c r="A4" t="s">
        <v>75</v>
      </c>
      <c r="B4">
        <v>2.2999999999999998</v>
      </c>
      <c r="C4">
        <v>30</v>
      </c>
      <c r="D4">
        <v>2025</v>
      </c>
      <c r="E4">
        <f>C4*VLOOKUP(2012,'Price Index'!$A$4:$B$6,2,FALSE)/VLOOKUP(D4,'Price Index'!$A$4:$B$6,2,FALSE)</f>
        <v>21.394532572536132</v>
      </c>
      <c r="F4">
        <v>12</v>
      </c>
      <c r="G4">
        <v>50</v>
      </c>
      <c r="H4" s="3" t="s">
        <v>76</v>
      </c>
    </row>
    <row r="5" spans="1:8" ht="45" x14ac:dyDescent="0.25">
      <c r="A5" t="s">
        <v>77</v>
      </c>
      <c r="B5">
        <v>0</v>
      </c>
      <c r="C5">
        <v>10</v>
      </c>
      <c r="D5">
        <v>2025</v>
      </c>
      <c r="E5">
        <f>C5*VLOOKUP(2012,'Price Index'!$A$4:$B$6,2,FALSE)/VLOOKUP(D5,'Price Index'!$A$4:$B$6,2,FALSE)</f>
        <v>7.1315108575120449</v>
      </c>
      <c r="F5">
        <v>5</v>
      </c>
      <c r="G5">
        <v>20</v>
      </c>
      <c r="H5" s="3" t="s">
        <v>78</v>
      </c>
    </row>
    <row r="6" spans="1:8" ht="75" x14ac:dyDescent="0.25">
      <c r="A6" t="s">
        <v>79</v>
      </c>
      <c r="B6">
        <v>0.67500000000000004</v>
      </c>
      <c r="C6">
        <v>85</v>
      </c>
      <c r="D6">
        <v>2025</v>
      </c>
      <c r="E6">
        <f>C6*VLOOKUP(2012,'Price Index'!$A$4:$B$6,2,FALSE)/VLOOKUP(D6,'Price Index'!$A$4:$B$6,2,FALSE)</f>
        <v>60.617842288852373</v>
      </c>
      <c r="F6">
        <v>45</v>
      </c>
      <c r="G6">
        <v>125</v>
      </c>
      <c r="H6" s="3" t="s">
        <v>80</v>
      </c>
    </row>
    <row r="7" spans="1:8" ht="45" x14ac:dyDescent="0.25">
      <c r="A7" t="s">
        <v>81</v>
      </c>
      <c r="B7">
        <v>0.3</v>
      </c>
      <c r="C7">
        <v>125</v>
      </c>
      <c r="D7">
        <v>2025</v>
      </c>
      <c r="E7">
        <f>C7*VLOOKUP(2012,'Price Index'!$A$4:$B$6,2,FALSE)/VLOOKUP(D7,'Price Index'!$A$4:$B$6,2,FALSE)</f>
        <v>89.143885718900549</v>
      </c>
      <c r="F7">
        <v>100</v>
      </c>
      <c r="G7">
        <v>160</v>
      </c>
      <c r="H7" s="3" t="s">
        <v>82</v>
      </c>
    </row>
    <row r="8" spans="1:8" ht="45" x14ac:dyDescent="0.25">
      <c r="A8" t="s">
        <v>83</v>
      </c>
      <c r="B8">
        <v>0.3</v>
      </c>
      <c r="C8">
        <v>60</v>
      </c>
      <c r="D8">
        <v>2025</v>
      </c>
      <c r="E8">
        <f>C8*VLOOKUP(2012,'Price Index'!$A$4:$B$6,2,FALSE)/VLOOKUP(D8,'Price Index'!$A$4:$B$6,2,FALSE)</f>
        <v>42.789065145072264</v>
      </c>
      <c r="F8">
        <v>30</v>
      </c>
      <c r="G8">
        <v>100</v>
      </c>
      <c r="H8" s="3" t="s">
        <v>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heetViews>
  <sheetFormatPr defaultRowHeight="15" x14ac:dyDescent="0.25"/>
  <cols>
    <col min="1" max="1" width="40" customWidth="1"/>
    <col min="2" max="2" width="16" customWidth="1"/>
    <col min="3" max="3" width="10" customWidth="1"/>
    <col min="4" max="4" width="16" customWidth="1"/>
    <col min="5" max="6" width="10" customWidth="1"/>
    <col min="7" max="7" width="90" customWidth="1"/>
  </cols>
  <sheetData>
    <row r="1" spans="1:7" x14ac:dyDescent="0.25">
      <c r="A1" s="1" t="s">
        <v>85</v>
      </c>
    </row>
    <row r="3" spans="1:7" ht="48" customHeight="1" x14ac:dyDescent="0.25">
      <c r="A3" s="6" t="s">
        <v>86</v>
      </c>
      <c r="B3" s="6" t="s">
        <v>87</v>
      </c>
      <c r="C3" s="6" t="s">
        <v>70</v>
      </c>
      <c r="D3" s="6" t="s">
        <v>88</v>
      </c>
      <c r="E3" s="6" t="s">
        <v>89</v>
      </c>
      <c r="F3" s="6" t="s">
        <v>90</v>
      </c>
      <c r="G3" s="6" t="s">
        <v>91</v>
      </c>
    </row>
    <row r="4" spans="1:7" ht="60" x14ac:dyDescent="0.25">
      <c r="A4" t="s">
        <v>92</v>
      </c>
      <c r="B4">
        <v>11.217819280991661</v>
      </c>
      <c r="C4">
        <v>2025</v>
      </c>
      <c r="D4">
        <f>B4*VLOOKUP(2012,'Price Index'!$A$4:$B$6,2,FALSE)/VLOOKUP(C4,'Price Index'!$A$4:$B$6,2,FALSE)</f>
        <v>7.9999999999999982</v>
      </c>
      <c r="E4">
        <v>7.0111370506197899</v>
      </c>
      <c r="F4">
        <v>15.424501511363539</v>
      </c>
      <c r="G4" s="3" t="s">
        <v>93</v>
      </c>
    </row>
    <row r="5" spans="1:7" ht="75" x14ac:dyDescent="0.25">
      <c r="A5" t="s">
        <v>94</v>
      </c>
      <c r="B5">
        <v>3.5055685253098949</v>
      </c>
      <c r="C5">
        <v>2025</v>
      </c>
      <c r="D5">
        <f>B5*VLOOKUP(2012,'Price Index'!$A$4:$B$6,2,FALSE)/VLOOKUP(C5,'Price Index'!$A$4:$B$6,2,FALSE)</f>
        <v>2.5</v>
      </c>
      <c r="E5">
        <v>2.1033411151859371</v>
      </c>
      <c r="F5">
        <v>5.6089096404958321</v>
      </c>
      <c r="G5" s="3" t="s">
        <v>95</v>
      </c>
    </row>
    <row r="6" spans="1:7" x14ac:dyDescent="0.25">
      <c r="A6" s="1" t="s">
        <v>96</v>
      </c>
      <c r="D6">
        <f>SUM(D4:D5)</f>
        <v>10.499999999999998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heetViews>
  <sheetFormatPr defaultRowHeight="15" x14ac:dyDescent="0.25"/>
  <cols>
    <col min="1" max="1" width="34" customWidth="1"/>
  </cols>
  <sheetData>
    <row r="1" spans="1:3" x14ac:dyDescent="0.25">
      <c r="A1" s="1" t="s">
        <v>97</v>
      </c>
    </row>
    <row r="2" spans="1:3" ht="60" x14ac:dyDescent="0.25">
      <c r="A2" s="3" t="s">
        <v>98</v>
      </c>
    </row>
    <row r="3" spans="1:3" ht="20.100000000000001" customHeight="1" x14ac:dyDescent="0.25">
      <c r="A3" s="6" t="s">
        <v>67</v>
      </c>
      <c r="B3" s="6" t="s">
        <v>99</v>
      </c>
      <c r="C3" s="6" t="s">
        <v>100</v>
      </c>
    </row>
    <row r="4" spans="1:3" x14ac:dyDescent="0.25">
      <c r="A4" t="s">
        <v>75</v>
      </c>
      <c r="B4">
        <v>0.5</v>
      </c>
      <c r="C4">
        <v>0.75</v>
      </c>
    </row>
    <row r="5" spans="1:3" x14ac:dyDescent="0.25">
      <c r="A5" t="s">
        <v>77</v>
      </c>
      <c r="B5">
        <v>0.15</v>
      </c>
      <c r="C5">
        <v>0.1</v>
      </c>
    </row>
    <row r="6" spans="1:3" x14ac:dyDescent="0.25">
      <c r="A6" t="s">
        <v>79</v>
      </c>
      <c r="B6">
        <v>0.15</v>
      </c>
      <c r="C6">
        <v>7.0000000000000007E-2</v>
      </c>
    </row>
    <row r="7" spans="1:3" x14ac:dyDescent="0.25">
      <c r="A7" t="s">
        <v>81</v>
      </c>
      <c r="B7">
        <v>0.15</v>
      </c>
      <c r="C7">
        <v>0.05</v>
      </c>
    </row>
    <row r="8" spans="1:3" x14ac:dyDescent="0.25">
      <c r="A8" t="s">
        <v>83</v>
      </c>
      <c r="B8">
        <v>0.05</v>
      </c>
      <c r="C8">
        <v>0.03</v>
      </c>
    </row>
    <row r="9" spans="1:3" x14ac:dyDescent="0.25">
      <c r="A9" s="1" t="s">
        <v>101</v>
      </c>
      <c r="B9">
        <f>SUM(B4:B8)</f>
        <v>1</v>
      </c>
      <c r="C9">
        <f>SUM(C4:C8)</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5"/>
  <sheetViews>
    <sheetView workbookViewId="0"/>
  </sheetViews>
  <sheetFormatPr defaultRowHeight="15" x14ac:dyDescent="0.25"/>
  <cols>
    <col min="1" max="1" width="58" customWidth="1"/>
  </cols>
  <sheetData>
    <row r="1" spans="1:31" x14ac:dyDescent="0.25">
      <c r="A1" s="1" t="s">
        <v>102</v>
      </c>
    </row>
    <row r="3" spans="1:31" ht="20.100000000000001" customHeight="1" x14ac:dyDescent="0.25">
      <c r="A3" s="6" t="s">
        <v>103</v>
      </c>
      <c r="B3" s="6" t="s">
        <v>104</v>
      </c>
      <c r="C3" s="6" t="s">
        <v>105</v>
      </c>
      <c r="D3" s="6" t="s">
        <v>106</v>
      </c>
      <c r="E3" s="6" t="s">
        <v>107</v>
      </c>
      <c r="F3" s="6" t="s">
        <v>108</v>
      </c>
      <c r="G3" s="6" t="s">
        <v>99</v>
      </c>
      <c r="H3" s="6" t="s">
        <v>109</v>
      </c>
      <c r="I3" s="6" t="s">
        <v>110</v>
      </c>
      <c r="J3" s="6" t="s">
        <v>111</v>
      </c>
      <c r="K3" s="6" t="s">
        <v>112</v>
      </c>
      <c r="L3" s="6" t="s">
        <v>113</v>
      </c>
      <c r="M3" s="6" t="s">
        <v>114</v>
      </c>
      <c r="N3" s="6" t="s">
        <v>115</v>
      </c>
      <c r="O3" s="6" t="s">
        <v>116</v>
      </c>
      <c r="P3" s="6" t="s">
        <v>117</v>
      </c>
      <c r="Q3" s="6" t="s">
        <v>118</v>
      </c>
      <c r="R3" s="6" t="s">
        <v>119</v>
      </c>
      <c r="S3" s="6" t="s">
        <v>120</v>
      </c>
      <c r="T3" s="6" t="s">
        <v>121</v>
      </c>
      <c r="U3" s="6" t="s">
        <v>122</v>
      </c>
      <c r="V3" s="6" t="s">
        <v>123</v>
      </c>
      <c r="W3" s="6" t="s">
        <v>124</v>
      </c>
      <c r="X3" s="6" t="s">
        <v>125</v>
      </c>
      <c r="Y3" s="6" t="s">
        <v>126</v>
      </c>
      <c r="Z3" s="6" t="s">
        <v>127</v>
      </c>
      <c r="AA3" s="6" t="s">
        <v>128</v>
      </c>
      <c r="AB3" s="6" t="s">
        <v>129</v>
      </c>
      <c r="AC3" s="6" t="s">
        <v>130</v>
      </c>
      <c r="AD3" s="6" t="s">
        <v>131</v>
      </c>
      <c r="AE3" s="6" t="s">
        <v>100</v>
      </c>
    </row>
    <row r="4" spans="1:31" x14ac:dyDescent="0.25">
      <c r="A4" t="s">
        <v>64</v>
      </c>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132</v>
      </c>
      <c r="B5">
        <f>IF(B$4&lt;=2026,Mix!$B$4,IF(B$4&lt;=2050,Mix!$B$4+(Mix!$C$4-Mix!$B$4)*(B$4-2026)/(2050-2026),Mix!$C$4))</f>
        <v>0.5</v>
      </c>
      <c r="C5">
        <f>IF(C$4&lt;=2026,Mix!$B$4,IF(C$4&lt;=2050,Mix!$B$4+(Mix!$C$4-Mix!$B$4)*(C$4-2026)/(2050-2026),Mix!$C$4))</f>
        <v>0.5</v>
      </c>
      <c r="D5">
        <f>IF(D$4&lt;=2026,Mix!$B$4,IF(D$4&lt;=2050,Mix!$B$4+(Mix!$C$4-Mix!$B$4)*(D$4-2026)/(2050-2026),Mix!$C$4))</f>
        <v>0.5</v>
      </c>
      <c r="E5">
        <f>IF(E$4&lt;=2026,Mix!$B$4,IF(E$4&lt;=2050,Mix!$B$4+(Mix!$C$4-Mix!$B$4)*(E$4-2026)/(2050-2026),Mix!$C$4))</f>
        <v>0.5</v>
      </c>
      <c r="F5">
        <f>IF(F$4&lt;=2026,Mix!$B$4,IF(F$4&lt;=2050,Mix!$B$4+(Mix!$C$4-Mix!$B$4)*(F$4-2026)/(2050-2026),Mix!$C$4))</f>
        <v>0.5</v>
      </c>
      <c r="G5">
        <f>IF(G$4&lt;=2026,Mix!$B$4,IF(G$4&lt;=2050,Mix!$B$4+(Mix!$C$4-Mix!$B$4)*(G$4-2026)/(2050-2026),Mix!$C$4))</f>
        <v>0.5</v>
      </c>
      <c r="H5">
        <f>IF(H$4&lt;=2026,Mix!$B$4,IF(H$4&lt;=2050,Mix!$B$4+(Mix!$C$4-Mix!$B$4)*(H$4-2026)/(2050-2026),Mix!$C$4))</f>
        <v>0.51041666666666663</v>
      </c>
      <c r="I5">
        <f>IF(I$4&lt;=2026,Mix!$B$4,IF(I$4&lt;=2050,Mix!$B$4+(Mix!$C$4-Mix!$B$4)*(I$4-2026)/(2050-2026),Mix!$C$4))</f>
        <v>0.52083333333333337</v>
      </c>
      <c r="J5">
        <f>IF(J$4&lt;=2026,Mix!$B$4,IF(J$4&lt;=2050,Mix!$B$4+(Mix!$C$4-Mix!$B$4)*(J$4-2026)/(2050-2026),Mix!$C$4))</f>
        <v>0.53125</v>
      </c>
      <c r="K5">
        <f>IF(K$4&lt;=2026,Mix!$B$4,IF(K$4&lt;=2050,Mix!$B$4+(Mix!$C$4-Mix!$B$4)*(K$4-2026)/(2050-2026),Mix!$C$4))</f>
        <v>0.54166666666666663</v>
      </c>
      <c r="L5">
        <f>IF(L$4&lt;=2026,Mix!$B$4,IF(L$4&lt;=2050,Mix!$B$4+(Mix!$C$4-Mix!$B$4)*(L$4-2026)/(2050-2026),Mix!$C$4))</f>
        <v>0.55208333333333337</v>
      </c>
      <c r="M5">
        <f>IF(M$4&lt;=2026,Mix!$B$4,IF(M$4&lt;=2050,Mix!$B$4+(Mix!$C$4-Mix!$B$4)*(M$4-2026)/(2050-2026),Mix!$C$4))</f>
        <v>0.5625</v>
      </c>
      <c r="N5">
        <f>IF(N$4&lt;=2026,Mix!$B$4,IF(N$4&lt;=2050,Mix!$B$4+(Mix!$C$4-Mix!$B$4)*(N$4-2026)/(2050-2026),Mix!$C$4))</f>
        <v>0.57291666666666663</v>
      </c>
      <c r="O5">
        <f>IF(O$4&lt;=2026,Mix!$B$4,IF(O$4&lt;=2050,Mix!$B$4+(Mix!$C$4-Mix!$B$4)*(O$4-2026)/(2050-2026),Mix!$C$4))</f>
        <v>0.58333333333333337</v>
      </c>
      <c r="P5">
        <f>IF(P$4&lt;=2026,Mix!$B$4,IF(P$4&lt;=2050,Mix!$B$4+(Mix!$C$4-Mix!$B$4)*(P$4-2026)/(2050-2026),Mix!$C$4))</f>
        <v>0.59375</v>
      </c>
      <c r="Q5">
        <f>IF(Q$4&lt;=2026,Mix!$B$4,IF(Q$4&lt;=2050,Mix!$B$4+(Mix!$C$4-Mix!$B$4)*(Q$4-2026)/(2050-2026),Mix!$C$4))</f>
        <v>0.60416666666666663</v>
      </c>
      <c r="R5">
        <f>IF(R$4&lt;=2026,Mix!$B$4,IF(R$4&lt;=2050,Mix!$B$4+(Mix!$C$4-Mix!$B$4)*(R$4-2026)/(2050-2026),Mix!$C$4))</f>
        <v>0.61458333333333337</v>
      </c>
      <c r="S5">
        <f>IF(S$4&lt;=2026,Mix!$B$4,IF(S$4&lt;=2050,Mix!$B$4+(Mix!$C$4-Mix!$B$4)*(S$4-2026)/(2050-2026),Mix!$C$4))</f>
        <v>0.625</v>
      </c>
      <c r="T5">
        <f>IF(T$4&lt;=2026,Mix!$B$4,IF(T$4&lt;=2050,Mix!$B$4+(Mix!$C$4-Mix!$B$4)*(T$4-2026)/(2050-2026),Mix!$C$4))</f>
        <v>0.63541666666666663</v>
      </c>
      <c r="U5">
        <f>IF(U$4&lt;=2026,Mix!$B$4,IF(U$4&lt;=2050,Mix!$B$4+(Mix!$C$4-Mix!$B$4)*(U$4-2026)/(2050-2026),Mix!$C$4))</f>
        <v>0.64583333333333337</v>
      </c>
      <c r="V5">
        <f>IF(V$4&lt;=2026,Mix!$B$4,IF(V$4&lt;=2050,Mix!$B$4+(Mix!$C$4-Mix!$B$4)*(V$4-2026)/(2050-2026),Mix!$C$4))</f>
        <v>0.65625</v>
      </c>
      <c r="W5">
        <f>IF(W$4&lt;=2026,Mix!$B$4,IF(W$4&lt;=2050,Mix!$B$4+(Mix!$C$4-Mix!$B$4)*(W$4-2026)/(2050-2026),Mix!$C$4))</f>
        <v>0.66666666666666663</v>
      </c>
      <c r="X5">
        <f>IF(X$4&lt;=2026,Mix!$B$4,IF(X$4&lt;=2050,Mix!$B$4+(Mix!$C$4-Mix!$B$4)*(X$4-2026)/(2050-2026),Mix!$C$4))</f>
        <v>0.67708333333333337</v>
      </c>
      <c r="Y5">
        <f>IF(Y$4&lt;=2026,Mix!$B$4,IF(Y$4&lt;=2050,Mix!$B$4+(Mix!$C$4-Mix!$B$4)*(Y$4-2026)/(2050-2026),Mix!$C$4))</f>
        <v>0.6875</v>
      </c>
      <c r="Z5">
        <f>IF(Z$4&lt;=2026,Mix!$B$4,IF(Z$4&lt;=2050,Mix!$B$4+(Mix!$C$4-Mix!$B$4)*(Z$4-2026)/(2050-2026),Mix!$C$4))</f>
        <v>0.69791666666666663</v>
      </c>
      <c r="AA5">
        <f>IF(AA$4&lt;=2026,Mix!$B$4,IF(AA$4&lt;=2050,Mix!$B$4+(Mix!$C$4-Mix!$B$4)*(AA$4-2026)/(2050-2026),Mix!$C$4))</f>
        <v>0.70833333333333337</v>
      </c>
      <c r="AB5">
        <f>IF(AB$4&lt;=2026,Mix!$B$4,IF(AB$4&lt;=2050,Mix!$B$4+(Mix!$C$4-Mix!$B$4)*(AB$4-2026)/(2050-2026),Mix!$C$4))</f>
        <v>0.71875</v>
      </c>
      <c r="AC5">
        <f>IF(AC$4&lt;=2026,Mix!$B$4,IF(AC$4&lt;=2050,Mix!$B$4+(Mix!$C$4-Mix!$B$4)*(AC$4-2026)/(2050-2026),Mix!$C$4))</f>
        <v>0.72916666666666663</v>
      </c>
      <c r="AD5">
        <f>IF(AD$4&lt;=2026,Mix!$B$4,IF(AD$4&lt;=2050,Mix!$B$4+(Mix!$C$4-Mix!$B$4)*(AD$4-2026)/(2050-2026),Mix!$C$4))</f>
        <v>0.73958333333333337</v>
      </c>
      <c r="AE5">
        <f>IF(AE$4&lt;=2026,Mix!$B$4,IF(AE$4&lt;=2050,Mix!$B$4+(Mix!$C$4-Mix!$B$4)*(AE$4-2026)/(2050-2026),Mix!$C$4))</f>
        <v>0.75</v>
      </c>
    </row>
    <row r="6" spans="1:31" x14ac:dyDescent="0.25">
      <c r="A6" t="s">
        <v>133</v>
      </c>
      <c r="B6">
        <f>IF(B$4&lt;=2026,Mix!$B$5,IF(B$4&lt;=2050,Mix!$B$5+(Mix!$C$5-Mix!$B$5)*(B$4-2026)/(2050-2026),Mix!$C$5))</f>
        <v>0.15</v>
      </c>
      <c r="C6">
        <f>IF(C$4&lt;=2026,Mix!$B$5,IF(C$4&lt;=2050,Mix!$B$5+(Mix!$C$5-Mix!$B$5)*(C$4-2026)/(2050-2026),Mix!$C$5))</f>
        <v>0.15</v>
      </c>
      <c r="D6">
        <f>IF(D$4&lt;=2026,Mix!$B$5,IF(D$4&lt;=2050,Mix!$B$5+(Mix!$C$5-Mix!$B$5)*(D$4-2026)/(2050-2026),Mix!$C$5))</f>
        <v>0.15</v>
      </c>
      <c r="E6">
        <f>IF(E$4&lt;=2026,Mix!$B$5,IF(E$4&lt;=2050,Mix!$B$5+(Mix!$C$5-Mix!$B$5)*(E$4-2026)/(2050-2026),Mix!$C$5))</f>
        <v>0.15</v>
      </c>
      <c r="F6">
        <f>IF(F$4&lt;=2026,Mix!$B$5,IF(F$4&lt;=2050,Mix!$B$5+(Mix!$C$5-Mix!$B$5)*(F$4-2026)/(2050-2026),Mix!$C$5))</f>
        <v>0.15</v>
      </c>
      <c r="G6">
        <f>IF(G$4&lt;=2026,Mix!$B$5,IF(G$4&lt;=2050,Mix!$B$5+(Mix!$C$5-Mix!$B$5)*(G$4-2026)/(2050-2026),Mix!$C$5))</f>
        <v>0.15</v>
      </c>
      <c r="H6">
        <f>IF(H$4&lt;=2026,Mix!$B$5,IF(H$4&lt;=2050,Mix!$B$5+(Mix!$C$5-Mix!$B$5)*(H$4-2026)/(2050-2026),Mix!$C$5))</f>
        <v>0.14791666666666667</v>
      </c>
      <c r="I6">
        <f>IF(I$4&lt;=2026,Mix!$B$5,IF(I$4&lt;=2050,Mix!$B$5+(Mix!$C$5-Mix!$B$5)*(I$4-2026)/(2050-2026),Mix!$C$5))</f>
        <v>0.14583333333333331</v>
      </c>
      <c r="J6">
        <f>IF(J$4&lt;=2026,Mix!$B$5,IF(J$4&lt;=2050,Mix!$B$5+(Mix!$C$5-Mix!$B$5)*(J$4-2026)/(2050-2026),Mix!$C$5))</f>
        <v>0.14374999999999999</v>
      </c>
      <c r="K6">
        <f>IF(K$4&lt;=2026,Mix!$B$5,IF(K$4&lt;=2050,Mix!$B$5+(Mix!$C$5-Mix!$B$5)*(K$4-2026)/(2050-2026),Mix!$C$5))</f>
        <v>0.14166666666666666</v>
      </c>
      <c r="L6">
        <f>IF(L$4&lt;=2026,Mix!$B$5,IF(L$4&lt;=2050,Mix!$B$5+(Mix!$C$5-Mix!$B$5)*(L$4-2026)/(2050-2026),Mix!$C$5))</f>
        <v>0.13958333333333334</v>
      </c>
      <c r="M6">
        <f>IF(M$4&lt;=2026,Mix!$B$5,IF(M$4&lt;=2050,Mix!$B$5+(Mix!$C$5-Mix!$B$5)*(M$4-2026)/(2050-2026),Mix!$C$5))</f>
        <v>0.13750000000000001</v>
      </c>
      <c r="N6">
        <f>IF(N$4&lt;=2026,Mix!$B$5,IF(N$4&lt;=2050,Mix!$B$5+(Mix!$C$5-Mix!$B$5)*(N$4-2026)/(2050-2026),Mix!$C$5))</f>
        <v>0.13541666666666666</v>
      </c>
      <c r="O6">
        <f>IF(O$4&lt;=2026,Mix!$B$5,IF(O$4&lt;=2050,Mix!$B$5+(Mix!$C$5-Mix!$B$5)*(O$4-2026)/(2050-2026),Mix!$C$5))</f>
        <v>0.13333333333333333</v>
      </c>
      <c r="P6">
        <f>IF(P$4&lt;=2026,Mix!$B$5,IF(P$4&lt;=2050,Mix!$B$5+(Mix!$C$5-Mix!$B$5)*(P$4-2026)/(2050-2026),Mix!$C$5))</f>
        <v>0.13125000000000001</v>
      </c>
      <c r="Q6">
        <f>IF(Q$4&lt;=2026,Mix!$B$5,IF(Q$4&lt;=2050,Mix!$B$5+(Mix!$C$5-Mix!$B$5)*(Q$4-2026)/(2050-2026),Mix!$C$5))</f>
        <v>0.12916666666666665</v>
      </c>
      <c r="R6">
        <f>IF(R$4&lt;=2026,Mix!$B$5,IF(R$4&lt;=2050,Mix!$B$5+(Mix!$C$5-Mix!$B$5)*(R$4-2026)/(2050-2026),Mix!$C$5))</f>
        <v>0.12708333333333333</v>
      </c>
      <c r="S6">
        <f>IF(S$4&lt;=2026,Mix!$B$5,IF(S$4&lt;=2050,Mix!$B$5+(Mix!$C$5-Mix!$B$5)*(S$4-2026)/(2050-2026),Mix!$C$5))</f>
        <v>0.125</v>
      </c>
      <c r="T6">
        <f>IF(T$4&lt;=2026,Mix!$B$5,IF(T$4&lt;=2050,Mix!$B$5+(Mix!$C$5-Mix!$B$5)*(T$4-2026)/(2050-2026),Mix!$C$5))</f>
        <v>0.12291666666666666</v>
      </c>
      <c r="U6">
        <f>IF(U$4&lt;=2026,Mix!$B$5,IF(U$4&lt;=2050,Mix!$B$5+(Mix!$C$5-Mix!$B$5)*(U$4-2026)/(2050-2026),Mix!$C$5))</f>
        <v>0.12083333333333333</v>
      </c>
      <c r="V6">
        <f>IF(V$4&lt;=2026,Mix!$B$5,IF(V$4&lt;=2050,Mix!$B$5+(Mix!$C$5-Mix!$B$5)*(V$4-2026)/(2050-2026),Mix!$C$5))</f>
        <v>0.11875000000000001</v>
      </c>
      <c r="W6">
        <f>IF(W$4&lt;=2026,Mix!$B$5,IF(W$4&lt;=2050,Mix!$B$5+(Mix!$C$5-Mix!$B$5)*(W$4-2026)/(2050-2026),Mix!$C$5))</f>
        <v>0.11666666666666667</v>
      </c>
      <c r="X6">
        <f>IF(X$4&lt;=2026,Mix!$B$5,IF(X$4&lt;=2050,Mix!$B$5+(Mix!$C$5-Mix!$B$5)*(X$4-2026)/(2050-2026),Mix!$C$5))</f>
        <v>0.11458333333333334</v>
      </c>
      <c r="Y6">
        <f>IF(Y$4&lt;=2026,Mix!$B$5,IF(Y$4&lt;=2050,Mix!$B$5+(Mix!$C$5-Mix!$B$5)*(Y$4-2026)/(2050-2026),Mix!$C$5))</f>
        <v>0.1125</v>
      </c>
      <c r="Z6">
        <f>IF(Z$4&lt;=2026,Mix!$B$5,IF(Z$4&lt;=2050,Mix!$B$5+(Mix!$C$5-Mix!$B$5)*(Z$4-2026)/(2050-2026),Mix!$C$5))</f>
        <v>0.11041666666666666</v>
      </c>
      <c r="AA6">
        <f>IF(AA$4&lt;=2026,Mix!$B$5,IF(AA$4&lt;=2050,Mix!$B$5+(Mix!$C$5-Mix!$B$5)*(AA$4-2026)/(2050-2026),Mix!$C$5))</f>
        <v>0.10833333333333334</v>
      </c>
      <c r="AB6">
        <f>IF(AB$4&lt;=2026,Mix!$B$5,IF(AB$4&lt;=2050,Mix!$B$5+(Mix!$C$5-Mix!$B$5)*(AB$4-2026)/(2050-2026),Mix!$C$5))</f>
        <v>0.10625000000000001</v>
      </c>
      <c r="AC6">
        <f>IF(AC$4&lt;=2026,Mix!$B$5,IF(AC$4&lt;=2050,Mix!$B$5+(Mix!$C$5-Mix!$B$5)*(AC$4-2026)/(2050-2026),Mix!$C$5))</f>
        <v>0.10416666666666669</v>
      </c>
      <c r="AD6">
        <f>IF(AD$4&lt;=2026,Mix!$B$5,IF(AD$4&lt;=2050,Mix!$B$5+(Mix!$C$5-Mix!$B$5)*(AD$4-2026)/(2050-2026),Mix!$C$5))</f>
        <v>0.10208333333333333</v>
      </c>
      <c r="AE6">
        <f>IF(AE$4&lt;=2026,Mix!$B$5,IF(AE$4&lt;=2050,Mix!$B$5+(Mix!$C$5-Mix!$B$5)*(AE$4-2026)/(2050-2026),Mix!$C$5))</f>
        <v>0.1</v>
      </c>
    </row>
    <row r="7" spans="1:31" x14ac:dyDescent="0.25">
      <c r="A7" t="s">
        <v>134</v>
      </c>
      <c r="B7">
        <f>IF(B$4&lt;=2026,Mix!$B$6,IF(B$4&lt;=2050,Mix!$B$6+(Mix!$C$6-Mix!$B$6)*(B$4-2026)/(2050-2026),Mix!$C$6))</f>
        <v>0.15</v>
      </c>
      <c r="C7">
        <f>IF(C$4&lt;=2026,Mix!$B$6,IF(C$4&lt;=2050,Mix!$B$6+(Mix!$C$6-Mix!$B$6)*(C$4-2026)/(2050-2026),Mix!$C$6))</f>
        <v>0.15</v>
      </c>
      <c r="D7">
        <f>IF(D$4&lt;=2026,Mix!$B$6,IF(D$4&lt;=2050,Mix!$B$6+(Mix!$C$6-Mix!$B$6)*(D$4-2026)/(2050-2026),Mix!$C$6))</f>
        <v>0.15</v>
      </c>
      <c r="E7">
        <f>IF(E$4&lt;=2026,Mix!$B$6,IF(E$4&lt;=2050,Mix!$B$6+(Mix!$C$6-Mix!$B$6)*(E$4-2026)/(2050-2026),Mix!$C$6))</f>
        <v>0.15</v>
      </c>
      <c r="F7">
        <f>IF(F$4&lt;=2026,Mix!$B$6,IF(F$4&lt;=2050,Mix!$B$6+(Mix!$C$6-Mix!$B$6)*(F$4-2026)/(2050-2026),Mix!$C$6))</f>
        <v>0.15</v>
      </c>
      <c r="G7">
        <f>IF(G$4&lt;=2026,Mix!$B$6,IF(G$4&lt;=2050,Mix!$B$6+(Mix!$C$6-Mix!$B$6)*(G$4-2026)/(2050-2026),Mix!$C$6))</f>
        <v>0.15</v>
      </c>
      <c r="H7">
        <f>IF(H$4&lt;=2026,Mix!$B$6,IF(H$4&lt;=2050,Mix!$B$6+(Mix!$C$6-Mix!$B$6)*(H$4-2026)/(2050-2026),Mix!$C$6))</f>
        <v>0.14666666666666667</v>
      </c>
      <c r="I7">
        <f>IF(I$4&lt;=2026,Mix!$B$6,IF(I$4&lt;=2050,Mix!$B$6+(Mix!$C$6-Mix!$B$6)*(I$4-2026)/(2050-2026),Mix!$C$6))</f>
        <v>0.14333333333333334</v>
      </c>
      <c r="J7">
        <f>IF(J$4&lt;=2026,Mix!$B$6,IF(J$4&lt;=2050,Mix!$B$6+(Mix!$C$6-Mix!$B$6)*(J$4-2026)/(2050-2026),Mix!$C$6))</f>
        <v>0.13999999999999999</v>
      </c>
      <c r="K7">
        <f>IF(K$4&lt;=2026,Mix!$B$6,IF(K$4&lt;=2050,Mix!$B$6+(Mix!$C$6-Mix!$B$6)*(K$4-2026)/(2050-2026),Mix!$C$6))</f>
        <v>0.13666666666666666</v>
      </c>
      <c r="L7">
        <f>IF(L$4&lt;=2026,Mix!$B$6,IF(L$4&lt;=2050,Mix!$B$6+(Mix!$C$6-Mix!$B$6)*(L$4-2026)/(2050-2026),Mix!$C$6))</f>
        <v>0.13333333333333333</v>
      </c>
      <c r="M7">
        <f>IF(M$4&lt;=2026,Mix!$B$6,IF(M$4&lt;=2050,Mix!$B$6+(Mix!$C$6-Mix!$B$6)*(M$4-2026)/(2050-2026),Mix!$C$6))</f>
        <v>0.13</v>
      </c>
      <c r="N7">
        <f>IF(N$4&lt;=2026,Mix!$B$6,IF(N$4&lt;=2050,Mix!$B$6+(Mix!$C$6-Mix!$B$6)*(N$4-2026)/(2050-2026),Mix!$C$6))</f>
        <v>0.12666666666666665</v>
      </c>
      <c r="O7">
        <f>IF(O$4&lt;=2026,Mix!$B$6,IF(O$4&lt;=2050,Mix!$B$6+(Mix!$C$6-Mix!$B$6)*(O$4-2026)/(2050-2026),Mix!$C$6))</f>
        <v>0.12333333333333334</v>
      </c>
      <c r="P7">
        <f>IF(P$4&lt;=2026,Mix!$B$6,IF(P$4&lt;=2050,Mix!$B$6+(Mix!$C$6-Mix!$B$6)*(P$4-2026)/(2050-2026),Mix!$C$6))</f>
        <v>0.12</v>
      </c>
      <c r="Q7">
        <f>IF(Q$4&lt;=2026,Mix!$B$6,IF(Q$4&lt;=2050,Mix!$B$6+(Mix!$C$6-Mix!$B$6)*(Q$4-2026)/(2050-2026),Mix!$C$6))</f>
        <v>0.11666666666666667</v>
      </c>
      <c r="R7">
        <f>IF(R$4&lt;=2026,Mix!$B$6,IF(R$4&lt;=2050,Mix!$B$6+(Mix!$C$6-Mix!$B$6)*(R$4-2026)/(2050-2026),Mix!$C$6))</f>
        <v>0.11333333333333334</v>
      </c>
      <c r="S7">
        <f>IF(S$4&lt;=2026,Mix!$B$6,IF(S$4&lt;=2050,Mix!$B$6+(Mix!$C$6-Mix!$B$6)*(S$4-2026)/(2050-2026),Mix!$C$6))</f>
        <v>0.11</v>
      </c>
      <c r="T7">
        <f>IF(T$4&lt;=2026,Mix!$B$6,IF(T$4&lt;=2050,Mix!$B$6+(Mix!$C$6-Mix!$B$6)*(T$4-2026)/(2050-2026),Mix!$C$6))</f>
        <v>0.10666666666666666</v>
      </c>
      <c r="U7">
        <f>IF(U$4&lt;=2026,Mix!$B$6,IF(U$4&lt;=2050,Mix!$B$6+(Mix!$C$6-Mix!$B$6)*(U$4-2026)/(2050-2026),Mix!$C$6))</f>
        <v>0.10333333333333333</v>
      </c>
      <c r="V7">
        <f>IF(V$4&lt;=2026,Mix!$B$6,IF(V$4&lt;=2050,Mix!$B$6+(Mix!$C$6-Mix!$B$6)*(V$4-2026)/(2050-2026),Mix!$C$6))</f>
        <v>0.1</v>
      </c>
      <c r="W7">
        <f>IF(W$4&lt;=2026,Mix!$B$6,IF(W$4&lt;=2050,Mix!$B$6+(Mix!$C$6-Mix!$B$6)*(W$4-2026)/(2050-2026),Mix!$C$6))</f>
        <v>9.6666666666666679E-2</v>
      </c>
      <c r="X7">
        <f>IF(X$4&lt;=2026,Mix!$B$6,IF(X$4&lt;=2050,Mix!$B$6+(Mix!$C$6-Mix!$B$6)*(X$4-2026)/(2050-2026),Mix!$C$6))</f>
        <v>9.3333333333333324E-2</v>
      </c>
      <c r="Y7">
        <f>IF(Y$4&lt;=2026,Mix!$B$6,IF(Y$4&lt;=2050,Mix!$B$6+(Mix!$C$6-Mix!$B$6)*(Y$4-2026)/(2050-2026),Mix!$C$6))</f>
        <v>0.09</v>
      </c>
      <c r="Z7">
        <f>IF(Z$4&lt;=2026,Mix!$B$6,IF(Z$4&lt;=2050,Mix!$B$6+(Mix!$C$6-Mix!$B$6)*(Z$4-2026)/(2050-2026),Mix!$C$6))</f>
        <v>8.666666666666667E-2</v>
      </c>
      <c r="AA7">
        <f>IF(AA$4&lt;=2026,Mix!$B$6,IF(AA$4&lt;=2050,Mix!$B$6+(Mix!$C$6-Mix!$B$6)*(AA$4-2026)/(2050-2026),Mix!$C$6))</f>
        <v>8.3333333333333343E-2</v>
      </c>
      <c r="AB7">
        <f>IF(AB$4&lt;=2026,Mix!$B$6,IF(AB$4&lt;=2050,Mix!$B$6+(Mix!$C$6-Mix!$B$6)*(AB$4-2026)/(2050-2026),Mix!$C$6))</f>
        <v>0.08</v>
      </c>
      <c r="AC7">
        <f>IF(AC$4&lt;=2026,Mix!$B$6,IF(AC$4&lt;=2050,Mix!$B$6+(Mix!$C$6-Mix!$B$6)*(AC$4-2026)/(2050-2026),Mix!$C$6))</f>
        <v>7.6666666666666675E-2</v>
      </c>
      <c r="AD7">
        <f>IF(AD$4&lt;=2026,Mix!$B$6,IF(AD$4&lt;=2050,Mix!$B$6+(Mix!$C$6-Mix!$B$6)*(AD$4-2026)/(2050-2026),Mix!$C$6))</f>
        <v>7.3333333333333348E-2</v>
      </c>
      <c r="AE7">
        <f>IF(AE$4&lt;=2026,Mix!$B$6,IF(AE$4&lt;=2050,Mix!$B$6+(Mix!$C$6-Mix!$B$6)*(AE$4-2026)/(2050-2026),Mix!$C$6))</f>
        <v>7.0000000000000007E-2</v>
      </c>
    </row>
    <row r="8" spans="1:31" x14ac:dyDescent="0.25">
      <c r="A8" t="s">
        <v>135</v>
      </c>
      <c r="B8">
        <f>IF(B$4&lt;=2026,Mix!$B$7,IF(B$4&lt;=2050,Mix!$B$7+(Mix!$C$7-Mix!$B$7)*(B$4-2026)/(2050-2026),Mix!$C$7))</f>
        <v>0.15</v>
      </c>
      <c r="C8">
        <f>IF(C$4&lt;=2026,Mix!$B$7,IF(C$4&lt;=2050,Mix!$B$7+(Mix!$C$7-Mix!$B$7)*(C$4-2026)/(2050-2026),Mix!$C$7))</f>
        <v>0.15</v>
      </c>
      <c r="D8">
        <f>IF(D$4&lt;=2026,Mix!$B$7,IF(D$4&lt;=2050,Mix!$B$7+(Mix!$C$7-Mix!$B$7)*(D$4-2026)/(2050-2026),Mix!$C$7))</f>
        <v>0.15</v>
      </c>
      <c r="E8">
        <f>IF(E$4&lt;=2026,Mix!$B$7,IF(E$4&lt;=2050,Mix!$B$7+(Mix!$C$7-Mix!$B$7)*(E$4-2026)/(2050-2026),Mix!$C$7))</f>
        <v>0.15</v>
      </c>
      <c r="F8">
        <f>IF(F$4&lt;=2026,Mix!$B$7,IF(F$4&lt;=2050,Mix!$B$7+(Mix!$C$7-Mix!$B$7)*(F$4-2026)/(2050-2026),Mix!$C$7))</f>
        <v>0.15</v>
      </c>
      <c r="G8">
        <f>IF(G$4&lt;=2026,Mix!$B$7,IF(G$4&lt;=2050,Mix!$B$7+(Mix!$C$7-Mix!$B$7)*(G$4-2026)/(2050-2026),Mix!$C$7))</f>
        <v>0.15</v>
      </c>
      <c r="H8">
        <f>IF(H$4&lt;=2026,Mix!$B$7,IF(H$4&lt;=2050,Mix!$B$7+(Mix!$C$7-Mix!$B$7)*(H$4-2026)/(2050-2026),Mix!$C$7))</f>
        <v>0.14583333333333331</v>
      </c>
      <c r="I8">
        <f>IF(I$4&lt;=2026,Mix!$B$7,IF(I$4&lt;=2050,Mix!$B$7+(Mix!$C$7-Mix!$B$7)*(I$4-2026)/(2050-2026),Mix!$C$7))</f>
        <v>0.14166666666666666</v>
      </c>
      <c r="J8">
        <f>IF(J$4&lt;=2026,Mix!$B$7,IF(J$4&lt;=2050,Mix!$B$7+(Mix!$C$7-Mix!$B$7)*(J$4-2026)/(2050-2026),Mix!$C$7))</f>
        <v>0.13749999999999998</v>
      </c>
      <c r="K8">
        <f>IF(K$4&lt;=2026,Mix!$B$7,IF(K$4&lt;=2050,Mix!$B$7+(Mix!$C$7-Mix!$B$7)*(K$4-2026)/(2050-2026),Mix!$C$7))</f>
        <v>0.13333333333333333</v>
      </c>
      <c r="L8">
        <f>IF(L$4&lt;=2026,Mix!$B$7,IF(L$4&lt;=2050,Mix!$B$7+(Mix!$C$7-Mix!$B$7)*(L$4-2026)/(2050-2026),Mix!$C$7))</f>
        <v>0.12916666666666665</v>
      </c>
      <c r="M8">
        <f>IF(M$4&lt;=2026,Mix!$B$7,IF(M$4&lt;=2050,Mix!$B$7+(Mix!$C$7-Mix!$B$7)*(M$4-2026)/(2050-2026),Mix!$C$7))</f>
        <v>0.125</v>
      </c>
      <c r="N8">
        <f>IF(N$4&lt;=2026,Mix!$B$7,IF(N$4&lt;=2050,Mix!$B$7+(Mix!$C$7-Mix!$B$7)*(N$4-2026)/(2050-2026),Mix!$C$7))</f>
        <v>0.12083333333333333</v>
      </c>
      <c r="O8">
        <f>IF(O$4&lt;=2026,Mix!$B$7,IF(O$4&lt;=2050,Mix!$B$7+(Mix!$C$7-Mix!$B$7)*(O$4-2026)/(2050-2026),Mix!$C$7))</f>
        <v>0.11666666666666667</v>
      </c>
      <c r="P8">
        <f>IF(P$4&lt;=2026,Mix!$B$7,IF(P$4&lt;=2050,Mix!$B$7+(Mix!$C$7-Mix!$B$7)*(P$4-2026)/(2050-2026),Mix!$C$7))</f>
        <v>0.11249999999999999</v>
      </c>
      <c r="Q8">
        <f>IF(Q$4&lt;=2026,Mix!$B$7,IF(Q$4&lt;=2050,Mix!$B$7+(Mix!$C$7-Mix!$B$7)*(Q$4-2026)/(2050-2026),Mix!$C$7))</f>
        <v>0.10833333333333334</v>
      </c>
      <c r="R8">
        <f>IF(R$4&lt;=2026,Mix!$B$7,IF(R$4&lt;=2050,Mix!$B$7+(Mix!$C$7-Mix!$B$7)*(R$4-2026)/(2050-2026),Mix!$C$7))</f>
        <v>0.10416666666666666</v>
      </c>
      <c r="S8">
        <f>IF(S$4&lt;=2026,Mix!$B$7,IF(S$4&lt;=2050,Mix!$B$7+(Mix!$C$7-Mix!$B$7)*(S$4-2026)/(2050-2026),Mix!$C$7))</f>
        <v>0.1</v>
      </c>
      <c r="T8">
        <f>IF(T$4&lt;=2026,Mix!$B$7,IF(T$4&lt;=2050,Mix!$B$7+(Mix!$C$7-Mix!$B$7)*(T$4-2026)/(2050-2026),Mix!$C$7))</f>
        <v>9.5833333333333326E-2</v>
      </c>
      <c r="U8">
        <f>IF(U$4&lt;=2026,Mix!$B$7,IF(U$4&lt;=2050,Mix!$B$7+(Mix!$C$7-Mix!$B$7)*(U$4-2026)/(2050-2026),Mix!$C$7))</f>
        <v>9.1666666666666674E-2</v>
      </c>
      <c r="V8">
        <f>IF(V$4&lt;=2026,Mix!$B$7,IF(V$4&lt;=2050,Mix!$B$7+(Mix!$C$7-Mix!$B$7)*(V$4-2026)/(2050-2026),Mix!$C$7))</f>
        <v>8.7499999999999994E-2</v>
      </c>
      <c r="W8">
        <f>IF(W$4&lt;=2026,Mix!$B$7,IF(W$4&lt;=2050,Mix!$B$7+(Mix!$C$7-Mix!$B$7)*(W$4-2026)/(2050-2026),Mix!$C$7))</f>
        <v>8.3333333333333329E-2</v>
      </c>
      <c r="X8">
        <f>IF(X$4&lt;=2026,Mix!$B$7,IF(X$4&lt;=2050,Mix!$B$7+(Mix!$C$7-Mix!$B$7)*(X$4-2026)/(2050-2026),Mix!$C$7))</f>
        <v>7.9166666666666663E-2</v>
      </c>
      <c r="Y8">
        <f>IF(Y$4&lt;=2026,Mix!$B$7,IF(Y$4&lt;=2050,Mix!$B$7+(Mix!$C$7-Mix!$B$7)*(Y$4-2026)/(2050-2026),Mix!$C$7))</f>
        <v>7.4999999999999997E-2</v>
      </c>
      <c r="Z8">
        <f>IF(Z$4&lt;=2026,Mix!$B$7,IF(Z$4&lt;=2050,Mix!$B$7+(Mix!$C$7-Mix!$B$7)*(Z$4-2026)/(2050-2026),Mix!$C$7))</f>
        <v>7.0833333333333331E-2</v>
      </c>
      <c r="AA8">
        <f>IF(AA$4&lt;=2026,Mix!$B$7,IF(AA$4&lt;=2050,Mix!$B$7+(Mix!$C$7-Mix!$B$7)*(AA$4-2026)/(2050-2026),Mix!$C$7))</f>
        <v>6.6666666666666666E-2</v>
      </c>
      <c r="AB8">
        <f>IF(AB$4&lt;=2026,Mix!$B$7,IF(AB$4&lt;=2050,Mix!$B$7+(Mix!$C$7-Mix!$B$7)*(AB$4-2026)/(2050-2026),Mix!$C$7))</f>
        <v>6.2500000000000014E-2</v>
      </c>
      <c r="AC8">
        <f>IF(AC$4&lt;=2026,Mix!$B$7,IF(AC$4&lt;=2050,Mix!$B$7+(Mix!$C$7-Mix!$B$7)*(AC$4-2026)/(2050-2026),Mix!$C$7))</f>
        <v>5.8333333333333334E-2</v>
      </c>
      <c r="AD8">
        <f>IF(AD$4&lt;=2026,Mix!$B$7,IF(AD$4&lt;=2050,Mix!$B$7+(Mix!$C$7-Mix!$B$7)*(AD$4-2026)/(2050-2026),Mix!$C$7))</f>
        <v>5.4166666666666669E-2</v>
      </c>
      <c r="AE8">
        <f>IF(AE$4&lt;=2026,Mix!$B$7,IF(AE$4&lt;=2050,Mix!$B$7+(Mix!$C$7-Mix!$B$7)*(AE$4-2026)/(2050-2026),Mix!$C$7))</f>
        <v>0.05</v>
      </c>
    </row>
    <row r="9" spans="1:31" x14ac:dyDescent="0.25">
      <c r="A9" t="s">
        <v>136</v>
      </c>
      <c r="B9">
        <f>IF(B$4&lt;=2026,Mix!$B$8,IF(B$4&lt;=2050,Mix!$B$8+(Mix!$C$8-Mix!$B$8)*(B$4-2026)/(2050-2026),Mix!$C$8))</f>
        <v>0.05</v>
      </c>
      <c r="C9">
        <f>IF(C$4&lt;=2026,Mix!$B$8,IF(C$4&lt;=2050,Mix!$B$8+(Mix!$C$8-Mix!$B$8)*(C$4-2026)/(2050-2026),Mix!$C$8))</f>
        <v>0.05</v>
      </c>
      <c r="D9">
        <f>IF(D$4&lt;=2026,Mix!$B$8,IF(D$4&lt;=2050,Mix!$B$8+(Mix!$C$8-Mix!$B$8)*(D$4-2026)/(2050-2026),Mix!$C$8))</f>
        <v>0.05</v>
      </c>
      <c r="E9">
        <f>IF(E$4&lt;=2026,Mix!$B$8,IF(E$4&lt;=2050,Mix!$B$8+(Mix!$C$8-Mix!$B$8)*(E$4-2026)/(2050-2026),Mix!$C$8))</f>
        <v>0.05</v>
      </c>
      <c r="F9">
        <f>IF(F$4&lt;=2026,Mix!$B$8,IF(F$4&lt;=2050,Mix!$B$8+(Mix!$C$8-Mix!$B$8)*(F$4-2026)/(2050-2026),Mix!$C$8))</f>
        <v>0.05</v>
      </c>
      <c r="G9">
        <f>IF(G$4&lt;=2026,Mix!$B$8,IF(G$4&lt;=2050,Mix!$B$8+(Mix!$C$8-Mix!$B$8)*(G$4-2026)/(2050-2026),Mix!$C$8))</f>
        <v>0.05</v>
      </c>
      <c r="H9">
        <f>IF(H$4&lt;=2026,Mix!$B$8,IF(H$4&lt;=2050,Mix!$B$8+(Mix!$C$8-Mix!$B$8)*(H$4-2026)/(2050-2026),Mix!$C$8))</f>
        <v>4.9166666666666671E-2</v>
      </c>
      <c r="I9">
        <f>IF(I$4&lt;=2026,Mix!$B$8,IF(I$4&lt;=2050,Mix!$B$8+(Mix!$C$8-Mix!$B$8)*(I$4-2026)/(2050-2026),Mix!$C$8))</f>
        <v>4.8333333333333339E-2</v>
      </c>
      <c r="J9">
        <f>IF(J$4&lt;=2026,Mix!$B$8,IF(J$4&lt;=2050,Mix!$B$8+(Mix!$C$8-Mix!$B$8)*(J$4-2026)/(2050-2026),Mix!$C$8))</f>
        <v>4.7500000000000001E-2</v>
      </c>
      <c r="K9">
        <f>IF(K$4&lt;=2026,Mix!$B$8,IF(K$4&lt;=2050,Mix!$B$8+(Mix!$C$8-Mix!$B$8)*(K$4-2026)/(2050-2026),Mix!$C$8))</f>
        <v>4.6666666666666669E-2</v>
      </c>
      <c r="L9">
        <f>IF(L$4&lt;=2026,Mix!$B$8,IF(L$4&lt;=2050,Mix!$B$8+(Mix!$C$8-Mix!$B$8)*(L$4-2026)/(2050-2026),Mix!$C$8))</f>
        <v>4.5833333333333337E-2</v>
      </c>
      <c r="M9">
        <f>IF(M$4&lt;=2026,Mix!$B$8,IF(M$4&lt;=2050,Mix!$B$8+(Mix!$C$8-Mix!$B$8)*(M$4-2026)/(2050-2026),Mix!$C$8))</f>
        <v>4.4999999999999998E-2</v>
      </c>
      <c r="N9">
        <f>IF(N$4&lt;=2026,Mix!$B$8,IF(N$4&lt;=2050,Mix!$B$8+(Mix!$C$8-Mix!$B$8)*(N$4-2026)/(2050-2026),Mix!$C$8))</f>
        <v>4.4166666666666667E-2</v>
      </c>
      <c r="O9">
        <f>IF(O$4&lt;=2026,Mix!$B$8,IF(O$4&lt;=2050,Mix!$B$8+(Mix!$C$8-Mix!$B$8)*(O$4-2026)/(2050-2026),Mix!$C$8))</f>
        <v>4.3333333333333335E-2</v>
      </c>
      <c r="P9">
        <f>IF(P$4&lt;=2026,Mix!$B$8,IF(P$4&lt;=2050,Mix!$B$8+(Mix!$C$8-Mix!$B$8)*(P$4-2026)/(2050-2026),Mix!$C$8))</f>
        <v>4.2500000000000003E-2</v>
      </c>
      <c r="Q9">
        <f>IF(Q$4&lt;=2026,Mix!$B$8,IF(Q$4&lt;=2050,Mix!$B$8+(Mix!$C$8-Mix!$B$8)*(Q$4-2026)/(2050-2026),Mix!$C$8))</f>
        <v>4.1666666666666671E-2</v>
      </c>
      <c r="R9">
        <f>IF(R$4&lt;=2026,Mix!$B$8,IF(R$4&lt;=2050,Mix!$B$8+(Mix!$C$8-Mix!$B$8)*(R$4-2026)/(2050-2026),Mix!$C$8))</f>
        <v>4.0833333333333333E-2</v>
      </c>
      <c r="S9">
        <f>IF(S$4&lt;=2026,Mix!$B$8,IF(S$4&lt;=2050,Mix!$B$8+(Mix!$C$8-Mix!$B$8)*(S$4-2026)/(2050-2026),Mix!$C$8))</f>
        <v>0.04</v>
      </c>
      <c r="T9">
        <f>IF(T$4&lt;=2026,Mix!$B$8,IF(T$4&lt;=2050,Mix!$B$8+(Mix!$C$8-Mix!$B$8)*(T$4-2026)/(2050-2026),Mix!$C$8))</f>
        <v>3.9166666666666669E-2</v>
      </c>
      <c r="U9">
        <f>IF(U$4&lt;=2026,Mix!$B$8,IF(U$4&lt;=2050,Mix!$B$8+(Mix!$C$8-Mix!$B$8)*(U$4-2026)/(2050-2026),Mix!$C$8))</f>
        <v>3.8333333333333337E-2</v>
      </c>
      <c r="V9">
        <f>IF(V$4&lt;=2026,Mix!$B$8,IF(V$4&lt;=2050,Mix!$B$8+(Mix!$C$8-Mix!$B$8)*(V$4-2026)/(2050-2026),Mix!$C$8))</f>
        <v>3.7499999999999999E-2</v>
      </c>
      <c r="W9">
        <f>IF(W$4&lt;=2026,Mix!$B$8,IF(W$4&lt;=2050,Mix!$B$8+(Mix!$C$8-Mix!$B$8)*(W$4-2026)/(2050-2026),Mix!$C$8))</f>
        <v>3.6666666666666667E-2</v>
      </c>
      <c r="X9">
        <f>IF(X$4&lt;=2026,Mix!$B$8,IF(X$4&lt;=2050,Mix!$B$8+(Mix!$C$8-Mix!$B$8)*(X$4-2026)/(2050-2026),Mix!$C$8))</f>
        <v>3.5833333333333335E-2</v>
      </c>
      <c r="Y9">
        <f>IF(Y$4&lt;=2026,Mix!$B$8,IF(Y$4&lt;=2050,Mix!$B$8+(Mix!$C$8-Mix!$B$8)*(Y$4-2026)/(2050-2026),Mix!$C$8))</f>
        <v>3.4999999999999996E-2</v>
      </c>
      <c r="Z9">
        <f>IF(Z$4&lt;=2026,Mix!$B$8,IF(Z$4&lt;=2050,Mix!$B$8+(Mix!$C$8-Mix!$B$8)*(Z$4-2026)/(2050-2026),Mix!$C$8))</f>
        <v>3.4166666666666665E-2</v>
      </c>
      <c r="AA9">
        <f>IF(AA$4&lt;=2026,Mix!$B$8,IF(AA$4&lt;=2050,Mix!$B$8+(Mix!$C$8-Mix!$B$8)*(AA$4-2026)/(2050-2026),Mix!$C$8))</f>
        <v>3.3333333333333333E-2</v>
      </c>
      <c r="AB9">
        <f>IF(AB$4&lt;=2026,Mix!$B$8,IF(AB$4&lt;=2050,Mix!$B$8+(Mix!$C$8-Mix!$B$8)*(AB$4-2026)/(2050-2026),Mix!$C$8))</f>
        <v>3.2500000000000001E-2</v>
      </c>
      <c r="AC9">
        <f>IF(AC$4&lt;=2026,Mix!$B$8,IF(AC$4&lt;=2050,Mix!$B$8+(Mix!$C$8-Mix!$B$8)*(AC$4-2026)/(2050-2026),Mix!$C$8))</f>
        <v>3.1666666666666662E-2</v>
      </c>
      <c r="AD9">
        <f>IF(AD$4&lt;=2026,Mix!$B$8,IF(AD$4&lt;=2050,Mix!$B$8+(Mix!$C$8-Mix!$B$8)*(AD$4-2026)/(2050-2026),Mix!$C$8))</f>
        <v>3.0833333333333334E-2</v>
      </c>
      <c r="AE9">
        <f>IF(AE$4&lt;=2026,Mix!$B$8,IF(AE$4&lt;=2050,Mix!$B$8+(Mix!$C$8-Mix!$B$8)*(AE$4-2026)/(2050-2026),Mix!$C$8))</f>
        <v>0.03</v>
      </c>
    </row>
    <row r="11" spans="1:31" x14ac:dyDescent="0.25">
      <c r="A11" s="7" t="s">
        <v>137</v>
      </c>
      <c r="B11">
        <f>SUMPRODUCT(B5:B9,Materials!$B$4:$B$8)</f>
        <v>1.3112499999999998</v>
      </c>
      <c r="C11">
        <f>SUMPRODUCT(C5:C9,Materials!$B$4:$B$8)</f>
        <v>1.3112499999999998</v>
      </c>
      <c r="D11">
        <f>SUMPRODUCT(D5:D9,Materials!$B$4:$B$8)</f>
        <v>1.3112499999999998</v>
      </c>
      <c r="E11">
        <f>SUMPRODUCT(E5:E9,Materials!$B$4:$B$8)</f>
        <v>1.3112499999999998</v>
      </c>
      <c r="F11">
        <f>SUMPRODUCT(F5:F9,Materials!$B$4:$B$8)</f>
        <v>1.3112499999999998</v>
      </c>
      <c r="G11">
        <f>SUMPRODUCT(G5:G9,Materials!$B$4:$B$8)</f>
        <v>1.3112499999999998</v>
      </c>
      <c r="H11">
        <f>SUMPRODUCT(H5:H9,Materials!$B$4:$B$8)</f>
        <v>1.3314583333333332</v>
      </c>
      <c r="I11">
        <f>SUMPRODUCT(I5:I9,Materials!$B$4:$B$8)</f>
        <v>1.3516666666666668</v>
      </c>
      <c r="J11">
        <f>SUMPRODUCT(J5:J9,Materials!$B$4:$B$8)</f>
        <v>1.371875</v>
      </c>
      <c r="K11">
        <f>SUMPRODUCT(K5:K9,Materials!$B$4:$B$8)</f>
        <v>1.3920833333333331</v>
      </c>
      <c r="L11">
        <f>SUMPRODUCT(L5:L9,Materials!$B$4:$B$8)</f>
        <v>1.4122916666666667</v>
      </c>
      <c r="M11">
        <f>SUMPRODUCT(M5:M9,Materials!$B$4:$B$8)</f>
        <v>1.4325000000000001</v>
      </c>
      <c r="N11">
        <f>SUMPRODUCT(N5:N9,Materials!$B$4:$B$8)</f>
        <v>1.4527083333333328</v>
      </c>
      <c r="O11">
        <f>SUMPRODUCT(O5:O9,Materials!$B$4:$B$8)</f>
        <v>1.4729166666666664</v>
      </c>
      <c r="P11">
        <f>SUMPRODUCT(P5:P9,Materials!$B$4:$B$8)</f>
        <v>1.4931249999999998</v>
      </c>
      <c r="Q11">
        <f>SUMPRODUCT(Q5:Q9,Materials!$B$4:$B$8)</f>
        <v>1.5133333333333332</v>
      </c>
      <c r="R11">
        <f>SUMPRODUCT(R5:R9,Materials!$B$4:$B$8)</f>
        <v>1.5335416666666668</v>
      </c>
      <c r="S11">
        <f>SUMPRODUCT(S5:S9,Materials!$B$4:$B$8)</f>
        <v>1.55375</v>
      </c>
      <c r="T11">
        <f>SUMPRODUCT(T5:T9,Materials!$B$4:$B$8)</f>
        <v>1.5739583333333331</v>
      </c>
      <c r="U11">
        <f>SUMPRODUCT(U5:U9,Materials!$B$4:$B$8)</f>
        <v>1.5941666666666667</v>
      </c>
      <c r="V11">
        <f>SUMPRODUCT(V5:V9,Materials!$B$4:$B$8)</f>
        <v>1.6143749999999999</v>
      </c>
      <c r="W11">
        <f>SUMPRODUCT(W5:W9,Materials!$B$4:$B$8)</f>
        <v>1.6345833333333331</v>
      </c>
      <c r="X11">
        <f>SUMPRODUCT(X5:X9,Materials!$B$4:$B$8)</f>
        <v>1.6547916666666667</v>
      </c>
      <c r="Y11">
        <f>SUMPRODUCT(Y5:Y9,Materials!$B$4:$B$8)</f>
        <v>1.6749999999999998</v>
      </c>
      <c r="Z11">
        <f>SUMPRODUCT(Z5:Z9,Materials!$B$4:$B$8)</f>
        <v>1.6952083333333332</v>
      </c>
      <c r="AA11">
        <f>SUMPRODUCT(AA5:AA9,Materials!$B$4:$B$8)</f>
        <v>1.7154166666666666</v>
      </c>
      <c r="AB11">
        <f>SUMPRODUCT(AB5:AB9,Materials!$B$4:$B$8)</f>
        <v>1.735625</v>
      </c>
      <c r="AC11">
        <f>SUMPRODUCT(AC5:AC9,Materials!$B$4:$B$8)</f>
        <v>1.7558333333333331</v>
      </c>
      <c r="AD11">
        <f>SUMPRODUCT(AD5:AD9,Materials!$B$4:$B$8)</f>
        <v>1.7760416666666667</v>
      </c>
      <c r="AE11">
        <f>SUMPRODUCT(AE5:AE9,Materials!$B$4:$B$8)</f>
        <v>1.7962499999999997</v>
      </c>
    </row>
    <row r="12" spans="1:31" x14ac:dyDescent="0.25">
      <c r="A12" s="7" t="s">
        <v>138</v>
      </c>
      <c r="B12">
        <f t="shared" ref="B12:AE12" si="0">B5</f>
        <v>0.5</v>
      </c>
      <c r="C12">
        <f t="shared" si="0"/>
        <v>0.5</v>
      </c>
      <c r="D12">
        <f t="shared" si="0"/>
        <v>0.5</v>
      </c>
      <c r="E12">
        <f t="shared" si="0"/>
        <v>0.5</v>
      </c>
      <c r="F12">
        <f t="shared" si="0"/>
        <v>0.5</v>
      </c>
      <c r="G12">
        <f t="shared" si="0"/>
        <v>0.5</v>
      </c>
      <c r="H12">
        <f t="shared" si="0"/>
        <v>0.51041666666666663</v>
      </c>
      <c r="I12">
        <f t="shared" si="0"/>
        <v>0.52083333333333337</v>
      </c>
      <c r="J12">
        <f t="shared" si="0"/>
        <v>0.53125</v>
      </c>
      <c r="K12">
        <f t="shared" si="0"/>
        <v>0.54166666666666663</v>
      </c>
      <c r="L12">
        <f t="shared" si="0"/>
        <v>0.55208333333333337</v>
      </c>
      <c r="M12">
        <f t="shared" si="0"/>
        <v>0.5625</v>
      </c>
      <c r="N12">
        <f t="shared" si="0"/>
        <v>0.57291666666666663</v>
      </c>
      <c r="O12">
        <f t="shared" si="0"/>
        <v>0.58333333333333337</v>
      </c>
      <c r="P12">
        <f t="shared" si="0"/>
        <v>0.59375</v>
      </c>
      <c r="Q12">
        <f t="shared" si="0"/>
        <v>0.60416666666666663</v>
      </c>
      <c r="R12">
        <f t="shared" si="0"/>
        <v>0.61458333333333337</v>
      </c>
      <c r="S12">
        <f t="shared" si="0"/>
        <v>0.625</v>
      </c>
      <c r="T12">
        <f t="shared" si="0"/>
        <v>0.63541666666666663</v>
      </c>
      <c r="U12">
        <f t="shared" si="0"/>
        <v>0.64583333333333337</v>
      </c>
      <c r="V12">
        <f t="shared" si="0"/>
        <v>0.65625</v>
      </c>
      <c r="W12">
        <f t="shared" si="0"/>
        <v>0.66666666666666663</v>
      </c>
      <c r="X12">
        <f t="shared" si="0"/>
        <v>0.67708333333333337</v>
      </c>
      <c r="Y12">
        <f t="shared" si="0"/>
        <v>0.6875</v>
      </c>
      <c r="Z12">
        <f t="shared" si="0"/>
        <v>0.69791666666666663</v>
      </c>
      <c r="AA12">
        <f t="shared" si="0"/>
        <v>0.70833333333333337</v>
      </c>
      <c r="AB12">
        <f t="shared" si="0"/>
        <v>0.71875</v>
      </c>
      <c r="AC12">
        <f t="shared" si="0"/>
        <v>0.72916666666666663</v>
      </c>
      <c r="AD12">
        <f t="shared" si="0"/>
        <v>0.73958333333333337</v>
      </c>
      <c r="AE12">
        <f t="shared" si="0"/>
        <v>0.75</v>
      </c>
    </row>
    <row r="13" spans="1:31" x14ac:dyDescent="0.25">
      <c r="A13" s="7" t="s">
        <v>139</v>
      </c>
      <c r="B13">
        <f>SUMPRODUCT(B5:B9,Materials!$E$4:$E$8)</f>
        <v>36.370705373311424</v>
      </c>
      <c r="C13">
        <f>SUMPRODUCT(C5:C9,Materials!$E$4:$E$8)</f>
        <v>36.370705373311424</v>
      </c>
      <c r="D13">
        <f>SUMPRODUCT(D5:D9,Materials!$E$4:$E$8)</f>
        <v>36.370705373311424</v>
      </c>
      <c r="E13">
        <f>SUMPRODUCT(E5:E9,Materials!$E$4:$E$8)</f>
        <v>36.370705373311424</v>
      </c>
      <c r="F13">
        <f>SUMPRODUCT(F5:F9,Materials!$E$4:$E$8)</f>
        <v>36.370705373311424</v>
      </c>
      <c r="G13">
        <f>SUMPRODUCT(G5:G9,Materials!$E$4:$E$8)</f>
        <v>36.370705373311424</v>
      </c>
      <c r="H13">
        <f>SUMPRODUCT(H5:H9,Materials!$E$4:$E$8)</f>
        <v>35.969557887576372</v>
      </c>
      <c r="I13">
        <f>SUMPRODUCT(I5:I9,Materials!$E$4:$E$8)</f>
        <v>35.568410401841327</v>
      </c>
      <c r="J13">
        <f>SUMPRODUCT(J5:J9,Materials!$E$4:$E$8)</f>
        <v>35.167262916106267</v>
      </c>
      <c r="K13">
        <f>SUMPRODUCT(K5:K9,Materials!$E$4:$E$8)</f>
        <v>34.766115430371208</v>
      </c>
      <c r="L13">
        <f>SUMPRODUCT(L5:L9,Materials!$E$4:$E$8)</f>
        <v>34.364967944636163</v>
      </c>
      <c r="M13">
        <f>SUMPRODUCT(M5:M9,Materials!$E$4:$E$8)</f>
        <v>33.963820458901104</v>
      </c>
      <c r="N13">
        <f>SUMPRODUCT(N5:N9,Materials!$E$4:$E$8)</f>
        <v>33.562672973166052</v>
      </c>
      <c r="O13">
        <f>SUMPRODUCT(O5:O9,Materials!$E$4:$E$8)</f>
        <v>33.161525487431007</v>
      </c>
      <c r="P13">
        <f>SUMPRODUCT(P5:P9,Materials!$E$4:$E$8)</f>
        <v>32.760378001695948</v>
      </c>
      <c r="Q13">
        <f>SUMPRODUCT(Q5:Q9,Materials!$E$4:$E$8)</f>
        <v>32.359230515960903</v>
      </c>
      <c r="R13">
        <f>SUMPRODUCT(R5:R9,Materials!$E$4:$E$8)</f>
        <v>31.958083030225851</v>
      </c>
      <c r="S13">
        <f>SUMPRODUCT(S5:S9,Materials!$E$4:$E$8)</f>
        <v>31.556935544490798</v>
      </c>
      <c r="T13">
        <f>SUMPRODUCT(T5:T9,Materials!$E$4:$E$8)</f>
        <v>31.155788058755739</v>
      </c>
      <c r="U13">
        <f>SUMPRODUCT(U5:U9,Materials!$E$4:$E$8)</f>
        <v>30.754640573020687</v>
      </c>
      <c r="V13">
        <f>SUMPRODUCT(V5:V9,Materials!$E$4:$E$8)</f>
        <v>30.353493087285635</v>
      </c>
      <c r="W13">
        <f>SUMPRODUCT(W5:W9,Materials!$E$4:$E$8)</f>
        <v>29.952345601550583</v>
      </c>
      <c r="X13">
        <f>SUMPRODUCT(X5:X9,Materials!$E$4:$E$8)</f>
        <v>29.551198115815531</v>
      </c>
      <c r="Y13">
        <f>SUMPRODUCT(Y5:Y9,Materials!$E$4:$E$8)</f>
        <v>29.150050630080479</v>
      </c>
      <c r="Z13">
        <f>SUMPRODUCT(Z5:Z9,Materials!$E$4:$E$8)</f>
        <v>28.74890314434543</v>
      </c>
      <c r="AA13">
        <f>SUMPRODUCT(AA5:AA9,Materials!$E$4:$E$8)</f>
        <v>28.347755658610378</v>
      </c>
      <c r="AB13">
        <f>SUMPRODUCT(AB5:AB9,Materials!$E$4:$E$8)</f>
        <v>27.946608172875322</v>
      </c>
      <c r="AC13">
        <f>SUMPRODUCT(AC5:AC9,Materials!$E$4:$E$8)</f>
        <v>27.545460687140267</v>
      </c>
      <c r="AD13">
        <f>SUMPRODUCT(AD5:AD9,Materials!$E$4:$E$8)</f>
        <v>27.144313201405218</v>
      </c>
      <c r="AE13">
        <f>SUMPRODUCT(AE5:AE9,Materials!$E$4:$E$8)</f>
        <v>26.743165715670166</v>
      </c>
    </row>
    <row r="14" spans="1:31" x14ac:dyDescent="0.25">
      <c r="A14" s="7" t="s">
        <v>140</v>
      </c>
      <c r="B14">
        <f>'Avoided Clinker Cost'!$D$6</f>
        <v>10.499999999999998</v>
      </c>
      <c r="C14">
        <f>'Avoided Clinker Cost'!$D$6</f>
        <v>10.499999999999998</v>
      </c>
      <c r="D14">
        <f>'Avoided Clinker Cost'!$D$6</f>
        <v>10.499999999999998</v>
      </c>
      <c r="E14">
        <f>'Avoided Clinker Cost'!$D$6</f>
        <v>10.499999999999998</v>
      </c>
      <c r="F14">
        <f>'Avoided Clinker Cost'!$D$6</f>
        <v>10.499999999999998</v>
      </c>
      <c r="G14">
        <f>'Avoided Clinker Cost'!$D$6</f>
        <v>10.499999999999998</v>
      </c>
      <c r="H14">
        <f>'Avoided Clinker Cost'!$D$6</f>
        <v>10.499999999999998</v>
      </c>
      <c r="I14">
        <f>'Avoided Clinker Cost'!$D$6</f>
        <v>10.499999999999998</v>
      </c>
      <c r="J14">
        <f>'Avoided Clinker Cost'!$D$6</f>
        <v>10.499999999999998</v>
      </c>
      <c r="K14">
        <f>'Avoided Clinker Cost'!$D$6</f>
        <v>10.499999999999998</v>
      </c>
      <c r="L14">
        <f>'Avoided Clinker Cost'!$D$6</f>
        <v>10.499999999999998</v>
      </c>
      <c r="M14">
        <f>'Avoided Clinker Cost'!$D$6</f>
        <v>10.499999999999998</v>
      </c>
      <c r="N14">
        <f>'Avoided Clinker Cost'!$D$6</f>
        <v>10.499999999999998</v>
      </c>
      <c r="O14">
        <f>'Avoided Clinker Cost'!$D$6</f>
        <v>10.499999999999998</v>
      </c>
      <c r="P14">
        <f>'Avoided Clinker Cost'!$D$6</f>
        <v>10.499999999999998</v>
      </c>
      <c r="Q14">
        <f>'Avoided Clinker Cost'!$D$6</f>
        <v>10.499999999999998</v>
      </c>
      <c r="R14">
        <f>'Avoided Clinker Cost'!$D$6</f>
        <v>10.499999999999998</v>
      </c>
      <c r="S14">
        <f>'Avoided Clinker Cost'!$D$6</f>
        <v>10.499999999999998</v>
      </c>
      <c r="T14">
        <f>'Avoided Clinker Cost'!$D$6</f>
        <v>10.499999999999998</v>
      </c>
      <c r="U14">
        <f>'Avoided Clinker Cost'!$D$6</f>
        <v>10.499999999999998</v>
      </c>
      <c r="V14">
        <f>'Avoided Clinker Cost'!$D$6</f>
        <v>10.499999999999998</v>
      </c>
      <c r="W14">
        <f>'Avoided Clinker Cost'!$D$6</f>
        <v>10.499999999999998</v>
      </c>
      <c r="X14">
        <f>'Avoided Clinker Cost'!$D$6</f>
        <v>10.499999999999998</v>
      </c>
      <c r="Y14">
        <f>'Avoided Clinker Cost'!$D$6</f>
        <v>10.499999999999998</v>
      </c>
      <c r="Z14">
        <f>'Avoided Clinker Cost'!$D$6</f>
        <v>10.499999999999998</v>
      </c>
      <c r="AA14">
        <f>'Avoided Clinker Cost'!$D$6</f>
        <v>10.499999999999998</v>
      </c>
      <c r="AB14">
        <f>'Avoided Clinker Cost'!$D$6</f>
        <v>10.499999999999998</v>
      </c>
      <c r="AC14">
        <f>'Avoided Clinker Cost'!$D$6</f>
        <v>10.499999999999998</v>
      </c>
      <c r="AD14">
        <f>'Avoided Clinker Cost'!$D$6</f>
        <v>10.499999999999998</v>
      </c>
      <c r="AE14">
        <f>'Avoided Clinker Cost'!$D$6</f>
        <v>10.499999999999998</v>
      </c>
    </row>
    <row r="15" spans="1:31" x14ac:dyDescent="0.25">
      <c r="A15" s="1" t="s">
        <v>141</v>
      </c>
      <c r="B15">
        <f t="shared" ref="B15:AE15" si="1">B13-B14</f>
        <v>25.870705373311424</v>
      </c>
      <c r="C15">
        <f t="shared" si="1"/>
        <v>25.870705373311424</v>
      </c>
      <c r="D15">
        <f t="shared" si="1"/>
        <v>25.870705373311424</v>
      </c>
      <c r="E15">
        <f t="shared" si="1"/>
        <v>25.870705373311424</v>
      </c>
      <c r="F15">
        <f t="shared" si="1"/>
        <v>25.870705373311424</v>
      </c>
      <c r="G15">
        <f t="shared" si="1"/>
        <v>25.870705373311424</v>
      </c>
      <c r="H15">
        <f t="shared" si="1"/>
        <v>25.469557887576372</v>
      </c>
      <c r="I15">
        <f t="shared" si="1"/>
        <v>25.068410401841327</v>
      </c>
      <c r="J15">
        <f t="shared" si="1"/>
        <v>24.667262916106267</v>
      </c>
      <c r="K15">
        <f t="shared" si="1"/>
        <v>24.266115430371208</v>
      </c>
      <c r="L15">
        <f t="shared" si="1"/>
        <v>23.864967944636163</v>
      </c>
      <c r="M15">
        <f t="shared" si="1"/>
        <v>23.463820458901104</v>
      </c>
      <c r="N15">
        <f t="shared" si="1"/>
        <v>23.062672973166052</v>
      </c>
      <c r="O15">
        <f t="shared" si="1"/>
        <v>22.661525487431007</v>
      </c>
      <c r="P15">
        <f t="shared" si="1"/>
        <v>22.260378001695948</v>
      </c>
      <c r="Q15">
        <f t="shared" si="1"/>
        <v>21.859230515960903</v>
      </c>
      <c r="R15">
        <f t="shared" si="1"/>
        <v>21.458083030225851</v>
      </c>
      <c r="S15">
        <f t="shared" si="1"/>
        <v>21.056935544490798</v>
      </c>
      <c r="T15">
        <f t="shared" si="1"/>
        <v>20.655788058755739</v>
      </c>
      <c r="U15">
        <f t="shared" si="1"/>
        <v>20.254640573020687</v>
      </c>
      <c r="V15">
        <f t="shared" si="1"/>
        <v>19.853493087285635</v>
      </c>
      <c r="W15">
        <f t="shared" si="1"/>
        <v>19.452345601550583</v>
      </c>
      <c r="X15">
        <f t="shared" si="1"/>
        <v>19.051198115815531</v>
      </c>
      <c r="Y15">
        <f t="shared" si="1"/>
        <v>18.650050630080479</v>
      </c>
      <c r="Z15">
        <f t="shared" si="1"/>
        <v>18.248903144345434</v>
      </c>
      <c r="AA15">
        <f t="shared" si="1"/>
        <v>17.847755658610382</v>
      </c>
      <c r="AB15">
        <f t="shared" si="1"/>
        <v>17.446608172875322</v>
      </c>
      <c r="AC15">
        <f t="shared" si="1"/>
        <v>17.04546068714027</v>
      </c>
      <c r="AD15">
        <f t="shared" si="1"/>
        <v>16.644313201405218</v>
      </c>
      <c r="AE15">
        <f t="shared" si="1"/>
        <v>16.243165715670166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workbookViewId="0"/>
  </sheetViews>
  <sheetFormatPr defaultRowHeight="15" x14ac:dyDescent="0.25"/>
  <cols>
    <col min="1" max="1" width="16" customWidth="1"/>
    <col min="2" max="4" width="34" customWidth="1"/>
    <col min="5" max="5" width="28" customWidth="1"/>
    <col min="6" max="6" width="40" customWidth="1"/>
    <col min="7" max="7" width="12" customWidth="1"/>
  </cols>
  <sheetData>
    <row r="1" spans="1:7" x14ac:dyDescent="0.25">
      <c r="A1" s="1" t="s">
        <v>142</v>
      </c>
    </row>
    <row r="3" spans="1:7" ht="20.100000000000001" customHeight="1" x14ac:dyDescent="0.25">
      <c r="A3" s="6" t="s">
        <v>143</v>
      </c>
      <c r="B3" s="6" t="s">
        <v>144</v>
      </c>
      <c r="C3" s="6" t="s">
        <v>145</v>
      </c>
      <c r="D3" s="6" t="s">
        <v>146</v>
      </c>
      <c r="E3" s="6" t="s">
        <v>147</v>
      </c>
      <c r="F3" s="6" t="s">
        <v>148</v>
      </c>
      <c r="G3" s="6" t="s">
        <v>149</v>
      </c>
    </row>
    <row r="4" spans="1:7" ht="30" x14ac:dyDescent="0.25">
      <c r="A4" s="3" t="s">
        <v>150</v>
      </c>
      <c r="B4" s="3" t="s">
        <v>151</v>
      </c>
      <c r="C4" s="3" t="s">
        <v>152</v>
      </c>
      <c r="D4" s="3" t="s">
        <v>153</v>
      </c>
      <c r="E4" s="3" t="s">
        <v>154</v>
      </c>
      <c r="F4" s="3" t="s">
        <v>155</v>
      </c>
      <c r="G4" s="3" t="s">
        <v>156</v>
      </c>
    </row>
    <row r="5" spans="1:7" ht="60" x14ac:dyDescent="0.25">
      <c r="A5" s="3" t="s">
        <v>157</v>
      </c>
      <c r="B5" s="3" t="s">
        <v>158</v>
      </c>
      <c r="C5" s="3" t="s">
        <v>159</v>
      </c>
      <c r="D5" s="3" t="s">
        <v>160</v>
      </c>
      <c r="E5" s="3"/>
      <c r="F5" s="3" t="s">
        <v>161</v>
      </c>
      <c r="G5" s="3" t="s">
        <v>89</v>
      </c>
    </row>
    <row r="6" spans="1:7" ht="45" x14ac:dyDescent="0.25">
      <c r="A6" s="3" t="s">
        <v>162</v>
      </c>
      <c r="B6" s="3" t="s">
        <v>163</v>
      </c>
      <c r="C6" s="3" t="s">
        <v>159</v>
      </c>
      <c r="D6" s="3" t="s">
        <v>164</v>
      </c>
      <c r="E6" s="3" t="s">
        <v>165</v>
      </c>
      <c r="F6" s="3" t="s">
        <v>166</v>
      </c>
      <c r="G6" s="3" t="s">
        <v>167</v>
      </c>
    </row>
    <row r="7" spans="1:7" ht="30" x14ac:dyDescent="0.25">
      <c r="A7" s="3" t="s">
        <v>168</v>
      </c>
      <c r="B7" s="3" t="s">
        <v>169</v>
      </c>
      <c r="C7" s="3" t="s">
        <v>170</v>
      </c>
      <c r="D7" s="3" t="s">
        <v>171</v>
      </c>
      <c r="E7" s="3"/>
      <c r="F7" s="3" t="s">
        <v>172</v>
      </c>
      <c r="G7" s="3" t="s">
        <v>89</v>
      </c>
    </row>
    <row r="8" spans="1:7" x14ac:dyDescent="0.25">
      <c r="A8" s="3" t="s">
        <v>173</v>
      </c>
      <c r="B8" s="3" t="s">
        <v>159</v>
      </c>
      <c r="C8" s="3" t="s">
        <v>159</v>
      </c>
      <c r="D8" s="3" t="s">
        <v>174</v>
      </c>
      <c r="E8" s="3"/>
      <c r="F8" s="3"/>
      <c r="G8" s="3" t="s">
        <v>175</v>
      </c>
    </row>
    <row r="9" spans="1:7" ht="30" x14ac:dyDescent="0.25">
      <c r="A9" s="3" t="s">
        <v>176</v>
      </c>
      <c r="B9" s="3" t="s">
        <v>159</v>
      </c>
      <c r="C9" s="3" t="s">
        <v>159</v>
      </c>
      <c r="D9" s="3" t="s">
        <v>177</v>
      </c>
      <c r="E9" s="3"/>
      <c r="F9" s="3" t="s">
        <v>75</v>
      </c>
      <c r="G9" s="3" t="s">
        <v>175</v>
      </c>
    </row>
    <row r="10" spans="1:7" ht="30" x14ac:dyDescent="0.25">
      <c r="A10" s="3" t="s">
        <v>178</v>
      </c>
      <c r="B10" s="3" t="s">
        <v>179</v>
      </c>
      <c r="C10" s="3" t="s">
        <v>159</v>
      </c>
      <c r="D10" s="3" t="s">
        <v>180</v>
      </c>
      <c r="E10" s="3"/>
      <c r="F10" s="3" t="s">
        <v>181</v>
      </c>
      <c r="G10" s="3" t="s">
        <v>175</v>
      </c>
    </row>
    <row r="11" spans="1:7" x14ac:dyDescent="0.25">
      <c r="A11" s="3" t="s">
        <v>182</v>
      </c>
      <c r="B11" s="3" t="s">
        <v>183</v>
      </c>
      <c r="C11" s="3" t="s">
        <v>183</v>
      </c>
      <c r="D11" s="3" t="s">
        <v>184</v>
      </c>
      <c r="E11" s="3"/>
      <c r="F11" s="3" t="s">
        <v>185</v>
      </c>
      <c r="G11" s="3" t="s">
        <v>89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
  <sheetViews>
    <sheetView workbookViewId="0"/>
  </sheetViews>
  <sheetFormatPr defaultRowHeight="15" x14ac:dyDescent="0.25"/>
  <cols>
    <col min="1" max="1" width="70" customWidth="1"/>
  </cols>
  <sheetData>
    <row r="1" spans="1:3" x14ac:dyDescent="0.25">
      <c r="A1" s="1" t="s">
        <v>186</v>
      </c>
    </row>
    <row r="2" spans="1:3" ht="20.100000000000001" customHeight="1" x14ac:dyDescent="0.25">
      <c r="A2" s="6" t="s">
        <v>187</v>
      </c>
      <c r="B2" s="6" t="s">
        <v>188</v>
      </c>
      <c r="C2" s="6" t="s">
        <v>189</v>
      </c>
    </row>
    <row r="3" spans="1:3" x14ac:dyDescent="0.25">
      <c r="A3" t="s">
        <v>190</v>
      </c>
      <c r="B3">
        <f>SUMPRODUCT(--(ABS(Mix!B9:C9-1)&gt;0.0001))</f>
        <v>0</v>
      </c>
      <c r="C3" t="str">
        <f>IF(B3=0,"PASS","FAIL")</f>
        <v>PASS</v>
      </c>
    </row>
    <row r="4" spans="1:3" x14ac:dyDescent="0.25">
      <c r="A4" t="s">
        <v>191</v>
      </c>
      <c r="B4">
        <f>COUNTIF('CSMI-heat'!B2:AE2,"&lt;0")+COUNTIF('CSMI-heat'!B2:AE2,"&gt;3000000")</f>
        <v>0</v>
      </c>
      <c r="C4" t="str">
        <f>IF(B4=0,"PASS","FAIL")</f>
        <v>PASS</v>
      </c>
    </row>
    <row r="5" spans="1:3" x14ac:dyDescent="0.25">
      <c r="A5" t="s">
        <v>192</v>
      </c>
      <c r="B5">
        <f>COUNTIF('CSMI-clay-share'!B2:AE2,"&lt;0")+COUNTIF('CSMI-clay-share'!B2:AE2,"&gt;1")</f>
        <v>0</v>
      </c>
      <c r="C5" t="str">
        <f>IF(B5=0,"PASS","FAIL")</f>
        <v>PASS</v>
      </c>
    </row>
    <row r="6" spans="1:3" x14ac:dyDescent="0.25">
      <c r="A6" t="s">
        <v>193</v>
      </c>
      <c r="B6">
        <f>COUNTIF('CSMI-net-cost'!B2:AE2,"&lt;-100")+COUNTIF('CSMI-net-cost'!B2:AE2,"&gt;100")</f>
        <v>0</v>
      </c>
      <c r="C6" t="str">
        <f>IF(B6=0,"PASS","FAIL")</f>
        <v>PASS</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AE2"/>
  <sheetViews>
    <sheetView workbookViewId="0"/>
  </sheetViews>
  <sheetFormatPr defaultRowHeight="15" x14ac:dyDescent="0.25"/>
  <cols>
    <col min="1" max="1" width="55" customWidth="1"/>
  </cols>
  <sheetData>
    <row r="1" spans="1:31" x14ac:dyDescent="0.2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195</v>
      </c>
      <c r="B2">
        <f>Derivation!B11*947817</f>
        <v>1242825.0412499998</v>
      </c>
      <c r="C2">
        <f>Derivation!C11*947817</f>
        <v>1242825.0412499998</v>
      </c>
      <c r="D2">
        <f>Derivation!D11*947817</f>
        <v>1242825.0412499998</v>
      </c>
      <c r="E2">
        <f>Derivation!E11*947817</f>
        <v>1242825.0412499998</v>
      </c>
      <c r="F2">
        <f>Derivation!F11*947817</f>
        <v>1242825.0412499998</v>
      </c>
      <c r="G2">
        <f>Derivation!G11*947817</f>
        <v>1242825.0412499998</v>
      </c>
      <c r="H2">
        <f>Derivation!H11*947817</f>
        <v>1261978.8431249999</v>
      </c>
      <c r="I2">
        <f>Derivation!I11*947817</f>
        <v>1281132.645</v>
      </c>
      <c r="J2">
        <f>Derivation!J11*947817</f>
        <v>1300286.4468749999</v>
      </c>
      <c r="K2">
        <f>Derivation!K11*947817</f>
        <v>1319440.2487499998</v>
      </c>
      <c r="L2">
        <f>Derivation!L11*947817</f>
        <v>1338594.0506250001</v>
      </c>
      <c r="M2">
        <f>Derivation!M11*947817</f>
        <v>1357747.8525</v>
      </c>
      <c r="N2">
        <f>Derivation!N11*947817</f>
        <v>1376901.6543749995</v>
      </c>
      <c r="O2">
        <f>Derivation!O11*947817</f>
        <v>1396055.4562499998</v>
      </c>
      <c r="P2">
        <f>Derivation!P11*947817</f>
        <v>1415209.2581249999</v>
      </c>
      <c r="Q2">
        <f>Derivation!Q11*947817</f>
        <v>1434363.0599999998</v>
      </c>
      <c r="R2">
        <f>Derivation!R11*947817</f>
        <v>1453516.8618750002</v>
      </c>
      <c r="S2">
        <f>Derivation!S11*947817</f>
        <v>1472670.6637500001</v>
      </c>
      <c r="T2">
        <f>Derivation!T11*947817</f>
        <v>1491824.4656249997</v>
      </c>
      <c r="U2">
        <f>Derivation!U11*947817</f>
        <v>1510978.2675000001</v>
      </c>
      <c r="V2">
        <f>Derivation!V11*947817</f>
        <v>1530132.069375</v>
      </c>
      <c r="W2">
        <f>Derivation!W11*947817</f>
        <v>1549285.8712499999</v>
      </c>
      <c r="X2">
        <f>Derivation!X11*947817</f>
        <v>1568439.673125</v>
      </c>
      <c r="Y2">
        <f>Derivation!Y11*947817</f>
        <v>1587593.4749999999</v>
      </c>
      <c r="Z2">
        <f>Derivation!Z11*947817</f>
        <v>1606747.276875</v>
      </c>
      <c r="AA2">
        <f>Derivation!AA11*947817</f>
        <v>1625901.0787499999</v>
      </c>
      <c r="AB2">
        <f>Derivation!AB11*947817</f>
        <v>1645054.880625</v>
      </c>
      <c r="AC2">
        <f>Derivation!AC11*947817</f>
        <v>1664208.6824999999</v>
      </c>
      <c r="AD2">
        <f>Derivation!AD11*947817</f>
        <v>1683362.484375</v>
      </c>
      <c r="AE2">
        <f>Derivation!AE11*947817</f>
        <v>1702516.2862499997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AE2"/>
  <sheetViews>
    <sheetView workbookViewId="0"/>
  </sheetViews>
  <sheetFormatPr defaultRowHeight="15" x14ac:dyDescent="0.25"/>
  <cols>
    <col min="1" max="1" width="55" customWidth="1"/>
  </cols>
  <sheetData>
    <row r="1" spans="1:31" x14ac:dyDescent="0.25">
      <c r="A1" t="s">
        <v>196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197</v>
      </c>
      <c r="B2">
        <f>Derivation!B12</f>
        <v>0.5</v>
      </c>
      <c r="C2">
        <f>Derivation!C12</f>
        <v>0.5</v>
      </c>
      <c r="D2">
        <f>Derivation!D12</f>
        <v>0.5</v>
      </c>
      <c r="E2">
        <f>Derivation!E12</f>
        <v>0.5</v>
      </c>
      <c r="F2">
        <f>Derivation!F12</f>
        <v>0.5</v>
      </c>
      <c r="G2">
        <f>Derivation!G12</f>
        <v>0.5</v>
      </c>
      <c r="H2">
        <f>Derivation!H12</f>
        <v>0.51041666666666663</v>
      </c>
      <c r="I2">
        <f>Derivation!I12</f>
        <v>0.52083333333333337</v>
      </c>
      <c r="J2">
        <f>Derivation!J12</f>
        <v>0.53125</v>
      </c>
      <c r="K2">
        <f>Derivation!K12</f>
        <v>0.54166666666666663</v>
      </c>
      <c r="L2">
        <f>Derivation!L12</f>
        <v>0.55208333333333337</v>
      </c>
      <c r="M2">
        <f>Derivation!M12</f>
        <v>0.5625</v>
      </c>
      <c r="N2">
        <f>Derivation!N12</f>
        <v>0.57291666666666663</v>
      </c>
      <c r="O2">
        <f>Derivation!O12</f>
        <v>0.58333333333333337</v>
      </c>
      <c r="P2">
        <f>Derivation!P12</f>
        <v>0.59375</v>
      </c>
      <c r="Q2">
        <f>Derivation!Q12</f>
        <v>0.60416666666666663</v>
      </c>
      <c r="R2">
        <f>Derivation!R12</f>
        <v>0.61458333333333337</v>
      </c>
      <c r="S2">
        <f>Derivation!S12</f>
        <v>0.625</v>
      </c>
      <c r="T2">
        <f>Derivation!T12</f>
        <v>0.63541666666666663</v>
      </c>
      <c r="U2">
        <f>Derivation!U12</f>
        <v>0.64583333333333337</v>
      </c>
      <c r="V2">
        <f>Derivation!V12</f>
        <v>0.65625</v>
      </c>
      <c r="W2">
        <f>Derivation!W12</f>
        <v>0.66666666666666663</v>
      </c>
      <c r="X2">
        <f>Derivation!X12</f>
        <v>0.67708333333333337</v>
      </c>
      <c r="Y2">
        <f>Derivation!Y12</f>
        <v>0.6875</v>
      </c>
      <c r="Z2">
        <f>Derivation!Z12</f>
        <v>0.69791666666666663</v>
      </c>
      <c r="AA2">
        <f>Derivation!AA12</f>
        <v>0.70833333333333337</v>
      </c>
      <c r="AB2">
        <f>Derivation!AB12</f>
        <v>0.71875</v>
      </c>
      <c r="AC2">
        <f>Derivation!AC12</f>
        <v>0.72916666666666663</v>
      </c>
      <c r="AD2">
        <f>Derivation!AD12</f>
        <v>0.73958333333333337</v>
      </c>
      <c r="AE2">
        <f>Derivation!AE12</f>
        <v>0.75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AE2"/>
  <sheetViews>
    <sheetView workbookViewId="0"/>
  </sheetViews>
  <sheetFormatPr defaultRowHeight="15" x14ac:dyDescent="0.25"/>
  <cols>
    <col min="1" max="1" width="55" customWidth="1"/>
  </cols>
  <sheetData>
    <row r="1" spans="1:31" x14ac:dyDescent="0.25">
      <c r="A1" t="s">
        <v>198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199</v>
      </c>
      <c r="B2">
        <f>Derivation!B15</f>
        <v>25.870705373311424</v>
      </c>
      <c r="C2">
        <f>Derivation!C15</f>
        <v>25.870705373311424</v>
      </c>
      <c r="D2">
        <f>Derivation!D15</f>
        <v>25.870705373311424</v>
      </c>
      <c r="E2">
        <f>Derivation!E15</f>
        <v>25.870705373311424</v>
      </c>
      <c r="F2">
        <f>Derivation!F15</f>
        <v>25.870705373311424</v>
      </c>
      <c r="G2">
        <f>Derivation!G15</f>
        <v>25.870705373311424</v>
      </c>
      <c r="H2">
        <f>Derivation!H15</f>
        <v>25.469557887576372</v>
      </c>
      <c r="I2">
        <f>Derivation!I15</f>
        <v>25.068410401841327</v>
      </c>
      <c r="J2">
        <f>Derivation!J15</f>
        <v>24.667262916106267</v>
      </c>
      <c r="K2">
        <f>Derivation!K15</f>
        <v>24.266115430371208</v>
      </c>
      <c r="L2">
        <f>Derivation!L15</f>
        <v>23.864967944636163</v>
      </c>
      <c r="M2">
        <f>Derivation!M15</f>
        <v>23.463820458901104</v>
      </c>
      <c r="N2">
        <f>Derivation!N15</f>
        <v>23.062672973166052</v>
      </c>
      <c r="O2">
        <f>Derivation!O15</f>
        <v>22.661525487431007</v>
      </c>
      <c r="P2">
        <f>Derivation!P15</f>
        <v>22.260378001695948</v>
      </c>
      <c r="Q2">
        <f>Derivation!Q15</f>
        <v>21.859230515960903</v>
      </c>
      <c r="R2">
        <f>Derivation!R15</f>
        <v>21.458083030225851</v>
      </c>
      <c r="S2">
        <f>Derivation!S15</f>
        <v>21.056935544490798</v>
      </c>
      <c r="T2">
        <f>Derivation!T15</f>
        <v>20.655788058755739</v>
      </c>
      <c r="U2">
        <f>Derivation!U15</f>
        <v>20.254640573020687</v>
      </c>
      <c r="V2">
        <f>Derivation!V15</f>
        <v>19.853493087285635</v>
      </c>
      <c r="W2">
        <f>Derivation!W15</f>
        <v>19.452345601550583</v>
      </c>
      <c r="X2">
        <f>Derivation!X15</f>
        <v>19.051198115815531</v>
      </c>
      <c r="Y2">
        <f>Derivation!Y15</f>
        <v>18.650050630080479</v>
      </c>
      <c r="Z2">
        <f>Derivation!Z15</f>
        <v>18.248903144345434</v>
      </c>
      <c r="AA2">
        <f>Derivation!AA15</f>
        <v>17.847755658610382</v>
      </c>
      <c r="AB2">
        <f>Derivation!AB15</f>
        <v>17.446608172875322</v>
      </c>
      <c r="AC2">
        <f>Derivation!AC15</f>
        <v>17.04546068714027</v>
      </c>
      <c r="AD2">
        <f>Derivation!AD15</f>
        <v>16.644313201405218</v>
      </c>
      <c r="AE2">
        <f>Derivation!AE15</f>
        <v>16.243165715670166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Price Index</vt:lpstr>
      <vt:lpstr>Materials</vt:lpstr>
      <vt:lpstr>Avoided Clinker Cost</vt:lpstr>
      <vt:lpstr>Mix</vt:lpstr>
      <vt:lpstr>Derivation</vt:lpstr>
      <vt:lpstr>Regions</vt:lpstr>
      <vt:lpstr>Checks</vt:lpstr>
      <vt:lpstr>CSMI-heat</vt:lpstr>
      <vt:lpstr>CSMI-clay-share</vt:lpstr>
      <vt:lpstr>CSMI-net-cost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2026-10-26T16:28:06Z</dcterms:created>
  <dcterms:modified xsi:type="dcterms:W3CDTF">2026-10-26T16:28:34Z</dcterms:modified>
</cp:coreProperties>
</file>