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OBrien\Models\EPS\US\eps-us\InputData\indst\_cement\CPRS\"/>
    </mc:Choice>
  </mc:AlternateContent>
  <xr:revisionPtr revIDLastSave="0" documentId="13_ncr:1_{3994564B-B2A5-402E-8B06-62EC789A45BB}" xr6:coauthVersionLast="47" xr6:coauthVersionMax="47" xr10:uidLastSave="{00000000-0000-0000-0000-000000000000}"/>
  <bookViews>
    <workbookView xWindow="-110" yWindow="-110" windowWidth="19420" windowHeight="11500" xr2:uid="{00000000-000D-0000-FFFF-FFFF00000000}"/>
  </bookViews>
  <sheets>
    <sheet name="About" sheetId="1" r:id="rId1"/>
    <sheet name="NZA Annex K Cohorts" sheetId="2" r:id="rId2"/>
    <sheet name="Derivation" sheetId="3" r:id="rId3"/>
    <sheet name="Smoothing" sheetId="4" r:id="rId4"/>
    <sheet name="Checks" sheetId="5" r:id="rId5"/>
    <sheet name="CPR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6" i="4" l="1"/>
  <c r="C46" i="4" s="1"/>
  <c r="B45" i="4"/>
  <c r="C45" i="4" s="1"/>
  <c r="B44" i="4"/>
  <c r="C44" i="4" s="1"/>
  <c r="B43" i="4"/>
  <c r="C43" i="4" s="1"/>
  <c r="B42" i="4"/>
  <c r="C42" i="4" s="1"/>
  <c r="L4" i="4"/>
  <c r="O45" i="4" s="1"/>
  <c r="K4" i="4"/>
  <c r="N42" i="4" s="1"/>
  <c r="J4" i="4"/>
  <c r="M44" i="4" s="1"/>
  <c r="I4" i="4"/>
  <c r="L42" i="4" s="1"/>
  <c r="H4" i="4"/>
  <c r="K42" i="4" s="1"/>
  <c r="G4" i="4"/>
  <c r="F4" i="4"/>
  <c r="I71" i="4" s="1"/>
  <c r="E4" i="4"/>
  <c r="H71" i="4" s="1"/>
  <c r="D4" i="4"/>
  <c r="G71" i="4" s="1"/>
  <c r="C4" i="4"/>
  <c r="F69" i="4" s="1"/>
  <c r="B4" i="4"/>
  <c r="E69" i="4" s="1"/>
  <c r="D49" i="3"/>
  <c r="B37" i="4" s="1"/>
  <c r="D48" i="3"/>
  <c r="B36" i="4" s="1"/>
  <c r="D47" i="3"/>
  <c r="B35" i="4" s="1"/>
  <c r="D46" i="3"/>
  <c r="B34" i="4" s="1"/>
  <c r="D45" i="3"/>
  <c r="B33" i="4" s="1"/>
  <c r="D24" i="3"/>
  <c r="B12" i="4" s="1"/>
  <c r="D23" i="3"/>
  <c r="B11" i="4" s="1"/>
  <c r="D22" i="3"/>
  <c r="B10" i="4" s="1"/>
  <c r="D21" i="3"/>
  <c r="B9" i="4" s="1"/>
  <c r="D20" i="3"/>
  <c r="B13" i="3"/>
  <c r="B15" i="3" s="1"/>
  <c r="B16" i="3" s="1"/>
  <c r="B3" i="3"/>
  <c r="C44" i="3" l="1"/>
  <c r="D44" i="3" s="1"/>
  <c r="B32" i="4" s="1"/>
  <c r="C43" i="3"/>
  <c r="D43" i="3" s="1"/>
  <c r="B31" i="4" s="1"/>
  <c r="C35" i="3"/>
  <c r="C42" i="3"/>
  <c r="D42" i="3" s="1"/>
  <c r="B30" i="4" s="1"/>
  <c r="C41" i="3"/>
  <c r="D41" i="3" s="1"/>
  <c r="B29" i="4" s="1"/>
  <c r="C40" i="3"/>
  <c r="D40" i="3" s="1"/>
  <c r="B28" i="4" s="1"/>
  <c r="C39" i="3"/>
  <c r="C38" i="3"/>
  <c r="C37" i="3"/>
  <c r="C36" i="3"/>
  <c r="G69" i="4"/>
  <c r="E71" i="4"/>
  <c r="F68" i="4"/>
  <c r="F71" i="4"/>
  <c r="E68" i="4"/>
  <c r="O42" i="4"/>
  <c r="C33" i="4"/>
  <c r="G64" i="4" s="1"/>
  <c r="C34" i="4"/>
  <c r="E63" i="4" s="1"/>
  <c r="C35" i="4"/>
  <c r="F65" i="4" s="1"/>
  <c r="M42" i="4"/>
  <c r="O44" i="4"/>
  <c r="N44" i="4"/>
  <c r="C9" i="4"/>
  <c r="O48" i="4" s="1"/>
  <c r="N45" i="4"/>
  <c r="C23" i="4"/>
  <c r="C11" i="4"/>
  <c r="I44" i="4" s="1"/>
  <c r="C13" i="4"/>
  <c r="C21" i="4"/>
  <c r="C24" i="4"/>
  <c r="C31" i="4"/>
  <c r="C10" i="4"/>
  <c r="H42" i="4" s="1"/>
  <c r="C20" i="4"/>
  <c r="B4" i="3"/>
  <c r="B5" i="3" s="1"/>
  <c r="C32" i="4"/>
  <c r="C12" i="4"/>
  <c r="N50" i="4" s="1"/>
  <c r="C22" i="4"/>
  <c r="C36" i="4"/>
  <c r="F66" i="4" s="1"/>
  <c r="C15" i="4"/>
  <c r="C37" i="4"/>
  <c r="H69" i="4" s="1"/>
  <c r="E70" i="4"/>
  <c r="C26" i="4"/>
  <c r="F70" i="4"/>
  <c r="C16" i="4"/>
  <c r="E67" i="4"/>
  <c r="G70" i="4"/>
  <c r="C14" i="4"/>
  <c r="C27" i="4"/>
  <c r="L43" i="4"/>
  <c r="H70" i="4"/>
  <c r="C17" i="4"/>
  <c r="C28" i="4"/>
  <c r="M43" i="4"/>
  <c r="O46" i="4"/>
  <c r="C18" i="4"/>
  <c r="C25" i="4"/>
  <c r="N43" i="4"/>
  <c r="C29" i="4"/>
  <c r="O43" i="4"/>
  <c r="B8" i="4"/>
  <c r="C30" i="4"/>
  <c r="C8" i="4"/>
  <c r="C19" i="4"/>
  <c r="H44" i="4" l="1"/>
  <c r="N67" i="4"/>
  <c r="H64" i="4"/>
  <c r="I61" i="4"/>
  <c r="O70" i="4"/>
  <c r="F42" i="4"/>
  <c r="B28" i="3"/>
  <c r="D28" i="3" s="1"/>
  <c r="B16" i="4" s="1"/>
  <c r="H48" i="4" s="1"/>
  <c r="B27" i="3"/>
  <c r="D27" i="3" s="1"/>
  <c r="B15" i="4" s="1"/>
  <c r="H47" i="4" s="1"/>
  <c r="B26" i="3"/>
  <c r="D26" i="3" s="1"/>
  <c r="B14" i="4" s="1"/>
  <c r="H46" i="4" s="1"/>
  <c r="B37" i="3"/>
  <c r="D37" i="3" s="1"/>
  <c r="B25" i="4" s="1"/>
  <c r="J59" i="4" s="1"/>
  <c r="B35" i="3"/>
  <c r="D35" i="3" s="1"/>
  <c r="B23" i="4" s="1"/>
  <c r="H55" i="4" s="1"/>
  <c r="B25" i="3"/>
  <c r="D25" i="3" s="1"/>
  <c r="B13" i="4" s="1"/>
  <c r="G44" i="4" s="1"/>
  <c r="B38" i="3"/>
  <c r="D38" i="3" s="1"/>
  <c r="B26" i="4" s="1"/>
  <c r="O65" i="4" s="1"/>
  <c r="B7" i="3"/>
  <c r="B8" i="3" s="1"/>
  <c r="B9" i="3" s="1"/>
  <c r="B39" i="3" s="1"/>
  <c r="D39" i="3" s="1"/>
  <c r="B27" i="4" s="1"/>
  <c r="N65" i="4" s="1"/>
  <c r="B36" i="3"/>
  <c r="D36" i="3" s="1"/>
  <c r="B24" i="4" s="1"/>
  <c r="M61" i="4" s="1"/>
  <c r="B34" i="3"/>
  <c r="D34" i="3" s="1"/>
  <c r="B22" i="4" s="1"/>
  <c r="K57" i="4" s="1"/>
  <c r="B33" i="3"/>
  <c r="D33" i="3" s="1"/>
  <c r="B21" i="4" s="1"/>
  <c r="H53" i="4" s="1"/>
  <c r="B32" i="3"/>
  <c r="D32" i="3" s="1"/>
  <c r="B20" i="4" s="1"/>
  <c r="E49" i="4" s="1"/>
  <c r="B31" i="3"/>
  <c r="D31" i="3" s="1"/>
  <c r="B19" i="4" s="1"/>
  <c r="H51" i="4" s="1"/>
  <c r="B30" i="3"/>
  <c r="D30" i="3" s="1"/>
  <c r="B18" i="4" s="1"/>
  <c r="N56" i="4" s="1"/>
  <c r="B29" i="3"/>
  <c r="D29" i="3" s="1"/>
  <c r="B17" i="4" s="1"/>
  <c r="O56" i="4" s="1"/>
  <c r="O59" i="4"/>
  <c r="O52" i="4"/>
  <c r="I59" i="4"/>
  <c r="M67" i="4"/>
  <c r="M71" i="4"/>
  <c r="N52" i="4"/>
  <c r="I45" i="4"/>
  <c r="G65" i="4"/>
  <c r="E64" i="4"/>
  <c r="E62" i="4"/>
  <c r="J69" i="4"/>
  <c r="I68" i="4"/>
  <c r="L71" i="4"/>
  <c r="J68" i="4"/>
  <c r="H67" i="4"/>
  <c r="K69" i="4"/>
  <c r="L70" i="4"/>
  <c r="N71" i="4"/>
  <c r="N49" i="4"/>
  <c r="J43" i="4"/>
  <c r="M59" i="4"/>
  <c r="F64" i="4"/>
  <c r="H65" i="4"/>
  <c r="K68" i="4"/>
  <c r="G42" i="4"/>
  <c r="G43" i="4"/>
  <c r="I66" i="4"/>
  <c r="L69" i="4"/>
  <c r="F63" i="4"/>
  <c r="J67" i="4"/>
  <c r="L48" i="4"/>
  <c r="N68" i="4"/>
  <c r="H66" i="4"/>
  <c r="E51" i="4"/>
  <c r="O51" i="4"/>
  <c r="N46" i="4"/>
  <c r="M49" i="4"/>
  <c r="M70" i="4"/>
  <c r="M46" i="4"/>
  <c r="O61" i="4"/>
  <c r="H45" i="4"/>
  <c r="J46" i="4"/>
  <c r="H54" i="4"/>
  <c r="K47" i="4"/>
  <c r="L66" i="4"/>
  <c r="L49" i="4"/>
  <c r="M68" i="4"/>
  <c r="O50" i="4"/>
  <c r="J45" i="4"/>
  <c r="K70" i="4"/>
  <c r="E42" i="4"/>
  <c r="G55" i="4"/>
  <c r="J58" i="4"/>
  <c r="I63" i="4"/>
  <c r="K44" i="4"/>
  <c r="J42" i="4"/>
  <c r="J65" i="4"/>
  <c r="I67" i="4"/>
  <c r="H62" i="4"/>
  <c r="G66" i="4"/>
  <c r="J47" i="4"/>
  <c r="N51" i="4"/>
  <c r="K46" i="4"/>
  <c r="I57" i="4"/>
  <c r="K65" i="4"/>
  <c r="I42" i="4"/>
  <c r="F59" i="4"/>
  <c r="O69" i="4"/>
  <c r="F61" i="4"/>
  <c r="L45" i="4"/>
  <c r="K48" i="4"/>
  <c r="J54" i="4"/>
  <c r="G52" i="4"/>
  <c r="N48" i="4"/>
  <c r="K45" i="4"/>
  <c r="O71" i="4"/>
  <c r="M50" i="4"/>
  <c r="K67" i="4"/>
  <c r="F67" i="4"/>
  <c r="G59" i="4"/>
  <c r="L46" i="4"/>
  <c r="F60" i="4"/>
  <c r="N47" i="4"/>
  <c r="N70" i="4"/>
  <c r="E65" i="4"/>
  <c r="M69" i="4"/>
  <c r="J71" i="4"/>
  <c r="O53" i="4"/>
  <c r="J62" i="4"/>
  <c r="J44" i="4"/>
  <c r="L68" i="4"/>
  <c r="M66" i="4"/>
  <c r="H63" i="4"/>
  <c r="I64" i="4"/>
  <c r="I65" i="4"/>
  <c r="M47" i="4"/>
  <c r="E61" i="4"/>
  <c r="M48" i="4"/>
  <c r="G67" i="4"/>
  <c r="F62" i="4"/>
  <c r="G62" i="4"/>
  <c r="L64" i="4"/>
  <c r="J70" i="4"/>
  <c r="J66" i="4"/>
  <c r="L65" i="4"/>
  <c r="M65" i="4"/>
  <c r="H68" i="4"/>
  <c r="G63" i="4"/>
  <c r="N69" i="4"/>
  <c r="E60" i="4"/>
  <c r="L67" i="4"/>
  <c r="O49" i="4"/>
  <c r="O54" i="4"/>
  <c r="E57" i="4"/>
  <c r="I43" i="4"/>
  <c r="N66" i="4"/>
  <c r="I46" i="4"/>
  <c r="H43" i="4"/>
  <c r="F58" i="4"/>
  <c r="H60" i="4"/>
  <c r="O64" i="4"/>
  <c r="L47" i="4"/>
  <c r="K66" i="4"/>
  <c r="I62" i="4"/>
  <c r="G56" i="4"/>
  <c r="K63" i="4"/>
  <c r="I70" i="4"/>
  <c r="G60" i="4"/>
  <c r="G68" i="4"/>
  <c r="O68" i="4"/>
  <c r="J63" i="4"/>
  <c r="K71" i="4"/>
  <c r="H61" i="4"/>
  <c r="J61" i="4"/>
  <c r="E56" i="4"/>
  <c r="I69" i="4"/>
  <c r="K64" i="4"/>
  <c r="J64" i="4"/>
  <c r="K61" i="4"/>
  <c r="E45" i="4"/>
  <c r="O47" i="4"/>
  <c r="L44" i="4"/>
  <c r="M45" i="4"/>
  <c r="N53" i="4"/>
  <c r="J49" i="4"/>
  <c r="O66" i="4"/>
  <c r="F45" i="4"/>
  <c r="L50" i="4"/>
  <c r="G61" i="4"/>
  <c r="E58" i="4"/>
  <c r="G57" i="4"/>
  <c r="F57" i="4"/>
  <c r="G46" i="4"/>
  <c r="M63" i="4"/>
  <c r="I48" i="4"/>
  <c r="E59" i="4"/>
  <c r="N64" i="4"/>
  <c r="O58" i="4"/>
  <c r="K43" i="4"/>
  <c r="O67" i="4"/>
  <c r="E66" i="4"/>
  <c r="N58" i="4" l="1"/>
  <c r="H52" i="4"/>
  <c r="L52" i="4"/>
  <c r="K55" i="4"/>
  <c r="L57" i="4"/>
  <c r="H49" i="4"/>
  <c r="F43" i="4"/>
  <c r="L62" i="4"/>
  <c r="L56" i="4"/>
  <c r="O62" i="4"/>
  <c r="H59" i="4"/>
  <c r="G51" i="4"/>
  <c r="F56" i="4"/>
  <c r="F50" i="4"/>
  <c r="J52" i="4"/>
  <c r="N59" i="4"/>
  <c r="K51" i="4"/>
  <c r="G48" i="4"/>
  <c r="N54" i="4"/>
  <c r="J50" i="4"/>
  <c r="E50" i="4"/>
  <c r="M53" i="4"/>
  <c r="G47" i="4"/>
  <c r="K59" i="4"/>
  <c r="M64" i="4"/>
  <c r="B64" i="4" s="1"/>
  <c r="C64" i="4" s="1"/>
  <c r="I55" i="4"/>
  <c r="I50" i="4"/>
  <c r="M55" i="4"/>
  <c r="L63" i="4"/>
  <c r="E53" i="4"/>
  <c r="B53" i="4" s="1"/>
  <c r="C53" i="4" s="1"/>
  <c r="E55" i="4"/>
  <c r="L53" i="4"/>
  <c r="O57" i="4"/>
  <c r="K52" i="4"/>
  <c r="J56" i="4"/>
  <c r="I60" i="4"/>
  <c r="H58" i="4"/>
  <c r="H56" i="4"/>
  <c r="L60" i="4"/>
  <c r="N62" i="4"/>
  <c r="M57" i="4"/>
  <c r="N60" i="4"/>
  <c r="J60" i="4"/>
  <c r="F51" i="4"/>
  <c r="F47" i="4"/>
  <c r="G58" i="4"/>
  <c r="L54" i="4"/>
  <c r="M51" i="4"/>
  <c r="E52" i="4"/>
  <c r="G54" i="4"/>
  <c r="M60" i="4"/>
  <c r="F53" i="4"/>
  <c r="I51" i="4"/>
  <c r="H57" i="4"/>
  <c r="L55" i="4"/>
  <c r="N63" i="4"/>
  <c r="K53" i="4"/>
  <c r="I56" i="4"/>
  <c r="G50" i="4"/>
  <c r="J53" i="4"/>
  <c r="K50" i="4"/>
  <c r="I53" i="4"/>
  <c r="E43" i="4"/>
  <c r="E46" i="4"/>
  <c r="M58" i="4"/>
  <c r="H50" i="4"/>
  <c r="F49" i="4"/>
  <c r="L51" i="4"/>
  <c r="G45" i="4"/>
  <c r="K56" i="4"/>
  <c r="K49" i="4"/>
  <c r="K58" i="4"/>
  <c r="F52" i="4"/>
  <c r="G53" i="4"/>
  <c r="K54" i="4"/>
  <c r="L61" i="4"/>
  <c r="I54" i="4"/>
  <c r="O63" i="4"/>
  <c r="N61" i="4"/>
  <c r="B61" i="4" s="1"/>
  <c r="C61" i="4" s="1"/>
  <c r="E48" i="4"/>
  <c r="F55" i="4"/>
  <c r="K62" i="4"/>
  <c r="J51" i="4"/>
  <c r="J55" i="4"/>
  <c r="L59" i="4"/>
  <c r="F46" i="4"/>
  <c r="E44" i="4"/>
  <c r="F44" i="4"/>
  <c r="F54" i="4"/>
  <c r="K60" i="4"/>
  <c r="M54" i="4"/>
  <c r="I49" i="4"/>
  <c r="M56" i="4"/>
  <c r="I58" i="4"/>
  <c r="N55" i="4"/>
  <c r="G49" i="4"/>
  <c r="M62" i="4"/>
  <c r="E47" i="4"/>
  <c r="F48" i="4"/>
  <c r="M52" i="4"/>
  <c r="E54" i="4"/>
  <c r="J48" i="4"/>
  <c r="O60" i="4"/>
  <c r="N57" i="4"/>
  <c r="I52" i="4"/>
  <c r="I47" i="4"/>
  <c r="J57" i="4"/>
  <c r="O55" i="4"/>
  <c r="L58" i="4"/>
  <c r="B69" i="4"/>
  <c r="C69" i="4" s="1"/>
  <c r="B67" i="4"/>
  <c r="C67" i="4" s="1"/>
  <c r="B70" i="4"/>
  <c r="C70" i="4" s="1"/>
  <c r="B71" i="4"/>
  <c r="C71" i="4" s="1"/>
  <c r="B66" i="4"/>
  <c r="C66" i="4" s="1"/>
  <c r="B68" i="4"/>
  <c r="C68" i="4" s="1"/>
  <c r="B65" i="4"/>
  <c r="C65" i="4" s="1"/>
  <c r="B49" i="4" l="1"/>
  <c r="C49" i="4" s="1"/>
  <c r="B55" i="4"/>
  <c r="C55" i="4" s="1"/>
  <c r="B59" i="4"/>
  <c r="C59" i="4" s="1"/>
  <c r="B60" i="4"/>
  <c r="C60" i="4" s="1"/>
  <c r="B57" i="4"/>
  <c r="C57" i="4" s="1"/>
  <c r="B58" i="4"/>
  <c r="C58" i="4" s="1"/>
  <c r="B52" i="4"/>
  <c r="C52" i="4" s="1"/>
  <c r="B48" i="4"/>
  <c r="C48" i="4" s="1"/>
  <c r="B47" i="4"/>
  <c r="C47" i="4" s="1"/>
  <c r="B51" i="4"/>
  <c r="C51" i="4" s="1"/>
  <c r="B62" i="4"/>
  <c r="C62" i="4" s="1"/>
  <c r="B50" i="4"/>
  <c r="C50" i="4" s="1"/>
  <c r="B63" i="4"/>
  <c r="C63" i="4" s="1"/>
  <c r="D63" i="4" s="1"/>
  <c r="B54" i="4"/>
  <c r="C54" i="4" s="1"/>
  <c r="B56" i="4"/>
  <c r="C56" i="4" s="1"/>
  <c r="D49" i="4" l="1"/>
  <c r="D45" i="4"/>
  <c r="D51" i="4"/>
  <c r="D42" i="4"/>
  <c r="B2" i="6" s="1"/>
  <c r="D47" i="4"/>
  <c r="D62" i="4"/>
  <c r="V2" i="6" s="1"/>
  <c r="D52" i="4"/>
  <c r="L2" i="6" s="1"/>
  <c r="D54" i="4"/>
  <c r="N2" i="6" s="1"/>
  <c r="D44" i="4"/>
  <c r="D69" i="4"/>
  <c r="D57" i="4"/>
  <c r="Q2" i="6" s="1"/>
  <c r="D61" i="4"/>
  <c r="D59" i="4"/>
  <c r="D50" i="4"/>
  <c r="D55" i="4"/>
  <c r="O2" i="6" s="1"/>
  <c r="D66" i="4"/>
  <c r="Z2" i="6" s="1"/>
  <c r="D56" i="4"/>
  <c r="P2" i="6" s="1"/>
  <c r="D67" i="4"/>
  <c r="AA2" i="6" s="1"/>
  <c r="D70" i="4"/>
  <c r="AD2" i="6" s="1"/>
  <c r="D68" i="4"/>
  <c r="AB2" i="6" s="1"/>
  <c r="D60" i="4"/>
  <c r="T2" i="6" s="1"/>
  <c r="D53" i="4"/>
  <c r="M2" i="6" s="1"/>
  <c r="D65" i="4"/>
  <c r="Y2" i="6" s="1"/>
  <c r="D43" i="4"/>
  <c r="D71" i="4"/>
  <c r="AE2" i="6" s="1"/>
  <c r="D58" i="4"/>
  <c r="R2" i="6" s="1"/>
  <c r="D64" i="4"/>
  <c r="X2" i="6" s="1"/>
  <c r="D46" i="4"/>
  <c r="F2" i="6" s="1"/>
  <c r="D48" i="4"/>
  <c r="H2" i="6" s="1"/>
  <c r="I2" i="6"/>
  <c r="K2" i="6"/>
  <c r="E2" i="6"/>
  <c r="G2" i="6"/>
  <c r="U2" i="6"/>
  <c r="J2" i="6"/>
  <c r="D2" i="6"/>
  <c r="W2" i="6"/>
  <c r="AC2" i="6"/>
  <c r="S2" i="6"/>
  <c r="B73" i="4" l="1"/>
  <c r="B74" i="4" s="1"/>
  <c r="C2" i="6"/>
  <c r="B3" i="5" s="1"/>
  <c r="B4" i="5"/>
</calcChain>
</file>

<file path=xl/sharedStrings.xml><?xml version="1.0" encoding="utf-8"?>
<sst xmlns="http://schemas.openxmlformats.org/spreadsheetml/2006/main" count="80" uniqueCount="76">
  <si>
    <t>CPRS Cement Preexisting Capacity Overhaul Decision Schedule</t>
  </si>
  <si>
    <t>Sources:</t>
  </si>
  <si>
    <t>https://netzeroamerica.princeton.edu/img/Princeton_NZA_Annex_K.pdf</t>
  </si>
  <si>
    <t>Notes:</t>
  </si>
  <si>
    <t>Cohort</t>
  </si>
  <si>
    <t>Kiln count</t>
  </si>
  <si>
    <t>Nameplate capacity (Mt/yr)</t>
  </si>
  <si>
    <t>Convention</t>
  </si>
  <si>
    <t>Pre-2000</t>
  </si>
  <si>
    <t>7%/yr turnover from 2026 (NZA post-2025 rate)</t>
  </si>
  <si>
    <t>Post-2000</t>
  </si>
  <si>
    <t>35-yr campaign, staggered installs ~2000-2010</t>
  </si>
  <si>
    <t>Pre-2000 cohort: 7%/yr of 49.6 Mt, 2026-2039, remainder in 2040</t>
  </si>
  <si>
    <t>Pre-2000 cohort nameplate (Mt)</t>
  </si>
  <si>
    <t>Annual rate = 7% x cohort</t>
  </si>
  <si>
    <t>Years at full rate (2026-2039)</t>
  </si>
  <si>
    <t>Cumulative at full rate (Mt)</t>
  </si>
  <si>
    <t>Remainder in 2040 (Mt) = cohort - cumulative</t>
  </si>
  <si>
    <t>Post-2000 cohort: 35-yr staggered campaign end, 2036-2045</t>
  </si>
  <si>
    <t>Post-2000 cohort nameplate (Mt)</t>
  </si>
  <si>
    <t>Years spanned (2036-2045)</t>
  </si>
  <si>
    <t>Annual rate = cohort / years (Mt/yr)</t>
  </si>
  <si>
    <t>Year-by-year schedule (t/yr), pre-2000 + post-2000</t>
  </si>
  <si>
    <t>Year</t>
  </si>
  <si>
    <t>Pre-2000 component</t>
  </si>
  <si>
    <t>Post-2000 component</t>
  </si>
  <si>
    <t>Total (dry kiln with precalciner)</t>
  </si>
  <si>
    <t>Kernel offset d</t>
  </si>
  <si>
    <t>Weight (6-ABS(d))/36</t>
  </si>
  <si>
    <t>Source rows: raw = Derivation total; scale renormalizes each source year's kernel onto the window [2026, 2050].</t>
  </si>
  <si>
    <t>Raw (t/yr, Derivation)</t>
  </si>
  <si>
    <t>Edge scale</t>
  </si>
  <si>
    <t>Smoothed schedule: smoothed(Y) = SUM over d of raw(Y-d) x weight(d) x scale(Y-d); columns E..O are the d = -5..+5 terms.</t>
  </si>
  <si>
    <t>Smoothed (t/yr)</t>
  </si>
  <si>
    <t>Shipped (t/yr)</t>
  </si>
  <si>
    <t>term d=-5</t>
  </si>
  <si>
    <t>term d=-4</t>
  </si>
  <si>
    <t>term d=-3</t>
  </si>
  <si>
    <t>term d=-2</t>
  </si>
  <si>
    <t>term d=-1</t>
  </si>
  <si>
    <t>term d=0</t>
  </si>
  <si>
    <t>term d=1</t>
  </si>
  <si>
    <t>term d=2</t>
  </si>
  <si>
    <t>term d=3</t>
  </si>
  <si>
    <t>term d=4</t>
  </si>
  <si>
    <t>term d=5</t>
  </si>
  <si>
    <t>Mass conservation check (raw total - shipped total; must be 0)</t>
  </si>
  <si>
    <t>PASS/FAIL</t>
  </si>
  <si>
    <t>dry kiln with precalciner</t>
  </si>
  <si>
    <t>dry kiln with CCS</t>
  </si>
  <si>
    <t>electric kiln</t>
  </si>
  <si>
    <t>alternative chemistry cement</t>
  </si>
  <si>
    <t>Checks</t>
  </si>
  <si>
    <t>Smoothing keeps total capacity unchanged (export total = Derivation total)</t>
  </si>
  <si>
    <t>No decisions before the first decision year (2026)</t>
  </si>
  <si>
    <t>U.S. kiln fleet age cohorts</t>
  </si>
  <si>
    <t>Princeton University, Net-Zero America project</t>
  </si>
  <si>
    <t>Net-Zero America: Potential Pathways, Infrastructure, and Impacts - Annex K (Industry), section 6.3 on cement</t>
  </si>
  <si>
    <t>About 92 U.S. kilns installed before 2000 with roughly 49.6 million metric tons per year of clinker capacity, and about 38 kilns installed since 2000 with roughly 46.7 million metric tons per year. The annex also assumes 7% per year turnover of the older cohort after 2025 and a 35-year kiln campaign. The cohort totals and kiln counts are on the 'NZA Annex K Cohorts' tab. The annex does not give kiln-level install years, so the timing within each cohort is our approximation.</t>
  </si>
  <si>
    <t>Why decision timing is spread out</t>
  </si>
  <si>
    <t>European Cement Research Academy (ECRA) and the Cement Sustainability Initiative (WBCSD)</t>
  </si>
  <si>
    <t>Development of State of the Art Techniques in Cement Manufacturing: Trying to Look Ahead (CSI/ECRA Technology Papers)</t>
  </si>
  <si>
    <t>https://www.wbcsd.org/Sector-Projects/Cement-Sustainability-Initiative/Resources/Development-of-State-of-the-Art-Techniques-in-Cement-Manufacturing</t>
  </si>
  <si>
    <t>Page 9 describes kiln lifetimes of usually 30 to 50 years, with most original equipment replaced piecemeal after 20 to 30 years. We use this only to justify spreading each cohort's decisions over a window of plus or minus 5 years instead of putting them all in one year; the 5-year half-width is our judgment.</t>
  </si>
  <si>
    <t>Purpose and layout</t>
  </si>
  <si>
    <t>This file tells the EPS how much existing cement kiln capacity, in metric tons of clinker capacity per year, reaches an overhaul-or-replace decision in each year from 2026 to 2050. It applies to the capacity the region has at the start of the simulation; capacity built during the run is tracked separately. The file says only how much capacity comes up for a decision, by kiln pathway. Whether that capacity is overhauled or replaced, and with which technology, is decided inside the model by comparing costs (see the CRSW file).
The tabs run from inputs to output. 'NZA Annex K Cohorts' holds the two fleet cohorts. 'Derivation' turns them into a year-by-year schedule, and 'Smoothing' spreads that schedule over neighboring years. 'Checks' confirms the smoothing keeps the total capacity unchanged and puts nothing before 2026. The 'CPRS' tab reads from 'Smoothing' (all capacity on the dry kiln with precalciner row, zeros for the other three pathways) and is what gets exported to CPRS.csv.</t>
  </si>
  <si>
    <t>U.S. values</t>
  </si>
  <si>
    <t>Smoothing</t>
  </si>
  <si>
    <t>Limits and other regions</t>
  </si>
  <si>
    <t>The cohort timing is an approximation, because kiln-level install years come from the Portland Cement Association's proprietary plant data, which we do not have. If that data becomes available, the schedule could be built kiln by kiln and the cohort assumptions dropped. All capacity is assigned to the dry kiln with precalciner pathway, matching the start-year capacity by pathway; the other three pathways are zero in every year. For a non-U.S. region, replace the cohort sizes and timing on the 'NZA Annex K Cohorts' and 'Derivation' tabs with regional fleet-age data; the smoothing and export tabs will follow.</t>
  </si>
  <si>
    <t>Campaign-timing smoothing: the Derivation tab's step schedule is spread with a +/-5-year triangular kernel. ECRA (2017, p.9) documents rolling 20-30 year kiln component-replacement cycles, so decisions do not all fall in one year. Kernel weight that would land before 2026 is moved onto 2026 and later (turnover before 2026 is already reflected in the USGS 2025 capacity the fleet starts from). Total capacity is conserved exactly.</t>
  </si>
  <si>
    <t>Unit: metric tons clinker capacity/year</t>
  </si>
  <si>
    <t>Annual rate (t/yr)</t>
  </si>
  <si>
    <t>Remainder in 2040 (t/yr)</t>
  </si>
  <si>
    <t>The older cohort (49.6 million metric tons) comes up for decision at 7% of its capacity per year starting in 2026, which is 3.472 million metric tons per year through 2039, with the remaining 0.992 million metric tons in 2040. The newer cohort (46.7 million metric tons) was installed over roughly 2000-2010 and reaches a 35-year campaign end across 2036-2045; we spread it evenly over those ten years at 4.67 million metric tons per year. The two cohorts overlap in 2036-2040. Turnover before 2025 is already reflected in the start-year capacity the model begins with, so nothing is scheduled before 2026.</t>
  </si>
  <si>
    <t>Real kilns do not all reach a decision on the same date: campaign timing varies, and ECRA documents rolling 20-30 year component replacement cycles. Using the cohort schedule as-is would create sharp steps and a spike of decisions in the late 2030s, so each year's capacity is spread over the surrounding 11 years with triangular weights (the year itself counts most, years 5 away count least). Any weight that would fall before 2026 or after 2050 is shifted onto the years that remain, so the total capacity is unchanged. The unsmoothed schedule stays visible on the 'Derivation'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</si>
</sst>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1"/>
      <color theme="1"/>
      <name val="Calibri"/>
      <family val="2"/>
      <scheme val="minor"/>
    </font>
    <font>
      <u/>
      <sz val="11"/>
      <color theme="10"/>
      <name val="Calibri"/>
      <family val="2"/>
      <scheme val="minor"/>
    </font>
    <font>
      <u/>
      <sz val="11"/>
      <color rgb="FF0563C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0" borderId="0" xfId="0" applyFont="1"/>
    <xf numFmtId="0" fontId="2" fillId="0" borderId="0" xfId="0" applyFont="1"/>
    <xf numFmtId="0" fontId="2" fillId="0" borderId="0" xfId="0" applyFont="1" applyAlignment="1">
      <alignment horizontal="left" vertical="top" wrapText="1"/>
    </xf>
    <xf numFmtId="0" fontId="2" fillId="0" borderId="0" xfId="0" applyFont="1" applyAlignment="1">
      <alignment horizontal="left" vertical="top"/>
    </xf>
    <xf numFmtId="0" fontId="2" fillId="2" borderId="0" xfId="0" applyFont="1" applyFill="1" applyAlignment="1">
      <alignment horizontal="left" vertical="top" wrapText="1"/>
    </xf>
    <xf numFmtId="0" fontId="4" fillId="0" borderId="0" xfId="1" applyFont="1" applyAlignment="1">
      <alignment horizontal="left" vertical="top" wrapText="1"/>
    </xf>
    <xf numFmtId="0" fontId="0"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wbcsd.org/Sector-Projects/Cement-Sustainability-Initiative/Resources/Development-of-State-of-the-Art-Techniques-in-Cement-Manufacturing" TargetMode="External"/><Relationship Id="rId1" Type="http://schemas.openxmlformats.org/officeDocument/2006/relationships/hyperlink" Target="https://netzeroamerica.princeton.edu/img/Princeton_NZA_Annex_K.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tabSelected="1" workbookViewId="0"/>
  </sheetViews>
  <sheetFormatPr defaultRowHeight="14.5" x14ac:dyDescent="0.35"/>
  <cols>
    <col min="1" max="1" width="14.6328125" customWidth="1"/>
    <col min="2" max="2" width="110.6328125" customWidth="1"/>
    <col min="3" max="3" width="3.6328125" customWidth="1"/>
    <col min="4" max="4" width="9.08984375" customWidth="1"/>
  </cols>
  <sheetData>
    <row r="1" spans="1:2" x14ac:dyDescent="0.35">
      <c r="A1" s="4" t="s">
        <v>0</v>
      </c>
    </row>
    <row r="3" spans="1:2" x14ac:dyDescent="0.35">
      <c r="A3" s="3" t="s">
        <v>1</v>
      </c>
      <c r="B3" s="5" t="s">
        <v>55</v>
      </c>
    </row>
    <row r="4" spans="1:2" x14ac:dyDescent="0.35">
      <c r="B4" s="7" t="s">
        <v>56</v>
      </c>
    </row>
    <row r="5" spans="1:2" x14ac:dyDescent="0.35">
      <c r="B5" s="7" t="s">
        <v>57</v>
      </c>
    </row>
    <row r="6" spans="1:2" x14ac:dyDescent="0.35">
      <c r="B6" s="7">
        <v>2021</v>
      </c>
    </row>
    <row r="7" spans="1:2" x14ac:dyDescent="0.35">
      <c r="B7" s="6" t="s">
        <v>2</v>
      </c>
    </row>
    <row r="8" spans="1:2" ht="58" x14ac:dyDescent="0.35">
      <c r="B8" s="7" t="s">
        <v>58</v>
      </c>
    </row>
    <row r="10" spans="1:2" x14ac:dyDescent="0.35">
      <c r="B10" s="5" t="s">
        <v>59</v>
      </c>
    </row>
    <row r="11" spans="1:2" x14ac:dyDescent="0.35">
      <c r="B11" s="7" t="s">
        <v>60</v>
      </c>
    </row>
    <row r="12" spans="1:2" x14ac:dyDescent="0.35">
      <c r="B12" s="7" t="s">
        <v>61</v>
      </c>
    </row>
    <row r="13" spans="1:2" x14ac:dyDescent="0.35">
      <c r="B13" s="7">
        <v>2017</v>
      </c>
    </row>
    <row r="14" spans="1:2" ht="29" x14ac:dyDescent="0.35">
      <c r="B14" s="6" t="s">
        <v>62</v>
      </c>
    </row>
    <row r="15" spans="1:2" ht="43.5" x14ac:dyDescent="0.35">
      <c r="B15" s="7" t="s">
        <v>63</v>
      </c>
    </row>
    <row r="18" spans="1:2" x14ac:dyDescent="0.35">
      <c r="A18" s="3" t="s">
        <v>3</v>
      </c>
    </row>
    <row r="19" spans="1:2" ht="145" x14ac:dyDescent="0.35">
      <c r="A19" s="3" t="s">
        <v>64</v>
      </c>
      <c r="B19" s="7" t="s">
        <v>65</v>
      </c>
    </row>
    <row r="20" spans="1:2" ht="72.5" x14ac:dyDescent="0.35">
      <c r="A20" s="3" t="s">
        <v>66</v>
      </c>
      <c r="B20" s="7" t="s">
        <v>74</v>
      </c>
    </row>
    <row r="21" spans="1:2" ht="72.5" x14ac:dyDescent="0.35">
      <c r="A21" s="3" t="s">
        <v>67</v>
      </c>
      <c r="B21" s="7" t="s">
        <v>75</v>
      </c>
    </row>
    <row r="22" spans="1:2" ht="72.5" x14ac:dyDescent="0.35">
      <c r="A22" s="3" t="s">
        <v>68</v>
      </c>
      <c r="B22" s="7" t="s">
        <v>69</v>
      </c>
    </row>
  </sheetData>
  <hyperlinks>
    <hyperlink ref="B7" r:id="rId1" xr:uid="{F929486D-791A-4F3D-BF50-F24586553EDA}"/>
    <hyperlink ref="B14" r:id="rId2" xr:uid="{0DF1D1FC-7969-4C3E-BAEE-5973FF6C9653}"/>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
  <sheetViews>
    <sheetView workbookViewId="0">
      <pane ySplit="1" topLeftCell="A2" activePane="bottomLeft" state="frozen"/>
      <selection pane="bottomLeft"/>
    </sheetView>
  </sheetViews>
  <sheetFormatPr defaultRowHeight="14.5" x14ac:dyDescent="0.35"/>
  <sheetData>
    <row r="1" spans="1:4" x14ac:dyDescent="0.35">
      <c r="A1" s="1" t="s">
        <v>4</v>
      </c>
      <c r="B1" s="1" t="s">
        <v>5</v>
      </c>
      <c r="C1" s="1" t="s">
        <v>6</v>
      </c>
      <c r="D1" s="1" t="s">
        <v>7</v>
      </c>
    </row>
    <row r="2" spans="1:4" x14ac:dyDescent="0.35">
      <c r="A2" t="s">
        <v>8</v>
      </c>
      <c r="B2">
        <v>92</v>
      </c>
      <c r="C2">
        <v>49.6</v>
      </c>
      <c r="D2" t="s">
        <v>9</v>
      </c>
    </row>
    <row r="3" spans="1:4" x14ac:dyDescent="0.35">
      <c r="A3" t="s">
        <v>10</v>
      </c>
      <c r="B3">
        <v>38</v>
      </c>
      <c r="C3">
        <v>46.7</v>
      </c>
      <c r="D3" t="s">
        <v>11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9"/>
  <sheetViews>
    <sheetView workbookViewId="0"/>
  </sheetViews>
  <sheetFormatPr defaultRowHeight="14.5" x14ac:dyDescent="0.35"/>
  <sheetData>
    <row r="1" spans="1:2" x14ac:dyDescent="0.35">
      <c r="A1" s="1" t="s">
        <v>12</v>
      </c>
    </row>
    <row r="3" spans="1:2" x14ac:dyDescent="0.35">
      <c r="A3" t="s">
        <v>13</v>
      </c>
      <c r="B3">
        <f>'NZA Annex K Cohorts'!C2</f>
        <v>49.6</v>
      </c>
    </row>
    <row r="4" spans="1:2" x14ac:dyDescent="0.35">
      <c r="A4" t="s">
        <v>14</v>
      </c>
      <c r="B4">
        <f>0.07*B3</f>
        <v>3.4720000000000004</v>
      </c>
    </row>
    <row r="5" spans="1:2" x14ac:dyDescent="0.35">
      <c r="A5" t="s">
        <v>72</v>
      </c>
      <c r="B5">
        <f>B4*1000000</f>
        <v>3472000.0000000005</v>
      </c>
    </row>
    <row r="6" spans="1:2" x14ac:dyDescent="0.35">
      <c r="A6" t="s">
        <v>15</v>
      </c>
      <c r="B6">
        <v>14</v>
      </c>
    </row>
    <row r="7" spans="1:2" x14ac:dyDescent="0.35">
      <c r="A7" t="s">
        <v>16</v>
      </c>
      <c r="B7">
        <f>B5*B6/1000000</f>
        <v>48.608000000000004</v>
      </c>
    </row>
    <row r="8" spans="1:2" x14ac:dyDescent="0.35">
      <c r="A8" t="s">
        <v>17</v>
      </c>
      <c r="B8">
        <f>B3-B7</f>
        <v>0.99199999999999733</v>
      </c>
    </row>
    <row r="9" spans="1:2" x14ac:dyDescent="0.35">
      <c r="A9" t="s">
        <v>73</v>
      </c>
      <c r="B9">
        <f>B8*1000000</f>
        <v>991999.99999999732</v>
      </c>
    </row>
    <row r="11" spans="1:2" x14ac:dyDescent="0.35">
      <c r="A11" s="1" t="s">
        <v>18</v>
      </c>
    </row>
    <row r="13" spans="1:2" x14ac:dyDescent="0.35">
      <c r="A13" t="s">
        <v>19</v>
      </c>
      <c r="B13">
        <f>'NZA Annex K Cohorts'!C3</f>
        <v>46.7</v>
      </c>
    </row>
    <row r="14" spans="1:2" x14ac:dyDescent="0.35">
      <c r="A14" t="s">
        <v>20</v>
      </c>
      <c r="B14">
        <v>10</v>
      </c>
    </row>
    <row r="15" spans="1:2" x14ac:dyDescent="0.35">
      <c r="A15" t="s">
        <v>21</v>
      </c>
      <c r="B15">
        <f>B13/B14</f>
        <v>4.67</v>
      </c>
    </row>
    <row r="16" spans="1:2" x14ac:dyDescent="0.35">
      <c r="A16" t="s">
        <v>72</v>
      </c>
      <c r="B16">
        <f>B15*1000000</f>
        <v>4670000</v>
      </c>
    </row>
    <row r="18" spans="1:4" x14ac:dyDescent="0.35">
      <c r="A18" s="1" t="s">
        <v>22</v>
      </c>
    </row>
    <row r="19" spans="1:4" x14ac:dyDescent="0.35">
      <c r="A19" t="s">
        <v>23</v>
      </c>
      <c r="B19" t="s">
        <v>24</v>
      </c>
      <c r="C19" t="s">
        <v>25</v>
      </c>
      <c r="D19" t="s">
        <v>26</v>
      </c>
    </row>
    <row r="20" spans="1:4" x14ac:dyDescent="0.35">
      <c r="A20">
        <v>2021</v>
      </c>
      <c r="B20">
        <v>0</v>
      </c>
      <c r="C20">
        <v>0</v>
      </c>
      <c r="D20">
        <f t="shared" ref="D20:D49" si="0">B20+C20</f>
        <v>0</v>
      </c>
    </row>
    <row r="21" spans="1:4" x14ac:dyDescent="0.35">
      <c r="A21">
        <v>2022</v>
      </c>
      <c r="B21">
        <v>0</v>
      </c>
      <c r="C21">
        <v>0</v>
      </c>
      <c r="D21">
        <f t="shared" si="0"/>
        <v>0</v>
      </c>
    </row>
    <row r="22" spans="1:4" x14ac:dyDescent="0.35">
      <c r="A22">
        <v>2023</v>
      </c>
      <c r="B22">
        <v>0</v>
      </c>
      <c r="C22">
        <v>0</v>
      </c>
      <c r="D22">
        <f t="shared" si="0"/>
        <v>0</v>
      </c>
    </row>
    <row r="23" spans="1:4" x14ac:dyDescent="0.35">
      <c r="A23">
        <v>2024</v>
      </c>
      <c r="B23">
        <v>0</v>
      </c>
      <c r="C23">
        <v>0</v>
      </c>
      <c r="D23">
        <f t="shared" si="0"/>
        <v>0</v>
      </c>
    </row>
    <row r="24" spans="1:4" x14ac:dyDescent="0.35">
      <c r="A24">
        <v>2025</v>
      </c>
      <c r="B24">
        <v>0</v>
      </c>
      <c r="C24">
        <v>0</v>
      </c>
      <c r="D24">
        <f t="shared" si="0"/>
        <v>0</v>
      </c>
    </row>
    <row r="25" spans="1:4" x14ac:dyDescent="0.35">
      <c r="A25">
        <v>2026</v>
      </c>
      <c r="B25">
        <f t="shared" ref="B25:B38" si="1">$B$5</f>
        <v>3472000.0000000005</v>
      </c>
      <c r="C25">
        <v>0</v>
      </c>
      <c r="D25">
        <f t="shared" si="0"/>
        <v>3472000.0000000005</v>
      </c>
    </row>
    <row r="26" spans="1:4" x14ac:dyDescent="0.35">
      <c r="A26">
        <v>2027</v>
      </c>
      <c r="B26">
        <f t="shared" si="1"/>
        <v>3472000.0000000005</v>
      </c>
      <c r="C26">
        <v>0</v>
      </c>
      <c r="D26">
        <f t="shared" si="0"/>
        <v>3472000.0000000005</v>
      </c>
    </row>
    <row r="27" spans="1:4" x14ac:dyDescent="0.35">
      <c r="A27">
        <v>2028</v>
      </c>
      <c r="B27">
        <f t="shared" si="1"/>
        <v>3472000.0000000005</v>
      </c>
      <c r="C27">
        <v>0</v>
      </c>
      <c r="D27">
        <f t="shared" si="0"/>
        <v>3472000.0000000005</v>
      </c>
    </row>
    <row r="28" spans="1:4" x14ac:dyDescent="0.35">
      <c r="A28">
        <v>2029</v>
      </c>
      <c r="B28">
        <f t="shared" si="1"/>
        <v>3472000.0000000005</v>
      </c>
      <c r="C28">
        <v>0</v>
      </c>
      <c r="D28">
        <f t="shared" si="0"/>
        <v>3472000.0000000005</v>
      </c>
    </row>
    <row r="29" spans="1:4" x14ac:dyDescent="0.35">
      <c r="A29">
        <v>2030</v>
      </c>
      <c r="B29">
        <f t="shared" si="1"/>
        <v>3472000.0000000005</v>
      </c>
      <c r="C29">
        <v>0</v>
      </c>
      <c r="D29">
        <f t="shared" si="0"/>
        <v>3472000.0000000005</v>
      </c>
    </row>
    <row r="30" spans="1:4" x14ac:dyDescent="0.35">
      <c r="A30">
        <v>2031</v>
      </c>
      <c r="B30">
        <f t="shared" si="1"/>
        <v>3472000.0000000005</v>
      </c>
      <c r="C30">
        <v>0</v>
      </c>
      <c r="D30">
        <f t="shared" si="0"/>
        <v>3472000.0000000005</v>
      </c>
    </row>
    <row r="31" spans="1:4" x14ac:dyDescent="0.35">
      <c r="A31">
        <v>2032</v>
      </c>
      <c r="B31">
        <f t="shared" si="1"/>
        <v>3472000.0000000005</v>
      </c>
      <c r="C31">
        <v>0</v>
      </c>
      <c r="D31">
        <f t="shared" si="0"/>
        <v>3472000.0000000005</v>
      </c>
    </row>
    <row r="32" spans="1:4" x14ac:dyDescent="0.35">
      <c r="A32">
        <v>2033</v>
      </c>
      <c r="B32">
        <f t="shared" si="1"/>
        <v>3472000.0000000005</v>
      </c>
      <c r="C32">
        <v>0</v>
      </c>
      <c r="D32">
        <f t="shared" si="0"/>
        <v>3472000.0000000005</v>
      </c>
    </row>
    <row r="33" spans="1:4" x14ac:dyDescent="0.35">
      <c r="A33">
        <v>2034</v>
      </c>
      <c r="B33">
        <f t="shared" si="1"/>
        <v>3472000.0000000005</v>
      </c>
      <c r="C33">
        <v>0</v>
      </c>
      <c r="D33">
        <f t="shared" si="0"/>
        <v>3472000.0000000005</v>
      </c>
    </row>
    <row r="34" spans="1:4" x14ac:dyDescent="0.35">
      <c r="A34">
        <v>2035</v>
      </c>
      <c r="B34">
        <f t="shared" si="1"/>
        <v>3472000.0000000005</v>
      </c>
      <c r="C34">
        <v>0</v>
      </c>
      <c r="D34">
        <f t="shared" si="0"/>
        <v>3472000.0000000005</v>
      </c>
    </row>
    <row r="35" spans="1:4" x14ac:dyDescent="0.35">
      <c r="A35">
        <v>2036</v>
      </c>
      <c r="B35">
        <f t="shared" si="1"/>
        <v>3472000.0000000005</v>
      </c>
      <c r="C35">
        <f t="shared" ref="C35:C44" si="2">$B$16</f>
        <v>4670000</v>
      </c>
      <c r="D35">
        <f t="shared" si="0"/>
        <v>8142000</v>
      </c>
    </row>
    <row r="36" spans="1:4" x14ac:dyDescent="0.35">
      <c r="A36">
        <v>2037</v>
      </c>
      <c r="B36">
        <f t="shared" si="1"/>
        <v>3472000.0000000005</v>
      </c>
      <c r="C36">
        <f t="shared" si="2"/>
        <v>4670000</v>
      </c>
      <c r="D36">
        <f t="shared" si="0"/>
        <v>8142000</v>
      </c>
    </row>
    <row r="37" spans="1:4" x14ac:dyDescent="0.35">
      <c r="A37">
        <v>2038</v>
      </c>
      <c r="B37">
        <f t="shared" si="1"/>
        <v>3472000.0000000005</v>
      </c>
      <c r="C37">
        <f t="shared" si="2"/>
        <v>4670000</v>
      </c>
      <c r="D37">
        <f t="shared" si="0"/>
        <v>8142000</v>
      </c>
    </row>
    <row r="38" spans="1:4" x14ac:dyDescent="0.35">
      <c r="A38">
        <v>2039</v>
      </c>
      <c r="B38">
        <f t="shared" si="1"/>
        <v>3472000.0000000005</v>
      </c>
      <c r="C38">
        <f t="shared" si="2"/>
        <v>4670000</v>
      </c>
      <c r="D38">
        <f t="shared" si="0"/>
        <v>8142000</v>
      </c>
    </row>
    <row r="39" spans="1:4" x14ac:dyDescent="0.35">
      <c r="A39">
        <v>2040</v>
      </c>
      <c r="B39">
        <f>$B$9</f>
        <v>991999.99999999732</v>
      </c>
      <c r="C39">
        <f t="shared" si="2"/>
        <v>4670000</v>
      </c>
      <c r="D39">
        <f t="shared" si="0"/>
        <v>5661999.9999999972</v>
      </c>
    </row>
    <row r="40" spans="1:4" x14ac:dyDescent="0.35">
      <c r="A40">
        <v>2041</v>
      </c>
      <c r="B40">
        <v>0</v>
      </c>
      <c r="C40">
        <f t="shared" si="2"/>
        <v>4670000</v>
      </c>
      <c r="D40">
        <f t="shared" si="0"/>
        <v>4670000</v>
      </c>
    </row>
    <row r="41" spans="1:4" x14ac:dyDescent="0.35">
      <c r="A41">
        <v>2042</v>
      </c>
      <c r="B41">
        <v>0</v>
      </c>
      <c r="C41">
        <f t="shared" si="2"/>
        <v>4670000</v>
      </c>
      <c r="D41">
        <f t="shared" si="0"/>
        <v>4670000</v>
      </c>
    </row>
    <row r="42" spans="1:4" x14ac:dyDescent="0.35">
      <c r="A42">
        <v>2043</v>
      </c>
      <c r="B42">
        <v>0</v>
      </c>
      <c r="C42">
        <f t="shared" si="2"/>
        <v>4670000</v>
      </c>
      <c r="D42">
        <f t="shared" si="0"/>
        <v>4670000</v>
      </c>
    </row>
    <row r="43" spans="1:4" x14ac:dyDescent="0.35">
      <c r="A43">
        <v>2044</v>
      </c>
      <c r="B43">
        <v>0</v>
      </c>
      <c r="C43">
        <f t="shared" si="2"/>
        <v>4670000</v>
      </c>
      <c r="D43">
        <f t="shared" si="0"/>
        <v>4670000</v>
      </c>
    </row>
    <row r="44" spans="1:4" x14ac:dyDescent="0.35">
      <c r="A44">
        <v>2045</v>
      </c>
      <c r="B44">
        <v>0</v>
      </c>
      <c r="C44">
        <f t="shared" si="2"/>
        <v>4670000</v>
      </c>
      <c r="D44">
        <f t="shared" si="0"/>
        <v>4670000</v>
      </c>
    </row>
    <row r="45" spans="1:4" x14ac:dyDescent="0.35">
      <c r="A45">
        <v>2046</v>
      </c>
      <c r="B45">
        <v>0</v>
      </c>
      <c r="C45">
        <v>0</v>
      </c>
      <c r="D45">
        <f t="shared" si="0"/>
        <v>0</v>
      </c>
    </row>
    <row r="46" spans="1:4" x14ac:dyDescent="0.35">
      <c r="A46">
        <v>2047</v>
      </c>
      <c r="B46">
        <v>0</v>
      </c>
      <c r="C46">
        <v>0</v>
      </c>
      <c r="D46">
        <f t="shared" si="0"/>
        <v>0</v>
      </c>
    </row>
    <row r="47" spans="1:4" x14ac:dyDescent="0.35">
      <c r="A47">
        <v>2048</v>
      </c>
      <c r="B47">
        <v>0</v>
      </c>
      <c r="C47">
        <v>0</v>
      </c>
      <c r="D47">
        <f t="shared" si="0"/>
        <v>0</v>
      </c>
    </row>
    <row r="48" spans="1:4" x14ac:dyDescent="0.35">
      <c r="A48">
        <v>2049</v>
      </c>
      <c r="B48">
        <v>0</v>
      </c>
      <c r="C48">
        <v>0</v>
      </c>
      <c r="D48">
        <f t="shared" si="0"/>
        <v>0</v>
      </c>
    </row>
    <row r="49" spans="1:4" x14ac:dyDescent="0.35">
      <c r="A49">
        <v>2050</v>
      </c>
      <c r="B49">
        <v>0</v>
      </c>
      <c r="C49">
        <v>0</v>
      </c>
      <c r="D49">
        <f t="shared" si="0"/>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74"/>
  <sheetViews>
    <sheetView workbookViewId="0"/>
  </sheetViews>
  <sheetFormatPr defaultRowHeight="14.5" x14ac:dyDescent="0.35"/>
  <sheetData>
    <row r="1" spans="1:12" x14ac:dyDescent="0.35">
      <c r="A1" t="s">
        <v>70</v>
      </c>
    </row>
    <row r="3" spans="1:12" x14ac:dyDescent="0.35">
      <c r="A3" t="s">
        <v>27</v>
      </c>
      <c r="B3">
        <v>-5</v>
      </c>
      <c r="C3">
        <v>-4</v>
      </c>
      <c r="D3">
        <v>-3</v>
      </c>
      <c r="E3">
        <v>-2</v>
      </c>
      <c r="F3">
        <v>-1</v>
      </c>
      <c r="G3">
        <v>0</v>
      </c>
      <c r="H3">
        <v>1</v>
      </c>
      <c r="I3">
        <v>2</v>
      </c>
      <c r="J3">
        <v>3</v>
      </c>
      <c r="K3">
        <v>4</v>
      </c>
      <c r="L3">
        <v>5</v>
      </c>
    </row>
    <row r="4" spans="1:12" x14ac:dyDescent="0.35">
      <c r="A4" t="s">
        <v>28</v>
      </c>
      <c r="B4">
        <f t="shared" ref="B4:L4" si="0">(6-ABS(B3))/36</f>
        <v>2.7777777777777776E-2</v>
      </c>
      <c r="C4">
        <f t="shared" si="0"/>
        <v>5.5555555555555552E-2</v>
      </c>
      <c r="D4">
        <f t="shared" si="0"/>
        <v>8.3333333333333329E-2</v>
      </c>
      <c r="E4">
        <f t="shared" si="0"/>
        <v>0.1111111111111111</v>
      </c>
      <c r="F4">
        <f t="shared" si="0"/>
        <v>0.1388888888888889</v>
      </c>
      <c r="G4">
        <f t="shared" si="0"/>
        <v>0.16666666666666666</v>
      </c>
      <c r="H4">
        <f t="shared" si="0"/>
        <v>0.1388888888888889</v>
      </c>
      <c r="I4">
        <f t="shared" si="0"/>
        <v>0.1111111111111111</v>
      </c>
      <c r="J4">
        <f t="shared" si="0"/>
        <v>8.3333333333333329E-2</v>
      </c>
      <c r="K4">
        <f t="shared" si="0"/>
        <v>5.5555555555555552E-2</v>
      </c>
      <c r="L4">
        <f t="shared" si="0"/>
        <v>2.7777777777777776E-2</v>
      </c>
    </row>
    <row r="6" spans="1:12" x14ac:dyDescent="0.35">
      <c r="A6" t="s">
        <v>29</v>
      </c>
    </row>
    <row r="7" spans="1:12" x14ac:dyDescent="0.35">
      <c r="A7" t="s">
        <v>23</v>
      </c>
      <c r="B7" t="s">
        <v>30</v>
      </c>
      <c r="C7" t="s">
        <v>31</v>
      </c>
    </row>
    <row r="8" spans="1:12" x14ac:dyDescent="0.35">
      <c r="A8">
        <v>2021</v>
      </c>
      <c r="B8">
        <f>Derivation!D20</f>
        <v>0</v>
      </c>
      <c r="C8">
        <f t="shared" ref="C8:C37" si="1">1/SUMPRODUCT($B$4:$L$4*((A8+$B$3:$L$3&gt;=2026)*(A8+$B$3:$L$3&lt;=2050)))</f>
        <v>36</v>
      </c>
    </row>
    <row r="9" spans="1:12" x14ac:dyDescent="0.35">
      <c r="A9">
        <v>2022</v>
      </c>
      <c r="B9">
        <f>Derivation!D21</f>
        <v>0</v>
      </c>
      <c r="C9">
        <f t="shared" si="1"/>
        <v>12</v>
      </c>
    </row>
    <row r="10" spans="1:12" x14ac:dyDescent="0.35">
      <c r="A10">
        <v>2023</v>
      </c>
      <c r="B10">
        <f>Derivation!D22</f>
        <v>0</v>
      </c>
      <c r="C10">
        <f t="shared" si="1"/>
        <v>5.9999999999999991</v>
      </c>
    </row>
    <row r="11" spans="1:12" x14ac:dyDescent="0.35">
      <c r="A11">
        <v>2024</v>
      </c>
      <c r="B11">
        <f>Derivation!D23</f>
        <v>0</v>
      </c>
      <c r="C11">
        <f t="shared" si="1"/>
        <v>3.6000000000000005</v>
      </c>
    </row>
    <row r="12" spans="1:12" x14ac:dyDescent="0.35">
      <c r="A12">
        <v>2025</v>
      </c>
      <c r="B12">
        <f>Derivation!D24</f>
        <v>0</v>
      </c>
      <c r="C12">
        <f t="shared" si="1"/>
        <v>2.4000000000000004</v>
      </c>
    </row>
    <row r="13" spans="1:12" x14ac:dyDescent="0.35">
      <c r="A13">
        <v>2026</v>
      </c>
      <c r="B13">
        <f>Derivation!D25</f>
        <v>3472000.0000000005</v>
      </c>
      <c r="C13">
        <f t="shared" si="1"/>
        <v>1.7142857142857142</v>
      </c>
    </row>
    <row r="14" spans="1:12" x14ac:dyDescent="0.35">
      <c r="A14">
        <v>2027</v>
      </c>
      <c r="B14">
        <f>Derivation!D26</f>
        <v>3472000.0000000005</v>
      </c>
      <c r="C14">
        <f t="shared" si="1"/>
        <v>1.3846153846153844</v>
      </c>
    </row>
    <row r="15" spans="1:12" x14ac:dyDescent="0.35">
      <c r="A15">
        <v>2028</v>
      </c>
      <c r="B15">
        <f>Derivation!D27</f>
        <v>3472000.0000000005</v>
      </c>
      <c r="C15">
        <f t="shared" si="1"/>
        <v>1.1999999999999997</v>
      </c>
    </row>
    <row r="16" spans="1:12" x14ac:dyDescent="0.35">
      <c r="A16">
        <v>2029</v>
      </c>
      <c r="B16">
        <f>Derivation!D28</f>
        <v>3472000.0000000005</v>
      </c>
      <c r="C16">
        <f t="shared" si="1"/>
        <v>1.0909090909090908</v>
      </c>
    </row>
    <row r="17" spans="1:3" x14ac:dyDescent="0.35">
      <c r="A17">
        <v>2030</v>
      </c>
      <c r="B17">
        <f>Derivation!D29</f>
        <v>3472000.0000000005</v>
      </c>
      <c r="C17">
        <f t="shared" si="1"/>
        <v>1.0285714285714285</v>
      </c>
    </row>
    <row r="18" spans="1:3" x14ac:dyDescent="0.35">
      <c r="A18">
        <v>2031</v>
      </c>
      <c r="B18">
        <f>Derivation!D30</f>
        <v>3472000.0000000005</v>
      </c>
      <c r="C18">
        <f t="shared" si="1"/>
        <v>0.99999999999999978</v>
      </c>
    </row>
    <row r="19" spans="1:3" x14ac:dyDescent="0.35">
      <c r="A19">
        <v>2032</v>
      </c>
      <c r="B19">
        <f>Derivation!D31</f>
        <v>3472000.0000000005</v>
      </c>
      <c r="C19">
        <f t="shared" si="1"/>
        <v>0.99999999999999978</v>
      </c>
    </row>
    <row r="20" spans="1:3" x14ac:dyDescent="0.35">
      <c r="A20">
        <v>2033</v>
      </c>
      <c r="B20">
        <f>Derivation!D32</f>
        <v>3472000.0000000005</v>
      </c>
      <c r="C20">
        <f t="shared" si="1"/>
        <v>0.99999999999999978</v>
      </c>
    </row>
    <row r="21" spans="1:3" x14ac:dyDescent="0.35">
      <c r="A21">
        <v>2034</v>
      </c>
      <c r="B21">
        <f>Derivation!D33</f>
        <v>3472000.0000000005</v>
      </c>
      <c r="C21">
        <f t="shared" si="1"/>
        <v>0.99999999999999978</v>
      </c>
    </row>
    <row r="22" spans="1:3" x14ac:dyDescent="0.35">
      <c r="A22">
        <v>2035</v>
      </c>
      <c r="B22">
        <f>Derivation!D34</f>
        <v>3472000.0000000005</v>
      </c>
      <c r="C22">
        <f t="shared" si="1"/>
        <v>0.99999999999999978</v>
      </c>
    </row>
    <row r="23" spans="1:3" x14ac:dyDescent="0.35">
      <c r="A23">
        <v>2036</v>
      </c>
      <c r="B23">
        <f>Derivation!D35</f>
        <v>8142000</v>
      </c>
      <c r="C23">
        <f t="shared" si="1"/>
        <v>0.99999999999999978</v>
      </c>
    </row>
    <row r="24" spans="1:3" x14ac:dyDescent="0.35">
      <c r="A24">
        <v>2037</v>
      </c>
      <c r="B24">
        <f>Derivation!D36</f>
        <v>8142000</v>
      </c>
      <c r="C24">
        <f t="shared" si="1"/>
        <v>0.99999999999999978</v>
      </c>
    </row>
    <row r="25" spans="1:3" x14ac:dyDescent="0.35">
      <c r="A25">
        <v>2038</v>
      </c>
      <c r="B25">
        <f>Derivation!D37</f>
        <v>8142000</v>
      </c>
      <c r="C25">
        <f t="shared" si="1"/>
        <v>0.99999999999999978</v>
      </c>
    </row>
    <row r="26" spans="1:3" x14ac:dyDescent="0.35">
      <c r="A26">
        <v>2039</v>
      </c>
      <c r="B26">
        <f>Derivation!D38</f>
        <v>8142000</v>
      </c>
      <c r="C26">
        <f t="shared" si="1"/>
        <v>0.99999999999999978</v>
      </c>
    </row>
    <row r="27" spans="1:3" x14ac:dyDescent="0.35">
      <c r="A27">
        <v>2040</v>
      </c>
      <c r="B27">
        <f>Derivation!D39</f>
        <v>5661999.9999999972</v>
      </c>
      <c r="C27">
        <f t="shared" si="1"/>
        <v>0.99999999999999978</v>
      </c>
    </row>
    <row r="28" spans="1:3" x14ac:dyDescent="0.35">
      <c r="A28">
        <v>2041</v>
      </c>
      <c r="B28">
        <f>Derivation!D40</f>
        <v>4670000</v>
      </c>
      <c r="C28">
        <f t="shared" si="1"/>
        <v>0.99999999999999978</v>
      </c>
    </row>
    <row r="29" spans="1:3" x14ac:dyDescent="0.35">
      <c r="A29">
        <v>2042</v>
      </c>
      <c r="B29">
        <f>Derivation!D41</f>
        <v>4670000</v>
      </c>
      <c r="C29">
        <f t="shared" si="1"/>
        <v>0.99999999999999978</v>
      </c>
    </row>
    <row r="30" spans="1:3" x14ac:dyDescent="0.35">
      <c r="A30">
        <v>2043</v>
      </c>
      <c r="B30">
        <f>Derivation!D42</f>
        <v>4670000</v>
      </c>
      <c r="C30">
        <f t="shared" si="1"/>
        <v>0.99999999999999978</v>
      </c>
    </row>
    <row r="31" spans="1:3" x14ac:dyDescent="0.35">
      <c r="A31">
        <v>2044</v>
      </c>
      <c r="B31">
        <f>Derivation!D43</f>
        <v>4670000</v>
      </c>
      <c r="C31">
        <f t="shared" si="1"/>
        <v>0.99999999999999978</v>
      </c>
    </row>
    <row r="32" spans="1:3" x14ac:dyDescent="0.35">
      <c r="A32">
        <v>2045</v>
      </c>
      <c r="B32">
        <f>Derivation!D44</f>
        <v>4670000</v>
      </c>
      <c r="C32">
        <f t="shared" si="1"/>
        <v>0.99999999999999978</v>
      </c>
    </row>
    <row r="33" spans="1:15" x14ac:dyDescent="0.35">
      <c r="A33">
        <v>2046</v>
      </c>
      <c r="B33">
        <f>Derivation!D45</f>
        <v>0</v>
      </c>
      <c r="C33">
        <f t="shared" si="1"/>
        <v>1.0285714285714282</v>
      </c>
    </row>
    <row r="34" spans="1:15" x14ac:dyDescent="0.35">
      <c r="A34">
        <v>2047</v>
      </c>
      <c r="B34">
        <f>Derivation!D46</f>
        <v>0</v>
      </c>
      <c r="C34">
        <f t="shared" si="1"/>
        <v>1.0909090909090906</v>
      </c>
    </row>
    <row r="35" spans="1:15" x14ac:dyDescent="0.35">
      <c r="A35">
        <v>2048</v>
      </c>
      <c r="B35">
        <f>Derivation!D47</f>
        <v>0</v>
      </c>
      <c r="C35">
        <f t="shared" si="1"/>
        <v>1.1999999999999997</v>
      </c>
    </row>
    <row r="36" spans="1:15" x14ac:dyDescent="0.35">
      <c r="A36">
        <v>2049</v>
      </c>
      <c r="B36">
        <f>Derivation!D48</f>
        <v>0</v>
      </c>
      <c r="C36">
        <f t="shared" si="1"/>
        <v>1.3846153846153844</v>
      </c>
    </row>
    <row r="37" spans="1:15" x14ac:dyDescent="0.35">
      <c r="A37">
        <v>2050</v>
      </c>
      <c r="B37">
        <f>Derivation!D49</f>
        <v>0</v>
      </c>
      <c r="C37">
        <f t="shared" si="1"/>
        <v>1.7142857142857142</v>
      </c>
    </row>
    <row r="40" spans="1:15" x14ac:dyDescent="0.35">
      <c r="A40" t="s">
        <v>32</v>
      </c>
    </row>
    <row r="41" spans="1:15" x14ac:dyDescent="0.35">
      <c r="A41" t="s">
        <v>23</v>
      </c>
      <c r="B41" t="s">
        <v>33</v>
      </c>
      <c r="C41" t="s">
        <v>33</v>
      </c>
      <c r="D41" t="s">
        <v>34</v>
      </c>
      <c r="E41" t="s">
        <v>35</v>
      </c>
      <c r="F41" t="s">
        <v>36</v>
      </c>
      <c r="G41" t="s">
        <v>37</v>
      </c>
      <c r="H41" t="s">
        <v>38</v>
      </c>
      <c r="I41" t="s">
        <v>39</v>
      </c>
      <c r="J41" t="s">
        <v>40</v>
      </c>
      <c r="K41" t="s">
        <v>41</v>
      </c>
      <c r="L41" t="s">
        <v>42</v>
      </c>
      <c r="M41" t="s">
        <v>43</v>
      </c>
      <c r="N41" t="s">
        <v>44</v>
      </c>
      <c r="O41" t="s">
        <v>45</v>
      </c>
    </row>
    <row r="42" spans="1:15" x14ac:dyDescent="0.35">
      <c r="A42">
        <v>2021</v>
      </c>
      <c r="B42">
        <f t="shared" ref="B42:B71" si="2">IF(A42&lt;2026,0,E42+F42+G42+H42+I42+J42+K42+L42+M42+N42+O42)</f>
        <v>0</v>
      </c>
      <c r="C42">
        <f t="shared" ref="C42:C71" si="3">(B42/1000)*1000</f>
        <v>0</v>
      </c>
      <c r="D42">
        <f t="shared" ref="D42:D71" si="4">C42+IF(A42=INDEX($A$42:$A$71,MATCH(MAX($C$42:$C$71),$C$42:$C$71,0)),SUM($B$8:$B$37)-SUM($C$42:$C$71),0)</f>
        <v>0</v>
      </c>
      <c r="E42">
        <f t="shared" ref="E42:E71" si="5">IFERROR(INDEX($B$8:$B$37,MATCH(A42-B$3,$A$8:$A$37,0))*INDEX($C$8:$C$37,MATCH(A42-B$3,$A$8:$A$37,0))*B$4,0)</f>
        <v>165333.33333333334</v>
      </c>
      <c r="F42">
        <f t="shared" ref="F42:F71" si="6">IFERROR(INDEX($B$8:$B$37,MATCH(A42-C$3,$A$8:$A$37,0))*INDEX($C$8:$C$37,MATCH(A42-C$3,$A$8:$A$37,0))*C$4,0)</f>
        <v>0</v>
      </c>
      <c r="G42">
        <f t="shared" ref="G42:G71" si="7">IFERROR(INDEX($B$8:$B$37,MATCH(A42-D$3,$A$8:$A$37,0))*INDEX($C$8:$C$37,MATCH(A42-D$3,$A$8:$A$37,0))*D$4,0)</f>
        <v>0</v>
      </c>
      <c r="H42">
        <f t="shared" ref="H42:H71" si="8">IFERROR(INDEX($B$8:$B$37,MATCH(A42-E$3,$A$8:$A$37,0))*INDEX($C$8:$C$37,MATCH(A42-E$3,$A$8:$A$37,0))*E$4,0)</f>
        <v>0</v>
      </c>
      <c r="I42">
        <f t="shared" ref="I42:I71" si="9">IFERROR(INDEX($B$8:$B$37,MATCH(A42-F$3,$A$8:$A$37,0))*INDEX($C$8:$C$37,MATCH(A42-F$3,$A$8:$A$37,0))*F$4,0)</f>
        <v>0</v>
      </c>
      <c r="J42">
        <f t="shared" ref="J42:J71" si="10">IFERROR(INDEX($B$8:$B$37,MATCH(A42-G$3,$A$8:$A$37,0))*INDEX($C$8:$C$37,MATCH(A42-G$3,$A$8:$A$37,0))*G$4,0)</f>
        <v>0</v>
      </c>
      <c r="K42">
        <f t="shared" ref="K42:K71" si="11">IFERROR(INDEX($B$8:$B$37,MATCH(A42-H$3,$A$8:$A$37,0))*INDEX($C$8:$C$37,MATCH(A42-H$3,$A$8:$A$37,0))*H$4,0)</f>
        <v>0</v>
      </c>
      <c r="L42">
        <f t="shared" ref="L42:L71" si="12">IFERROR(INDEX($B$8:$B$37,MATCH(A42-I$3,$A$8:$A$37,0))*INDEX($C$8:$C$37,MATCH(A42-I$3,$A$8:$A$37,0))*I$4,0)</f>
        <v>0</v>
      </c>
      <c r="M42">
        <f t="shared" ref="M42:M71" si="13">IFERROR(INDEX($B$8:$B$37,MATCH(A42-J$3,$A$8:$A$37,0))*INDEX($C$8:$C$37,MATCH(A42-J$3,$A$8:$A$37,0))*J$4,0)</f>
        <v>0</v>
      </c>
      <c r="N42">
        <f t="shared" ref="N42:N71" si="14">IFERROR(INDEX($B$8:$B$37,MATCH(A42-K$3,$A$8:$A$37,0))*INDEX($C$8:$C$37,MATCH(A42-K$3,$A$8:$A$37,0))*K$4,0)</f>
        <v>0</v>
      </c>
      <c r="O42">
        <f t="shared" ref="O42:O71" si="15">IFERROR(INDEX($B$8:$B$37,MATCH(A42-L$3,$A$8:$A$37,0))*INDEX($C$8:$C$37,MATCH(A42-L$3,$A$8:$A$37,0))*L$4,0)</f>
        <v>0</v>
      </c>
    </row>
    <row r="43" spans="1:15" x14ac:dyDescent="0.35">
      <c r="A43">
        <v>2022</v>
      </c>
      <c r="B43">
        <f t="shared" si="2"/>
        <v>0</v>
      </c>
      <c r="C43">
        <f t="shared" si="3"/>
        <v>0</v>
      </c>
      <c r="D43">
        <f t="shared" si="4"/>
        <v>0</v>
      </c>
      <c r="E43">
        <f t="shared" si="5"/>
        <v>133538.46153846153</v>
      </c>
      <c r="F43">
        <f t="shared" si="6"/>
        <v>330666.66666666669</v>
      </c>
      <c r="G43">
        <f t="shared" si="7"/>
        <v>0</v>
      </c>
      <c r="H43">
        <f t="shared" si="8"/>
        <v>0</v>
      </c>
      <c r="I43">
        <f t="shared" si="9"/>
        <v>0</v>
      </c>
      <c r="J43">
        <f t="shared" si="10"/>
        <v>0</v>
      </c>
      <c r="K43">
        <f t="shared" si="11"/>
        <v>0</v>
      </c>
      <c r="L43">
        <f t="shared" si="12"/>
        <v>0</v>
      </c>
      <c r="M43">
        <f t="shared" si="13"/>
        <v>0</v>
      </c>
      <c r="N43">
        <f t="shared" si="14"/>
        <v>0</v>
      </c>
      <c r="O43">
        <f t="shared" si="15"/>
        <v>0</v>
      </c>
    </row>
    <row r="44" spans="1:15" x14ac:dyDescent="0.35">
      <c r="A44">
        <v>2023</v>
      </c>
      <c r="B44">
        <f t="shared" si="2"/>
        <v>0</v>
      </c>
      <c r="C44">
        <f t="shared" si="3"/>
        <v>0</v>
      </c>
      <c r="D44">
        <f t="shared" si="4"/>
        <v>0</v>
      </c>
      <c r="E44">
        <f t="shared" si="5"/>
        <v>115733.33333333331</v>
      </c>
      <c r="F44">
        <f t="shared" si="6"/>
        <v>267076.92307692306</v>
      </c>
      <c r="G44">
        <f t="shared" si="7"/>
        <v>496000.00000000006</v>
      </c>
      <c r="H44">
        <f t="shared" si="8"/>
        <v>0</v>
      </c>
      <c r="I44">
        <f t="shared" si="9"/>
        <v>0</v>
      </c>
      <c r="J44">
        <f t="shared" si="10"/>
        <v>0</v>
      </c>
      <c r="K44">
        <f t="shared" si="11"/>
        <v>0</v>
      </c>
      <c r="L44">
        <f t="shared" si="12"/>
        <v>0</v>
      </c>
      <c r="M44">
        <f t="shared" si="13"/>
        <v>0</v>
      </c>
      <c r="N44">
        <f t="shared" si="14"/>
        <v>0</v>
      </c>
      <c r="O44">
        <f t="shared" si="15"/>
        <v>0</v>
      </c>
    </row>
    <row r="45" spans="1:15" x14ac:dyDescent="0.35">
      <c r="A45">
        <v>2024</v>
      </c>
      <c r="B45">
        <f t="shared" si="2"/>
        <v>0</v>
      </c>
      <c r="C45">
        <f t="shared" si="3"/>
        <v>0</v>
      </c>
      <c r="D45">
        <f t="shared" si="4"/>
        <v>0</v>
      </c>
      <c r="E45">
        <f t="shared" si="5"/>
        <v>105212.12121212122</v>
      </c>
      <c r="F45">
        <f t="shared" si="6"/>
        <v>231466.66666666663</v>
      </c>
      <c r="G45">
        <f t="shared" si="7"/>
        <v>400615.38461538457</v>
      </c>
      <c r="H45">
        <f t="shared" si="8"/>
        <v>661333.33333333337</v>
      </c>
      <c r="I45">
        <f t="shared" si="9"/>
        <v>0</v>
      </c>
      <c r="J45">
        <f t="shared" si="10"/>
        <v>0</v>
      </c>
      <c r="K45">
        <f t="shared" si="11"/>
        <v>0</v>
      </c>
      <c r="L45">
        <f t="shared" si="12"/>
        <v>0</v>
      </c>
      <c r="M45">
        <f t="shared" si="13"/>
        <v>0</v>
      </c>
      <c r="N45">
        <f t="shared" si="14"/>
        <v>0</v>
      </c>
      <c r="O45">
        <f t="shared" si="15"/>
        <v>0</v>
      </c>
    </row>
    <row r="46" spans="1:15" x14ac:dyDescent="0.35">
      <c r="A46">
        <v>2025</v>
      </c>
      <c r="B46">
        <f t="shared" si="2"/>
        <v>0</v>
      </c>
      <c r="C46">
        <f t="shared" si="3"/>
        <v>0</v>
      </c>
      <c r="D46">
        <f t="shared" si="4"/>
        <v>0</v>
      </c>
      <c r="E46">
        <f t="shared" si="5"/>
        <v>99200</v>
      </c>
      <c r="F46">
        <f t="shared" si="6"/>
        <v>210424.24242424243</v>
      </c>
      <c r="G46">
        <f t="shared" si="7"/>
        <v>347199.99999999994</v>
      </c>
      <c r="H46">
        <f t="shared" si="8"/>
        <v>534153.84615384613</v>
      </c>
      <c r="I46">
        <f t="shared" si="9"/>
        <v>826666.66666666686</v>
      </c>
      <c r="J46">
        <f t="shared" si="10"/>
        <v>0</v>
      </c>
      <c r="K46">
        <f t="shared" si="11"/>
        <v>0</v>
      </c>
      <c r="L46">
        <f t="shared" si="12"/>
        <v>0</v>
      </c>
      <c r="M46">
        <f t="shared" si="13"/>
        <v>0</v>
      </c>
      <c r="N46">
        <f t="shared" si="14"/>
        <v>0</v>
      </c>
      <c r="O46">
        <f t="shared" si="15"/>
        <v>0</v>
      </c>
    </row>
    <row r="47" spans="1:15" x14ac:dyDescent="0.35">
      <c r="A47">
        <v>2026</v>
      </c>
      <c r="B47">
        <f t="shared" si="2"/>
        <v>2733106.4491064488</v>
      </c>
      <c r="C47">
        <f t="shared" si="3"/>
        <v>2733106.4491064488</v>
      </c>
      <c r="D47">
        <f t="shared" si="4"/>
        <v>2733106.4491064488</v>
      </c>
      <c r="E47">
        <f t="shared" si="5"/>
        <v>96444.444444444423</v>
      </c>
      <c r="F47">
        <f t="shared" si="6"/>
        <v>198400</v>
      </c>
      <c r="G47">
        <f t="shared" si="7"/>
        <v>315636.36363636365</v>
      </c>
      <c r="H47">
        <f t="shared" si="8"/>
        <v>462933.33333333326</v>
      </c>
      <c r="I47">
        <f t="shared" si="9"/>
        <v>667692.30769230763</v>
      </c>
      <c r="J47">
        <f t="shared" si="10"/>
        <v>992000.00000000012</v>
      </c>
      <c r="K47">
        <f t="shared" si="11"/>
        <v>0</v>
      </c>
      <c r="L47">
        <f t="shared" si="12"/>
        <v>0</v>
      </c>
      <c r="M47">
        <f t="shared" si="13"/>
        <v>0</v>
      </c>
      <c r="N47">
        <f t="shared" si="14"/>
        <v>0</v>
      </c>
      <c r="O47">
        <f t="shared" si="15"/>
        <v>0</v>
      </c>
    </row>
    <row r="48" spans="1:15" x14ac:dyDescent="0.35">
      <c r="A48">
        <v>2027</v>
      </c>
      <c r="B48">
        <f t="shared" si="2"/>
        <v>3214345.9207459209</v>
      </c>
      <c r="C48">
        <f t="shared" si="3"/>
        <v>3214345.9207459209</v>
      </c>
      <c r="D48">
        <f t="shared" si="4"/>
        <v>3214345.9207459209</v>
      </c>
      <c r="E48">
        <f t="shared" si="5"/>
        <v>96444.444444444423</v>
      </c>
      <c r="F48">
        <f t="shared" si="6"/>
        <v>192888.88888888885</v>
      </c>
      <c r="G48">
        <f t="shared" si="7"/>
        <v>297600</v>
      </c>
      <c r="H48">
        <f t="shared" si="8"/>
        <v>420848.48484848486</v>
      </c>
      <c r="I48">
        <f t="shared" si="9"/>
        <v>578666.66666666663</v>
      </c>
      <c r="J48">
        <f t="shared" si="10"/>
        <v>801230.76923076913</v>
      </c>
      <c r="K48">
        <f t="shared" si="11"/>
        <v>826666.66666666686</v>
      </c>
      <c r="L48">
        <f t="shared" si="12"/>
        <v>0</v>
      </c>
      <c r="M48">
        <f t="shared" si="13"/>
        <v>0</v>
      </c>
      <c r="N48">
        <f t="shared" si="14"/>
        <v>0</v>
      </c>
      <c r="O48">
        <f t="shared" si="15"/>
        <v>0</v>
      </c>
    </row>
    <row r="49" spans="1:15" x14ac:dyDescent="0.35">
      <c r="A49">
        <v>2028</v>
      </c>
      <c r="B49">
        <f t="shared" si="2"/>
        <v>3524952.9137529135</v>
      </c>
      <c r="C49">
        <f t="shared" si="3"/>
        <v>3524952.9137529135</v>
      </c>
      <c r="D49">
        <f t="shared" si="4"/>
        <v>3524952.9137529135</v>
      </c>
      <c r="E49">
        <f t="shared" si="5"/>
        <v>96444.444444444423</v>
      </c>
      <c r="F49">
        <f t="shared" si="6"/>
        <v>192888.88888888885</v>
      </c>
      <c r="G49">
        <f t="shared" si="7"/>
        <v>289333.33333333326</v>
      </c>
      <c r="H49">
        <f t="shared" si="8"/>
        <v>396800</v>
      </c>
      <c r="I49">
        <f t="shared" si="9"/>
        <v>526060.60606060608</v>
      </c>
      <c r="J49">
        <f t="shared" si="10"/>
        <v>694399.99999999988</v>
      </c>
      <c r="K49">
        <f t="shared" si="11"/>
        <v>667692.30769230763</v>
      </c>
      <c r="L49">
        <f t="shared" si="12"/>
        <v>661333.33333333337</v>
      </c>
      <c r="M49">
        <f t="shared" si="13"/>
        <v>0</v>
      </c>
      <c r="N49">
        <f t="shared" si="14"/>
        <v>0</v>
      </c>
      <c r="O49">
        <f t="shared" si="15"/>
        <v>0</v>
      </c>
    </row>
    <row r="50" spans="1:15" x14ac:dyDescent="0.35">
      <c r="A50">
        <v>2029</v>
      </c>
      <c r="B50">
        <f t="shared" si="2"/>
        <v>3700537.6845376841</v>
      </c>
      <c r="C50">
        <f t="shared" si="3"/>
        <v>3700537.6845376841</v>
      </c>
      <c r="D50">
        <f t="shared" si="4"/>
        <v>3700537.6845376841</v>
      </c>
      <c r="E50">
        <f t="shared" si="5"/>
        <v>96444.444444444423</v>
      </c>
      <c r="F50">
        <f t="shared" si="6"/>
        <v>192888.88888888885</v>
      </c>
      <c r="G50">
        <f t="shared" si="7"/>
        <v>289333.33333333326</v>
      </c>
      <c r="H50">
        <f t="shared" si="8"/>
        <v>385777.77777777769</v>
      </c>
      <c r="I50">
        <f t="shared" si="9"/>
        <v>496000</v>
      </c>
      <c r="J50">
        <f t="shared" si="10"/>
        <v>631272.72727272729</v>
      </c>
      <c r="K50">
        <f t="shared" si="11"/>
        <v>578666.66666666663</v>
      </c>
      <c r="L50">
        <f t="shared" si="12"/>
        <v>534153.84615384613</v>
      </c>
      <c r="M50">
        <f t="shared" si="13"/>
        <v>496000.00000000006</v>
      </c>
      <c r="N50">
        <f t="shared" si="14"/>
        <v>0</v>
      </c>
      <c r="O50">
        <f t="shared" si="15"/>
        <v>0</v>
      </c>
    </row>
    <row r="51" spans="1:15" x14ac:dyDescent="0.35">
      <c r="A51">
        <v>2030</v>
      </c>
      <c r="B51">
        <f t="shared" si="2"/>
        <v>3762142.6573426565</v>
      </c>
      <c r="C51">
        <f t="shared" si="3"/>
        <v>3762142.6573426565</v>
      </c>
      <c r="D51">
        <f t="shared" si="4"/>
        <v>3762142.6573426565</v>
      </c>
      <c r="E51">
        <f t="shared" si="5"/>
        <v>96444.444444444423</v>
      </c>
      <c r="F51">
        <f t="shared" si="6"/>
        <v>192888.88888888885</v>
      </c>
      <c r="G51">
        <f t="shared" si="7"/>
        <v>289333.33333333326</v>
      </c>
      <c r="H51">
        <f t="shared" si="8"/>
        <v>385777.77777777769</v>
      </c>
      <c r="I51">
        <f t="shared" si="9"/>
        <v>482222.22222222219</v>
      </c>
      <c r="J51">
        <f t="shared" si="10"/>
        <v>595200</v>
      </c>
      <c r="K51">
        <f t="shared" si="11"/>
        <v>526060.60606060608</v>
      </c>
      <c r="L51">
        <f t="shared" si="12"/>
        <v>462933.33333333326</v>
      </c>
      <c r="M51">
        <f t="shared" si="13"/>
        <v>400615.38461538457</v>
      </c>
      <c r="N51">
        <f t="shared" si="14"/>
        <v>330666.66666666669</v>
      </c>
      <c r="O51">
        <f t="shared" si="15"/>
        <v>0</v>
      </c>
    </row>
    <row r="52" spans="1:15" x14ac:dyDescent="0.35">
      <c r="A52">
        <v>2031</v>
      </c>
      <c r="B52">
        <f t="shared" si="2"/>
        <v>3851514.2968142964</v>
      </c>
      <c r="C52">
        <f t="shared" si="3"/>
        <v>3851514.2968142964</v>
      </c>
      <c r="D52">
        <f t="shared" si="4"/>
        <v>3851514.2968142964</v>
      </c>
      <c r="E52">
        <f t="shared" si="5"/>
        <v>226166.6666666666</v>
      </c>
      <c r="F52">
        <f t="shared" si="6"/>
        <v>192888.88888888885</v>
      </c>
      <c r="G52">
        <f t="shared" si="7"/>
        <v>289333.33333333326</v>
      </c>
      <c r="H52">
        <f t="shared" si="8"/>
        <v>385777.77777777769</v>
      </c>
      <c r="I52">
        <f t="shared" si="9"/>
        <v>482222.22222222219</v>
      </c>
      <c r="J52">
        <f t="shared" si="10"/>
        <v>578666.66666666651</v>
      </c>
      <c r="K52">
        <f t="shared" si="11"/>
        <v>496000</v>
      </c>
      <c r="L52">
        <f t="shared" si="12"/>
        <v>420848.48484848486</v>
      </c>
      <c r="M52">
        <f t="shared" si="13"/>
        <v>347199.99999999994</v>
      </c>
      <c r="N52">
        <f t="shared" si="14"/>
        <v>267076.92307692306</v>
      </c>
      <c r="O52">
        <f t="shared" si="15"/>
        <v>165333.33333333334</v>
      </c>
    </row>
    <row r="53" spans="1:15" x14ac:dyDescent="0.35">
      <c r="A53">
        <v>2032</v>
      </c>
      <c r="B53">
        <f t="shared" si="2"/>
        <v>3974163.7140637133</v>
      </c>
      <c r="C53">
        <f t="shared" si="3"/>
        <v>3974163.7140637133</v>
      </c>
      <c r="D53">
        <f t="shared" si="4"/>
        <v>3974163.7140637133</v>
      </c>
      <c r="E53">
        <f t="shared" si="5"/>
        <v>226166.6666666666</v>
      </c>
      <c r="F53">
        <f t="shared" si="6"/>
        <v>452333.3333333332</v>
      </c>
      <c r="G53">
        <f t="shared" si="7"/>
        <v>289333.33333333326</v>
      </c>
      <c r="H53">
        <f t="shared" si="8"/>
        <v>385777.77777777769</v>
      </c>
      <c r="I53">
        <f t="shared" si="9"/>
        <v>482222.22222222219</v>
      </c>
      <c r="J53">
        <f t="shared" si="10"/>
        <v>578666.66666666651</v>
      </c>
      <c r="K53">
        <f t="shared" si="11"/>
        <v>482222.22222222219</v>
      </c>
      <c r="L53">
        <f t="shared" si="12"/>
        <v>396800</v>
      </c>
      <c r="M53">
        <f t="shared" si="13"/>
        <v>315636.36363636365</v>
      </c>
      <c r="N53">
        <f t="shared" si="14"/>
        <v>231466.66666666663</v>
      </c>
      <c r="O53">
        <f t="shared" si="15"/>
        <v>133538.46153846153</v>
      </c>
    </row>
    <row r="54" spans="1:15" x14ac:dyDescent="0.35">
      <c r="A54">
        <v>2033</v>
      </c>
      <c r="B54">
        <f t="shared" si="2"/>
        <v>4295424.2424242413</v>
      </c>
      <c r="C54">
        <f t="shared" si="3"/>
        <v>4295424.2424242413</v>
      </c>
      <c r="D54">
        <f t="shared" si="4"/>
        <v>4295424.2424242413</v>
      </c>
      <c r="E54">
        <f t="shared" si="5"/>
        <v>226166.6666666666</v>
      </c>
      <c r="F54">
        <f t="shared" si="6"/>
        <v>452333.3333333332</v>
      </c>
      <c r="G54">
        <f t="shared" si="7"/>
        <v>678499.99999999977</v>
      </c>
      <c r="H54">
        <f t="shared" si="8"/>
        <v>385777.77777777769</v>
      </c>
      <c r="I54">
        <f t="shared" si="9"/>
        <v>482222.22222222219</v>
      </c>
      <c r="J54">
        <f t="shared" si="10"/>
        <v>578666.66666666651</v>
      </c>
      <c r="K54">
        <f t="shared" si="11"/>
        <v>482222.22222222219</v>
      </c>
      <c r="L54">
        <f t="shared" si="12"/>
        <v>385777.77777777769</v>
      </c>
      <c r="M54">
        <f t="shared" si="13"/>
        <v>297600</v>
      </c>
      <c r="N54">
        <f t="shared" si="14"/>
        <v>210424.24242424243</v>
      </c>
      <c r="O54">
        <f t="shared" si="15"/>
        <v>115733.33333333331</v>
      </c>
    </row>
    <row r="55" spans="1:15" x14ac:dyDescent="0.35">
      <c r="A55">
        <v>2034</v>
      </c>
      <c r="B55">
        <f t="shared" si="2"/>
        <v>4783501.0101010082</v>
      </c>
      <c r="C55">
        <f t="shared" si="3"/>
        <v>4783501.0101010082</v>
      </c>
      <c r="D55">
        <f t="shared" si="4"/>
        <v>4783501.0101010082</v>
      </c>
      <c r="E55">
        <f t="shared" si="5"/>
        <v>226166.6666666666</v>
      </c>
      <c r="F55">
        <f t="shared" si="6"/>
        <v>452333.3333333332</v>
      </c>
      <c r="G55">
        <f t="shared" si="7"/>
        <v>678499.99999999977</v>
      </c>
      <c r="H55">
        <f t="shared" si="8"/>
        <v>904666.6666666664</v>
      </c>
      <c r="I55">
        <f t="shared" si="9"/>
        <v>482222.22222222219</v>
      </c>
      <c r="J55">
        <f t="shared" si="10"/>
        <v>578666.66666666651</v>
      </c>
      <c r="K55">
        <f t="shared" si="11"/>
        <v>482222.22222222219</v>
      </c>
      <c r="L55">
        <f t="shared" si="12"/>
        <v>385777.77777777769</v>
      </c>
      <c r="M55">
        <f t="shared" si="13"/>
        <v>289333.33333333326</v>
      </c>
      <c r="N55">
        <f t="shared" si="14"/>
        <v>198400</v>
      </c>
      <c r="O55">
        <f t="shared" si="15"/>
        <v>105212.12121212122</v>
      </c>
    </row>
    <row r="56" spans="1:15" x14ac:dyDescent="0.35">
      <c r="A56">
        <v>2035</v>
      </c>
      <c r="B56">
        <f t="shared" si="2"/>
        <v>5351699.9999999991</v>
      </c>
      <c r="C56">
        <f t="shared" si="3"/>
        <v>5351699.9999999991</v>
      </c>
      <c r="D56">
        <f t="shared" si="4"/>
        <v>5351699.9999999991</v>
      </c>
      <c r="E56">
        <f t="shared" si="5"/>
        <v>157277.77777777766</v>
      </c>
      <c r="F56">
        <f t="shared" si="6"/>
        <v>452333.3333333332</v>
      </c>
      <c r="G56">
        <f t="shared" si="7"/>
        <v>678499.99999999977</v>
      </c>
      <c r="H56">
        <f t="shared" si="8"/>
        <v>904666.6666666664</v>
      </c>
      <c r="I56">
        <f t="shared" si="9"/>
        <v>1130833.333333333</v>
      </c>
      <c r="J56">
        <f t="shared" si="10"/>
        <v>578666.66666666651</v>
      </c>
      <c r="K56">
        <f t="shared" si="11"/>
        <v>482222.22222222219</v>
      </c>
      <c r="L56">
        <f t="shared" si="12"/>
        <v>385777.77777777769</v>
      </c>
      <c r="M56">
        <f t="shared" si="13"/>
        <v>289333.33333333326</v>
      </c>
      <c r="N56">
        <f t="shared" si="14"/>
        <v>192888.88888888885</v>
      </c>
      <c r="O56">
        <f t="shared" si="15"/>
        <v>99200</v>
      </c>
    </row>
    <row r="57" spans="1:15" x14ac:dyDescent="0.35">
      <c r="A57">
        <v>2036</v>
      </c>
      <c r="B57">
        <f t="shared" si="2"/>
        <v>5961944.4444444422</v>
      </c>
      <c r="C57">
        <f t="shared" si="3"/>
        <v>5961944.4444444422</v>
      </c>
      <c r="D57">
        <f t="shared" si="4"/>
        <v>5961944.4444444422</v>
      </c>
      <c r="E57">
        <f t="shared" si="5"/>
        <v>129722.22222222219</v>
      </c>
      <c r="F57">
        <f t="shared" si="6"/>
        <v>314555.55555555533</v>
      </c>
      <c r="G57">
        <f t="shared" si="7"/>
        <v>678499.99999999977</v>
      </c>
      <c r="H57">
        <f t="shared" si="8"/>
        <v>904666.6666666664</v>
      </c>
      <c r="I57">
        <f t="shared" si="9"/>
        <v>1130833.333333333</v>
      </c>
      <c r="J57">
        <f t="shared" si="10"/>
        <v>1356999.9999999995</v>
      </c>
      <c r="K57">
        <f t="shared" si="11"/>
        <v>482222.22222222219</v>
      </c>
      <c r="L57">
        <f t="shared" si="12"/>
        <v>385777.77777777769</v>
      </c>
      <c r="M57">
        <f t="shared" si="13"/>
        <v>289333.33333333326</v>
      </c>
      <c r="N57">
        <f t="shared" si="14"/>
        <v>192888.88888888885</v>
      </c>
      <c r="O57">
        <f t="shared" si="15"/>
        <v>96444.444444444423</v>
      </c>
    </row>
    <row r="58" spans="1:15" x14ac:dyDescent="0.35">
      <c r="A58">
        <v>2037</v>
      </c>
      <c r="B58">
        <f t="shared" si="2"/>
        <v>6348777.7777777752</v>
      </c>
      <c r="C58">
        <f t="shared" si="3"/>
        <v>6348777.7777777752</v>
      </c>
      <c r="D58">
        <f t="shared" si="4"/>
        <v>6348777.7777777752</v>
      </c>
      <c r="E58">
        <f t="shared" si="5"/>
        <v>129722.22222222219</v>
      </c>
      <c r="F58">
        <f t="shared" si="6"/>
        <v>259444.44444444438</v>
      </c>
      <c r="G58">
        <f t="shared" si="7"/>
        <v>471833.33333333302</v>
      </c>
      <c r="H58">
        <f t="shared" si="8"/>
        <v>904666.6666666664</v>
      </c>
      <c r="I58">
        <f t="shared" si="9"/>
        <v>1130833.333333333</v>
      </c>
      <c r="J58">
        <f t="shared" si="10"/>
        <v>1356999.9999999995</v>
      </c>
      <c r="K58">
        <f t="shared" si="11"/>
        <v>1130833.333333333</v>
      </c>
      <c r="L58">
        <f t="shared" si="12"/>
        <v>385777.77777777769</v>
      </c>
      <c r="M58">
        <f t="shared" si="13"/>
        <v>289333.33333333326</v>
      </c>
      <c r="N58">
        <f t="shared" si="14"/>
        <v>192888.88888888885</v>
      </c>
      <c r="O58">
        <f t="shared" si="15"/>
        <v>96444.444444444423</v>
      </c>
    </row>
    <row r="59" spans="1:15" x14ac:dyDescent="0.35">
      <c r="A59">
        <v>2038</v>
      </c>
      <c r="B59">
        <f t="shared" si="2"/>
        <v>6509444.4444444422</v>
      </c>
      <c r="C59">
        <f t="shared" si="3"/>
        <v>6509444.4444444422</v>
      </c>
      <c r="D59">
        <f t="shared" si="4"/>
        <v>6509444.444444472</v>
      </c>
      <c r="E59">
        <f t="shared" si="5"/>
        <v>129722.22222222219</v>
      </c>
      <c r="F59">
        <f t="shared" si="6"/>
        <v>259444.44444444438</v>
      </c>
      <c r="G59">
        <f t="shared" si="7"/>
        <v>389166.66666666657</v>
      </c>
      <c r="H59">
        <f t="shared" si="8"/>
        <v>629111.11111111066</v>
      </c>
      <c r="I59">
        <f t="shared" si="9"/>
        <v>1130833.333333333</v>
      </c>
      <c r="J59">
        <f t="shared" si="10"/>
        <v>1356999.9999999995</v>
      </c>
      <c r="K59">
        <f t="shared" si="11"/>
        <v>1130833.333333333</v>
      </c>
      <c r="L59">
        <f t="shared" si="12"/>
        <v>904666.6666666664</v>
      </c>
      <c r="M59">
        <f t="shared" si="13"/>
        <v>289333.33333333326</v>
      </c>
      <c r="N59">
        <f t="shared" si="14"/>
        <v>192888.88888888885</v>
      </c>
      <c r="O59">
        <f t="shared" si="15"/>
        <v>96444.444444444423</v>
      </c>
    </row>
    <row r="60" spans="1:15" x14ac:dyDescent="0.35">
      <c r="A60">
        <v>2039</v>
      </c>
      <c r="B60">
        <f t="shared" si="2"/>
        <v>6443944.4444444422</v>
      </c>
      <c r="C60">
        <f t="shared" si="3"/>
        <v>6443944.4444444422</v>
      </c>
      <c r="D60">
        <f t="shared" si="4"/>
        <v>6443944.4444444422</v>
      </c>
      <c r="E60">
        <f t="shared" si="5"/>
        <v>129722.22222222219</v>
      </c>
      <c r="F60">
        <f t="shared" si="6"/>
        <v>259444.44444444438</v>
      </c>
      <c r="G60">
        <f t="shared" si="7"/>
        <v>389166.66666666657</v>
      </c>
      <c r="H60">
        <f t="shared" si="8"/>
        <v>518888.88888888876</v>
      </c>
      <c r="I60">
        <f t="shared" si="9"/>
        <v>786388.88888888841</v>
      </c>
      <c r="J60">
        <f t="shared" si="10"/>
        <v>1356999.9999999995</v>
      </c>
      <c r="K60">
        <f t="shared" si="11"/>
        <v>1130833.333333333</v>
      </c>
      <c r="L60">
        <f t="shared" si="12"/>
        <v>904666.6666666664</v>
      </c>
      <c r="M60">
        <f t="shared" si="13"/>
        <v>678499.99999999977</v>
      </c>
      <c r="N60">
        <f t="shared" si="14"/>
        <v>192888.88888888885</v>
      </c>
      <c r="O60">
        <f t="shared" si="15"/>
        <v>96444.444444444423</v>
      </c>
    </row>
    <row r="61" spans="1:15" x14ac:dyDescent="0.35">
      <c r="A61">
        <v>2040</v>
      </c>
      <c r="B61">
        <f t="shared" si="2"/>
        <v>6152277.7777777752</v>
      </c>
      <c r="C61">
        <f t="shared" si="3"/>
        <v>6152277.7777777752</v>
      </c>
      <c r="D61">
        <f t="shared" si="4"/>
        <v>6152277.7777777752</v>
      </c>
      <c r="E61">
        <f t="shared" si="5"/>
        <v>129722.22222222219</v>
      </c>
      <c r="F61">
        <f t="shared" si="6"/>
        <v>259444.44444444438</v>
      </c>
      <c r="G61">
        <f t="shared" si="7"/>
        <v>389166.66666666657</v>
      </c>
      <c r="H61">
        <f t="shared" si="8"/>
        <v>518888.88888888876</v>
      </c>
      <c r="I61">
        <f t="shared" si="9"/>
        <v>648611.11111111101</v>
      </c>
      <c r="J61">
        <f t="shared" si="10"/>
        <v>943666.66666666605</v>
      </c>
      <c r="K61">
        <f t="shared" si="11"/>
        <v>1130833.333333333</v>
      </c>
      <c r="L61">
        <f t="shared" si="12"/>
        <v>904666.6666666664</v>
      </c>
      <c r="M61">
        <f t="shared" si="13"/>
        <v>678499.99999999977</v>
      </c>
      <c r="N61">
        <f t="shared" si="14"/>
        <v>452333.3333333332</v>
      </c>
      <c r="O61">
        <f t="shared" si="15"/>
        <v>96444.444444444423</v>
      </c>
    </row>
    <row r="62" spans="1:15" x14ac:dyDescent="0.35">
      <c r="A62">
        <v>2041</v>
      </c>
      <c r="B62">
        <f t="shared" si="2"/>
        <v>5642499.9999999991</v>
      </c>
      <c r="C62">
        <f t="shared" si="3"/>
        <v>5642499.9999999991</v>
      </c>
      <c r="D62">
        <f t="shared" si="4"/>
        <v>5642499.9999999991</v>
      </c>
      <c r="E62">
        <f t="shared" si="5"/>
        <v>0</v>
      </c>
      <c r="F62">
        <f t="shared" si="6"/>
        <v>259444.44444444438</v>
      </c>
      <c r="G62">
        <f t="shared" si="7"/>
        <v>389166.66666666657</v>
      </c>
      <c r="H62">
        <f t="shared" si="8"/>
        <v>518888.88888888876</v>
      </c>
      <c r="I62">
        <f t="shared" si="9"/>
        <v>648611.11111111101</v>
      </c>
      <c r="J62">
        <f t="shared" si="10"/>
        <v>778333.33333333314</v>
      </c>
      <c r="K62">
        <f t="shared" si="11"/>
        <v>786388.88888888841</v>
      </c>
      <c r="L62">
        <f t="shared" si="12"/>
        <v>904666.6666666664</v>
      </c>
      <c r="M62">
        <f t="shared" si="13"/>
        <v>678499.99999999977</v>
      </c>
      <c r="N62">
        <f t="shared" si="14"/>
        <v>452333.3333333332</v>
      </c>
      <c r="O62">
        <f t="shared" si="15"/>
        <v>226166.6666666666</v>
      </c>
    </row>
    <row r="63" spans="1:15" x14ac:dyDescent="0.35">
      <c r="A63">
        <v>2042</v>
      </c>
      <c r="B63">
        <f t="shared" si="2"/>
        <v>4969722.2222222211</v>
      </c>
      <c r="C63">
        <f t="shared" si="3"/>
        <v>4969722.2222222211</v>
      </c>
      <c r="D63">
        <f t="shared" si="4"/>
        <v>4969722.2222222211</v>
      </c>
      <c r="E63">
        <f t="shared" si="5"/>
        <v>0</v>
      </c>
      <c r="F63">
        <f t="shared" si="6"/>
        <v>0</v>
      </c>
      <c r="G63">
        <f t="shared" si="7"/>
        <v>389166.66666666657</v>
      </c>
      <c r="H63">
        <f t="shared" si="8"/>
        <v>518888.88888888876</v>
      </c>
      <c r="I63">
        <f t="shared" si="9"/>
        <v>648611.11111111101</v>
      </c>
      <c r="J63">
        <f t="shared" si="10"/>
        <v>778333.33333333314</v>
      </c>
      <c r="K63">
        <f t="shared" si="11"/>
        <v>648611.11111111101</v>
      </c>
      <c r="L63">
        <f t="shared" si="12"/>
        <v>629111.11111111066</v>
      </c>
      <c r="M63">
        <f t="shared" si="13"/>
        <v>678499.99999999977</v>
      </c>
      <c r="N63">
        <f t="shared" si="14"/>
        <v>452333.3333333332</v>
      </c>
      <c r="O63">
        <f t="shared" si="15"/>
        <v>226166.6666666666</v>
      </c>
    </row>
    <row r="64" spans="1:15" x14ac:dyDescent="0.35">
      <c r="A64">
        <v>2043</v>
      </c>
      <c r="B64">
        <f t="shared" si="2"/>
        <v>4263666.666666666</v>
      </c>
      <c r="C64">
        <f t="shared" si="3"/>
        <v>4263666.666666666</v>
      </c>
      <c r="D64">
        <f t="shared" si="4"/>
        <v>4263666.666666666</v>
      </c>
      <c r="E64">
        <f t="shared" si="5"/>
        <v>0</v>
      </c>
      <c r="F64">
        <f t="shared" si="6"/>
        <v>0</v>
      </c>
      <c r="G64">
        <f t="shared" si="7"/>
        <v>0</v>
      </c>
      <c r="H64">
        <f t="shared" si="8"/>
        <v>518888.88888888876</v>
      </c>
      <c r="I64">
        <f t="shared" si="9"/>
        <v>648611.11111111101</v>
      </c>
      <c r="J64">
        <f t="shared" si="10"/>
        <v>778333.33333333314</v>
      </c>
      <c r="K64">
        <f t="shared" si="11"/>
        <v>648611.11111111101</v>
      </c>
      <c r="L64">
        <f t="shared" si="12"/>
        <v>518888.88888888876</v>
      </c>
      <c r="M64">
        <f t="shared" si="13"/>
        <v>471833.33333333302</v>
      </c>
      <c r="N64">
        <f t="shared" si="14"/>
        <v>452333.3333333332</v>
      </c>
      <c r="O64">
        <f t="shared" si="15"/>
        <v>226166.6666666666</v>
      </c>
    </row>
    <row r="65" spans="1:15" x14ac:dyDescent="0.35">
      <c r="A65">
        <v>2044</v>
      </c>
      <c r="B65">
        <f t="shared" si="2"/>
        <v>3524333.3333333326</v>
      </c>
      <c r="C65">
        <f t="shared" si="3"/>
        <v>3524333.3333333326</v>
      </c>
      <c r="D65">
        <f t="shared" si="4"/>
        <v>3524333.3333333326</v>
      </c>
      <c r="E65">
        <f t="shared" si="5"/>
        <v>0</v>
      </c>
      <c r="F65">
        <f t="shared" si="6"/>
        <v>0</v>
      </c>
      <c r="G65">
        <f t="shared" si="7"/>
        <v>0</v>
      </c>
      <c r="H65">
        <f t="shared" si="8"/>
        <v>0</v>
      </c>
      <c r="I65">
        <f t="shared" si="9"/>
        <v>648611.11111111101</v>
      </c>
      <c r="J65">
        <f t="shared" si="10"/>
        <v>778333.33333333314</v>
      </c>
      <c r="K65">
        <f t="shared" si="11"/>
        <v>648611.11111111101</v>
      </c>
      <c r="L65">
        <f t="shared" si="12"/>
        <v>518888.88888888876</v>
      </c>
      <c r="M65">
        <f t="shared" si="13"/>
        <v>389166.66666666657</v>
      </c>
      <c r="N65">
        <f t="shared" si="14"/>
        <v>314555.55555555533</v>
      </c>
      <c r="O65">
        <f t="shared" si="15"/>
        <v>226166.6666666666</v>
      </c>
    </row>
    <row r="66" spans="1:15" x14ac:dyDescent="0.35">
      <c r="A66">
        <v>2045</v>
      </c>
      <c r="B66">
        <f t="shared" si="2"/>
        <v>2751722.2222222215</v>
      </c>
      <c r="C66">
        <f t="shared" si="3"/>
        <v>2751722.2222222215</v>
      </c>
      <c r="D66">
        <f t="shared" si="4"/>
        <v>2751722.2222222215</v>
      </c>
      <c r="E66">
        <f t="shared" si="5"/>
        <v>0</v>
      </c>
      <c r="F66">
        <f t="shared" si="6"/>
        <v>0</v>
      </c>
      <c r="G66">
        <f t="shared" si="7"/>
        <v>0</v>
      </c>
      <c r="H66">
        <f t="shared" si="8"/>
        <v>0</v>
      </c>
      <c r="I66">
        <f t="shared" si="9"/>
        <v>0</v>
      </c>
      <c r="J66">
        <f t="shared" si="10"/>
        <v>778333.33333333314</v>
      </c>
      <c r="K66">
        <f t="shared" si="11"/>
        <v>648611.11111111101</v>
      </c>
      <c r="L66">
        <f t="shared" si="12"/>
        <v>518888.88888888876</v>
      </c>
      <c r="M66">
        <f t="shared" si="13"/>
        <v>389166.66666666657</v>
      </c>
      <c r="N66">
        <f t="shared" si="14"/>
        <v>259444.44444444438</v>
      </c>
      <c r="O66">
        <f t="shared" si="15"/>
        <v>157277.77777777766</v>
      </c>
    </row>
    <row r="67" spans="1:15" x14ac:dyDescent="0.35">
      <c r="A67">
        <v>2046</v>
      </c>
      <c r="B67">
        <f t="shared" si="2"/>
        <v>1945833.3333333328</v>
      </c>
      <c r="C67">
        <f t="shared" si="3"/>
        <v>1945833.3333333328</v>
      </c>
      <c r="D67">
        <f t="shared" si="4"/>
        <v>1945833.3333333328</v>
      </c>
      <c r="E67">
        <f t="shared" si="5"/>
        <v>0</v>
      </c>
      <c r="F67">
        <f t="shared" si="6"/>
        <v>0</v>
      </c>
      <c r="G67">
        <f t="shared" si="7"/>
        <v>0</v>
      </c>
      <c r="H67">
        <f t="shared" si="8"/>
        <v>0</v>
      </c>
      <c r="I67">
        <f t="shared" si="9"/>
        <v>0</v>
      </c>
      <c r="J67">
        <f t="shared" si="10"/>
        <v>0</v>
      </c>
      <c r="K67">
        <f t="shared" si="11"/>
        <v>648611.11111111101</v>
      </c>
      <c r="L67">
        <f t="shared" si="12"/>
        <v>518888.88888888876</v>
      </c>
      <c r="M67">
        <f t="shared" si="13"/>
        <v>389166.66666666657</v>
      </c>
      <c r="N67">
        <f t="shared" si="14"/>
        <v>259444.44444444438</v>
      </c>
      <c r="O67">
        <f t="shared" si="15"/>
        <v>129722.22222222219</v>
      </c>
    </row>
    <row r="68" spans="1:15" x14ac:dyDescent="0.35">
      <c r="A68">
        <v>2047</v>
      </c>
      <c r="B68">
        <f t="shared" si="2"/>
        <v>1297222.2222222218</v>
      </c>
      <c r="C68">
        <f t="shared" si="3"/>
        <v>1297222.2222222218</v>
      </c>
      <c r="D68">
        <f t="shared" si="4"/>
        <v>1297222.2222222218</v>
      </c>
      <c r="E68">
        <f t="shared" si="5"/>
        <v>0</v>
      </c>
      <c r="F68">
        <f t="shared" si="6"/>
        <v>0</v>
      </c>
      <c r="G68">
        <f t="shared" si="7"/>
        <v>0</v>
      </c>
      <c r="H68">
        <f t="shared" si="8"/>
        <v>0</v>
      </c>
      <c r="I68">
        <f t="shared" si="9"/>
        <v>0</v>
      </c>
      <c r="J68">
        <f t="shared" si="10"/>
        <v>0</v>
      </c>
      <c r="K68">
        <f t="shared" si="11"/>
        <v>0</v>
      </c>
      <c r="L68">
        <f t="shared" si="12"/>
        <v>518888.88888888876</v>
      </c>
      <c r="M68">
        <f t="shared" si="13"/>
        <v>389166.66666666657</v>
      </c>
      <c r="N68">
        <f t="shared" si="14"/>
        <v>259444.44444444438</v>
      </c>
      <c r="O68">
        <f t="shared" si="15"/>
        <v>129722.22222222219</v>
      </c>
    </row>
    <row r="69" spans="1:15" x14ac:dyDescent="0.35">
      <c r="A69">
        <v>2048</v>
      </c>
      <c r="B69">
        <f t="shared" si="2"/>
        <v>778333.33333333326</v>
      </c>
      <c r="C69">
        <f t="shared" si="3"/>
        <v>778333.33333333326</v>
      </c>
      <c r="D69">
        <f t="shared" si="4"/>
        <v>778333.33333333326</v>
      </c>
      <c r="E69">
        <f t="shared" si="5"/>
        <v>0</v>
      </c>
      <c r="F69">
        <f t="shared" si="6"/>
        <v>0</v>
      </c>
      <c r="G69">
        <f t="shared" si="7"/>
        <v>0</v>
      </c>
      <c r="H69">
        <f t="shared" si="8"/>
        <v>0</v>
      </c>
      <c r="I69">
        <f t="shared" si="9"/>
        <v>0</v>
      </c>
      <c r="J69">
        <f t="shared" si="10"/>
        <v>0</v>
      </c>
      <c r="K69">
        <f t="shared" si="11"/>
        <v>0</v>
      </c>
      <c r="L69">
        <f t="shared" si="12"/>
        <v>0</v>
      </c>
      <c r="M69">
        <f t="shared" si="13"/>
        <v>389166.66666666657</v>
      </c>
      <c r="N69">
        <f t="shared" si="14"/>
        <v>259444.44444444438</v>
      </c>
      <c r="O69">
        <f t="shared" si="15"/>
        <v>129722.22222222219</v>
      </c>
    </row>
    <row r="70" spans="1:15" x14ac:dyDescent="0.35">
      <c r="A70">
        <v>2049</v>
      </c>
      <c r="B70">
        <f t="shared" si="2"/>
        <v>389166.66666666657</v>
      </c>
      <c r="C70">
        <f t="shared" si="3"/>
        <v>389166.66666666657</v>
      </c>
      <c r="D70">
        <f t="shared" si="4"/>
        <v>389166.66666666657</v>
      </c>
      <c r="E70">
        <f t="shared" si="5"/>
        <v>0</v>
      </c>
      <c r="F70">
        <f t="shared" si="6"/>
        <v>0</v>
      </c>
      <c r="G70">
        <f t="shared" si="7"/>
        <v>0</v>
      </c>
      <c r="H70">
        <f t="shared" si="8"/>
        <v>0</v>
      </c>
      <c r="I70">
        <f t="shared" si="9"/>
        <v>0</v>
      </c>
      <c r="J70">
        <f t="shared" si="10"/>
        <v>0</v>
      </c>
      <c r="K70">
        <f t="shared" si="11"/>
        <v>0</v>
      </c>
      <c r="L70">
        <f t="shared" si="12"/>
        <v>0</v>
      </c>
      <c r="M70">
        <f t="shared" si="13"/>
        <v>0</v>
      </c>
      <c r="N70">
        <f t="shared" si="14"/>
        <v>259444.44444444438</v>
      </c>
      <c r="O70">
        <f t="shared" si="15"/>
        <v>129722.22222222219</v>
      </c>
    </row>
    <row r="71" spans="1:15" x14ac:dyDescent="0.35">
      <c r="A71">
        <v>2050</v>
      </c>
      <c r="B71">
        <f t="shared" si="2"/>
        <v>129722.22222222219</v>
      </c>
      <c r="C71">
        <f t="shared" si="3"/>
        <v>129722.2222222222</v>
      </c>
      <c r="D71">
        <f t="shared" si="4"/>
        <v>129722.2222222222</v>
      </c>
      <c r="E71">
        <f t="shared" si="5"/>
        <v>0</v>
      </c>
      <c r="F71">
        <f t="shared" si="6"/>
        <v>0</v>
      </c>
      <c r="G71">
        <f t="shared" si="7"/>
        <v>0</v>
      </c>
      <c r="H71">
        <f t="shared" si="8"/>
        <v>0</v>
      </c>
      <c r="I71">
        <f t="shared" si="9"/>
        <v>0</v>
      </c>
      <c r="J71">
        <f t="shared" si="10"/>
        <v>0</v>
      </c>
      <c r="K71">
        <f t="shared" si="11"/>
        <v>0</v>
      </c>
      <c r="L71">
        <f t="shared" si="12"/>
        <v>0</v>
      </c>
      <c r="M71">
        <f t="shared" si="13"/>
        <v>0</v>
      </c>
      <c r="N71">
        <f t="shared" si="14"/>
        <v>0</v>
      </c>
      <c r="O71">
        <f t="shared" si="15"/>
        <v>129722.22222222219</v>
      </c>
    </row>
    <row r="73" spans="1:15" x14ac:dyDescent="0.35">
      <c r="A73" t="s">
        <v>46</v>
      </c>
      <c r="B73">
        <f>SUM(B8:B37)-SUM(D42:D71)</f>
        <v>0</v>
      </c>
    </row>
    <row r="74" spans="1:15" x14ac:dyDescent="0.35">
      <c r="A74" t="s">
        <v>47</v>
      </c>
      <c r="B74" t="str">
        <f>IF(ABS(B73)&lt;0.5,"PASS","FAIL")</f>
        <v>PASS</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
  <sheetViews>
    <sheetView workbookViewId="0"/>
  </sheetViews>
  <sheetFormatPr defaultRowHeight="14.5" x14ac:dyDescent="0.35"/>
  <cols>
    <col min="1" max="1" width="70.7265625" customWidth="1"/>
    <col min="2" max="2" width="12.7265625" customWidth="1"/>
  </cols>
  <sheetData>
    <row r="1" spans="1:2" x14ac:dyDescent="0.35">
      <c r="A1" s="2" t="s">
        <v>52</v>
      </c>
    </row>
    <row r="3" spans="1:2" x14ac:dyDescent="0.35">
      <c r="A3" t="s">
        <v>53</v>
      </c>
      <c r="B3" t="str">
        <f>IF(ABS(SUM(CPRS!B2:AE2)-SUM(Derivation!D20:D49))&lt;0.5,"PASS","FAIL")</f>
        <v>PASS</v>
      </c>
    </row>
    <row r="4" spans="1:2" x14ac:dyDescent="0.35">
      <c r="A4" t="s">
        <v>54</v>
      </c>
      <c r="B4" t="str">
        <f>IF(SUM(CPRS!B2:F5)=0,"PASS","FAIL")</f>
        <v>PASS</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sheetPr>
  <dimension ref="A1:AE5"/>
  <sheetViews>
    <sheetView workbookViewId="0"/>
  </sheetViews>
  <sheetFormatPr defaultRowHeight="14.5" x14ac:dyDescent="0.35"/>
  <sheetData>
    <row r="1" spans="1:31" x14ac:dyDescent="0.35">
      <c r="A1" t="s">
        <v>71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35">
      <c r="A2" t="s">
        <v>48</v>
      </c>
      <c r="B2">
        <f>Smoothing!D42</f>
        <v>0</v>
      </c>
      <c r="C2">
        <f>Smoothing!D43</f>
        <v>0</v>
      </c>
      <c r="D2">
        <f>Smoothing!D44</f>
        <v>0</v>
      </c>
      <c r="E2">
        <f>Smoothing!D45</f>
        <v>0</v>
      </c>
      <c r="F2">
        <f>Smoothing!D46</f>
        <v>0</v>
      </c>
      <c r="G2">
        <f>Smoothing!D47</f>
        <v>2733106.4491064488</v>
      </c>
      <c r="H2">
        <f>Smoothing!D48</f>
        <v>3214345.9207459209</v>
      </c>
      <c r="I2">
        <f>Smoothing!D49</f>
        <v>3524952.9137529135</v>
      </c>
      <c r="J2">
        <f>Smoothing!D50</f>
        <v>3700537.6845376841</v>
      </c>
      <c r="K2">
        <f>Smoothing!D51</f>
        <v>3762142.6573426565</v>
      </c>
      <c r="L2">
        <f>Smoothing!D52</f>
        <v>3851514.2968142964</v>
      </c>
      <c r="M2">
        <f>Smoothing!D53</f>
        <v>3974163.7140637133</v>
      </c>
      <c r="N2">
        <f>Smoothing!D54</f>
        <v>4295424.2424242413</v>
      </c>
      <c r="O2">
        <f>Smoothing!D55</f>
        <v>4783501.0101010082</v>
      </c>
      <c r="P2">
        <f>Smoothing!D56</f>
        <v>5351699.9999999991</v>
      </c>
      <c r="Q2">
        <f>Smoothing!D57</f>
        <v>5961944.4444444422</v>
      </c>
      <c r="R2">
        <f>Smoothing!D58</f>
        <v>6348777.7777777752</v>
      </c>
      <c r="S2">
        <f>Smoothing!D59</f>
        <v>6509444.444444472</v>
      </c>
      <c r="T2">
        <f>Smoothing!D60</f>
        <v>6443944.4444444422</v>
      </c>
      <c r="U2">
        <f>Smoothing!D61</f>
        <v>6152277.7777777752</v>
      </c>
      <c r="V2">
        <f>Smoothing!D62</f>
        <v>5642499.9999999991</v>
      </c>
      <c r="W2">
        <f>Smoothing!D63</f>
        <v>4969722.2222222211</v>
      </c>
      <c r="X2">
        <f>Smoothing!D64</f>
        <v>4263666.666666666</v>
      </c>
      <c r="Y2">
        <f>Smoothing!D65</f>
        <v>3524333.3333333326</v>
      </c>
      <c r="Z2">
        <f>Smoothing!D66</f>
        <v>2751722.2222222215</v>
      </c>
      <c r="AA2">
        <f>Smoothing!D67</f>
        <v>1945833.3333333328</v>
      </c>
      <c r="AB2">
        <f>Smoothing!D68</f>
        <v>1297222.2222222218</v>
      </c>
      <c r="AC2">
        <f>Smoothing!D69</f>
        <v>778333.33333333326</v>
      </c>
      <c r="AD2">
        <f>Smoothing!D70</f>
        <v>389166.66666666657</v>
      </c>
      <c r="AE2">
        <f>Smoothing!D71</f>
        <v>129722.2222222222</v>
      </c>
    </row>
    <row r="3" spans="1:31" x14ac:dyDescent="0.35">
      <c r="A3" t="s">
        <v>49</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x14ac:dyDescent="0.35">
      <c r="A4" t="s">
        <v>50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x14ac:dyDescent="0.35">
      <c r="A5" t="s">
        <v>51</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NZA Annex K Cohorts</vt:lpstr>
      <vt:lpstr>Derivation</vt:lpstr>
      <vt:lpstr>Smoothing</vt:lpstr>
      <vt:lpstr>Checks</vt:lpstr>
      <vt:lpstr>CPRS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2026-08-26T11:48:09Z</dcterms:created>
  <dcterms:modified xsi:type="dcterms:W3CDTF">2026-10-09T17:52:57Z</dcterms:modified>
</cp:coreProperties>
</file>