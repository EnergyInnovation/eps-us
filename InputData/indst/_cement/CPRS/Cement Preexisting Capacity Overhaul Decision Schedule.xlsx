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NZA Annex K Cohorts" sheetId="2" state="visible" r:id="rId2"/>
    <sheet name="Derivation" sheetId="3" state="visible" r:id="rId3"/>
    <sheet name="Smoothing" sheetId="4" state="visible" r:id="rId4"/>
    <sheet name="Checks" sheetId="5" state="visible" r:id="rId5"/>
    <sheet name="CP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etzeroamerica.princeton.edu/img/Princeton_NZA_Annex_K.pd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CPRS Cement Preexisting Capacity Overhaul Decision Schedule</t>
        </is>
      </c>
    </row>
    <row r="3">
      <c r="A3" s="1" t="inlineStr">
        <is>
          <t>Sources:</t>
        </is>
      </c>
      <c r="B3" s="2" t="inlineStr">
        <is>
          <t>US cement kiln fleet age cohorts (pre-2000 / post-2000)</t>
        </is>
      </c>
    </row>
    <row r="4">
      <c r="B4" s="3" t="inlineStr">
        <is>
          <t>Princeton University Net-Zero America (NZA) project</t>
        </is>
      </c>
    </row>
    <row r="5">
      <c r="B5" s="3" t="inlineStr">
        <is>
          <t>NZA Annex K, section 6.3 (cement)</t>
        </is>
      </c>
    </row>
    <row r="6">
      <c r="B6" s="3" t="n">
        <v>2021</v>
      </c>
    </row>
    <row r="7">
      <c r="B7" s="4" t="inlineStr">
        <is>
          <t>https://netzeroamerica.princeton.edu/img/Princeton_NZA_Annex_K.pdf</t>
        </is>
      </c>
    </row>
    <row r="8">
      <c r="B8" s="3" t="inlineStr">
        <is>
          <t>Annex K sec 6.3: ~92 pre-2000 US kilns totaling ~49.6 Mt/yr nameplate clinker capacity, and ~38 post-2000 kilns totaling ~46.7 Mt/yr; a 35-year kiln campaign convention (EIA IDM 30-yr assumption extended by 5). Retrieved via reader proxy 2026-08-25 (direct PDF access restricted) - cohort totals CONFIRMED exactly against the Annex K text in Phase 4 verification. [DIRECT via proxy]</t>
        </is>
      </c>
    </row>
    <row r="11">
      <c r="A11" s="1" t="inlineStr">
        <is>
          <t>Notes:</t>
        </is>
      </c>
    </row>
    <row r="12">
      <c r="A12" s="1" t="inlineStr">
        <is>
          <t>Decision-schedule semantics (Phase 2b)</t>
        </is>
      </c>
      <c r="B12" s="3" t="inlineStr">
        <is>
          <t>CPRS[Y] = nameplate clinker capacity whose kiln campaign ends in year Y and therefore reaches an overhaul-vs-replace DECISION that year. The decision OUTCOME (overhaul vs. replace) is endogenous, made by the CRSW-weighted two-option relative-cost logit (overhaul capex, CRCC, annuitized, vs. the pathway's share-weighted new-build cost). CPRS does not say what retires - it says how much nameplate capacity, by pathway, reaches a decision each year. GEM's cement tracker records no kiln-level vintages, so this schedule is built from fleet age cohorts rather than a unit-by-unit table (contrast with steel's GEM-sourced SPRS).</t>
        </is>
      </c>
    </row>
    <row r="13">
      <c r="A13" s="1" t="inlineStr">
        <is>
          <t>Pre-2000 cohort schedule</t>
        </is>
      </c>
      <c r="B13" s="3" t="inlineStr">
        <is>
          <t>NZA's own convention: post-2025 turnover at 7%/yr of the 49.6 Mt pre-2000 cohort, from 2026. 7% x 49.6 Mt = 3.472 Mt/yr, rounded to the shipped 3,470,000, applied 2026-2039 (14 years); the remainder (49.6 Mt - 14 x 3.47 Mt = 1.02 Mt) decides in 2040. NZA's pre-2025 3%/yr retirement convention (2018-2025) is already embedded in the USGS 2025 capacity figure the module's start-year stock initializes from, so it is not re-applied here. See the Derivation tab.</t>
        </is>
      </c>
    </row>
    <row r="14">
      <c r="A14" s="1" t="inlineStr">
        <is>
          <t>Post-2000 cohort schedule</t>
        </is>
      </c>
      <c r="B14" s="3" t="inlineStr">
        <is>
          <t>The 46.7 Mt post-2000 cohort was installed roughly 2000-2010 and reaches its 35-year campaign end individually staggered across that installation window. Approximated as a flat 46.7 Mt / 10 yr = 4.67 Mt/yr (rounded to the shipped 4,700,000/yr) over 2036-2045 - a documented simplification in the absence of kiln-level install-year data. See the Derivation tab.</t>
        </is>
      </c>
    </row>
    <row r="15">
      <c r="A15" s="1" t="inlineStr">
        <is>
          <t>Overlap years 2036-2039</t>
        </is>
      </c>
      <c r="B15" s="3" t="inlineStr">
        <is>
          <t>Both cohort schedules are active 2036-2039, so CPRS in those years is the SUM of the pre-2000 remainder-period rate (3.47 Mt/yr through 2039) and the post-2000 flat rate (4.70 Mt/yr): 8,170,000/yr. 2040 sums the pre-2000 remainder (1,020,000) and the post-2000 rate (4,700,000) = 5,720,000. 2041-2045 carries only the post-2000 rate (4,700,000).</t>
        </is>
      </c>
    </row>
    <row r="16">
      <c r="A16" s="1" t="inlineStr">
        <is>
          <t>Pathway attribution</t>
        </is>
      </c>
      <c r="B16" s="3" t="inlineStr">
        <is>
          <t>All decision capacity is attributed to the dry kiln with precalciner pathway (the entire preexisting fleet); the other three pathways are 0 in every year, consistent with SYCPbP.</t>
        </is>
      </c>
    </row>
    <row r="17">
      <c r="A17" s="1" t="inlineStr">
        <is>
          <t>Upgrade path</t>
        </is>
      </c>
      <c r="B17" s="3" t="inlineStr">
        <is>
          <t>PCA's Plant Information Summary carries kiln-level vintage data but is a proprietary/member-only product; upgrading this schedule to unit-level (as steel's GEM-sourced SPRS does) requires EI access to that data set.</t>
        </is>
      </c>
    </row>
    <row r="18">
      <c r="A18" s="1" t="inlineStr">
        <is>
          <t>DRAFT status</t>
        </is>
      </c>
      <c r="B18" s="3" t="inlineStr">
        <is>
          <t>DRAFT - verify against primary sources before release. This workbook is an input for staff review, not a finished or approved EI position.</t>
        </is>
      </c>
    </row>
    <row r="19">
      <c r="A19" s="1" t="inlineStr">
        <is>
          <t>Provenance</t>
        </is>
      </c>
      <c r="B19" s="3" t="inlineStr">
        <is>
          <t>Written by Claude Code (Fable/Sonnet agent session), cement industry breakout, worktree cement-industry-breakout-f901fc, 2026-08-26. This is a DRAFT input for staff review, not a finished or approved EI position; verify all figures against primary sources before use in any work product. Reviewed by: (pending). Smoothing update written by Claude Code, 2026-08-28; reviewed by: (pending).</t>
        </is>
      </c>
    </row>
    <row r="20">
      <c r="A20" t="inlineStr">
        <is>
          <t>Smoothing (2026-08-28)</t>
        </is>
      </c>
      <c r="B20" t="inlineStr">
        <is>
          <t>Dan-directed: the step schedule (Derivation tab) is convolved with a +/-5-yr triangular campaign-timing kernel (see Smoothing tab) before export - ECRA 2017 p.9 documents rolling 20-30 yr component-replacement cycles, so hard step edges at install+35 are an artifact and produced spiky retirement waves under carbon-tax runs. Mass is conserved exactly (edge renormalization at 2026; rounding residual placed on the peak year). Derivation tab retained unchanged as the pre-smoothing cohort schedule.</t>
        </is>
      </c>
    </row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Cohort</t>
        </is>
      </c>
      <c r="B1" s="1" t="inlineStr">
        <is>
          <t>Kiln count</t>
        </is>
      </c>
      <c r="C1" s="1" t="inlineStr">
        <is>
          <t>Nameplate capacity (Mt/yr)</t>
        </is>
      </c>
      <c r="D1" s="1" t="inlineStr">
        <is>
          <t>Convention</t>
        </is>
      </c>
    </row>
    <row r="2">
      <c r="A2" t="inlineStr">
        <is>
          <t>Pre-2000</t>
        </is>
      </c>
      <c r="B2" t="n">
        <v>92</v>
      </c>
      <c r="C2" t="n">
        <v>49.6</v>
      </c>
      <c r="D2" t="inlineStr">
        <is>
          <t>7%/yr turnover from 2026 (NZA post-2025 rate)</t>
        </is>
      </c>
    </row>
    <row r="3">
      <c r="A3" t="inlineStr">
        <is>
          <t>Post-2000</t>
        </is>
      </c>
      <c r="B3" t="n">
        <v>38</v>
      </c>
      <c r="C3" t="n">
        <v>46.7</v>
      </c>
      <c r="D3" t="inlineStr">
        <is>
          <t>35-yr campaign, staggered installs ~2000-2010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Pre-2000 cohort: 7%/yr of 49.6 Mt, 2026-2039, remainder in 2040</t>
        </is>
      </c>
    </row>
    <row r="3">
      <c r="A3" t="inlineStr">
        <is>
          <t>Pre-2000 cohort nameplate (Mt)</t>
        </is>
      </c>
      <c r="B3">
        <f>'NZA Annex K Cohorts'!C2</f>
        <v/>
      </c>
    </row>
    <row r="4">
      <c r="A4" t="inlineStr">
        <is>
          <t>Annual rate = 7% x cohort</t>
        </is>
      </c>
      <c r="B4">
        <f>0.07*B3</f>
        <v/>
      </c>
    </row>
    <row r="5">
      <c r="A5" t="inlineStr">
        <is>
          <t>Annual rate, rounded to nearest 10,000 t/yr (shipped)</t>
        </is>
      </c>
      <c r="B5" t="n">
        <v>3470000</v>
      </c>
    </row>
    <row r="6">
      <c r="A6" t="inlineStr">
        <is>
          <t>Years at full rate (2026-2039)</t>
        </is>
      </c>
      <c r="B6" t="n">
        <v>14</v>
      </c>
    </row>
    <row r="7">
      <c r="A7" t="inlineStr">
        <is>
          <t>Cumulative at full rate (Mt)</t>
        </is>
      </c>
      <c r="B7">
        <f>B5*B6/1000000</f>
        <v/>
      </c>
    </row>
    <row r="8">
      <c r="A8" t="inlineStr">
        <is>
          <t>Remainder in 2040 (Mt) = cohort - cumulative</t>
        </is>
      </c>
      <c r="B8">
        <f>B3-B7</f>
        <v/>
      </c>
    </row>
    <row r="9">
      <c r="A9" t="inlineStr">
        <is>
          <t>Remainder in 2040, shipped (t/yr)</t>
        </is>
      </c>
      <c r="B9" t="n">
        <v>1020000</v>
      </c>
    </row>
    <row r="11">
      <c r="A11" s="1" t="inlineStr">
        <is>
          <t>Post-2000 cohort: 35-yr staggered campaign end, 2036-2045</t>
        </is>
      </c>
    </row>
    <row r="13">
      <c r="A13" t="inlineStr">
        <is>
          <t>Post-2000 cohort nameplate (Mt)</t>
        </is>
      </c>
      <c r="B13">
        <f>'NZA Annex K Cohorts'!C3</f>
        <v/>
      </c>
    </row>
    <row r="14">
      <c r="A14" t="inlineStr">
        <is>
          <t>Years spanned (2036-2045)</t>
        </is>
      </c>
      <c r="B14" t="n">
        <v>10</v>
      </c>
    </row>
    <row r="15">
      <c r="A15" t="inlineStr">
        <is>
          <t>Annual rate = cohort / years (Mt/yr)</t>
        </is>
      </c>
      <c r="B15">
        <f>B13/B14</f>
        <v/>
      </c>
    </row>
    <row r="16">
      <c r="A16" t="inlineStr">
        <is>
          <t>Annual rate, shipped (t/yr)</t>
        </is>
      </c>
      <c r="B16" t="n">
        <v>4700000</v>
      </c>
    </row>
    <row r="18">
      <c r="A18" s="1" t="inlineStr">
        <is>
          <t>Year-by-year schedule (t/yr), pre-2000 + post-2000</t>
        </is>
      </c>
    </row>
    <row r="19">
      <c r="A19" t="inlineStr">
        <is>
          <t>Year</t>
        </is>
      </c>
      <c r="B19" t="inlineStr">
        <is>
          <t>Pre-2000 component</t>
        </is>
      </c>
      <c r="C19" t="inlineStr">
        <is>
          <t>Post-2000 component</t>
        </is>
      </c>
      <c r="D19" t="inlineStr">
        <is>
          <t>Total (dry kiln with precalciner)</t>
        </is>
      </c>
    </row>
    <row r="20">
      <c r="A20" t="n">
        <v>2021</v>
      </c>
      <c r="B20" t="n">
        <v>0</v>
      </c>
      <c r="C20" t="n">
        <v>0</v>
      </c>
      <c r="D20">
        <f>B20+C20</f>
        <v/>
      </c>
    </row>
    <row r="21">
      <c r="A21" t="n">
        <v>2022</v>
      </c>
      <c r="B21" t="n">
        <v>0</v>
      </c>
      <c r="C21" t="n">
        <v>0</v>
      </c>
      <c r="D21">
        <f>B21+C21</f>
        <v/>
      </c>
    </row>
    <row r="22">
      <c r="A22" t="n">
        <v>2023</v>
      </c>
      <c r="B22" t="n">
        <v>0</v>
      </c>
      <c r="C22" t="n">
        <v>0</v>
      </c>
      <c r="D22">
        <f>B22+C22</f>
        <v/>
      </c>
    </row>
    <row r="23">
      <c r="A23" t="n">
        <v>2024</v>
      </c>
      <c r="B23" t="n">
        <v>0</v>
      </c>
      <c r="C23" t="n">
        <v>0</v>
      </c>
      <c r="D23">
        <f>B23+C23</f>
        <v/>
      </c>
    </row>
    <row r="24">
      <c r="A24" t="n">
        <v>2025</v>
      </c>
      <c r="B24" t="n">
        <v>0</v>
      </c>
      <c r="C24" t="n">
        <v>0</v>
      </c>
      <c r="D24">
        <f>B24+C24</f>
        <v/>
      </c>
    </row>
    <row r="25">
      <c r="A25" t="n">
        <v>2026</v>
      </c>
      <c r="B25">
        <f>$B$5</f>
        <v/>
      </c>
      <c r="C25" t="n">
        <v>0</v>
      </c>
      <c r="D25">
        <f>B25+C25</f>
        <v/>
      </c>
    </row>
    <row r="26">
      <c r="A26" t="n">
        <v>2027</v>
      </c>
      <c r="B26">
        <f>$B$5</f>
        <v/>
      </c>
      <c r="C26" t="n">
        <v>0</v>
      </c>
      <c r="D26">
        <f>B26+C26</f>
        <v/>
      </c>
    </row>
    <row r="27">
      <c r="A27" t="n">
        <v>2028</v>
      </c>
      <c r="B27">
        <f>$B$5</f>
        <v/>
      </c>
      <c r="C27" t="n">
        <v>0</v>
      </c>
      <c r="D27">
        <f>B27+C27</f>
        <v/>
      </c>
    </row>
    <row r="28">
      <c r="A28" t="n">
        <v>2029</v>
      </c>
      <c r="B28">
        <f>$B$5</f>
        <v/>
      </c>
      <c r="C28" t="n">
        <v>0</v>
      </c>
      <c r="D28">
        <f>B28+C28</f>
        <v/>
      </c>
    </row>
    <row r="29">
      <c r="A29" t="n">
        <v>2030</v>
      </c>
      <c r="B29">
        <f>$B$5</f>
        <v/>
      </c>
      <c r="C29" t="n">
        <v>0</v>
      </c>
      <c r="D29">
        <f>B29+C29</f>
        <v/>
      </c>
    </row>
    <row r="30">
      <c r="A30" t="n">
        <v>2031</v>
      </c>
      <c r="B30">
        <f>$B$5</f>
        <v/>
      </c>
      <c r="C30" t="n">
        <v>0</v>
      </c>
      <c r="D30">
        <f>B30+C30</f>
        <v/>
      </c>
    </row>
    <row r="31">
      <c r="A31" t="n">
        <v>2032</v>
      </c>
      <c r="B31">
        <f>$B$5</f>
        <v/>
      </c>
      <c r="C31" t="n">
        <v>0</v>
      </c>
      <c r="D31">
        <f>B31+C31</f>
        <v/>
      </c>
    </row>
    <row r="32">
      <c r="A32" t="n">
        <v>2033</v>
      </c>
      <c r="B32">
        <f>$B$5</f>
        <v/>
      </c>
      <c r="C32" t="n">
        <v>0</v>
      </c>
      <c r="D32">
        <f>B32+C32</f>
        <v/>
      </c>
    </row>
    <row r="33">
      <c r="A33" t="n">
        <v>2034</v>
      </c>
      <c r="B33">
        <f>$B$5</f>
        <v/>
      </c>
      <c r="C33" t="n">
        <v>0</v>
      </c>
      <c r="D33">
        <f>B33+C33</f>
        <v/>
      </c>
    </row>
    <row r="34">
      <c r="A34" t="n">
        <v>2035</v>
      </c>
      <c r="B34">
        <f>$B$5</f>
        <v/>
      </c>
      <c r="C34" t="n">
        <v>0</v>
      </c>
      <c r="D34">
        <f>B34+C34</f>
        <v/>
      </c>
    </row>
    <row r="35">
      <c r="A35" t="n">
        <v>2036</v>
      </c>
      <c r="B35">
        <f>$B$5</f>
        <v/>
      </c>
      <c r="C35">
        <f>$B$16</f>
        <v/>
      </c>
      <c r="D35">
        <f>B35+C35</f>
        <v/>
      </c>
    </row>
    <row r="36">
      <c r="A36" t="n">
        <v>2037</v>
      </c>
      <c r="B36">
        <f>$B$5</f>
        <v/>
      </c>
      <c r="C36">
        <f>$B$16</f>
        <v/>
      </c>
      <c r="D36">
        <f>B36+C36</f>
        <v/>
      </c>
    </row>
    <row r="37">
      <c r="A37" t="n">
        <v>2038</v>
      </c>
      <c r="B37">
        <f>$B$5</f>
        <v/>
      </c>
      <c r="C37">
        <f>$B$16</f>
        <v/>
      </c>
      <c r="D37">
        <f>B37+C37</f>
        <v/>
      </c>
    </row>
    <row r="38">
      <c r="A38" t="n">
        <v>2039</v>
      </c>
      <c r="B38">
        <f>$B$5</f>
        <v/>
      </c>
      <c r="C38">
        <f>$B$16</f>
        <v/>
      </c>
      <c r="D38">
        <f>B38+C38</f>
        <v/>
      </c>
    </row>
    <row r="39">
      <c r="A39" t="n">
        <v>2040</v>
      </c>
      <c r="B39">
        <f>$B$9</f>
        <v/>
      </c>
      <c r="C39">
        <f>$B$16</f>
        <v/>
      </c>
      <c r="D39">
        <f>B39+C39</f>
        <v/>
      </c>
    </row>
    <row r="40">
      <c r="A40" t="n">
        <v>2041</v>
      </c>
      <c r="B40" t="n">
        <v>0</v>
      </c>
      <c r="C40">
        <f>$B$16</f>
        <v/>
      </c>
      <c r="D40">
        <f>B40+C40</f>
        <v/>
      </c>
    </row>
    <row r="41">
      <c r="A41" t="n">
        <v>2042</v>
      </c>
      <c r="B41" t="n">
        <v>0</v>
      </c>
      <c r="C41">
        <f>$B$16</f>
        <v/>
      </c>
      <c r="D41">
        <f>B41+C41</f>
        <v/>
      </c>
    </row>
    <row r="42">
      <c r="A42" t="n">
        <v>2043</v>
      </c>
      <c r="B42" t="n">
        <v>0</v>
      </c>
      <c r="C42">
        <f>$B$16</f>
        <v/>
      </c>
      <c r="D42">
        <f>B42+C42</f>
        <v/>
      </c>
    </row>
    <row r="43">
      <c r="A43" t="n">
        <v>2044</v>
      </c>
      <c r="B43" t="n">
        <v>0</v>
      </c>
      <c r="C43">
        <f>$B$16</f>
        <v/>
      </c>
      <c r="D43">
        <f>B43+C43</f>
        <v/>
      </c>
    </row>
    <row r="44">
      <c r="A44" t="n">
        <v>2045</v>
      </c>
      <c r="B44" t="n">
        <v>0</v>
      </c>
      <c r="C44">
        <f>$B$16</f>
        <v/>
      </c>
      <c r="D44">
        <f>B44+C44</f>
        <v/>
      </c>
    </row>
    <row r="45">
      <c r="A45" t="n">
        <v>2046</v>
      </c>
      <c r="B45" t="n">
        <v>0</v>
      </c>
      <c r="C45" t="n">
        <v>0</v>
      </c>
      <c r="D45">
        <f>B45+C45</f>
        <v/>
      </c>
    </row>
    <row r="46">
      <c r="A46" t="n">
        <v>2047</v>
      </c>
      <c r="B46" t="n">
        <v>0</v>
      </c>
      <c r="C46" t="n">
        <v>0</v>
      </c>
      <c r="D46">
        <f>B46+C46</f>
        <v/>
      </c>
    </row>
    <row r="47">
      <c r="A47" t="n">
        <v>2048</v>
      </c>
      <c r="B47" t="n">
        <v>0</v>
      </c>
      <c r="C47" t="n">
        <v>0</v>
      </c>
      <c r="D47">
        <f>B47+C47</f>
        <v/>
      </c>
    </row>
    <row r="48">
      <c r="A48" t="n">
        <v>2049</v>
      </c>
      <c r="B48" t="n">
        <v>0</v>
      </c>
      <c r="C48" t="n">
        <v>0</v>
      </c>
      <c r="D48">
        <f>B48+C48</f>
        <v/>
      </c>
    </row>
    <row r="49">
      <c r="A49" t="n">
        <v>2050</v>
      </c>
      <c r="B49" t="n">
        <v>0</v>
      </c>
      <c r="C49" t="n">
        <v>0</v>
      </c>
      <c r="D49">
        <f>B49+C49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Campaign-timing smoothing (2026-08-28): the Derivation tab's step schedule convolved with a +/-5-yr triangular kernel. Rationale: ECRA (2017, p.9) documents rolling 20-30 yr kiln component-replacement cycles, so a hard install+35 convention is a mesa artifact; the +/-5 half-width mirrors that range around its mean. Kernel mass that would land before 2026 is renormalized onto the &gt;=2026 support (pre-2026 turnover is already embedded in the USGS 2025 capacity the stock initializes from). Cohort mass conserved exactly.</t>
        </is>
      </c>
    </row>
    <row r="3">
      <c r="A3" t="inlineStr">
        <is>
          <t>Kernel offset d</t>
        </is>
      </c>
      <c r="B3" t="n">
        <v>-5</v>
      </c>
      <c r="C3" t="n">
        <v>-4</v>
      </c>
      <c r="D3" t="n">
        <v>-3</v>
      </c>
      <c r="E3" t="n">
        <v>-2</v>
      </c>
      <c r="F3" t="n">
        <v>-1</v>
      </c>
      <c r="G3" t="n">
        <v>0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t="inlineStr">
        <is>
          <t>Weight (6-ABS(d))/36</t>
        </is>
      </c>
      <c r="B4">
        <f>(6-ABS(B3))/36</f>
        <v/>
      </c>
      <c r="C4">
        <f>(6-ABS(C3))/36</f>
        <v/>
      </c>
      <c r="D4">
        <f>(6-ABS(D3))/36</f>
        <v/>
      </c>
      <c r="E4">
        <f>(6-ABS(E3))/36</f>
        <v/>
      </c>
      <c r="F4">
        <f>(6-ABS(F3))/36</f>
        <v/>
      </c>
      <c r="G4">
        <f>(6-ABS(G3))/36</f>
        <v/>
      </c>
      <c r="H4">
        <f>(6-ABS(H3))/36</f>
        <v/>
      </c>
      <c r="I4">
        <f>(6-ABS(I3))/36</f>
        <v/>
      </c>
      <c r="J4">
        <f>(6-ABS(J3))/36</f>
        <v/>
      </c>
      <c r="K4">
        <f>(6-ABS(K3))/36</f>
        <v/>
      </c>
      <c r="L4">
        <f>(6-ABS(L3))/36</f>
        <v/>
      </c>
    </row>
    <row r="6">
      <c r="A6" t="inlineStr">
        <is>
          <t>Source rows: raw = Derivation total; scale renormalizes each source year's kernel onto the window [2026, 2050].</t>
        </is>
      </c>
    </row>
    <row r="7">
      <c r="A7" t="inlineStr">
        <is>
          <t>Year</t>
        </is>
      </c>
      <c r="B7" t="inlineStr">
        <is>
          <t>Raw (t/yr, Derivation)</t>
        </is>
      </c>
      <c r="C7" t="inlineStr">
        <is>
          <t>Edge scale</t>
        </is>
      </c>
    </row>
    <row r="8">
      <c r="A8" t="n">
        <v>2021</v>
      </c>
      <c r="B8">
        <f>Derivation!D20</f>
        <v/>
      </c>
      <c r="C8">
        <f>1/SUMPRODUCT($B$4:$L$4*((A8+$B$3:$L$3&gt;=2026)*(A8+$B$3:$L$3&lt;=2050)))</f>
        <v/>
      </c>
    </row>
    <row r="9">
      <c r="A9" t="n">
        <v>2022</v>
      </c>
      <c r="B9">
        <f>Derivation!D21</f>
        <v/>
      </c>
      <c r="C9">
        <f>1/SUMPRODUCT($B$4:$L$4*((A9+$B$3:$L$3&gt;=2026)*(A9+$B$3:$L$3&lt;=2050)))</f>
        <v/>
      </c>
    </row>
    <row r="10">
      <c r="A10" t="n">
        <v>2023</v>
      </c>
      <c r="B10">
        <f>Derivation!D22</f>
        <v/>
      </c>
      <c r="C10">
        <f>1/SUMPRODUCT($B$4:$L$4*((A10+$B$3:$L$3&gt;=2026)*(A10+$B$3:$L$3&lt;=2050)))</f>
        <v/>
      </c>
    </row>
    <row r="11">
      <c r="A11" t="n">
        <v>2024</v>
      </c>
      <c r="B11">
        <f>Derivation!D23</f>
        <v/>
      </c>
      <c r="C11">
        <f>1/SUMPRODUCT($B$4:$L$4*((A11+$B$3:$L$3&gt;=2026)*(A11+$B$3:$L$3&lt;=2050)))</f>
        <v/>
      </c>
    </row>
    <row r="12">
      <c r="A12" t="n">
        <v>2025</v>
      </c>
      <c r="B12">
        <f>Derivation!D24</f>
        <v/>
      </c>
      <c r="C12">
        <f>1/SUMPRODUCT($B$4:$L$4*((A12+$B$3:$L$3&gt;=2026)*(A12+$B$3:$L$3&lt;=2050)))</f>
        <v/>
      </c>
    </row>
    <row r="13">
      <c r="A13" t="n">
        <v>2026</v>
      </c>
      <c r="B13">
        <f>Derivation!D25</f>
        <v/>
      </c>
      <c r="C13">
        <f>1/SUMPRODUCT($B$4:$L$4*((A13+$B$3:$L$3&gt;=2026)*(A13+$B$3:$L$3&lt;=2050)))</f>
        <v/>
      </c>
    </row>
    <row r="14">
      <c r="A14" t="n">
        <v>2027</v>
      </c>
      <c r="B14">
        <f>Derivation!D26</f>
        <v/>
      </c>
      <c r="C14">
        <f>1/SUMPRODUCT($B$4:$L$4*((A14+$B$3:$L$3&gt;=2026)*(A14+$B$3:$L$3&lt;=2050)))</f>
        <v/>
      </c>
    </row>
    <row r="15">
      <c r="A15" t="n">
        <v>2028</v>
      </c>
      <c r="B15">
        <f>Derivation!D27</f>
        <v/>
      </c>
      <c r="C15">
        <f>1/SUMPRODUCT($B$4:$L$4*((A15+$B$3:$L$3&gt;=2026)*(A15+$B$3:$L$3&lt;=2050)))</f>
        <v/>
      </c>
    </row>
    <row r="16">
      <c r="A16" t="n">
        <v>2029</v>
      </c>
      <c r="B16">
        <f>Derivation!D28</f>
        <v/>
      </c>
      <c r="C16">
        <f>1/SUMPRODUCT($B$4:$L$4*((A16+$B$3:$L$3&gt;=2026)*(A16+$B$3:$L$3&lt;=2050)))</f>
        <v/>
      </c>
    </row>
    <row r="17">
      <c r="A17" t="n">
        <v>2030</v>
      </c>
      <c r="B17">
        <f>Derivation!D29</f>
        <v/>
      </c>
      <c r="C17">
        <f>1/SUMPRODUCT($B$4:$L$4*((A17+$B$3:$L$3&gt;=2026)*(A17+$B$3:$L$3&lt;=2050)))</f>
        <v/>
      </c>
    </row>
    <row r="18">
      <c r="A18" t="n">
        <v>2031</v>
      </c>
      <c r="B18">
        <f>Derivation!D30</f>
        <v/>
      </c>
      <c r="C18">
        <f>1/SUMPRODUCT($B$4:$L$4*((A18+$B$3:$L$3&gt;=2026)*(A18+$B$3:$L$3&lt;=2050)))</f>
        <v/>
      </c>
    </row>
    <row r="19">
      <c r="A19" t="n">
        <v>2032</v>
      </c>
      <c r="B19">
        <f>Derivation!D31</f>
        <v/>
      </c>
      <c r="C19">
        <f>1/SUMPRODUCT($B$4:$L$4*((A19+$B$3:$L$3&gt;=2026)*(A19+$B$3:$L$3&lt;=2050)))</f>
        <v/>
      </c>
    </row>
    <row r="20">
      <c r="A20" t="n">
        <v>2033</v>
      </c>
      <c r="B20">
        <f>Derivation!D32</f>
        <v/>
      </c>
      <c r="C20">
        <f>1/SUMPRODUCT($B$4:$L$4*((A20+$B$3:$L$3&gt;=2026)*(A20+$B$3:$L$3&lt;=2050)))</f>
        <v/>
      </c>
    </row>
    <row r="21">
      <c r="A21" t="n">
        <v>2034</v>
      </c>
      <c r="B21">
        <f>Derivation!D33</f>
        <v/>
      </c>
      <c r="C21">
        <f>1/SUMPRODUCT($B$4:$L$4*((A21+$B$3:$L$3&gt;=2026)*(A21+$B$3:$L$3&lt;=2050)))</f>
        <v/>
      </c>
    </row>
    <row r="22">
      <c r="A22" t="n">
        <v>2035</v>
      </c>
      <c r="B22">
        <f>Derivation!D34</f>
        <v/>
      </c>
      <c r="C22">
        <f>1/SUMPRODUCT($B$4:$L$4*((A22+$B$3:$L$3&gt;=2026)*(A22+$B$3:$L$3&lt;=2050)))</f>
        <v/>
      </c>
    </row>
    <row r="23">
      <c r="A23" t="n">
        <v>2036</v>
      </c>
      <c r="B23">
        <f>Derivation!D35</f>
        <v/>
      </c>
      <c r="C23">
        <f>1/SUMPRODUCT($B$4:$L$4*((A23+$B$3:$L$3&gt;=2026)*(A23+$B$3:$L$3&lt;=2050)))</f>
        <v/>
      </c>
    </row>
    <row r="24">
      <c r="A24" t="n">
        <v>2037</v>
      </c>
      <c r="B24">
        <f>Derivation!D36</f>
        <v/>
      </c>
      <c r="C24">
        <f>1/SUMPRODUCT($B$4:$L$4*((A24+$B$3:$L$3&gt;=2026)*(A24+$B$3:$L$3&lt;=2050)))</f>
        <v/>
      </c>
    </row>
    <row r="25">
      <c r="A25" t="n">
        <v>2038</v>
      </c>
      <c r="B25">
        <f>Derivation!D37</f>
        <v/>
      </c>
      <c r="C25">
        <f>1/SUMPRODUCT($B$4:$L$4*((A25+$B$3:$L$3&gt;=2026)*(A25+$B$3:$L$3&lt;=2050)))</f>
        <v/>
      </c>
    </row>
    <row r="26">
      <c r="A26" t="n">
        <v>2039</v>
      </c>
      <c r="B26">
        <f>Derivation!D38</f>
        <v/>
      </c>
      <c r="C26">
        <f>1/SUMPRODUCT($B$4:$L$4*((A26+$B$3:$L$3&gt;=2026)*(A26+$B$3:$L$3&lt;=2050)))</f>
        <v/>
      </c>
    </row>
    <row r="27">
      <c r="A27" t="n">
        <v>2040</v>
      </c>
      <c r="B27">
        <f>Derivation!D39</f>
        <v/>
      </c>
      <c r="C27">
        <f>1/SUMPRODUCT($B$4:$L$4*((A27+$B$3:$L$3&gt;=2026)*(A27+$B$3:$L$3&lt;=2050)))</f>
        <v/>
      </c>
    </row>
    <row r="28">
      <c r="A28" t="n">
        <v>2041</v>
      </c>
      <c r="B28">
        <f>Derivation!D40</f>
        <v/>
      </c>
      <c r="C28">
        <f>1/SUMPRODUCT($B$4:$L$4*((A28+$B$3:$L$3&gt;=2026)*(A28+$B$3:$L$3&lt;=2050)))</f>
        <v/>
      </c>
    </row>
    <row r="29">
      <c r="A29" t="n">
        <v>2042</v>
      </c>
      <c r="B29">
        <f>Derivation!D41</f>
        <v/>
      </c>
      <c r="C29">
        <f>1/SUMPRODUCT($B$4:$L$4*((A29+$B$3:$L$3&gt;=2026)*(A29+$B$3:$L$3&lt;=2050)))</f>
        <v/>
      </c>
    </row>
    <row r="30">
      <c r="A30" t="n">
        <v>2043</v>
      </c>
      <c r="B30">
        <f>Derivation!D42</f>
        <v/>
      </c>
      <c r="C30">
        <f>1/SUMPRODUCT($B$4:$L$4*((A30+$B$3:$L$3&gt;=2026)*(A30+$B$3:$L$3&lt;=2050)))</f>
        <v/>
      </c>
    </row>
    <row r="31">
      <c r="A31" t="n">
        <v>2044</v>
      </c>
      <c r="B31">
        <f>Derivation!D43</f>
        <v/>
      </c>
      <c r="C31">
        <f>1/SUMPRODUCT($B$4:$L$4*((A31+$B$3:$L$3&gt;=2026)*(A31+$B$3:$L$3&lt;=2050)))</f>
        <v/>
      </c>
    </row>
    <row r="32">
      <c r="A32" t="n">
        <v>2045</v>
      </c>
      <c r="B32">
        <f>Derivation!D44</f>
        <v/>
      </c>
      <c r="C32">
        <f>1/SUMPRODUCT($B$4:$L$4*((A32+$B$3:$L$3&gt;=2026)*(A32+$B$3:$L$3&lt;=2050)))</f>
        <v/>
      </c>
    </row>
    <row r="33">
      <c r="A33" t="n">
        <v>2046</v>
      </c>
      <c r="B33">
        <f>Derivation!D45</f>
        <v/>
      </c>
      <c r="C33">
        <f>1/SUMPRODUCT($B$4:$L$4*((A33+$B$3:$L$3&gt;=2026)*(A33+$B$3:$L$3&lt;=2050)))</f>
        <v/>
      </c>
    </row>
    <row r="34">
      <c r="A34" t="n">
        <v>2047</v>
      </c>
      <c r="B34">
        <f>Derivation!D46</f>
        <v/>
      </c>
      <c r="C34">
        <f>1/SUMPRODUCT($B$4:$L$4*((A34+$B$3:$L$3&gt;=2026)*(A34+$B$3:$L$3&lt;=2050)))</f>
        <v/>
      </c>
    </row>
    <row r="35">
      <c r="A35" t="n">
        <v>2048</v>
      </c>
      <c r="B35">
        <f>Derivation!D47</f>
        <v/>
      </c>
      <c r="C35">
        <f>1/SUMPRODUCT($B$4:$L$4*((A35+$B$3:$L$3&gt;=2026)*(A35+$B$3:$L$3&lt;=2050)))</f>
        <v/>
      </c>
    </row>
    <row r="36">
      <c r="A36" t="n">
        <v>2049</v>
      </c>
      <c r="B36">
        <f>Derivation!D48</f>
        <v/>
      </c>
      <c r="C36">
        <f>1/SUMPRODUCT($B$4:$L$4*((A36+$B$3:$L$3&gt;=2026)*(A36+$B$3:$L$3&lt;=2050)))</f>
        <v/>
      </c>
    </row>
    <row r="37">
      <c r="A37" t="n">
        <v>2050</v>
      </c>
      <c r="B37">
        <f>Derivation!D49</f>
        <v/>
      </c>
      <c r="C37">
        <f>1/SUMPRODUCT($B$4:$L$4*((A37+$B$3:$L$3&gt;=2026)*(A37+$B$3:$L$3&lt;=2050)))</f>
        <v/>
      </c>
    </row>
    <row r="40">
      <c r="A40" t="inlineStr">
        <is>
          <t>Smoothed schedule: smoothed(Y) = SUM over d of raw(Y-d) x weight(d) x scale(Y-d); columns E..O are the d = -5..+5 terms.</t>
        </is>
      </c>
    </row>
    <row r="41">
      <c r="A41" t="inlineStr">
        <is>
          <t>Year</t>
        </is>
      </c>
      <c r="B41" t="inlineStr">
        <is>
          <t>Smoothed (t/yr)</t>
        </is>
      </c>
      <c r="C41" t="inlineStr">
        <is>
          <t>Rounded 1,000 t</t>
        </is>
      </c>
      <c r="D41" t="inlineStr">
        <is>
          <t>Shipped (t/yr)</t>
        </is>
      </c>
      <c r="E41" t="inlineStr">
        <is>
          <t>term d=-5</t>
        </is>
      </c>
      <c r="F41" t="inlineStr">
        <is>
          <t>term d=-4</t>
        </is>
      </c>
      <c r="G41" t="inlineStr">
        <is>
          <t>term d=-3</t>
        </is>
      </c>
      <c r="H41" t="inlineStr">
        <is>
          <t>term d=-2</t>
        </is>
      </c>
      <c r="I41" t="inlineStr">
        <is>
          <t>term d=-1</t>
        </is>
      </c>
      <c r="J41" t="inlineStr">
        <is>
          <t>term d=0</t>
        </is>
      </c>
      <c r="K41" t="inlineStr">
        <is>
          <t>term d=1</t>
        </is>
      </c>
      <c r="L41" t="inlineStr">
        <is>
          <t>term d=2</t>
        </is>
      </c>
      <c r="M41" t="inlineStr">
        <is>
          <t>term d=3</t>
        </is>
      </c>
      <c r="N41" t="inlineStr">
        <is>
          <t>term d=4</t>
        </is>
      </c>
      <c r="O41" t="inlineStr">
        <is>
          <t>term d=5</t>
        </is>
      </c>
    </row>
    <row r="42">
      <c r="A42" t="n">
        <v>2021</v>
      </c>
      <c r="B42">
        <f>E42+F42+G42+H42+I42+J42+K42+L42+M42+N42+O42</f>
        <v/>
      </c>
      <c r="C42">
        <f>ROUND(B42/1000,0)*1000</f>
        <v/>
      </c>
      <c r="D42">
        <f>C42+IF(A42=INDEX($A$42:$A$71,MATCH(MAX($C$42:$C$71),$C$42:$C$71,0)),SUM($B$8:$B$37)-SUM($C$42:$C$71),0)</f>
        <v/>
      </c>
      <c r="E42">
        <f>IFERROR(INDEX($B$8:$B$37,MATCH(A42-B$3,$A$8:$A$37,0))*INDEX($C$8:$C$37,MATCH(A42-B$3,$A$8:$A$37,0))*B$4,0)</f>
        <v/>
      </c>
      <c r="F42">
        <f>IFERROR(INDEX($B$8:$B$37,MATCH(A42-C$3,$A$8:$A$37,0))*INDEX($C$8:$C$37,MATCH(A42-C$3,$A$8:$A$37,0))*C$4,0)</f>
        <v/>
      </c>
      <c r="G42">
        <f>IFERROR(INDEX($B$8:$B$37,MATCH(A42-D$3,$A$8:$A$37,0))*INDEX($C$8:$C$37,MATCH(A42-D$3,$A$8:$A$37,0))*D$4,0)</f>
        <v/>
      </c>
      <c r="H42">
        <f>IFERROR(INDEX($B$8:$B$37,MATCH(A42-E$3,$A$8:$A$37,0))*INDEX($C$8:$C$37,MATCH(A42-E$3,$A$8:$A$37,0))*E$4,0)</f>
        <v/>
      </c>
      <c r="I42">
        <f>IFERROR(INDEX($B$8:$B$37,MATCH(A42-F$3,$A$8:$A$37,0))*INDEX($C$8:$C$37,MATCH(A42-F$3,$A$8:$A$37,0))*F$4,0)</f>
        <v/>
      </c>
      <c r="J42">
        <f>IFERROR(INDEX($B$8:$B$37,MATCH(A42-G$3,$A$8:$A$37,0))*INDEX($C$8:$C$37,MATCH(A42-G$3,$A$8:$A$37,0))*G$4,0)</f>
        <v/>
      </c>
      <c r="K42">
        <f>IFERROR(INDEX($B$8:$B$37,MATCH(A42-H$3,$A$8:$A$37,0))*INDEX($C$8:$C$37,MATCH(A42-H$3,$A$8:$A$37,0))*H$4,0)</f>
        <v/>
      </c>
      <c r="L42">
        <f>IFERROR(INDEX($B$8:$B$37,MATCH(A42-I$3,$A$8:$A$37,0))*INDEX($C$8:$C$37,MATCH(A42-I$3,$A$8:$A$37,0))*I$4,0)</f>
        <v/>
      </c>
      <c r="M42">
        <f>IFERROR(INDEX($B$8:$B$37,MATCH(A42-J$3,$A$8:$A$37,0))*INDEX($C$8:$C$37,MATCH(A42-J$3,$A$8:$A$37,0))*J$4,0)</f>
        <v/>
      </c>
      <c r="N42">
        <f>IFERROR(INDEX($B$8:$B$37,MATCH(A42-K$3,$A$8:$A$37,0))*INDEX($C$8:$C$37,MATCH(A42-K$3,$A$8:$A$37,0))*K$4,0)</f>
        <v/>
      </c>
      <c r="O42">
        <f>IFERROR(INDEX($B$8:$B$37,MATCH(A42-L$3,$A$8:$A$37,0))*INDEX($C$8:$C$37,MATCH(A42-L$3,$A$8:$A$37,0))*L$4,0)</f>
        <v/>
      </c>
    </row>
    <row r="43">
      <c r="A43" t="n">
        <v>2022</v>
      </c>
      <c r="B43">
        <f>E43+F43+G43+H43+I43+J43+K43+L43+M43+N43+O43</f>
        <v/>
      </c>
      <c r="C43">
        <f>ROUND(B43/1000,0)*1000</f>
        <v/>
      </c>
      <c r="D43">
        <f>C43+IF(A43=INDEX($A$42:$A$71,MATCH(MAX($C$42:$C$71),$C$42:$C$71,0)),SUM($B$8:$B$37)-SUM($C$42:$C$71),0)</f>
        <v/>
      </c>
      <c r="E43">
        <f>IFERROR(INDEX($B$8:$B$37,MATCH(A43-B$3,$A$8:$A$37,0))*INDEX($C$8:$C$37,MATCH(A43-B$3,$A$8:$A$37,0))*B$4,0)</f>
        <v/>
      </c>
      <c r="F43">
        <f>IFERROR(INDEX($B$8:$B$37,MATCH(A43-C$3,$A$8:$A$37,0))*INDEX($C$8:$C$37,MATCH(A43-C$3,$A$8:$A$37,0))*C$4,0)</f>
        <v/>
      </c>
      <c r="G43">
        <f>IFERROR(INDEX($B$8:$B$37,MATCH(A43-D$3,$A$8:$A$37,0))*INDEX($C$8:$C$37,MATCH(A43-D$3,$A$8:$A$37,0))*D$4,0)</f>
        <v/>
      </c>
      <c r="H43">
        <f>IFERROR(INDEX($B$8:$B$37,MATCH(A43-E$3,$A$8:$A$37,0))*INDEX($C$8:$C$37,MATCH(A43-E$3,$A$8:$A$37,0))*E$4,0)</f>
        <v/>
      </c>
      <c r="I43">
        <f>IFERROR(INDEX($B$8:$B$37,MATCH(A43-F$3,$A$8:$A$37,0))*INDEX($C$8:$C$37,MATCH(A43-F$3,$A$8:$A$37,0))*F$4,0)</f>
        <v/>
      </c>
      <c r="J43">
        <f>IFERROR(INDEX($B$8:$B$37,MATCH(A43-G$3,$A$8:$A$37,0))*INDEX($C$8:$C$37,MATCH(A43-G$3,$A$8:$A$37,0))*G$4,0)</f>
        <v/>
      </c>
      <c r="K43">
        <f>IFERROR(INDEX($B$8:$B$37,MATCH(A43-H$3,$A$8:$A$37,0))*INDEX($C$8:$C$37,MATCH(A43-H$3,$A$8:$A$37,0))*H$4,0)</f>
        <v/>
      </c>
      <c r="L43">
        <f>IFERROR(INDEX($B$8:$B$37,MATCH(A43-I$3,$A$8:$A$37,0))*INDEX($C$8:$C$37,MATCH(A43-I$3,$A$8:$A$37,0))*I$4,0)</f>
        <v/>
      </c>
      <c r="M43">
        <f>IFERROR(INDEX($B$8:$B$37,MATCH(A43-J$3,$A$8:$A$37,0))*INDEX($C$8:$C$37,MATCH(A43-J$3,$A$8:$A$37,0))*J$4,0)</f>
        <v/>
      </c>
      <c r="N43">
        <f>IFERROR(INDEX($B$8:$B$37,MATCH(A43-K$3,$A$8:$A$37,0))*INDEX($C$8:$C$37,MATCH(A43-K$3,$A$8:$A$37,0))*K$4,0)</f>
        <v/>
      </c>
      <c r="O43">
        <f>IFERROR(INDEX($B$8:$B$37,MATCH(A43-L$3,$A$8:$A$37,0))*INDEX($C$8:$C$37,MATCH(A43-L$3,$A$8:$A$37,0))*L$4,0)</f>
        <v/>
      </c>
    </row>
    <row r="44">
      <c r="A44" t="n">
        <v>2023</v>
      </c>
      <c r="B44">
        <f>E44+F44+G44+H44+I44+J44+K44+L44+M44+N44+O44</f>
        <v/>
      </c>
      <c r="C44">
        <f>ROUND(B44/1000,0)*1000</f>
        <v/>
      </c>
      <c r="D44">
        <f>C44+IF(A44=INDEX($A$42:$A$71,MATCH(MAX($C$42:$C$71),$C$42:$C$71,0)),SUM($B$8:$B$37)-SUM($C$42:$C$71),0)</f>
        <v/>
      </c>
      <c r="E44">
        <f>IFERROR(INDEX($B$8:$B$37,MATCH(A44-B$3,$A$8:$A$37,0))*INDEX($C$8:$C$37,MATCH(A44-B$3,$A$8:$A$37,0))*B$4,0)</f>
        <v/>
      </c>
      <c r="F44">
        <f>IFERROR(INDEX($B$8:$B$37,MATCH(A44-C$3,$A$8:$A$37,0))*INDEX($C$8:$C$37,MATCH(A44-C$3,$A$8:$A$37,0))*C$4,0)</f>
        <v/>
      </c>
      <c r="G44">
        <f>IFERROR(INDEX($B$8:$B$37,MATCH(A44-D$3,$A$8:$A$37,0))*INDEX($C$8:$C$37,MATCH(A44-D$3,$A$8:$A$37,0))*D$4,0)</f>
        <v/>
      </c>
      <c r="H44">
        <f>IFERROR(INDEX($B$8:$B$37,MATCH(A44-E$3,$A$8:$A$37,0))*INDEX($C$8:$C$37,MATCH(A44-E$3,$A$8:$A$37,0))*E$4,0)</f>
        <v/>
      </c>
      <c r="I44">
        <f>IFERROR(INDEX($B$8:$B$37,MATCH(A44-F$3,$A$8:$A$37,0))*INDEX($C$8:$C$37,MATCH(A44-F$3,$A$8:$A$37,0))*F$4,0)</f>
        <v/>
      </c>
      <c r="J44">
        <f>IFERROR(INDEX($B$8:$B$37,MATCH(A44-G$3,$A$8:$A$37,0))*INDEX($C$8:$C$37,MATCH(A44-G$3,$A$8:$A$37,0))*G$4,0)</f>
        <v/>
      </c>
      <c r="K44">
        <f>IFERROR(INDEX($B$8:$B$37,MATCH(A44-H$3,$A$8:$A$37,0))*INDEX($C$8:$C$37,MATCH(A44-H$3,$A$8:$A$37,0))*H$4,0)</f>
        <v/>
      </c>
      <c r="L44">
        <f>IFERROR(INDEX($B$8:$B$37,MATCH(A44-I$3,$A$8:$A$37,0))*INDEX($C$8:$C$37,MATCH(A44-I$3,$A$8:$A$37,0))*I$4,0)</f>
        <v/>
      </c>
      <c r="M44">
        <f>IFERROR(INDEX($B$8:$B$37,MATCH(A44-J$3,$A$8:$A$37,0))*INDEX($C$8:$C$37,MATCH(A44-J$3,$A$8:$A$37,0))*J$4,0)</f>
        <v/>
      </c>
      <c r="N44">
        <f>IFERROR(INDEX($B$8:$B$37,MATCH(A44-K$3,$A$8:$A$37,0))*INDEX($C$8:$C$37,MATCH(A44-K$3,$A$8:$A$37,0))*K$4,0)</f>
        <v/>
      </c>
      <c r="O44">
        <f>IFERROR(INDEX($B$8:$B$37,MATCH(A44-L$3,$A$8:$A$37,0))*INDEX($C$8:$C$37,MATCH(A44-L$3,$A$8:$A$37,0))*L$4,0)</f>
        <v/>
      </c>
    </row>
    <row r="45">
      <c r="A45" t="n">
        <v>2024</v>
      </c>
      <c r="B45">
        <f>E45+F45+G45+H45+I45+J45+K45+L45+M45+N45+O45</f>
        <v/>
      </c>
      <c r="C45">
        <f>ROUND(B45/1000,0)*1000</f>
        <v/>
      </c>
      <c r="D45">
        <f>C45+IF(A45=INDEX($A$42:$A$71,MATCH(MAX($C$42:$C$71),$C$42:$C$71,0)),SUM($B$8:$B$37)-SUM($C$42:$C$71),0)</f>
        <v/>
      </c>
      <c r="E45">
        <f>IFERROR(INDEX($B$8:$B$37,MATCH(A45-B$3,$A$8:$A$37,0))*INDEX($C$8:$C$37,MATCH(A45-B$3,$A$8:$A$37,0))*B$4,0)</f>
        <v/>
      </c>
      <c r="F45">
        <f>IFERROR(INDEX($B$8:$B$37,MATCH(A45-C$3,$A$8:$A$37,0))*INDEX($C$8:$C$37,MATCH(A45-C$3,$A$8:$A$37,0))*C$4,0)</f>
        <v/>
      </c>
      <c r="G45">
        <f>IFERROR(INDEX($B$8:$B$37,MATCH(A45-D$3,$A$8:$A$37,0))*INDEX($C$8:$C$37,MATCH(A45-D$3,$A$8:$A$37,0))*D$4,0)</f>
        <v/>
      </c>
      <c r="H45">
        <f>IFERROR(INDEX($B$8:$B$37,MATCH(A45-E$3,$A$8:$A$37,0))*INDEX($C$8:$C$37,MATCH(A45-E$3,$A$8:$A$37,0))*E$4,0)</f>
        <v/>
      </c>
      <c r="I45">
        <f>IFERROR(INDEX($B$8:$B$37,MATCH(A45-F$3,$A$8:$A$37,0))*INDEX($C$8:$C$37,MATCH(A45-F$3,$A$8:$A$37,0))*F$4,0)</f>
        <v/>
      </c>
      <c r="J45">
        <f>IFERROR(INDEX($B$8:$B$37,MATCH(A45-G$3,$A$8:$A$37,0))*INDEX($C$8:$C$37,MATCH(A45-G$3,$A$8:$A$37,0))*G$4,0)</f>
        <v/>
      </c>
      <c r="K45">
        <f>IFERROR(INDEX($B$8:$B$37,MATCH(A45-H$3,$A$8:$A$37,0))*INDEX($C$8:$C$37,MATCH(A45-H$3,$A$8:$A$37,0))*H$4,0)</f>
        <v/>
      </c>
      <c r="L45">
        <f>IFERROR(INDEX($B$8:$B$37,MATCH(A45-I$3,$A$8:$A$37,0))*INDEX($C$8:$C$37,MATCH(A45-I$3,$A$8:$A$37,0))*I$4,0)</f>
        <v/>
      </c>
      <c r="M45">
        <f>IFERROR(INDEX($B$8:$B$37,MATCH(A45-J$3,$A$8:$A$37,0))*INDEX($C$8:$C$37,MATCH(A45-J$3,$A$8:$A$37,0))*J$4,0)</f>
        <v/>
      </c>
      <c r="N45">
        <f>IFERROR(INDEX($B$8:$B$37,MATCH(A45-K$3,$A$8:$A$37,0))*INDEX($C$8:$C$37,MATCH(A45-K$3,$A$8:$A$37,0))*K$4,0)</f>
        <v/>
      </c>
      <c r="O45">
        <f>IFERROR(INDEX($B$8:$B$37,MATCH(A45-L$3,$A$8:$A$37,0))*INDEX($C$8:$C$37,MATCH(A45-L$3,$A$8:$A$37,0))*L$4,0)</f>
        <v/>
      </c>
    </row>
    <row r="46">
      <c r="A46" t="n">
        <v>2025</v>
      </c>
      <c r="B46">
        <f>E46+F46+G46+H46+I46+J46+K46+L46+M46+N46+O46</f>
        <v/>
      </c>
      <c r="C46">
        <f>ROUND(B46/1000,0)*1000</f>
        <v/>
      </c>
      <c r="D46">
        <f>C46+IF(A46=INDEX($A$42:$A$71,MATCH(MAX($C$42:$C$71),$C$42:$C$71,0)),SUM($B$8:$B$37)-SUM($C$42:$C$71),0)</f>
        <v/>
      </c>
      <c r="E46">
        <f>IFERROR(INDEX($B$8:$B$37,MATCH(A46-B$3,$A$8:$A$37,0))*INDEX($C$8:$C$37,MATCH(A46-B$3,$A$8:$A$37,0))*B$4,0)</f>
        <v/>
      </c>
      <c r="F46">
        <f>IFERROR(INDEX($B$8:$B$37,MATCH(A46-C$3,$A$8:$A$37,0))*INDEX($C$8:$C$37,MATCH(A46-C$3,$A$8:$A$37,0))*C$4,0)</f>
        <v/>
      </c>
      <c r="G46">
        <f>IFERROR(INDEX($B$8:$B$37,MATCH(A46-D$3,$A$8:$A$37,0))*INDEX($C$8:$C$37,MATCH(A46-D$3,$A$8:$A$37,0))*D$4,0)</f>
        <v/>
      </c>
      <c r="H46">
        <f>IFERROR(INDEX($B$8:$B$37,MATCH(A46-E$3,$A$8:$A$37,0))*INDEX($C$8:$C$37,MATCH(A46-E$3,$A$8:$A$37,0))*E$4,0)</f>
        <v/>
      </c>
      <c r="I46">
        <f>IFERROR(INDEX($B$8:$B$37,MATCH(A46-F$3,$A$8:$A$37,0))*INDEX($C$8:$C$37,MATCH(A46-F$3,$A$8:$A$37,0))*F$4,0)</f>
        <v/>
      </c>
      <c r="J46">
        <f>IFERROR(INDEX($B$8:$B$37,MATCH(A46-G$3,$A$8:$A$37,0))*INDEX($C$8:$C$37,MATCH(A46-G$3,$A$8:$A$37,0))*G$4,0)</f>
        <v/>
      </c>
      <c r="K46">
        <f>IFERROR(INDEX($B$8:$B$37,MATCH(A46-H$3,$A$8:$A$37,0))*INDEX($C$8:$C$37,MATCH(A46-H$3,$A$8:$A$37,0))*H$4,0)</f>
        <v/>
      </c>
      <c r="L46">
        <f>IFERROR(INDEX($B$8:$B$37,MATCH(A46-I$3,$A$8:$A$37,0))*INDEX($C$8:$C$37,MATCH(A46-I$3,$A$8:$A$37,0))*I$4,0)</f>
        <v/>
      </c>
      <c r="M46">
        <f>IFERROR(INDEX($B$8:$B$37,MATCH(A46-J$3,$A$8:$A$37,0))*INDEX($C$8:$C$37,MATCH(A46-J$3,$A$8:$A$37,0))*J$4,0)</f>
        <v/>
      </c>
      <c r="N46">
        <f>IFERROR(INDEX($B$8:$B$37,MATCH(A46-K$3,$A$8:$A$37,0))*INDEX($C$8:$C$37,MATCH(A46-K$3,$A$8:$A$37,0))*K$4,0)</f>
        <v/>
      </c>
      <c r="O46">
        <f>IFERROR(INDEX($B$8:$B$37,MATCH(A46-L$3,$A$8:$A$37,0))*INDEX($C$8:$C$37,MATCH(A46-L$3,$A$8:$A$37,0))*L$4,0)</f>
        <v/>
      </c>
    </row>
    <row r="47">
      <c r="A47" t="n">
        <v>2026</v>
      </c>
      <c r="B47">
        <f>E47+F47+G47+H47+I47+J47+K47+L47+M47+N47+O47</f>
        <v/>
      </c>
      <c r="C47">
        <f>ROUND(B47/1000,0)*1000</f>
        <v/>
      </c>
      <c r="D47">
        <f>C47+IF(A47=INDEX($A$42:$A$71,MATCH(MAX($C$42:$C$71),$C$42:$C$71,0)),SUM($B$8:$B$37)-SUM($C$42:$C$71),0)</f>
        <v/>
      </c>
      <c r="E47">
        <f>IFERROR(INDEX($B$8:$B$37,MATCH(A47-B$3,$A$8:$A$37,0))*INDEX($C$8:$C$37,MATCH(A47-B$3,$A$8:$A$37,0))*B$4,0)</f>
        <v/>
      </c>
      <c r="F47">
        <f>IFERROR(INDEX($B$8:$B$37,MATCH(A47-C$3,$A$8:$A$37,0))*INDEX($C$8:$C$37,MATCH(A47-C$3,$A$8:$A$37,0))*C$4,0)</f>
        <v/>
      </c>
      <c r="G47">
        <f>IFERROR(INDEX($B$8:$B$37,MATCH(A47-D$3,$A$8:$A$37,0))*INDEX($C$8:$C$37,MATCH(A47-D$3,$A$8:$A$37,0))*D$4,0)</f>
        <v/>
      </c>
      <c r="H47">
        <f>IFERROR(INDEX($B$8:$B$37,MATCH(A47-E$3,$A$8:$A$37,0))*INDEX($C$8:$C$37,MATCH(A47-E$3,$A$8:$A$37,0))*E$4,0)</f>
        <v/>
      </c>
      <c r="I47">
        <f>IFERROR(INDEX($B$8:$B$37,MATCH(A47-F$3,$A$8:$A$37,0))*INDEX($C$8:$C$37,MATCH(A47-F$3,$A$8:$A$37,0))*F$4,0)</f>
        <v/>
      </c>
      <c r="J47">
        <f>IFERROR(INDEX($B$8:$B$37,MATCH(A47-G$3,$A$8:$A$37,0))*INDEX($C$8:$C$37,MATCH(A47-G$3,$A$8:$A$37,0))*G$4,0)</f>
        <v/>
      </c>
      <c r="K47">
        <f>IFERROR(INDEX($B$8:$B$37,MATCH(A47-H$3,$A$8:$A$37,0))*INDEX($C$8:$C$37,MATCH(A47-H$3,$A$8:$A$37,0))*H$4,0)</f>
        <v/>
      </c>
      <c r="L47">
        <f>IFERROR(INDEX($B$8:$B$37,MATCH(A47-I$3,$A$8:$A$37,0))*INDEX($C$8:$C$37,MATCH(A47-I$3,$A$8:$A$37,0))*I$4,0)</f>
        <v/>
      </c>
      <c r="M47">
        <f>IFERROR(INDEX($B$8:$B$37,MATCH(A47-J$3,$A$8:$A$37,0))*INDEX($C$8:$C$37,MATCH(A47-J$3,$A$8:$A$37,0))*J$4,0)</f>
        <v/>
      </c>
      <c r="N47">
        <f>IFERROR(INDEX($B$8:$B$37,MATCH(A47-K$3,$A$8:$A$37,0))*INDEX($C$8:$C$37,MATCH(A47-K$3,$A$8:$A$37,0))*K$4,0)</f>
        <v/>
      </c>
      <c r="O47">
        <f>IFERROR(INDEX($B$8:$B$37,MATCH(A47-L$3,$A$8:$A$37,0))*INDEX($C$8:$C$37,MATCH(A47-L$3,$A$8:$A$37,0))*L$4,0)</f>
        <v/>
      </c>
    </row>
    <row r="48">
      <c r="A48" t="n">
        <v>2027</v>
      </c>
      <c r="B48">
        <f>E48+F48+G48+H48+I48+J48+K48+L48+M48+N48+O48</f>
        <v/>
      </c>
      <c r="C48">
        <f>ROUND(B48/1000,0)*1000</f>
        <v/>
      </c>
      <c r="D48">
        <f>C48+IF(A48=INDEX($A$42:$A$71,MATCH(MAX($C$42:$C$71),$C$42:$C$71,0)),SUM($B$8:$B$37)-SUM($C$42:$C$71),0)</f>
        <v/>
      </c>
      <c r="E48">
        <f>IFERROR(INDEX($B$8:$B$37,MATCH(A48-B$3,$A$8:$A$37,0))*INDEX($C$8:$C$37,MATCH(A48-B$3,$A$8:$A$37,0))*B$4,0)</f>
        <v/>
      </c>
      <c r="F48">
        <f>IFERROR(INDEX($B$8:$B$37,MATCH(A48-C$3,$A$8:$A$37,0))*INDEX($C$8:$C$37,MATCH(A48-C$3,$A$8:$A$37,0))*C$4,0)</f>
        <v/>
      </c>
      <c r="G48">
        <f>IFERROR(INDEX($B$8:$B$37,MATCH(A48-D$3,$A$8:$A$37,0))*INDEX($C$8:$C$37,MATCH(A48-D$3,$A$8:$A$37,0))*D$4,0)</f>
        <v/>
      </c>
      <c r="H48">
        <f>IFERROR(INDEX($B$8:$B$37,MATCH(A48-E$3,$A$8:$A$37,0))*INDEX($C$8:$C$37,MATCH(A48-E$3,$A$8:$A$37,0))*E$4,0)</f>
        <v/>
      </c>
      <c r="I48">
        <f>IFERROR(INDEX($B$8:$B$37,MATCH(A48-F$3,$A$8:$A$37,0))*INDEX($C$8:$C$37,MATCH(A48-F$3,$A$8:$A$37,0))*F$4,0)</f>
        <v/>
      </c>
      <c r="J48">
        <f>IFERROR(INDEX($B$8:$B$37,MATCH(A48-G$3,$A$8:$A$37,0))*INDEX($C$8:$C$37,MATCH(A48-G$3,$A$8:$A$37,0))*G$4,0)</f>
        <v/>
      </c>
      <c r="K48">
        <f>IFERROR(INDEX($B$8:$B$37,MATCH(A48-H$3,$A$8:$A$37,0))*INDEX($C$8:$C$37,MATCH(A48-H$3,$A$8:$A$37,0))*H$4,0)</f>
        <v/>
      </c>
      <c r="L48">
        <f>IFERROR(INDEX($B$8:$B$37,MATCH(A48-I$3,$A$8:$A$37,0))*INDEX($C$8:$C$37,MATCH(A48-I$3,$A$8:$A$37,0))*I$4,0)</f>
        <v/>
      </c>
      <c r="M48">
        <f>IFERROR(INDEX($B$8:$B$37,MATCH(A48-J$3,$A$8:$A$37,0))*INDEX($C$8:$C$37,MATCH(A48-J$3,$A$8:$A$37,0))*J$4,0)</f>
        <v/>
      </c>
      <c r="N48">
        <f>IFERROR(INDEX($B$8:$B$37,MATCH(A48-K$3,$A$8:$A$37,0))*INDEX($C$8:$C$37,MATCH(A48-K$3,$A$8:$A$37,0))*K$4,0)</f>
        <v/>
      </c>
      <c r="O48">
        <f>IFERROR(INDEX($B$8:$B$37,MATCH(A48-L$3,$A$8:$A$37,0))*INDEX($C$8:$C$37,MATCH(A48-L$3,$A$8:$A$37,0))*L$4,0)</f>
        <v/>
      </c>
    </row>
    <row r="49">
      <c r="A49" t="n">
        <v>2028</v>
      </c>
      <c r="B49">
        <f>E49+F49+G49+H49+I49+J49+K49+L49+M49+N49+O49</f>
        <v/>
      </c>
      <c r="C49">
        <f>ROUND(B49/1000,0)*1000</f>
        <v/>
      </c>
      <c r="D49">
        <f>C49+IF(A49=INDEX($A$42:$A$71,MATCH(MAX($C$42:$C$71),$C$42:$C$71,0)),SUM($B$8:$B$37)-SUM($C$42:$C$71),0)</f>
        <v/>
      </c>
      <c r="E49">
        <f>IFERROR(INDEX($B$8:$B$37,MATCH(A49-B$3,$A$8:$A$37,0))*INDEX($C$8:$C$37,MATCH(A49-B$3,$A$8:$A$37,0))*B$4,0)</f>
        <v/>
      </c>
      <c r="F49">
        <f>IFERROR(INDEX($B$8:$B$37,MATCH(A49-C$3,$A$8:$A$37,0))*INDEX($C$8:$C$37,MATCH(A49-C$3,$A$8:$A$37,0))*C$4,0)</f>
        <v/>
      </c>
      <c r="G49">
        <f>IFERROR(INDEX($B$8:$B$37,MATCH(A49-D$3,$A$8:$A$37,0))*INDEX($C$8:$C$37,MATCH(A49-D$3,$A$8:$A$37,0))*D$4,0)</f>
        <v/>
      </c>
      <c r="H49">
        <f>IFERROR(INDEX($B$8:$B$37,MATCH(A49-E$3,$A$8:$A$37,0))*INDEX($C$8:$C$37,MATCH(A49-E$3,$A$8:$A$37,0))*E$4,0)</f>
        <v/>
      </c>
      <c r="I49">
        <f>IFERROR(INDEX($B$8:$B$37,MATCH(A49-F$3,$A$8:$A$37,0))*INDEX($C$8:$C$37,MATCH(A49-F$3,$A$8:$A$37,0))*F$4,0)</f>
        <v/>
      </c>
      <c r="J49">
        <f>IFERROR(INDEX($B$8:$B$37,MATCH(A49-G$3,$A$8:$A$37,0))*INDEX($C$8:$C$37,MATCH(A49-G$3,$A$8:$A$37,0))*G$4,0)</f>
        <v/>
      </c>
      <c r="K49">
        <f>IFERROR(INDEX($B$8:$B$37,MATCH(A49-H$3,$A$8:$A$37,0))*INDEX($C$8:$C$37,MATCH(A49-H$3,$A$8:$A$37,0))*H$4,0)</f>
        <v/>
      </c>
      <c r="L49">
        <f>IFERROR(INDEX($B$8:$B$37,MATCH(A49-I$3,$A$8:$A$37,0))*INDEX($C$8:$C$37,MATCH(A49-I$3,$A$8:$A$37,0))*I$4,0)</f>
        <v/>
      </c>
      <c r="M49">
        <f>IFERROR(INDEX($B$8:$B$37,MATCH(A49-J$3,$A$8:$A$37,0))*INDEX($C$8:$C$37,MATCH(A49-J$3,$A$8:$A$37,0))*J$4,0)</f>
        <v/>
      </c>
      <c r="N49">
        <f>IFERROR(INDEX($B$8:$B$37,MATCH(A49-K$3,$A$8:$A$37,0))*INDEX($C$8:$C$37,MATCH(A49-K$3,$A$8:$A$37,0))*K$4,0)</f>
        <v/>
      </c>
      <c r="O49">
        <f>IFERROR(INDEX($B$8:$B$37,MATCH(A49-L$3,$A$8:$A$37,0))*INDEX($C$8:$C$37,MATCH(A49-L$3,$A$8:$A$37,0))*L$4,0)</f>
        <v/>
      </c>
    </row>
    <row r="50">
      <c r="A50" t="n">
        <v>2029</v>
      </c>
      <c r="B50">
        <f>E50+F50+G50+H50+I50+J50+K50+L50+M50+N50+O50</f>
        <v/>
      </c>
      <c r="C50">
        <f>ROUND(B50/1000,0)*1000</f>
        <v/>
      </c>
      <c r="D50">
        <f>C50+IF(A50=INDEX($A$42:$A$71,MATCH(MAX($C$42:$C$71),$C$42:$C$71,0)),SUM($B$8:$B$37)-SUM($C$42:$C$71),0)</f>
        <v/>
      </c>
      <c r="E50">
        <f>IFERROR(INDEX($B$8:$B$37,MATCH(A50-B$3,$A$8:$A$37,0))*INDEX($C$8:$C$37,MATCH(A50-B$3,$A$8:$A$37,0))*B$4,0)</f>
        <v/>
      </c>
      <c r="F50">
        <f>IFERROR(INDEX($B$8:$B$37,MATCH(A50-C$3,$A$8:$A$37,0))*INDEX($C$8:$C$37,MATCH(A50-C$3,$A$8:$A$37,0))*C$4,0)</f>
        <v/>
      </c>
      <c r="G50">
        <f>IFERROR(INDEX($B$8:$B$37,MATCH(A50-D$3,$A$8:$A$37,0))*INDEX($C$8:$C$37,MATCH(A50-D$3,$A$8:$A$37,0))*D$4,0)</f>
        <v/>
      </c>
      <c r="H50">
        <f>IFERROR(INDEX($B$8:$B$37,MATCH(A50-E$3,$A$8:$A$37,0))*INDEX($C$8:$C$37,MATCH(A50-E$3,$A$8:$A$37,0))*E$4,0)</f>
        <v/>
      </c>
      <c r="I50">
        <f>IFERROR(INDEX($B$8:$B$37,MATCH(A50-F$3,$A$8:$A$37,0))*INDEX($C$8:$C$37,MATCH(A50-F$3,$A$8:$A$37,0))*F$4,0)</f>
        <v/>
      </c>
      <c r="J50">
        <f>IFERROR(INDEX($B$8:$B$37,MATCH(A50-G$3,$A$8:$A$37,0))*INDEX($C$8:$C$37,MATCH(A50-G$3,$A$8:$A$37,0))*G$4,0)</f>
        <v/>
      </c>
      <c r="K50">
        <f>IFERROR(INDEX($B$8:$B$37,MATCH(A50-H$3,$A$8:$A$37,0))*INDEX($C$8:$C$37,MATCH(A50-H$3,$A$8:$A$37,0))*H$4,0)</f>
        <v/>
      </c>
      <c r="L50">
        <f>IFERROR(INDEX($B$8:$B$37,MATCH(A50-I$3,$A$8:$A$37,0))*INDEX($C$8:$C$37,MATCH(A50-I$3,$A$8:$A$37,0))*I$4,0)</f>
        <v/>
      </c>
      <c r="M50">
        <f>IFERROR(INDEX($B$8:$B$37,MATCH(A50-J$3,$A$8:$A$37,0))*INDEX($C$8:$C$37,MATCH(A50-J$3,$A$8:$A$37,0))*J$4,0)</f>
        <v/>
      </c>
      <c r="N50">
        <f>IFERROR(INDEX($B$8:$B$37,MATCH(A50-K$3,$A$8:$A$37,0))*INDEX($C$8:$C$37,MATCH(A50-K$3,$A$8:$A$37,0))*K$4,0)</f>
        <v/>
      </c>
      <c r="O50">
        <f>IFERROR(INDEX($B$8:$B$37,MATCH(A50-L$3,$A$8:$A$37,0))*INDEX($C$8:$C$37,MATCH(A50-L$3,$A$8:$A$37,0))*L$4,0)</f>
        <v/>
      </c>
    </row>
    <row r="51">
      <c r="A51" t="n">
        <v>2030</v>
      </c>
      <c r="B51">
        <f>E51+F51+G51+H51+I51+J51+K51+L51+M51+N51+O51</f>
        <v/>
      </c>
      <c r="C51">
        <f>ROUND(B51/1000,0)*1000</f>
        <v/>
      </c>
      <c r="D51">
        <f>C51+IF(A51=INDEX($A$42:$A$71,MATCH(MAX($C$42:$C$71),$C$42:$C$71,0)),SUM($B$8:$B$37)-SUM($C$42:$C$71),0)</f>
        <v/>
      </c>
      <c r="E51">
        <f>IFERROR(INDEX($B$8:$B$37,MATCH(A51-B$3,$A$8:$A$37,0))*INDEX($C$8:$C$37,MATCH(A51-B$3,$A$8:$A$37,0))*B$4,0)</f>
        <v/>
      </c>
      <c r="F51">
        <f>IFERROR(INDEX($B$8:$B$37,MATCH(A51-C$3,$A$8:$A$37,0))*INDEX($C$8:$C$37,MATCH(A51-C$3,$A$8:$A$37,0))*C$4,0)</f>
        <v/>
      </c>
      <c r="G51">
        <f>IFERROR(INDEX($B$8:$B$37,MATCH(A51-D$3,$A$8:$A$37,0))*INDEX($C$8:$C$37,MATCH(A51-D$3,$A$8:$A$37,0))*D$4,0)</f>
        <v/>
      </c>
      <c r="H51">
        <f>IFERROR(INDEX($B$8:$B$37,MATCH(A51-E$3,$A$8:$A$37,0))*INDEX($C$8:$C$37,MATCH(A51-E$3,$A$8:$A$37,0))*E$4,0)</f>
        <v/>
      </c>
      <c r="I51">
        <f>IFERROR(INDEX($B$8:$B$37,MATCH(A51-F$3,$A$8:$A$37,0))*INDEX($C$8:$C$37,MATCH(A51-F$3,$A$8:$A$37,0))*F$4,0)</f>
        <v/>
      </c>
      <c r="J51">
        <f>IFERROR(INDEX($B$8:$B$37,MATCH(A51-G$3,$A$8:$A$37,0))*INDEX($C$8:$C$37,MATCH(A51-G$3,$A$8:$A$37,0))*G$4,0)</f>
        <v/>
      </c>
      <c r="K51">
        <f>IFERROR(INDEX($B$8:$B$37,MATCH(A51-H$3,$A$8:$A$37,0))*INDEX($C$8:$C$37,MATCH(A51-H$3,$A$8:$A$37,0))*H$4,0)</f>
        <v/>
      </c>
      <c r="L51">
        <f>IFERROR(INDEX($B$8:$B$37,MATCH(A51-I$3,$A$8:$A$37,0))*INDEX($C$8:$C$37,MATCH(A51-I$3,$A$8:$A$37,0))*I$4,0)</f>
        <v/>
      </c>
      <c r="M51">
        <f>IFERROR(INDEX($B$8:$B$37,MATCH(A51-J$3,$A$8:$A$37,0))*INDEX($C$8:$C$37,MATCH(A51-J$3,$A$8:$A$37,0))*J$4,0)</f>
        <v/>
      </c>
      <c r="N51">
        <f>IFERROR(INDEX($B$8:$B$37,MATCH(A51-K$3,$A$8:$A$37,0))*INDEX($C$8:$C$37,MATCH(A51-K$3,$A$8:$A$37,0))*K$4,0)</f>
        <v/>
      </c>
      <c r="O51">
        <f>IFERROR(INDEX($B$8:$B$37,MATCH(A51-L$3,$A$8:$A$37,0))*INDEX($C$8:$C$37,MATCH(A51-L$3,$A$8:$A$37,0))*L$4,0)</f>
        <v/>
      </c>
    </row>
    <row r="52">
      <c r="A52" t="n">
        <v>2031</v>
      </c>
      <c r="B52">
        <f>E52+F52+G52+H52+I52+J52+K52+L52+M52+N52+O52</f>
        <v/>
      </c>
      <c r="C52">
        <f>ROUND(B52/1000,0)*1000</f>
        <v/>
      </c>
      <c r="D52">
        <f>C52+IF(A52=INDEX($A$42:$A$71,MATCH(MAX($C$42:$C$71),$C$42:$C$71,0)),SUM($B$8:$B$37)-SUM($C$42:$C$71),0)</f>
        <v/>
      </c>
      <c r="E52">
        <f>IFERROR(INDEX($B$8:$B$37,MATCH(A52-B$3,$A$8:$A$37,0))*INDEX($C$8:$C$37,MATCH(A52-B$3,$A$8:$A$37,0))*B$4,0)</f>
        <v/>
      </c>
      <c r="F52">
        <f>IFERROR(INDEX($B$8:$B$37,MATCH(A52-C$3,$A$8:$A$37,0))*INDEX($C$8:$C$37,MATCH(A52-C$3,$A$8:$A$37,0))*C$4,0)</f>
        <v/>
      </c>
      <c r="G52">
        <f>IFERROR(INDEX($B$8:$B$37,MATCH(A52-D$3,$A$8:$A$37,0))*INDEX($C$8:$C$37,MATCH(A52-D$3,$A$8:$A$37,0))*D$4,0)</f>
        <v/>
      </c>
      <c r="H52">
        <f>IFERROR(INDEX($B$8:$B$37,MATCH(A52-E$3,$A$8:$A$37,0))*INDEX($C$8:$C$37,MATCH(A52-E$3,$A$8:$A$37,0))*E$4,0)</f>
        <v/>
      </c>
      <c r="I52">
        <f>IFERROR(INDEX($B$8:$B$37,MATCH(A52-F$3,$A$8:$A$37,0))*INDEX($C$8:$C$37,MATCH(A52-F$3,$A$8:$A$37,0))*F$4,0)</f>
        <v/>
      </c>
      <c r="J52">
        <f>IFERROR(INDEX($B$8:$B$37,MATCH(A52-G$3,$A$8:$A$37,0))*INDEX($C$8:$C$37,MATCH(A52-G$3,$A$8:$A$37,0))*G$4,0)</f>
        <v/>
      </c>
      <c r="K52">
        <f>IFERROR(INDEX($B$8:$B$37,MATCH(A52-H$3,$A$8:$A$37,0))*INDEX($C$8:$C$37,MATCH(A52-H$3,$A$8:$A$37,0))*H$4,0)</f>
        <v/>
      </c>
      <c r="L52">
        <f>IFERROR(INDEX($B$8:$B$37,MATCH(A52-I$3,$A$8:$A$37,0))*INDEX($C$8:$C$37,MATCH(A52-I$3,$A$8:$A$37,0))*I$4,0)</f>
        <v/>
      </c>
      <c r="M52">
        <f>IFERROR(INDEX($B$8:$B$37,MATCH(A52-J$3,$A$8:$A$37,0))*INDEX($C$8:$C$37,MATCH(A52-J$3,$A$8:$A$37,0))*J$4,0)</f>
        <v/>
      </c>
      <c r="N52">
        <f>IFERROR(INDEX($B$8:$B$37,MATCH(A52-K$3,$A$8:$A$37,0))*INDEX($C$8:$C$37,MATCH(A52-K$3,$A$8:$A$37,0))*K$4,0)</f>
        <v/>
      </c>
      <c r="O52">
        <f>IFERROR(INDEX($B$8:$B$37,MATCH(A52-L$3,$A$8:$A$37,0))*INDEX($C$8:$C$37,MATCH(A52-L$3,$A$8:$A$37,0))*L$4,0)</f>
        <v/>
      </c>
    </row>
    <row r="53">
      <c r="A53" t="n">
        <v>2032</v>
      </c>
      <c r="B53">
        <f>E53+F53+G53+H53+I53+J53+K53+L53+M53+N53+O53</f>
        <v/>
      </c>
      <c r="C53">
        <f>ROUND(B53/1000,0)*1000</f>
        <v/>
      </c>
      <c r="D53">
        <f>C53+IF(A53=INDEX($A$42:$A$71,MATCH(MAX($C$42:$C$71),$C$42:$C$71,0)),SUM($B$8:$B$37)-SUM($C$42:$C$71),0)</f>
        <v/>
      </c>
      <c r="E53">
        <f>IFERROR(INDEX($B$8:$B$37,MATCH(A53-B$3,$A$8:$A$37,0))*INDEX($C$8:$C$37,MATCH(A53-B$3,$A$8:$A$37,0))*B$4,0)</f>
        <v/>
      </c>
      <c r="F53">
        <f>IFERROR(INDEX($B$8:$B$37,MATCH(A53-C$3,$A$8:$A$37,0))*INDEX($C$8:$C$37,MATCH(A53-C$3,$A$8:$A$37,0))*C$4,0)</f>
        <v/>
      </c>
      <c r="G53">
        <f>IFERROR(INDEX($B$8:$B$37,MATCH(A53-D$3,$A$8:$A$37,0))*INDEX($C$8:$C$37,MATCH(A53-D$3,$A$8:$A$37,0))*D$4,0)</f>
        <v/>
      </c>
      <c r="H53">
        <f>IFERROR(INDEX($B$8:$B$37,MATCH(A53-E$3,$A$8:$A$37,0))*INDEX($C$8:$C$37,MATCH(A53-E$3,$A$8:$A$37,0))*E$4,0)</f>
        <v/>
      </c>
      <c r="I53">
        <f>IFERROR(INDEX($B$8:$B$37,MATCH(A53-F$3,$A$8:$A$37,0))*INDEX($C$8:$C$37,MATCH(A53-F$3,$A$8:$A$37,0))*F$4,0)</f>
        <v/>
      </c>
      <c r="J53">
        <f>IFERROR(INDEX($B$8:$B$37,MATCH(A53-G$3,$A$8:$A$37,0))*INDEX($C$8:$C$37,MATCH(A53-G$3,$A$8:$A$37,0))*G$4,0)</f>
        <v/>
      </c>
      <c r="K53">
        <f>IFERROR(INDEX($B$8:$B$37,MATCH(A53-H$3,$A$8:$A$37,0))*INDEX($C$8:$C$37,MATCH(A53-H$3,$A$8:$A$37,0))*H$4,0)</f>
        <v/>
      </c>
      <c r="L53">
        <f>IFERROR(INDEX($B$8:$B$37,MATCH(A53-I$3,$A$8:$A$37,0))*INDEX($C$8:$C$37,MATCH(A53-I$3,$A$8:$A$37,0))*I$4,0)</f>
        <v/>
      </c>
      <c r="M53">
        <f>IFERROR(INDEX($B$8:$B$37,MATCH(A53-J$3,$A$8:$A$37,0))*INDEX($C$8:$C$37,MATCH(A53-J$3,$A$8:$A$37,0))*J$4,0)</f>
        <v/>
      </c>
      <c r="N53">
        <f>IFERROR(INDEX($B$8:$B$37,MATCH(A53-K$3,$A$8:$A$37,0))*INDEX($C$8:$C$37,MATCH(A53-K$3,$A$8:$A$37,0))*K$4,0)</f>
        <v/>
      </c>
      <c r="O53">
        <f>IFERROR(INDEX($B$8:$B$37,MATCH(A53-L$3,$A$8:$A$37,0))*INDEX($C$8:$C$37,MATCH(A53-L$3,$A$8:$A$37,0))*L$4,0)</f>
        <v/>
      </c>
    </row>
    <row r="54">
      <c r="A54" t="n">
        <v>2033</v>
      </c>
      <c r="B54">
        <f>E54+F54+G54+H54+I54+J54+K54+L54+M54+N54+O54</f>
        <v/>
      </c>
      <c r="C54">
        <f>ROUND(B54/1000,0)*1000</f>
        <v/>
      </c>
      <c r="D54">
        <f>C54+IF(A54=INDEX($A$42:$A$71,MATCH(MAX($C$42:$C$71),$C$42:$C$71,0)),SUM($B$8:$B$37)-SUM($C$42:$C$71),0)</f>
        <v/>
      </c>
      <c r="E54">
        <f>IFERROR(INDEX($B$8:$B$37,MATCH(A54-B$3,$A$8:$A$37,0))*INDEX($C$8:$C$37,MATCH(A54-B$3,$A$8:$A$37,0))*B$4,0)</f>
        <v/>
      </c>
      <c r="F54">
        <f>IFERROR(INDEX($B$8:$B$37,MATCH(A54-C$3,$A$8:$A$37,0))*INDEX($C$8:$C$37,MATCH(A54-C$3,$A$8:$A$37,0))*C$4,0)</f>
        <v/>
      </c>
      <c r="G54">
        <f>IFERROR(INDEX($B$8:$B$37,MATCH(A54-D$3,$A$8:$A$37,0))*INDEX($C$8:$C$37,MATCH(A54-D$3,$A$8:$A$37,0))*D$4,0)</f>
        <v/>
      </c>
      <c r="H54">
        <f>IFERROR(INDEX($B$8:$B$37,MATCH(A54-E$3,$A$8:$A$37,0))*INDEX($C$8:$C$37,MATCH(A54-E$3,$A$8:$A$37,0))*E$4,0)</f>
        <v/>
      </c>
      <c r="I54">
        <f>IFERROR(INDEX($B$8:$B$37,MATCH(A54-F$3,$A$8:$A$37,0))*INDEX($C$8:$C$37,MATCH(A54-F$3,$A$8:$A$37,0))*F$4,0)</f>
        <v/>
      </c>
      <c r="J54">
        <f>IFERROR(INDEX($B$8:$B$37,MATCH(A54-G$3,$A$8:$A$37,0))*INDEX($C$8:$C$37,MATCH(A54-G$3,$A$8:$A$37,0))*G$4,0)</f>
        <v/>
      </c>
      <c r="K54">
        <f>IFERROR(INDEX($B$8:$B$37,MATCH(A54-H$3,$A$8:$A$37,0))*INDEX($C$8:$C$37,MATCH(A54-H$3,$A$8:$A$37,0))*H$4,0)</f>
        <v/>
      </c>
      <c r="L54">
        <f>IFERROR(INDEX($B$8:$B$37,MATCH(A54-I$3,$A$8:$A$37,0))*INDEX($C$8:$C$37,MATCH(A54-I$3,$A$8:$A$37,0))*I$4,0)</f>
        <v/>
      </c>
      <c r="M54">
        <f>IFERROR(INDEX($B$8:$B$37,MATCH(A54-J$3,$A$8:$A$37,0))*INDEX($C$8:$C$37,MATCH(A54-J$3,$A$8:$A$37,0))*J$4,0)</f>
        <v/>
      </c>
      <c r="N54">
        <f>IFERROR(INDEX($B$8:$B$37,MATCH(A54-K$3,$A$8:$A$37,0))*INDEX($C$8:$C$37,MATCH(A54-K$3,$A$8:$A$37,0))*K$4,0)</f>
        <v/>
      </c>
      <c r="O54">
        <f>IFERROR(INDEX($B$8:$B$37,MATCH(A54-L$3,$A$8:$A$37,0))*INDEX($C$8:$C$37,MATCH(A54-L$3,$A$8:$A$37,0))*L$4,0)</f>
        <v/>
      </c>
    </row>
    <row r="55">
      <c r="A55" t="n">
        <v>2034</v>
      </c>
      <c r="B55">
        <f>E55+F55+G55+H55+I55+J55+K55+L55+M55+N55+O55</f>
        <v/>
      </c>
      <c r="C55">
        <f>ROUND(B55/1000,0)*1000</f>
        <v/>
      </c>
      <c r="D55">
        <f>C55+IF(A55=INDEX($A$42:$A$71,MATCH(MAX($C$42:$C$71),$C$42:$C$71,0)),SUM($B$8:$B$37)-SUM($C$42:$C$71),0)</f>
        <v/>
      </c>
      <c r="E55">
        <f>IFERROR(INDEX($B$8:$B$37,MATCH(A55-B$3,$A$8:$A$37,0))*INDEX($C$8:$C$37,MATCH(A55-B$3,$A$8:$A$37,0))*B$4,0)</f>
        <v/>
      </c>
      <c r="F55">
        <f>IFERROR(INDEX($B$8:$B$37,MATCH(A55-C$3,$A$8:$A$37,0))*INDEX($C$8:$C$37,MATCH(A55-C$3,$A$8:$A$37,0))*C$4,0)</f>
        <v/>
      </c>
      <c r="G55">
        <f>IFERROR(INDEX($B$8:$B$37,MATCH(A55-D$3,$A$8:$A$37,0))*INDEX($C$8:$C$37,MATCH(A55-D$3,$A$8:$A$37,0))*D$4,0)</f>
        <v/>
      </c>
      <c r="H55">
        <f>IFERROR(INDEX($B$8:$B$37,MATCH(A55-E$3,$A$8:$A$37,0))*INDEX($C$8:$C$37,MATCH(A55-E$3,$A$8:$A$37,0))*E$4,0)</f>
        <v/>
      </c>
      <c r="I55">
        <f>IFERROR(INDEX($B$8:$B$37,MATCH(A55-F$3,$A$8:$A$37,0))*INDEX($C$8:$C$37,MATCH(A55-F$3,$A$8:$A$37,0))*F$4,0)</f>
        <v/>
      </c>
      <c r="J55">
        <f>IFERROR(INDEX($B$8:$B$37,MATCH(A55-G$3,$A$8:$A$37,0))*INDEX($C$8:$C$37,MATCH(A55-G$3,$A$8:$A$37,0))*G$4,0)</f>
        <v/>
      </c>
      <c r="K55">
        <f>IFERROR(INDEX($B$8:$B$37,MATCH(A55-H$3,$A$8:$A$37,0))*INDEX($C$8:$C$37,MATCH(A55-H$3,$A$8:$A$37,0))*H$4,0)</f>
        <v/>
      </c>
      <c r="L55">
        <f>IFERROR(INDEX($B$8:$B$37,MATCH(A55-I$3,$A$8:$A$37,0))*INDEX($C$8:$C$37,MATCH(A55-I$3,$A$8:$A$37,0))*I$4,0)</f>
        <v/>
      </c>
      <c r="M55">
        <f>IFERROR(INDEX($B$8:$B$37,MATCH(A55-J$3,$A$8:$A$37,0))*INDEX($C$8:$C$37,MATCH(A55-J$3,$A$8:$A$37,0))*J$4,0)</f>
        <v/>
      </c>
      <c r="N55">
        <f>IFERROR(INDEX($B$8:$B$37,MATCH(A55-K$3,$A$8:$A$37,0))*INDEX($C$8:$C$37,MATCH(A55-K$3,$A$8:$A$37,0))*K$4,0)</f>
        <v/>
      </c>
      <c r="O55">
        <f>IFERROR(INDEX($B$8:$B$37,MATCH(A55-L$3,$A$8:$A$37,0))*INDEX($C$8:$C$37,MATCH(A55-L$3,$A$8:$A$37,0))*L$4,0)</f>
        <v/>
      </c>
    </row>
    <row r="56">
      <c r="A56" t="n">
        <v>2035</v>
      </c>
      <c r="B56">
        <f>E56+F56+G56+H56+I56+J56+K56+L56+M56+N56+O56</f>
        <v/>
      </c>
      <c r="C56">
        <f>ROUND(B56/1000,0)*1000</f>
        <v/>
      </c>
      <c r="D56">
        <f>C56+IF(A56=INDEX($A$42:$A$71,MATCH(MAX($C$42:$C$71),$C$42:$C$71,0)),SUM($B$8:$B$37)-SUM($C$42:$C$71),0)</f>
        <v/>
      </c>
      <c r="E56">
        <f>IFERROR(INDEX($B$8:$B$37,MATCH(A56-B$3,$A$8:$A$37,0))*INDEX($C$8:$C$37,MATCH(A56-B$3,$A$8:$A$37,0))*B$4,0)</f>
        <v/>
      </c>
      <c r="F56">
        <f>IFERROR(INDEX($B$8:$B$37,MATCH(A56-C$3,$A$8:$A$37,0))*INDEX($C$8:$C$37,MATCH(A56-C$3,$A$8:$A$37,0))*C$4,0)</f>
        <v/>
      </c>
      <c r="G56">
        <f>IFERROR(INDEX($B$8:$B$37,MATCH(A56-D$3,$A$8:$A$37,0))*INDEX($C$8:$C$37,MATCH(A56-D$3,$A$8:$A$37,0))*D$4,0)</f>
        <v/>
      </c>
      <c r="H56">
        <f>IFERROR(INDEX($B$8:$B$37,MATCH(A56-E$3,$A$8:$A$37,0))*INDEX($C$8:$C$37,MATCH(A56-E$3,$A$8:$A$37,0))*E$4,0)</f>
        <v/>
      </c>
      <c r="I56">
        <f>IFERROR(INDEX($B$8:$B$37,MATCH(A56-F$3,$A$8:$A$37,0))*INDEX($C$8:$C$37,MATCH(A56-F$3,$A$8:$A$37,0))*F$4,0)</f>
        <v/>
      </c>
      <c r="J56">
        <f>IFERROR(INDEX($B$8:$B$37,MATCH(A56-G$3,$A$8:$A$37,0))*INDEX($C$8:$C$37,MATCH(A56-G$3,$A$8:$A$37,0))*G$4,0)</f>
        <v/>
      </c>
      <c r="K56">
        <f>IFERROR(INDEX($B$8:$B$37,MATCH(A56-H$3,$A$8:$A$37,0))*INDEX($C$8:$C$37,MATCH(A56-H$3,$A$8:$A$37,0))*H$4,0)</f>
        <v/>
      </c>
      <c r="L56">
        <f>IFERROR(INDEX($B$8:$B$37,MATCH(A56-I$3,$A$8:$A$37,0))*INDEX($C$8:$C$37,MATCH(A56-I$3,$A$8:$A$37,0))*I$4,0)</f>
        <v/>
      </c>
      <c r="M56">
        <f>IFERROR(INDEX($B$8:$B$37,MATCH(A56-J$3,$A$8:$A$37,0))*INDEX($C$8:$C$37,MATCH(A56-J$3,$A$8:$A$37,0))*J$4,0)</f>
        <v/>
      </c>
      <c r="N56">
        <f>IFERROR(INDEX($B$8:$B$37,MATCH(A56-K$3,$A$8:$A$37,0))*INDEX($C$8:$C$37,MATCH(A56-K$3,$A$8:$A$37,0))*K$4,0)</f>
        <v/>
      </c>
      <c r="O56">
        <f>IFERROR(INDEX($B$8:$B$37,MATCH(A56-L$3,$A$8:$A$37,0))*INDEX($C$8:$C$37,MATCH(A56-L$3,$A$8:$A$37,0))*L$4,0)</f>
        <v/>
      </c>
    </row>
    <row r="57">
      <c r="A57" t="n">
        <v>2036</v>
      </c>
      <c r="B57">
        <f>E57+F57+G57+H57+I57+J57+K57+L57+M57+N57+O57</f>
        <v/>
      </c>
      <c r="C57">
        <f>ROUND(B57/1000,0)*1000</f>
        <v/>
      </c>
      <c r="D57">
        <f>C57+IF(A57=INDEX($A$42:$A$71,MATCH(MAX($C$42:$C$71),$C$42:$C$71,0)),SUM($B$8:$B$37)-SUM($C$42:$C$71),0)</f>
        <v/>
      </c>
      <c r="E57">
        <f>IFERROR(INDEX($B$8:$B$37,MATCH(A57-B$3,$A$8:$A$37,0))*INDEX($C$8:$C$37,MATCH(A57-B$3,$A$8:$A$37,0))*B$4,0)</f>
        <v/>
      </c>
      <c r="F57">
        <f>IFERROR(INDEX($B$8:$B$37,MATCH(A57-C$3,$A$8:$A$37,0))*INDEX($C$8:$C$37,MATCH(A57-C$3,$A$8:$A$37,0))*C$4,0)</f>
        <v/>
      </c>
      <c r="G57">
        <f>IFERROR(INDEX($B$8:$B$37,MATCH(A57-D$3,$A$8:$A$37,0))*INDEX($C$8:$C$37,MATCH(A57-D$3,$A$8:$A$37,0))*D$4,0)</f>
        <v/>
      </c>
      <c r="H57">
        <f>IFERROR(INDEX($B$8:$B$37,MATCH(A57-E$3,$A$8:$A$37,0))*INDEX($C$8:$C$37,MATCH(A57-E$3,$A$8:$A$37,0))*E$4,0)</f>
        <v/>
      </c>
      <c r="I57">
        <f>IFERROR(INDEX($B$8:$B$37,MATCH(A57-F$3,$A$8:$A$37,0))*INDEX($C$8:$C$37,MATCH(A57-F$3,$A$8:$A$37,0))*F$4,0)</f>
        <v/>
      </c>
      <c r="J57">
        <f>IFERROR(INDEX($B$8:$B$37,MATCH(A57-G$3,$A$8:$A$37,0))*INDEX($C$8:$C$37,MATCH(A57-G$3,$A$8:$A$37,0))*G$4,0)</f>
        <v/>
      </c>
      <c r="K57">
        <f>IFERROR(INDEX($B$8:$B$37,MATCH(A57-H$3,$A$8:$A$37,0))*INDEX($C$8:$C$37,MATCH(A57-H$3,$A$8:$A$37,0))*H$4,0)</f>
        <v/>
      </c>
      <c r="L57">
        <f>IFERROR(INDEX($B$8:$B$37,MATCH(A57-I$3,$A$8:$A$37,0))*INDEX($C$8:$C$37,MATCH(A57-I$3,$A$8:$A$37,0))*I$4,0)</f>
        <v/>
      </c>
      <c r="M57">
        <f>IFERROR(INDEX($B$8:$B$37,MATCH(A57-J$3,$A$8:$A$37,0))*INDEX($C$8:$C$37,MATCH(A57-J$3,$A$8:$A$37,0))*J$4,0)</f>
        <v/>
      </c>
      <c r="N57">
        <f>IFERROR(INDEX($B$8:$B$37,MATCH(A57-K$3,$A$8:$A$37,0))*INDEX($C$8:$C$37,MATCH(A57-K$3,$A$8:$A$37,0))*K$4,0)</f>
        <v/>
      </c>
      <c r="O57">
        <f>IFERROR(INDEX($B$8:$B$37,MATCH(A57-L$3,$A$8:$A$37,0))*INDEX($C$8:$C$37,MATCH(A57-L$3,$A$8:$A$37,0))*L$4,0)</f>
        <v/>
      </c>
    </row>
    <row r="58">
      <c r="A58" t="n">
        <v>2037</v>
      </c>
      <c r="B58">
        <f>E58+F58+G58+H58+I58+J58+K58+L58+M58+N58+O58</f>
        <v/>
      </c>
      <c r="C58">
        <f>ROUND(B58/1000,0)*1000</f>
        <v/>
      </c>
      <c r="D58">
        <f>C58+IF(A58=INDEX($A$42:$A$71,MATCH(MAX($C$42:$C$71),$C$42:$C$71,0)),SUM($B$8:$B$37)-SUM($C$42:$C$71),0)</f>
        <v/>
      </c>
      <c r="E58">
        <f>IFERROR(INDEX($B$8:$B$37,MATCH(A58-B$3,$A$8:$A$37,0))*INDEX($C$8:$C$37,MATCH(A58-B$3,$A$8:$A$37,0))*B$4,0)</f>
        <v/>
      </c>
      <c r="F58">
        <f>IFERROR(INDEX($B$8:$B$37,MATCH(A58-C$3,$A$8:$A$37,0))*INDEX($C$8:$C$37,MATCH(A58-C$3,$A$8:$A$37,0))*C$4,0)</f>
        <v/>
      </c>
      <c r="G58">
        <f>IFERROR(INDEX($B$8:$B$37,MATCH(A58-D$3,$A$8:$A$37,0))*INDEX($C$8:$C$37,MATCH(A58-D$3,$A$8:$A$37,0))*D$4,0)</f>
        <v/>
      </c>
      <c r="H58">
        <f>IFERROR(INDEX($B$8:$B$37,MATCH(A58-E$3,$A$8:$A$37,0))*INDEX($C$8:$C$37,MATCH(A58-E$3,$A$8:$A$37,0))*E$4,0)</f>
        <v/>
      </c>
      <c r="I58">
        <f>IFERROR(INDEX($B$8:$B$37,MATCH(A58-F$3,$A$8:$A$37,0))*INDEX($C$8:$C$37,MATCH(A58-F$3,$A$8:$A$37,0))*F$4,0)</f>
        <v/>
      </c>
      <c r="J58">
        <f>IFERROR(INDEX($B$8:$B$37,MATCH(A58-G$3,$A$8:$A$37,0))*INDEX($C$8:$C$37,MATCH(A58-G$3,$A$8:$A$37,0))*G$4,0)</f>
        <v/>
      </c>
      <c r="K58">
        <f>IFERROR(INDEX($B$8:$B$37,MATCH(A58-H$3,$A$8:$A$37,0))*INDEX($C$8:$C$37,MATCH(A58-H$3,$A$8:$A$37,0))*H$4,0)</f>
        <v/>
      </c>
      <c r="L58">
        <f>IFERROR(INDEX($B$8:$B$37,MATCH(A58-I$3,$A$8:$A$37,0))*INDEX($C$8:$C$37,MATCH(A58-I$3,$A$8:$A$37,0))*I$4,0)</f>
        <v/>
      </c>
      <c r="M58">
        <f>IFERROR(INDEX($B$8:$B$37,MATCH(A58-J$3,$A$8:$A$37,0))*INDEX($C$8:$C$37,MATCH(A58-J$3,$A$8:$A$37,0))*J$4,0)</f>
        <v/>
      </c>
      <c r="N58">
        <f>IFERROR(INDEX($B$8:$B$37,MATCH(A58-K$3,$A$8:$A$37,0))*INDEX($C$8:$C$37,MATCH(A58-K$3,$A$8:$A$37,0))*K$4,0)</f>
        <v/>
      </c>
      <c r="O58">
        <f>IFERROR(INDEX($B$8:$B$37,MATCH(A58-L$3,$A$8:$A$37,0))*INDEX($C$8:$C$37,MATCH(A58-L$3,$A$8:$A$37,0))*L$4,0)</f>
        <v/>
      </c>
    </row>
    <row r="59">
      <c r="A59" t="n">
        <v>2038</v>
      </c>
      <c r="B59">
        <f>E59+F59+G59+H59+I59+J59+K59+L59+M59+N59+O59</f>
        <v/>
      </c>
      <c r="C59">
        <f>ROUND(B59/1000,0)*1000</f>
        <v/>
      </c>
      <c r="D59">
        <f>C59+IF(A59=INDEX($A$42:$A$71,MATCH(MAX($C$42:$C$71),$C$42:$C$71,0)),SUM($B$8:$B$37)-SUM($C$42:$C$71),0)</f>
        <v/>
      </c>
      <c r="E59">
        <f>IFERROR(INDEX($B$8:$B$37,MATCH(A59-B$3,$A$8:$A$37,0))*INDEX($C$8:$C$37,MATCH(A59-B$3,$A$8:$A$37,0))*B$4,0)</f>
        <v/>
      </c>
      <c r="F59">
        <f>IFERROR(INDEX($B$8:$B$37,MATCH(A59-C$3,$A$8:$A$37,0))*INDEX($C$8:$C$37,MATCH(A59-C$3,$A$8:$A$37,0))*C$4,0)</f>
        <v/>
      </c>
      <c r="G59">
        <f>IFERROR(INDEX($B$8:$B$37,MATCH(A59-D$3,$A$8:$A$37,0))*INDEX($C$8:$C$37,MATCH(A59-D$3,$A$8:$A$37,0))*D$4,0)</f>
        <v/>
      </c>
      <c r="H59">
        <f>IFERROR(INDEX($B$8:$B$37,MATCH(A59-E$3,$A$8:$A$37,0))*INDEX($C$8:$C$37,MATCH(A59-E$3,$A$8:$A$37,0))*E$4,0)</f>
        <v/>
      </c>
      <c r="I59">
        <f>IFERROR(INDEX($B$8:$B$37,MATCH(A59-F$3,$A$8:$A$37,0))*INDEX($C$8:$C$37,MATCH(A59-F$3,$A$8:$A$37,0))*F$4,0)</f>
        <v/>
      </c>
      <c r="J59">
        <f>IFERROR(INDEX($B$8:$B$37,MATCH(A59-G$3,$A$8:$A$37,0))*INDEX($C$8:$C$37,MATCH(A59-G$3,$A$8:$A$37,0))*G$4,0)</f>
        <v/>
      </c>
      <c r="K59">
        <f>IFERROR(INDEX($B$8:$B$37,MATCH(A59-H$3,$A$8:$A$37,0))*INDEX($C$8:$C$37,MATCH(A59-H$3,$A$8:$A$37,0))*H$4,0)</f>
        <v/>
      </c>
      <c r="L59">
        <f>IFERROR(INDEX($B$8:$B$37,MATCH(A59-I$3,$A$8:$A$37,0))*INDEX($C$8:$C$37,MATCH(A59-I$3,$A$8:$A$37,0))*I$4,0)</f>
        <v/>
      </c>
      <c r="M59">
        <f>IFERROR(INDEX($B$8:$B$37,MATCH(A59-J$3,$A$8:$A$37,0))*INDEX($C$8:$C$37,MATCH(A59-J$3,$A$8:$A$37,0))*J$4,0)</f>
        <v/>
      </c>
      <c r="N59">
        <f>IFERROR(INDEX($B$8:$B$37,MATCH(A59-K$3,$A$8:$A$37,0))*INDEX($C$8:$C$37,MATCH(A59-K$3,$A$8:$A$37,0))*K$4,0)</f>
        <v/>
      </c>
      <c r="O59">
        <f>IFERROR(INDEX($B$8:$B$37,MATCH(A59-L$3,$A$8:$A$37,0))*INDEX($C$8:$C$37,MATCH(A59-L$3,$A$8:$A$37,0))*L$4,0)</f>
        <v/>
      </c>
    </row>
    <row r="60">
      <c r="A60" t="n">
        <v>2039</v>
      </c>
      <c r="B60">
        <f>E60+F60+G60+H60+I60+J60+K60+L60+M60+N60+O60</f>
        <v/>
      </c>
      <c r="C60">
        <f>ROUND(B60/1000,0)*1000</f>
        <v/>
      </c>
      <c r="D60">
        <f>C60+IF(A60=INDEX($A$42:$A$71,MATCH(MAX($C$42:$C$71),$C$42:$C$71,0)),SUM($B$8:$B$37)-SUM($C$42:$C$71),0)</f>
        <v/>
      </c>
      <c r="E60">
        <f>IFERROR(INDEX($B$8:$B$37,MATCH(A60-B$3,$A$8:$A$37,0))*INDEX($C$8:$C$37,MATCH(A60-B$3,$A$8:$A$37,0))*B$4,0)</f>
        <v/>
      </c>
      <c r="F60">
        <f>IFERROR(INDEX($B$8:$B$37,MATCH(A60-C$3,$A$8:$A$37,0))*INDEX($C$8:$C$37,MATCH(A60-C$3,$A$8:$A$37,0))*C$4,0)</f>
        <v/>
      </c>
      <c r="G60">
        <f>IFERROR(INDEX($B$8:$B$37,MATCH(A60-D$3,$A$8:$A$37,0))*INDEX($C$8:$C$37,MATCH(A60-D$3,$A$8:$A$37,0))*D$4,0)</f>
        <v/>
      </c>
      <c r="H60">
        <f>IFERROR(INDEX($B$8:$B$37,MATCH(A60-E$3,$A$8:$A$37,0))*INDEX($C$8:$C$37,MATCH(A60-E$3,$A$8:$A$37,0))*E$4,0)</f>
        <v/>
      </c>
      <c r="I60">
        <f>IFERROR(INDEX($B$8:$B$37,MATCH(A60-F$3,$A$8:$A$37,0))*INDEX($C$8:$C$37,MATCH(A60-F$3,$A$8:$A$37,0))*F$4,0)</f>
        <v/>
      </c>
      <c r="J60">
        <f>IFERROR(INDEX($B$8:$B$37,MATCH(A60-G$3,$A$8:$A$37,0))*INDEX($C$8:$C$37,MATCH(A60-G$3,$A$8:$A$37,0))*G$4,0)</f>
        <v/>
      </c>
      <c r="K60">
        <f>IFERROR(INDEX($B$8:$B$37,MATCH(A60-H$3,$A$8:$A$37,0))*INDEX($C$8:$C$37,MATCH(A60-H$3,$A$8:$A$37,0))*H$4,0)</f>
        <v/>
      </c>
      <c r="L60">
        <f>IFERROR(INDEX($B$8:$B$37,MATCH(A60-I$3,$A$8:$A$37,0))*INDEX($C$8:$C$37,MATCH(A60-I$3,$A$8:$A$37,0))*I$4,0)</f>
        <v/>
      </c>
      <c r="M60">
        <f>IFERROR(INDEX($B$8:$B$37,MATCH(A60-J$3,$A$8:$A$37,0))*INDEX($C$8:$C$37,MATCH(A60-J$3,$A$8:$A$37,0))*J$4,0)</f>
        <v/>
      </c>
      <c r="N60">
        <f>IFERROR(INDEX($B$8:$B$37,MATCH(A60-K$3,$A$8:$A$37,0))*INDEX($C$8:$C$37,MATCH(A60-K$3,$A$8:$A$37,0))*K$4,0)</f>
        <v/>
      </c>
      <c r="O60">
        <f>IFERROR(INDEX($B$8:$B$37,MATCH(A60-L$3,$A$8:$A$37,0))*INDEX($C$8:$C$37,MATCH(A60-L$3,$A$8:$A$37,0))*L$4,0)</f>
        <v/>
      </c>
    </row>
    <row r="61">
      <c r="A61" t="n">
        <v>2040</v>
      </c>
      <c r="B61">
        <f>E61+F61+G61+H61+I61+J61+K61+L61+M61+N61+O61</f>
        <v/>
      </c>
      <c r="C61">
        <f>ROUND(B61/1000,0)*1000</f>
        <v/>
      </c>
      <c r="D61">
        <f>C61+IF(A61=INDEX($A$42:$A$71,MATCH(MAX($C$42:$C$71),$C$42:$C$71,0)),SUM($B$8:$B$37)-SUM($C$42:$C$71),0)</f>
        <v/>
      </c>
      <c r="E61">
        <f>IFERROR(INDEX($B$8:$B$37,MATCH(A61-B$3,$A$8:$A$37,0))*INDEX($C$8:$C$37,MATCH(A61-B$3,$A$8:$A$37,0))*B$4,0)</f>
        <v/>
      </c>
      <c r="F61">
        <f>IFERROR(INDEX($B$8:$B$37,MATCH(A61-C$3,$A$8:$A$37,0))*INDEX($C$8:$C$37,MATCH(A61-C$3,$A$8:$A$37,0))*C$4,0)</f>
        <v/>
      </c>
      <c r="G61">
        <f>IFERROR(INDEX($B$8:$B$37,MATCH(A61-D$3,$A$8:$A$37,0))*INDEX($C$8:$C$37,MATCH(A61-D$3,$A$8:$A$37,0))*D$4,0)</f>
        <v/>
      </c>
      <c r="H61">
        <f>IFERROR(INDEX($B$8:$B$37,MATCH(A61-E$3,$A$8:$A$37,0))*INDEX($C$8:$C$37,MATCH(A61-E$3,$A$8:$A$37,0))*E$4,0)</f>
        <v/>
      </c>
      <c r="I61">
        <f>IFERROR(INDEX($B$8:$B$37,MATCH(A61-F$3,$A$8:$A$37,0))*INDEX($C$8:$C$37,MATCH(A61-F$3,$A$8:$A$37,0))*F$4,0)</f>
        <v/>
      </c>
      <c r="J61">
        <f>IFERROR(INDEX($B$8:$B$37,MATCH(A61-G$3,$A$8:$A$37,0))*INDEX($C$8:$C$37,MATCH(A61-G$3,$A$8:$A$37,0))*G$4,0)</f>
        <v/>
      </c>
      <c r="K61">
        <f>IFERROR(INDEX($B$8:$B$37,MATCH(A61-H$3,$A$8:$A$37,0))*INDEX($C$8:$C$37,MATCH(A61-H$3,$A$8:$A$37,0))*H$4,0)</f>
        <v/>
      </c>
      <c r="L61">
        <f>IFERROR(INDEX($B$8:$B$37,MATCH(A61-I$3,$A$8:$A$37,0))*INDEX($C$8:$C$37,MATCH(A61-I$3,$A$8:$A$37,0))*I$4,0)</f>
        <v/>
      </c>
      <c r="M61">
        <f>IFERROR(INDEX($B$8:$B$37,MATCH(A61-J$3,$A$8:$A$37,0))*INDEX($C$8:$C$37,MATCH(A61-J$3,$A$8:$A$37,0))*J$4,0)</f>
        <v/>
      </c>
      <c r="N61">
        <f>IFERROR(INDEX($B$8:$B$37,MATCH(A61-K$3,$A$8:$A$37,0))*INDEX($C$8:$C$37,MATCH(A61-K$3,$A$8:$A$37,0))*K$4,0)</f>
        <v/>
      </c>
      <c r="O61">
        <f>IFERROR(INDEX($B$8:$B$37,MATCH(A61-L$3,$A$8:$A$37,0))*INDEX($C$8:$C$37,MATCH(A61-L$3,$A$8:$A$37,0))*L$4,0)</f>
        <v/>
      </c>
    </row>
    <row r="62">
      <c r="A62" t="n">
        <v>2041</v>
      </c>
      <c r="B62">
        <f>E62+F62+G62+H62+I62+J62+K62+L62+M62+N62+O62</f>
        <v/>
      </c>
      <c r="C62">
        <f>ROUND(B62/1000,0)*1000</f>
        <v/>
      </c>
      <c r="D62">
        <f>C62+IF(A62=INDEX($A$42:$A$71,MATCH(MAX($C$42:$C$71),$C$42:$C$71,0)),SUM($B$8:$B$37)-SUM($C$42:$C$71),0)</f>
        <v/>
      </c>
      <c r="E62">
        <f>IFERROR(INDEX($B$8:$B$37,MATCH(A62-B$3,$A$8:$A$37,0))*INDEX($C$8:$C$37,MATCH(A62-B$3,$A$8:$A$37,0))*B$4,0)</f>
        <v/>
      </c>
      <c r="F62">
        <f>IFERROR(INDEX($B$8:$B$37,MATCH(A62-C$3,$A$8:$A$37,0))*INDEX($C$8:$C$37,MATCH(A62-C$3,$A$8:$A$37,0))*C$4,0)</f>
        <v/>
      </c>
      <c r="G62">
        <f>IFERROR(INDEX($B$8:$B$37,MATCH(A62-D$3,$A$8:$A$37,0))*INDEX($C$8:$C$37,MATCH(A62-D$3,$A$8:$A$37,0))*D$4,0)</f>
        <v/>
      </c>
      <c r="H62">
        <f>IFERROR(INDEX($B$8:$B$37,MATCH(A62-E$3,$A$8:$A$37,0))*INDEX($C$8:$C$37,MATCH(A62-E$3,$A$8:$A$37,0))*E$4,0)</f>
        <v/>
      </c>
      <c r="I62">
        <f>IFERROR(INDEX($B$8:$B$37,MATCH(A62-F$3,$A$8:$A$37,0))*INDEX($C$8:$C$37,MATCH(A62-F$3,$A$8:$A$37,0))*F$4,0)</f>
        <v/>
      </c>
      <c r="J62">
        <f>IFERROR(INDEX($B$8:$B$37,MATCH(A62-G$3,$A$8:$A$37,0))*INDEX($C$8:$C$37,MATCH(A62-G$3,$A$8:$A$37,0))*G$4,0)</f>
        <v/>
      </c>
      <c r="K62">
        <f>IFERROR(INDEX($B$8:$B$37,MATCH(A62-H$3,$A$8:$A$37,0))*INDEX($C$8:$C$37,MATCH(A62-H$3,$A$8:$A$37,0))*H$4,0)</f>
        <v/>
      </c>
      <c r="L62">
        <f>IFERROR(INDEX($B$8:$B$37,MATCH(A62-I$3,$A$8:$A$37,0))*INDEX($C$8:$C$37,MATCH(A62-I$3,$A$8:$A$37,0))*I$4,0)</f>
        <v/>
      </c>
      <c r="M62">
        <f>IFERROR(INDEX($B$8:$B$37,MATCH(A62-J$3,$A$8:$A$37,0))*INDEX($C$8:$C$37,MATCH(A62-J$3,$A$8:$A$37,0))*J$4,0)</f>
        <v/>
      </c>
      <c r="N62">
        <f>IFERROR(INDEX($B$8:$B$37,MATCH(A62-K$3,$A$8:$A$37,0))*INDEX($C$8:$C$37,MATCH(A62-K$3,$A$8:$A$37,0))*K$4,0)</f>
        <v/>
      </c>
      <c r="O62">
        <f>IFERROR(INDEX($B$8:$B$37,MATCH(A62-L$3,$A$8:$A$37,0))*INDEX($C$8:$C$37,MATCH(A62-L$3,$A$8:$A$37,0))*L$4,0)</f>
        <v/>
      </c>
    </row>
    <row r="63">
      <c r="A63" t="n">
        <v>2042</v>
      </c>
      <c r="B63">
        <f>E63+F63+G63+H63+I63+J63+K63+L63+M63+N63+O63</f>
        <v/>
      </c>
      <c r="C63">
        <f>ROUND(B63/1000,0)*1000</f>
        <v/>
      </c>
      <c r="D63">
        <f>C63+IF(A63=INDEX($A$42:$A$71,MATCH(MAX($C$42:$C$71),$C$42:$C$71,0)),SUM($B$8:$B$37)-SUM($C$42:$C$71),0)</f>
        <v/>
      </c>
      <c r="E63">
        <f>IFERROR(INDEX($B$8:$B$37,MATCH(A63-B$3,$A$8:$A$37,0))*INDEX($C$8:$C$37,MATCH(A63-B$3,$A$8:$A$37,0))*B$4,0)</f>
        <v/>
      </c>
      <c r="F63">
        <f>IFERROR(INDEX($B$8:$B$37,MATCH(A63-C$3,$A$8:$A$37,0))*INDEX($C$8:$C$37,MATCH(A63-C$3,$A$8:$A$37,0))*C$4,0)</f>
        <v/>
      </c>
      <c r="G63">
        <f>IFERROR(INDEX($B$8:$B$37,MATCH(A63-D$3,$A$8:$A$37,0))*INDEX($C$8:$C$37,MATCH(A63-D$3,$A$8:$A$37,0))*D$4,0)</f>
        <v/>
      </c>
      <c r="H63">
        <f>IFERROR(INDEX($B$8:$B$37,MATCH(A63-E$3,$A$8:$A$37,0))*INDEX($C$8:$C$37,MATCH(A63-E$3,$A$8:$A$37,0))*E$4,0)</f>
        <v/>
      </c>
      <c r="I63">
        <f>IFERROR(INDEX($B$8:$B$37,MATCH(A63-F$3,$A$8:$A$37,0))*INDEX($C$8:$C$37,MATCH(A63-F$3,$A$8:$A$37,0))*F$4,0)</f>
        <v/>
      </c>
      <c r="J63">
        <f>IFERROR(INDEX($B$8:$B$37,MATCH(A63-G$3,$A$8:$A$37,0))*INDEX($C$8:$C$37,MATCH(A63-G$3,$A$8:$A$37,0))*G$4,0)</f>
        <v/>
      </c>
      <c r="K63">
        <f>IFERROR(INDEX($B$8:$B$37,MATCH(A63-H$3,$A$8:$A$37,0))*INDEX($C$8:$C$37,MATCH(A63-H$3,$A$8:$A$37,0))*H$4,0)</f>
        <v/>
      </c>
      <c r="L63">
        <f>IFERROR(INDEX($B$8:$B$37,MATCH(A63-I$3,$A$8:$A$37,0))*INDEX($C$8:$C$37,MATCH(A63-I$3,$A$8:$A$37,0))*I$4,0)</f>
        <v/>
      </c>
      <c r="M63">
        <f>IFERROR(INDEX($B$8:$B$37,MATCH(A63-J$3,$A$8:$A$37,0))*INDEX($C$8:$C$37,MATCH(A63-J$3,$A$8:$A$37,0))*J$4,0)</f>
        <v/>
      </c>
      <c r="N63">
        <f>IFERROR(INDEX($B$8:$B$37,MATCH(A63-K$3,$A$8:$A$37,0))*INDEX($C$8:$C$37,MATCH(A63-K$3,$A$8:$A$37,0))*K$4,0)</f>
        <v/>
      </c>
      <c r="O63">
        <f>IFERROR(INDEX($B$8:$B$37,MATCH(A63-L$3,$A$8:$A$37,0))*INDEX($C$8:$C$37,MATCH(A63-L$3,$A$8:$A$37,0))*L$4,0)</f>
        <v/>
      </c>
    </row>
    <row r="64">
      <c r="A64" t="n">
        <v>2043</v>
      </c>
      <c r="B64">
        <f>E64+F64+G64+H64+I64+J64+K64+L64+M64+N64+O64</f>
        <v/>
      </c>
      <c r="C64">
        <f>ROUND(B64/1000,0)*1000</f>
        <v/>
      </c>
      <c r="D64">
        <f>C64+IF(A64=INDEX($A$42:$A$71,MATCH(MAX($C$42:$C$71),$C$42:$C$71,0)),SUM($B$8:$B$37)-SUM($C$42:$C$71),0)</f>
        <v/>
      </c>
      <c r="E64">
        <f>IFERROR(INDEX($B$8:$B$37,MATCH(A64-B$3,$A$8:$A$37,0))*INDEX($C$8:$C$37,MATCH(A64-B$3,$A$8:$A$37,0))*B$4,0)</f>
        <v/>
      </c>
      <c r="F64">
        <f>IFERROR(INDEX($B$8:$B$37,MATCH(A64-C$3,$A$8:$A$37,0))*INDEX($C$8:$C$37,MATCH(A64-C$3,$A$8:$A$37,0))*C$4,0)</f>
        <v/>
      </c>
      <c r="G64">
        <f>IFERROR(INDEX($B$8:$B$37,MATCH(A64-D$3,$A$8:$A$37,0))*INDEX($C$8:$C$37,MATCH(A64-D$3,$A$8:$A$37,0))*D$4,0)</f>
        <v/>
      </c>
      <c r="H64">
        <f>IFERROR(INDEX($B$8:$B$37,MATCH(A64-E$3,$A$8:$A$37,0))*INDEX($C$8:$C$37,MATCH(A64-E$3,$A$8:$A$37,0))*E$4,0)</f>
        <v/>
      </c>
      <c r="I64">
        <f>IFERROR(INDEX($B$8:$B$37,MATCH(A64-F$3,$A$8:$A$37,0))*INDEX($C$8:$C$37,MATCH(A64-F$3,$A$8:$A$37,0))*F$4,0)</f>
        <v/>
      </c>
      <c r="J64">
        <f>IFERROR(INDEX($B$8:$B$37,MATCH(A64-G$3,$A$8:$A$37,0))*INDEX($C$8:$C$37,MATCH(A64-G$3,$A$8:$A$37,0))*G$4,0)</f>
        <v/>
      </c>
      <c r="K64">
        <f>IFERROR(INDEX($B$8:$B$37,MATCH(A64-H$3,$A$8:$A$37,0))*INDEX($C$8:$C$37,MATCH(A64-H$3,$A$8:$A$37,0))*H$4,0)</f>
        <v/>
      </c>
      <c r="L64">
        <f>IFERROR(INDEX($B$8:$B$37,MATCH(A64-I$3,$A$8:$A$37,0))*INDEX($C$8:$C$37,MATCH(A64-I$3,$A$8:$A$37,0))*I$4,0)</f>
        <v/>
      </c>
      <c r="M64">
        <f>IFERROR(INDEX($B$8:$B$37,MATCH(A64-J$3,$A$8:$A$37,0))*INDEX($C$8:$C$37,MATCH(A64-J$3,$A$8:$A$37,0))*J$4,0)</f>
        <v/>
      </c>
      <c r="N64">
        <f>IFERROR(INDEX($B$8:$B$37,MATCH(A64-K$3,$A$8:$A$37,0))*INDEX($C$8:$C$37,MATCH(A64-K$3,$A$8:$A$37,0))*K$4,0)</f>
        <v/>
      </c>
      <c r="O64">
        <f>IFERROR(INDEX($B$8:$B$37,MATCH(A64-L$3,$A$8:$A$37,0))*INDEX($C$8:$C$37,MATCH(A64-L$3,$A$8:$A$37,0))*L$4,0)</f>
        <v/>
      </c>
    </row>
    <row r="65">
      <c r="A65" t="n">
        <v>2044</v>
      </c>
      <c r="B65">
        <f>E65+F65+G65+H65+I65+J65+K65+L65+M65+N65+O65</f>
        <v/>
      </c>
      <c r="C65">
        <f>ROUND(B65/1000,0)*1000</f>
        <v/>
      </c>
      <c r="D65">
        <f>C65+IF(A65=INDEX($A$42:$A$71,MATCH(MAX($C$42:$C$71),$C$42:$C$71,0)),SUM($B$8:$B$37)-SUM($C$42:$C$71),0)</f>
        <v/>
      </c>
      <c r="E65">
        <f>IFERROR(INDEX($B$8:$B$37,MATCH(A65-B$3,$A$8:$A$37,0))*INDEX($C$8:$C$37,MATCH(A65-B$3,$A$8:$A$37,0))*B$4,0)</f>
        <v/>
      </c>
      <c r="F65">
        <f>IFERROR(INDEX($B$8:$B$37,MATCH(A65-C$3,$A$8:$A$37,0))*INDEX($C$8:$C$37,MATCH(A65-C$3,$A$8:$A$37,0))*C$4,0)</f>
        <v/>
      </c>
      <c r="G65">
        <f>IFERROR(INDEX($B$8:$B$37,MATCH(A65-D$3,$A$8:$A$37,0))*INDEX($C$8:$C$37,MATCH(A65-D$3,$A$8:$A$37,0))*D$4,0)</f>
        <v/>
      </c>
      <c r="H65">
        <f>IFERROR(INDEX($B$8:$B$37,MATCH(A65-E$3,$A$8:$A$37,0))*INDEX($C$8:$C$37,MATCH(A65-E$3,$A$8:$A$37,0))*E$4,0)</f>
        <v/>
      </c>
      <c r="I65">
        <f>IFERROR(INDEX($B$8:$B$37,MATCH(A65-F$3,$A$8:$A$37,0))*INDEX($C$8:$C$37,MATCH(A65-F$3,$A$8:$A$37,0))*F$4,0)</f>
        <v/>
      </c>
      <c r="J65">
        <f>IFERROR(INDEX($B$8:$B$37,MATCH(A65-G$3,$A$8:$A$37,0))*INDEX($C$8:$C$37,MATCH(A65-G$3,$A$8:$A$37,0))*G$4,0)</f>
        <v/>
      </c>
      <c r="K65">
        <f>IFERROR(INDEX($B$8:$B$37,MATCH(A65-H$3,$A$8:$A$37,0))*INDEX($C$8:$C$37,MATCH(A65-H$3,$A$8:$A$37,0))*H$4,0)</f>
        <v/>
      </c>
      <c r="L65">
        <f>IFERROR(INDEX($B$8:$B$37,MATCH(A65-I$3,$A$8:$A$37,0))*INDEX($C$8:$C$37,MATCH(A65-I$3,$A$8:$A$37,0))*I$4,0)</f>
        <v/>
      </c>
      <c r="M65">
        <f>IFERROR(INDEX($B$8:$B$37,MATCH(A65-J$3,$A$8:$A$37,0))*INDEX($C$8:$C$37,MATCH(A65-J$3,$A$8:$A$37,0))*J$4,0)</f>
        <v/>
      </c>
      <c r="N65">
        <f>IFERROR(INDEX($B$8:$B$37,MATCH(A65-K$3,$A$8:$A$37,0))*INDEX($C$8:$C$37,MATCH(A65-K$3,$A$8:$A$37,0))*K$4,0)</f>
        <v/>
      </c>
      <c r="O65">
        <f>IFERROR(INDEX($B$8:$B$37,MATCH(A65-L$3,$A$8:$A$37,0))*INDEX($C$8:$C$37,MATCH(A65-L$3,$A$8:$A$37,0))*L$4,0)</f>
        <v/>
      </c>
    </row>
    <row r="66">
      <c r="A66" t="n">
        <v>2045</v>
      </c>
      <c r="B66">
        <f>E66+F66+G66+H66+I66+J66+K66+L66+M66+N66+O66</f>
        <v/>
      </c>
      <c r="C66">
        <f>ROUND(B66/1000,0)*1000</f>
        <v/>
      </c>
      <c r="D66">
        <f>C66+IF(A66=INDEX($A$42:$A$71,MATCH(MAX($C$42:$C$71),$C$42:$C$71,0)),SUM($B$8:$B$37)-SUM($C$42:$C$71),0)</f>
        <v/>
      </c>
      <c r="E66">
        <f>IFERROR(INDEX($B$8:$B$37,MATCH(A66-B$3,$A$8:$A$37,0))*INDEX($C$8:$C$37,MATCH(A66-B$3,$A$8:$A$37,0))*B$4,0)</f>
        <v/>
      </c>
      <c r="F66">
        <f>IFERROR(INDEX($B$8:$B$37,MATCH(A66-C$3,$A$8:$A$37,0))*INDEX($C$8:$C$37,MATCH(A66-C$3,$A$8:$A$37,0))*C$4,0)</f>
        <v/>
      </c>
      <c r="G66">
        <f>IFERROR(INDEX($B$8:$B$37,MATCH(A66-D$3,$A$8:$A$37,0))*INDEX($C$8:$C$37,MATCH(A66-D$3,$A$8:$A$37,0))*D$4,0)</f>
        <v/>
      </c>
      <c r="H66">
        <f>IFERROR(INDEX($B$8:$B$37,MATCH(A66-E$3,$A$8:$A$37,0))*INDEX($C$8:$C$37,MATCH(A66-E$3,$A$8:$A$37,0))*E$4,0)</f>
        <v/>
      </c>
      <c r="I66">
        <f>IFERROR(INDEX($B$8:$B$37,MATCH(A66-F$3,$A$8:$A$37,0))*INDEX($C$8:$C$37,MATCH(A66-F$3,$A$8:$A$37,0))*F$4,0)</f>
        <v/>
      </c>
      <c r="J66">
        <f>IFERROR(INDEX($B$8:$B$37,MATCH(A66-G$3,$A$8:$A$37,0))*INDEX($C$8:$C$37,MATCH(A66-G$3,$A$8:$A$37,0))*G$4,0)</f>
        <v/>
      </c>
      <c r="K66">
        <f>IFERROR(INDEX($B$8:$B$37,MATCH(A66-H$3,$A$8:$A$37,0))*INDEX($C$8:$C$37,MATCH(A66-H$3,$A$8:$A$37,0))*H$4,0)</f>
        <v/>
      </c>
      <c r="L66">
        <f>IFERROR(INDEX($B$8:$B$37,MATCH(A66-I$3,$A$8:$A$37,0))*INDEX($C$8:$C$37,MATCH(A66-I$3,$A$8:$A$37,0))*I$4,0)</f>
        <v/>
      </c>
      <c r="M66">
        <f>IFERROR(INDEX($B$8:$B$37,MATCH(A66-J$3,$A$8:$A$37,0))*INDEX($C$8:$C$37,MATCH(A66-J$3,$A$8:$A$37,0))*J$4,0)</f>
        <v/>
      </c>
      <c r="N66">
        <f>IFERROR(INDEX($B$8:$B$37,MATCH(A66-K$3,$A$8:$A$37,0))*INDEX($C$8:$C$37,MATCH(A66-K$3,$A$8:$A$37,0))*K$4,0)</f>
        <v/>
      </c>
      <c r="O66">
        <f>IFERROR(INDEX($B$8:$B$37,MATCH(A66-L$3,$A$8:$A$37,0))*INDEX($C$8:$C$37,MATCH(A66-L$3,$A$8:$A$37,0))*L$4,0)</f>
        <v/>
      </c>
    </row>
    <row r="67">
      <c r="A67" t="n">
        <v>2046</v>
      </c>
      <c r="B67">
        <f>E67+F67+G67+H67+I67+J67+K67+L67+M67+N67+O67</f>
        <v/>
      </c>
      <c r="C67">
        <f>ROUND(B67/1000,0)*1000</f>
        <v/>
      </c>
      <c r="D67">
        <f>C67+IF(A67=INDEX($A$42:$A$71,MATCH(MAX($C$42:$C$71),$C$42:$C$71,0)),SUM($B$8:$B$37)-SUM($C$42:$C$71),0)</f>
        <v/>
      </c>
      <c r="E67">
        <f>IFERROR(INDEX($B$8:$B$37,MATCH(A67-B$3,$A$8:$A$37,0))*INDEX($C$8:$C$37,MATCH(A67-B$3,$A$8:$A$37,0))*B$4,0)</f>
        <v/>
      </c>
      <c r="F67">
        <f>IFERROR(INDEX($B$8:$B$37,MATCH(A67-C$3,$A$8:$A$37,0))*INDEX($C$8:$C$37,MATCH(A67-C$3,$A$8:$A$37,0))*C$4,0)</f>
        <v/>
      </c>
      <c r="G67">
        <f>IFERROR(INDEX($B$8:$B$37,MATCH(A67-D$3,$A$8:$A$37,0))*INDEX($C$8:$C$37,MATCH(A67-D$3,$A$8:$A$37,0))*D$4,0)</f>
        <v/>
      </c>
      <c r="H67">
        <f>IFERROR(INDEX($B$8:$B$37,MATCH(A67-E$3,$A$8:$A$37,0))*INDEX($C$8:$C$37,MATCH(A67-E$3,$A$8:$A$37,0))*E$4,0)</f>
        <v/>
      </c>
      <c r="I67">
        <f>IFERROR(INDEX($B$8:$B$37,MATCH(A67-F$3,$A$8:$A$37,0))*INDEX($C$8:$C$37,MATCH(A67-F$3,$A$8:$A$37,0))*F$4,0)</f>
        <v/>
      </c>
      <c r="J67">
        <f>IFERROR(INDEX($B$8:$B$37,MATCH(A67-G$3,$A$8:$A$37,0))*INDEX($C$8:$C$37,MATCH(A67-G$3,$A$8:$A$37,0))*G$4,0)</f>
        <v/>
      </c>
      <c r="K67">
        <f>IFERROR(INDEX($B$8:$B$37,MATCH(A67-H$3,$A$8:$A$37,0))*INDEX($C$8:$C$37,MATCH(A67-H$3,$A$8:$A$37,0))*H$4,0)</f>
        <v/>
      </c>
      <c r="L67">
        <f>IFERROR(INDEX($B$8:$B$37,MATCH(A67-I$3,$A$8:$A$37,0))*INDEX($C$8:$C$37,MATCH(A67-I$3,$A$8:$A$37,0))*I$4,0)</f>
        <v/>
      </c>
      <c r="M67">
        <f>IFERROR(INDEX($B$8:$B$37,MATCH(A67-J$3,$A$8:$A$37,0))*INDEX($C$8:$C$37,MATCH(A67-J$3,$A$8:$A$37,0))*J$4,0)</f>
        <v/>
      </c>
      <c r="N67">
        <f>IFERROR(INDEX($B$8:$B$37,MATCH(A67-K$3,$A$8:$A$37,0))*INDEX($C$8:$C$37,MATCH(A67-K$3,$A$8:$A$37,0))*K$4,0)</f>
        <v/>
      </c>
      <c r="O67">
        <f>IFERROR(INDEX($B$8:$B$37,MATCH(A67-L$3,$A$8:$A$37,0))*INDEX($C$8:$C$37,MATCH(A67-L$3,$A$8:$A$37,0))*L$4,0)</f>
        <v/>
      </c>
    </row>
    <row r="68">
      <c r="A68" t="n">
        <v>2047</v>
      </c>
      <c r="B68">
        <f>E68+F68+G68+H68+I68+J68+K68+L68+M68+N68+O68</f>
        <v/>
      </c>
      <c r="C68">
        <f>ROUND(B68/1000,0)*1000</f>
        <v/>
      </c>
      <c r="D68">
        <f>C68+IF(A68=INDEX($A$42:$A$71,MATCH(MAX($C$42:$C$71),$C$42:$C$71,0)),SUM($B$8:$B$37)-SUM($C$42:$C$71),0)</f>
        <v/>
      </c>
      <c r="E68">
        <f>IFERROR(INDEX($B$8:$B$37,MATCH(A68-B$3,$A$8:$A$37,0))*INDEX($C$8:$C$37,MATCH(A68-B$3,$A$8:$A$37,0))*B$4,0)</f>
        <v/>
      </c>
      <c r="F68">
        <f>IFERROR(INDEX($B$8:$B$37,MATCH(A68-C$3,$A$8:$A$37,0))*INDEX($C$8:$C$37,MATCH(A68-C$3,$A$8:$A$37,0))*C$4,0)</f>
        <v/>
      </c>
      <c r="G68">
        <f>IFERROR(INDEX($B$8:$B$37,MATCH(A68-D$3,$A$8:$A$37,0))*INDEX($C$8:$C$37,MATCH(A68-D$3,$A$8:$A$37,0))*D$4,0)</f>
        <v/>
      </c>
      <c r="H68">
        <f>IFERROR(INDEX($B$8:$B$37,MATCH(A68-E$3,$A$8:$A$37,0))*INDEX($C$8:$C$37,MATCH(A68-E$3,$A$8:$A$37,0))*E$4,0)</f>
        <v/>
      </c>
      <c r="I68">
        <f>IFERROR(INDEX($B$8:$B$37,MATCH(A68-F$3,$A$8:$A$37,0))*INDEX($C$8:$C$37,MATCH(A68-F$3,$A$8:$A$37,0))*F$4,0)</f>
        <v/>
      </c>
      <c r="J68">
        <f>IFERROR(INDEX($B$8:$B$37,MATCH(A68-G$3,$A$8:$A$37,0))*INDEX($C$8:$C$37,MATCH(A68-G$3,$A$8:$A$37,0))*G$4,0)</f>
        <v/>
      </c>
      <c r="K68">
        <f>IFERROR(INDEX($B$8:$B$37,MATCH(A68-H$3,$A$8:$A$37,0))*INDEX($C$8:$C$37,MATCH(A68-H$3,$A$8:$A$37,0))*H$4,0)</f>
        <v/>
      </c>
      <c r="L68">
        <f>IFERROR(INDEX($B$8:$B$37,MATCH(A68-I$3,$A$8:$A$37,0))*INDEX($C$8:$C$37,MATCH(A68-I$3,$A$8:$A$37,0))*I$4,0)</f>
        <v/>
      </c>
      <c r="M68">
        <f>IFERROR(INDEX($B$8:$B$37,MATCH(A68-J$3,$A$8:$A$37,0))*INDEX($C$8:$C$37,MATCH(A68-J$3,$A$8:$A$37,0))*J$4,0)</f>
        <v/>
      </c>
      <c r="N68">
        <f>IFERROR(INDEX($B$8:$B$37,MATCH(A68-K$3,$A$8:$A$37,0))*INDEX($C$8:$C$37,MATCH(A68-K$3,$A$8:$A$37,0))*K$4,0)</f>
        <v/>
      </c>
      <c r="O68">
        <f>IFERROR(INDEX($B$8:$B$37,MATCH(A68-L$3,$A$8:$A$37,0))*INDEX($C$8:$C$37,MATCH(A68-L$3,$A$8:$A$37,0))*L$4,0)</f>
        <v/>
      </c>
    </row>
    <row r="69">
      <c r="A69" t="n">
        <v>2048</v>
      </c>
      <c r="B69">
        <f>E69+F69+G69+H69+I69+J69+K69+L69+M69+N69+O69</f>
        <v/>
      </c>
      <c r="C69">
        <f>ROUND(B69/1000,0)*1000</f>
        <v/>
      </c>
      <c r="D69">
        <f>C69+IF(A69=INDEX($A$42:$A$71,MATCH(MAX($C$42:$C$71),$C$42:$C$71,0)),SUM($B$8:$B$37)-SUM($C$42:$C$71),0)</f>
        <v/>
      </c>
      <c r="E69">
        <f>IFERROR(INDEX($B$8:$B$37,MATCH(A69-B$3,$A$8:$A$37,0))*INDEX($C$8:$C$37,MATCH(A69-B$3,$A$8:$A$37,0))*B$4,0)</f>
        <v/>
      </c>
      <c r="F69">
        <f>IFERROR(INDEX($B$8:$B$37,MATCH(A69-C$3,$A$8:$A$37,0))*INDEX($C$8:$C$37,MATCH(A69-C$3,$A$8:$A$37,0))*C$4,0)</f>
        <v/>
      </c>
      <c r="G69">
        <f>IFERROR(INDEX($B$8:$B$37,MATCH(A69-D$3,$A$8:$A$37,0))*INDEX($C$8:$C$37,MATCH(A69-D$3,$A$8:$A$37,0))*D$4,0)</f>
        <v/>
      </c>
      <c r="H69">
        <f>IFERROR(INDEX($B$8:$B$37,MATCH(A69-E$3,$A$8:$A$37,0))*INDEX($C$8:$C$37,MATCH(A69-E$3,$A$8:$A$37,0))*E$4,0)</f>
        <v/>
      </c>
      <c r="I69">
        <f>IFERROR(INDEX($B$8:$B$37,MATCH(A69-F$3,$A$8:$A$37,0))*INDEX($C$8:$C$37,MATCH(A69-F$3,$A$8:$A$37,0))*F$4,0)</f>
        <v/>
      </c>
      <c r="J69">
        <f>IFERROR(INDEX($B$8:$B$37,MATCH(A69-G$3,$A$8:$A$37,0))*INDEX($C$8:$C$37,MATCH(A69-G$3,$A$8:$A$37,0))*G$4,0)</f>
        <v/>
      </c>
      <c r="K69">
        <f>IFERROR(INDEX($B$8:$B$37,MATCH(A69-H$3,$A$8:$A$37,0))*INDEX($C$8:$C$37,MATCH(A69-H$3,$A$8:$A$37,0))*H$4,0)</f>
        <v/>
      </c>
      <c r="L69">
        <f>IFERROR(INDEX($B$8:$B$37,MATCH(A69-I$3,$A$8:$A$37,0))*INDEX($C$8:$C$37,MATCH(A69-I$3,$A$8:$A$37,0))*I$4,0)</f>
        <v/>
      </c>
      <c r="M69">
        <f>IFERROR(INDEX($B$8:$B$37,MATCH(A69-J$3,$A$8:$A$37,0))*INDEX($C$8:$C$37,MATCH(A69-J$3,$A$8:$A$37,0))*J$4,0)</f>
        <v/>
      </c>
      <c r="N69">
        <f>IFERROR(INDEX($B$8:$B$37,MATCH(A69-K$3,$A$8:$A$37,0))*INDEX($C$8:$C$37,MATCH(A69-K$3,$A$8:$A$37,0))*K$4,0)</f>
        <v/>
      </c>
      <c r="O69">
        <f>IFERROR(INDEX($B$8:$B$37,MATCH(A69-L$3,$A$8:$A$37,0))*INDEX($C$8:$C$37,MATCH(A69-L$3,$A$8:$A$37,0))*L$4,0)</f>
        <v/>
      </c>
    </row>
    <row r="70">
      <c r="A70" t="n">
        <v>2049</v>
      </c>
      <c r="B70">
        <f>E70+F70+G70+H70+I70+J70+K70+L70+M70+N70+O70</f>
        <v/>
      </c>
      <c r="C70">
        <f>ROUND(B70/1000,0)*1000</f>
        <v/>
      </c>
      <c r="D70">
        <f>C70+IF(A70=INDEX($A$42:$A$71,MATCH(MAX($C$42:$C$71),$C$42:$C$71,0)),SUM($B$8:$B$37)-SUM($C$42:$C$71),0)</f>
        <v/>
      </c>
      <c r="E70">
        <f>IFERROR(INDEX($B$8:$B$37,MATCH(A70-B$3,$A$8:$A$37,0))*INDEX($C$8:$C$37,MATCH(A70-B$3,$A$8:$A$37,0))*B$4,0)</f>
        <v/>
      </c>
      <c r="F70">
        <f>IFERROR(INDEX($B$8:$B$37,MATCH(A70-C$3,$A$8:$A$37,0))*INDEX($C$8:$C$37,MATCH(A70-C$3,$A$8:$A$37,0))*C$4,0)</f>
        <v/>
      </c>
      <c r="G70">
        <f>IFERROR(INDEX($B$8:$B$37,MATCH(A70-D$3,$A$8:$A$37,0))*INDEX($C$8:$C$37,MATCH(A70-D$3,$A$8:$A$37,0))*D$4,0)</f>
        <v/>
      </c>
      <c r="H70">
        <f>IFERROR(INDEX($B$8:$B$37,MATCH(A70-E$3,$A$8:$A$37,0))*INDEX($C$8:$C$37,MATCH(A70-E$3,$A$8:$A$37,0))*E$4,0)</f>
        <v/>
      </c>
      <c r="I70">
        <f>IFERROR(INDEX($B$8:$B$37,MATCH(A70-F$3,$A$8:$A$37,0))*INDEX($C$8:$C$37,MATCH(A70-F$3,$A$8:$A$37,0))*F$4,0)</f>
        <v/>
      </c>
      <c r="J70">
        <f>IFERROR(INDEX($B$8:$B$37,MATCH(A70-G$3,$A$8:$A$37,0))*INDEX($C$8:$C$37,MATCH(A70-G$3,$A$8:$A$37,0))*G$4,0)</f>
        <v/>
      </c>
      <c r="K70">
        <f>IFERROR(INDEX($B$8:$B$37,MATCH(A70-H$3,$A$8:$A$37,0))*INDEX($C$8:$C$37,MATCH(A70-H$3,$A$8:$A$37,0))*H$4,0)</f>
        <v/>
      </c>
      <c r="L70">
        <f>IFERROR(INDEX($B$8:$B$37,MATCH(A70-I$3,$A$8:$A$37,0))*INDEX($C$8:$C$37,MATCH(A70-I$3,$A$8:$A$37,0))*I$4,0)</f>
        <v/>
      </c>
      <c r="M70">
        <f>IFERROR(INDEX($B$8:$B$37,MATCH(A70-J$3,$A$8:$A$37,0))*INDEX($C$8:$C$37,MATCH(A70-J$3,$A$8:$A$37,0))*J$4,0)</f>
        <v/>
      </c>
      <c r="N70">
        <f>IFERROR(INDEX($B$8:$B$37,MATCH(A70-K$3,$A$8:$A$37,0))*INDEX($C$8:$C$37,MATCH(A70-K$3,$A$8:$A$37,0))*K$4,0)</f>
        <v/>
      </c>
      <c r="O70">
        <f>IFERROR(INDEX($B$8:$B$37,MATCH(A70-L$3,$A$8:$A$37,0))*INDEX($C$8:$C$37,MATCH(A70-L$3,$A$8:$A$37,0))*L$4,0)</f>
        <v/>
      </c>
    </row>
    <row r="71">
      <c r="A71" t="n">
        <v>2050</v>
      </c>
      <c r="B71">
        <f>E71+F71+G71+H71+I71+J71+K71+L71+M71+N71+O71</f>
        <v/>
      </c>
      <c r="C71">
        <f>ROUND(B71/1000,0)*1000</f>
        <v/>
      </c>
      <c r="D71">
        <f>C71+IF(A71=INDEX($A$42:$A$71,MATCH(MAX($C$42:$C$71),$C$42:$C$71,0)),SUM($B$8:$B$37)-SUM($C$42:$C$71),0)</f>
        <v/>
      </c>
      <c r="E71">
        <f>IFERROR(INDEX($B$8:$B$37,MATCH(A71-B$3,$A$8:$A$37,0))*INDEX($C$8:$C$37,MATCH(A71-B$3,$A$8:$A$37,0))*B$4,0)</f>
        <v/>
      </c>
      <c r="F71">
        <f>IFERROR(INDEX($B$8:$B$37,MATCH(A71-C$3,$A$8:$A$37,0))*INDEX($C$8:$C$37,MATCH(A71-C$3,$A$8:$A$37,0))*C$4,0)</f>
        <v/>
      </c>
      <c r="G71">
        <f>IFERROR(INDEX($B$8:$B$37,MATCH(A71-D$3,$A$8:$A$37,0))*INDEX($C$8:$C$37,MATCH(A71-D$3,$A$8:$A$37,0))*D$4,0)</f>
        <v/>
      </c>
      <c r="H71">
        <f>IFERROR(INDEX($B$8:$B$37,MATCH(A71-E$3,$A$8:$A$37,0))*INDEX($C$8:$C$37,MATCH(A71-E$3,$A$8:$A$37,0))*E$4,0)</f>
        <v/>
      </c>
      <c r="I71">
        <f>IFERROR(INDEX($B$8:$B$37,MATCH(A71-F$3,$A$8:$A$37,0))*INDEX($C$8:$C$37,MATCH(A71-F$3,$A$8:$A$37,0))*F$4,0)</f>
        <v/>
      </c>
      <c r="J71">
        <f>IFERROR(INDEX($B$8:$B$37,MATCH(A71-G$3,$A$8:$A$37,0))*INDEX($C$8:$C$37,MATCH(A71-G$3,$A$8:$A$37,0))*G$4,0)</f>
        <v/>
      </c>
      <c r="K71">
        <f>IFERROR(INDEX($B$8:$B$37,MATCH(A71-H$3,$A$8:$A$37,0))*INDEX($C$8:$C$37,MATCH(A71-H$3,$A$8:$A$37,0))*H$4,0)</f>
        <v/>
      </c>
      <c r="L71">
        <f>IFERROR(INDEX($B$8:$B$37,MATCH(A71-I$3,$A$8:$A$37,0))*INDEX($C$8:$C$37,MATCH(A71-I$3,$A$8:$A$37,0))*I$4,0)</f>
        <v/>
      </c>
      <c r="M71">
        <f>IFERROR(INDEX($B$8:$B$37,MATCH(A71-J$3,$A$8:$A$37,0))*INDEX($C$8:$C$37,MATCH(A71-J$3,$A$8:$A$37,0))*J$4,0)</f>
        <v/>
      </c>
      <c r="N71">
        <f>IFERROR(INDEX($B$8:$B$37,MATCH(A71-K$3,$A$8:$A$37,0))*INDEX($C$8:$C$37,MATCH(A71-K$3,$A$8:$A$37,0))*K$4,0)</f>
        <v/>
      </c>
      <c r="O71">
        <f>IFERROR(INDEX($B$8:$B$37,MATCH(A71-L$3,$A$8:$A$37,0))*INDEX($C$8:$C$37,MATCH(A71-L$3,$A$8:$A$37,0))*L$4,0)</f>
        <v/>
      </c>
    </row>
    <row r="73">
      <c r="A73" t="inlineStr">
        <is>
          <t>Mass conservation check (raw total - shipped total; must be 0)</t>
        </is>
      </c>
      <c r="B73">
        <f>SUM(B8:B37)-SUM(D42:D71)</f>
        <v/>
      </c>
    </row>
    <row r="74">
      <c r="A74" t="inlineStr">
        <is>
          <t>PASS/FAIL</t>
        </is>
      </c>
      <c r="B74">
        <f>IF(ABS(B73)&lt;0.5,"PASS","FAIL")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Cross-check: export tab (dry kiln with precalciner row) literal vs. the Smoothing tab's shipped schedule, all 30 years (updated 2026-08-28: was vs. Derivation's raw steps)</t>
        </is>
      </c>
    </row>
    <row r="3">
      <c r="A3" t="inlineStr">
        <is>
          <t>Year</t>
        </is>
      </c>
      <c r="B3" t="inlineStr">
        <is>
          <t>Export tab value</t>
        </is>
      </c>
      <c r="C3" t="inlineStr">
        <is>
          <t>Derivation total</t>
        </is>
      </c>
      <c r="D3" t="inlineStr">
        <is>
          <t>Result</t>
        </is>
      </c>
    </row>
    <row r="4">
      <c r="A4" t="n">
        <v>2021</v>
      </c>
      <c r="B4">
        <f>CPRS!B2</f>
        <v/>
      </c>
      <c r="C4">
        <f>Smoothing!D42</f>
        <v/>
      </c>
      <c r="D4">
        <f>IF(ABS(B4-C4)&lt;0.5,"PASS","FAIL")</f>
        <v/>
      </c>
    </row>
    <row r="5">
      <c r="A5" t="n">
        <v>2022</v>
      </c>
      <c r="B5">
        <f>CPRS!C2</f>
        <v/>
      </c>
      <c r="C5">
        <f>Smoothing!D43</f>
        <v/>
      </c>
      <c r="D5">
        <f>IF(ABS(B5-C5)&lt;0.5,"PASS","FAIL")</f>
        <v/>
      </c>
    </row>
    <row r="6">
      <c r="A6" t="n">
        <v>2023</v>
      </c>
      <c r="B6">
        <f>CPRS!D2</f>
        <v/>
      </c>
      <c r="C6">
        <f>Smoothing!D44</f>
        <v/>
      </c>
      <c r="D6">
        <f>IF(ABS(B6-C6)&lt;0.5,"PASS","FAIL")</f>
        <v/>
      </c>
    </row>
    <row r="7">
      <c r="A7" t="n">
        <v>2024</v>
      </c>
      <c r="B7">
        <f>CPRS!E2</f>
        <v/>
      </c>
      <c r="C7">
        <f>Smoothing!D45</f>
        <v/>
      </c>
      <c r="D7">
        <f>IF(ABS(B7-C7)&lt;0.5,"PASS","FAIL")</f>
        <v/>
      </c>
    </row>
    <row r="8">
      <c r="A8" t="n">
        <v>2025</v>
      </c>
      <c r="B8">
        <f>CPRS!F2</f>
        <v/>
      </c>
      <c r="C8">
        <f>Smoothing!D46</f>
        <v/>
      </c>
      <c r="D8">
        <f>IF(ABS(B8-C8)&lt;0.5,"PASS","FAIL")</f>
        <v/>
      </c>
    </row>
    <row r="9">
      <c r="A9" t="n">
        <v>2026</v>
      </c>
      <c r="B9">
        <f>CPRS!G2</f>
        <v/>
      </c>
      <c r="C9">
        <f>Smoothing!D47</f>
        <v/>
      </c>
      <c r="D9">
        <f>IF(ABS(B9-C9)&lt;0.5,"PASS","FAIL")</f>
        <v/>
      </c>
    </row>
    <row r="10">
      <c r="A10" t="n">
        <v>2027</v>
      </c>
      <c r="B10">
        <f>CPRS!H2</f>
        <v/>
      </c>
      <c r="C10">
        <f>Smoothing!D48</f>
        <v/>
      </c>
      <c r="D10">
        <f>IF(ABS(B10-C10)&lt;0.5,"PASS","FAIL")</f>
        <v/>
      </c>
    </row>
    <row r="11">
      <c r="A11" t="n">
        <v>2028</v>
      </c>
      <c r="B11">
        <f>CPRS!I2</f>
        <v/>
      </c>
      <c r="C11">
        <f>Smoothing!D49</f>
        <v/>
      </c>
      <c r="D11">
        <f>IF(ABS(B11-C11)&lt;0.5,"PASS","FAIL")</f>
        <v/>
      </c>
    </row>
    <row r="12">
      <c r="A12" t="n">
        <v>2029</v>
      </c>
      <c r="B12">
        <f>CPRS!J2</f>
        <v/>
      </c>
      <c r="C12">
        <f>Smoothing!D50</f>
        <v/>
      </c>
      <c r="D12">
        <f>IF(ABS(B12-C12)&lt;0.5,"PASS","FAIL")</f>
        <v/>
      </c>
    </row>
    <row r="13">
      <c r="A13" t="n">
        <v>2030</v>
      </c>
      <c r="B13">
        <f>CPRS!K2</f>
        <v/>
      </c>
      <c r="C13">
        <f>Smoothing!D51</f>
        <v/>
      </c>
      <c r="D13">
        <f>IF(ABS(B13-C13)&lt;0.5,"PASS","FAIL")</f>
        <v/>
      </c>
    </row>
    <row r="14">
      <c r="A14" t="n">
        <v>2031</v>
      </c>
      <c r="B14">
        <f>CPRS!L2</f>
        <v/>
      </c>
      <c r="C14">
        <f>Smoothing!D52</f>
        <v/>
      </c>
      <c r="D14">
        <f>IF(ABS(B14-C14)&lt;0.5,"PASS","FAIL")</f>
        <v/>
      </c>
    </row>
    <row r="15">
      <c r="A15" t="n">
        <v>2032</v>
      </c>
      <c r="B15">
        <f>CPRS!M2</f>
        <v/>
      </c>
      <c r="C15">
        <f>Smoothing!D53</f>
        <v/>
      </c>
      <c r="D15">
        <f>IF(ABS(B15-C15)&lt;0.5,"PASS","FAIL")</f>
        <v/>
      </c>
    </row>
    <row r="16">
      <c r="A16" t="n">
        <v>2033</v>
      </c>
      <c r="B16">
        <f>CPRS!N2</f>
        <v/>
      </c>
      <c r="C16">
        <f>Smoothing!D54</f>
        <v/>
      </c>
      <c r="D16">
        <f>IF(ABS(B16-C16)&lt;0.5,"PASS","FAIL")</f>
        <v/>
      </c>
    </row>
    <row r="17">
      <c r="A17" t="n">
        <v>2034</v>
      </c>
      <c r="B17">
        <f>CPRS!O2</f>
        <v/>
      </c>
      <c r="C17">
        <f>Smoothing!D55</f>
        <v/>
      </c>
      <c r="D17">
        <f>IF(ABS(B17-C17)&lt;0.5,"PASS","FAIL")</f>
        <v/>
      </c>
    </row>
    <row r="18">
      <c r="A18" t="n">
        <v>2035</v>
      </c>
      <c r="B18">
        <f>CPRS!P2</f>
        <v/>
      </c>
      <c r="C18">
        <f>Smoothing!D56</f>
        <v/>
      </c>
      <c r="D18">
        <f>IF(ABS(B18-C18)&lt;0.5,"PASS","FAIL")</f>
        <v/>
      </c>
    </row>
    <row r="19">
      <c r="A19" t="n">
        <v>2036</v>
      </c>
      <c r="B19">
        <f>CPRS!Q2</f>
        <v/>
      </c>
      <c r="C19">
        <f>Smoothing!D57</f>
        <v/>
      </c>
      <c r="D19">
        <f>IF(ABS(B19-C19)&lt;0.5,"PASS","FAIL")</f>
        <v/>
      </c>
    </row>
    <row r="20">
      <c r="A20" t="n">
        <v>2037</v>
      </c>
      <c r="B20">
        <f>CPRS!R2</f>
        <v/>
      </c>
      <c r="C20">
        <f>Smoothing!D58</f>
        <v/>
      </c>
      <c r="D20">
        <f>IF(ABS(B20-C20)&lt;0.5,"PASS","FAIL")</f>
        <v/>
      </c>
    </row>
    <row r="21">
      <c r="A21" t="n">
        <v>2038</v>
      </c>
      <c r="B21">
        <f>CPRS!S2</f>
        <v/>
      </c>
      <c r="C21">
        <f>Smoothing!D59</f>
        <v/>
      </c>
      <c r="D21">
        <f>IF(ABS(B21-C21)&lt;0.5,"PASS","FAIL")</f>
        <v/>
      </c>
    </row>
    <row r="22">
      <c r="A22" t="n">
        <v>2039</v>
      </c>
      <c r="B22">
        <f>CPRS!T2</f>
        <v/>
      </c>
      <c r="C22">
        <f>Smoothing!D60</f>
        <v/>
      </c>
      <c r="D22">
        <f>IF(ABS(B22-C22)&lt;0.5,"PASS","FAIL")</f>
        <v/>
      </c>
    </row>
    <row r="23">
      <c r="A23" t="n">
        <v>2040</v>
      </c>
      <c r="B23">
        <f>CPRS!U2</f>
        <v/>
      </c>
      <c r="C23">
        <f>Smoothing!D61</f>
        <v/>
      </c>
      <c r="D23">
        <f>IF(ABS(B23-C23)&lt;0.5,"PASS","FAIL")</f>
        <v/>
      </c>
    </row>
    <row r="24">
      <c r="A24" t="n">
        <v>2041</v>
      </c>
      <c r="B24">
        <f>CPRS!V2</f>
        <v/>
      </c>
      <c r="C24">
        <f>Smoothing!D62</f>
        <v/>
      </c>
      <c r="D24">
        <f>IF(ABS(B24-C24)&lt;0.5,"PASS","FAIL")</f>
        <v/>
      </c>
    </row>
    <row r="25">
      <c r="A25" t="n">
        <v>2042</v>
      </c>
      <c r="B25">
        <f>CPRS!W2</f>
        <v/>
      </c>
      <c r="C25">
        <f>Smoothing!D63</f>
        <v/>
      </c>
      <c r="D25">
        <f>IF(ABS(B25-C25)&lt;0.5,"PASS","FAIL")</f>
        <v/>
      </c>
    </row>
    <row r="26">
      <c r="A26" t="n">
        <v>2043</v>
      </c>
      <c r="B26">
        <f>CPRS!X2</f>
        <v/>
      </c>
      <c r="C26">
        <f>Smoothing!D64</f>
        <v/>
      </c>
      <c r="D26">
        <f>IF(ABS(B26-C26)&lt;0.5,"PASS","FAIL")</f>
        <v/>
      </c>
    </row>
    <row r="27">
      <c r="A27" t="n">
        <v>2044</v>
      </c>
      <c r="B27">
        <f>CPRS!Y2</f>
        <v/>
      </c>
      <c r="C27">
        <f>Smoothing!D65</f>
        <v/>
      </c>
      <c r="D27">
        <f>IF(ABS(B27-C27)&lt;0.5,"PASS","FAIL")</f>
        <v/>
      </c>
    </row>
    <row r="28">
      <c r="A28" t="n">
        <v>2045</v>
      </c>
      <c r="B28">
        <f>CPRS!Z2</f>
        <v/>
      </c>
      <c r="C28">
        <f>Smoothing!D66</f>
        <v/>
      </c>
      <c r="D28">
        <f>IF(ABS(B28-C28)&lt;0.5,"PASS","FAIL")</f>
        <v/>
      </c>
    </row>
    <row r="29">
      <c r="A29" t="n">
        <v>2046</v>
      </c>
      <c r="B29">
        <f>CPRS!AA2</f>
        <v/>
      </c>
      <c r="C29">
        <f>Smoothing!D67</f>
        <v/>
      </c>
      <c r="D29">
        <f>IF(ABS(B29-C29)&lt;0.5,"PASS","FAIL")</f>
        <v/>
      </c>
    </row>
    <row r="30">
      <c r="A30" t="n">
        <v>2047</v>
      </c>
      <c r="B30">
        <f>CPRS!AB2</f>
        <v/>
      </c>
      <c r="C30">
        <f>Smoothing!D68</f>
        <v/>
      </c>
      <c r="D30">
        <f>IF(ABS(B30-C30)&lt;0.5,"PASS","FAIL")</f>
        <v/>
      </c>
    </row>
    <row r="31">
      <c r="A31" t="n">
        <v>2048</v>
      </c>
      <c r="B31">
        <f>CPRS!AC2</f>
        <v/>
      </c>
      <c r="C31">
        <f>Smoothing!D69</f>
        <v/>
      </c>
      <c r="D31">
        <f>IF(ABS(B31-C31)&lt;0.5,"PASS","FAIL")</f>
        <v/>
      </c>
    </row>
    <row r="32">
      <c r="A32" t="n">
        <v>2049</v>
      </c>
      <c r="B32">
        <f>CPRS!AD2</f>
        <v/>
      </c>
      <c r="C32">
        <f>Smoothing!D70</f>
        <v/>
      </c>
      <c r="D32">
        <f>IF(ABS(B32-C32)&lt;0.5,"PASS","FAIL")</f>
        <v/>
      </c>
    </row>
    <row r="33">
      <c r="A33" t="n">
        <v>2050</v>
      </c>
      <c r="B33">
        <f>CPRS!AE2</f>
        <v/>
      </c>
      <c r="C33">
        <f>Smoothing!D71</f>
        <v/>
      </c>
      <c r="D33">
        <f>IF(ABS(B33-C33)&lt;0.5,"PASS","FAIL")</f>
        <v/>
      </c>
    </row>
    <row r="35">
      <c r="A35" s="1" t="inlineStr">
        <is>
          <t>Total mass vs. Derivation raw total</t>
        </is>
      </c>
      <c r="B35">
        <f>SUM(B4:B33)</f>
        <v/>
      </c>
      <c r="C35">
        <f>SUM(Derivation!D20:D49)</f>
        <v/>
      </c>
      <c r="D35">
        <f>IF(ABS(B35-C35)&lt;0.5,"PASS","FAIL")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metric tons/year nameplate reaching campaign-end decision (NZA Annex K cohorts confirmed exact; pre-2000 at NZA 7%/yr from 2026, post-2000 35-yr staggered 2036-45)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  <c r="J1" t="n">
        <v>2029</v>
      </c>
      <c r="K1" t="n">
        <v>2030</v>
      </c>
      <c r="L1" t="n">
        <v>2031</v>
      </c>
      <c r="M1" t="n">
        <v>2032</v>
      </c>
      <c r="N1" t="n">
        <v>2033</v>
      </c>
      <c r="O1" t="n">
        <v>2034</v>
      </c>
      <c r="P1" t="n">
        <v>2035</v>
      </c>
      <c r="Q1" t="n">
        <v>2036</v>
      </c>
      <c r="R1" t="n">
        <v>2037</v>
      </c>
      <c r="S1" t="n">
        <v>2038</v>
      </c>
      <c r="T1" t="n">
        <v>2039</v>
      </c>
      <c r="U1" t="n">
        <v>2040</v>
      </c>
      <c r="V1" t="n">
        <v>2041</v>
      </c>
      <c r="W1" t="n">
        <v>2042</v>
      </c>
      <c r="X1" t="n">
        <v>2043</v>
      </c>
      <c r="Y1" t="n">
        <v>2044</v>
      </c>
      <c r="Z1" t="n">
        <v>2045</v>
      </c>
      <c r="AA1" t="n">
        <v>2046</v>
      </c>
      <c r="AB1" t="n">
        <v>2047</v>
      </c>
      <c r="AC1" t="n">
        <v>2048</v>
      </c>
      <c r="AD1" t="n">
        <v>2049</v>
      </c>
      <c r="AE1" t="n">
        <v>2050</v>
      </c>
    </row>
    <row r="2">
      <c r="A2" t="inlineStr">
        <is>
          <t>dry kiln with precalciner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2732000</v>
      </c>
      <c r="H2" t="n">
        <v>3212000</v>
      </c>
      <c r="I2" t="n">
        <v>3523000</v>
      </c>
      <c r="J2" t="n">
        <v>3698000</v>
      </c>
      <c r="K2" t="n">
        <v>3760000</v>
      </c>
      <c r="L2" t="n">
        <v>3850000</v>
      </c>
      <c r="M2" t="n">
        <v>3975000</v>
      </c>
      <c r="N2" t="n">
        <v>4298000</v>
      </c>
      <c r="O2" t="n">
        <v>4790000</v>
      </c>
      <c r="P2" t="n">
        <v>5363000</v>
      </c>
      <c r="Q2" t="n">
        <v>5979000</v>
      </c>
      <c r="R2" t="n">
        <v>6371000</v>
      </c>
      <c r="S2" t="n">
        <v>6536000</v>
      </c>
      <c r="T2" t="n">
        <v>6474000</v>
      </c>
      <c r="U2" t="n">
        <v>6185000</v>
      </c>
      <c r="V2" t="n">
        <v>5675000</v>
      </c>
      <c r="W2" t="n">
        <v>5000000</v>
      </c>
      <c r="X2" t="n">
        <v>4291000</v>
      </c>
      <c r="Y2" t="n">
        <v>3548000</v>
      </c>
      <c r="Z2" t="n">
        <v>2770000</v>
      </c>
      <c r="AA2" t="n">
        <v>1958000</v>
      </c>
      <c r="AB2" t="n">
        <v>1306000</v>
      </c>
      <c r="AC2" t="n">
        <v>783000</v>
      </c>
      <c r="AD2" t="n">
        <v>392000</v>
      </c>
      <c r="AE2" t="n">
        <v>131000</v>
      </c>
    </row>
    <row r="3">
      <c r="A3" t="inlineStr">
        <is>
          <t>dry kiln with CCS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A4" t="inlineStr">
        <is>
          <t>electric kiln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A5" t="inlineStr">
        <is>
          <t>alternative chemistry cement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2026-08-26T11:48:09Z</dcterms:created>
  <dcterms:modified xsi:type="dcterms:W3CDTF">2026-08-28T14:42:17Z</dcterms:modified>
</cp:coreProperties>
</file>