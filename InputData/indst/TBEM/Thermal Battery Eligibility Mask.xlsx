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TBEM\"/>
    </mc:Choice>
  </mc:AlternateContent>
  <xr:revisionPtr revIDLastSave="0" documentId="13_ncr:1_{9440F145-9823-41DA-8985-66B06F0D669F}" xr6:coauthVersionLast="47" xr6:coauthVersionMax="47" xr10:uidLastSave="{00000000-0000-0000-0000-000000000000}"/>
  <bookViews>
    <workbookView xWindow="-25680" yWindow="3120" windowWidth="21600" windowHeight="12585" xr2:uid="{00000000-000D-0000-FFFF-FFFF00000000}"/>
  </bookViews>
  <sheets>
    <sheet name="About" sheetId="1" r:id="rId1"/>
    <sheet name="Above 1000C Derivation" sheetId="2" r:id="rId2"/>
    <sheet name="Checks" sheetId="3" r:id="rId3"/>
    <sheet name="TBE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6" i="3"/>
  <c r="D5" i="3"/>
  <c r="D4" i="3"/>
  <c r="B11" i="2"/>
  <c r="B13" i="2" s="1"/>
  <c r="B5" i="2"/>
  <c r="B7" i="2" s="1"/>
  <c r="B6" i="4" l="1"/>
  <c r="B8" i="3"/>
  <c r="D8" i="3" s="1"/>
</calcChain>
</file>

<file path=xl/sharedStrings.xml><?xml version="1.0" encoding="utf-8"?>
<sst xmlns="http://schemas.openxmlformats.org/spreadsheetml/2006/main" count="80" uniqueCount="71">
  <si>
    <t>TBEM Thermal Battery Eligibility Mask</t>
  </si>
  <si>
    <t>Sources:</t>
  </si>
  <si>
    <t>Eligible Industrial Process categories (heat-temperature bands)</t>
  </si>
  <si>
    <t>Rissman &amp; Gimon (2023); RMI</t>
  </si>
  <si>
    <t>"Thermal Batteries..." Energy Innovation (2023); RMI, "The Heat Is On" (industrial heat report series; &gt;1,200 C material degradation caveat - verify edition/page before external citation) (unverified/uncited)</t>
  </si>
  <si>
    <t>https://energyinnovation.org/report/thermal-batteries-decarbonizing-u-s-industry-while-supporting-a-high-renewables-grid/</t>
  </si>
  <si>
    <t>Eligible: the five heat-temperature bands (&lt;100C, 100-200C, 200-500C, 500-1000C, &gt;1000C). The &gt;1000C band is fractionally masked (0.76, see next source) rather than fully eligible or fully excluded -- see the derivation.</t>
  </si>
  <si>
    <t>&gt;1000 C eligibility fraction (0.76): chemistry-limited processes cannot be served by a thermal battery even though they run above 1000 C</t>
  </si>
  <si>
    <t>Rissman &amp; Gimon (2023); DOE/AMO Iron and Steel Bandwidth Study (2015)</t>
  </si>
  <si>
    <t>"Thermal Batteries..." p.8 (25% of industrial energy &gt;1000 C; &lt;=6% chemistry-limited: primary steelmaking + precision welding) cross-checked against the DOE bandwidth study's bottom-up primary-route energy estimate</t>
  </si>
  <si>
    <t>Derivation on the 'Above 1000C Derivation' tab: (25% - 6%) / 25% = 0.76. The two R&amp;G percentages sharing a common "total US industrial energy" denominator is INFERRED from reading the two quotes together, not explicitly stated by the source as a shared basis -- flagged as an assumption. Cross-checked to within ~12% against DOE's Iron &amp; Steel Bandwidth Study (2015) bottom-up primary-route (BF-BOF) onsite energy figure (401 TBtu, 2010), which corroborates that R&amp;G's 6% figure is close to primary steelmaking alone. Full workup, including the rejected iron-and-steel-specific alternative (0.40, see Notes): Industry_ThermalBattery_Above1000C_Decomposition.md (repo root).</t>
  </si>
  <si>
    <t>Notes:</t>
  </si>
  <si>
    <t>What this is</t>
  </si>
  <si>
    <t>A mask over the Industrial Process heating subrange (the five heat-temperature bands) indicating how much of that band's heat thermal batteries can technically serve, from 1 (fully eligible) to 0 (fully ineligible); fractional values represent a band that is partly chemistry-limited. Ineligible processes outside the heating subrange (cooling, machine drive, other processes, facility HVAC, facility lighting, other nonprocess) are excluded structurally -- thermal battery variables live only on the heating subrange -- not by a mask value here.</t>
  </si>
  <si>
    <t>How TBEM is applied (market segmentation, as of 2026-08-20)</t>
  </si>
  <si>
    <t>TBEM is the fraction of each band's buyers/demand for which thermal batteries are a technically available option, applied as a MARKET-SEGMENTATION factor in the new-equipment fuel-choice share equations -- not a choice-weight multiplier and not a demand-cap scalar. Mechanically: Thermal Battery Share of New Industrial Equipment = TBEM x the thirteen-way (12 fuels + battery) logit share, and the fuel shares blend that same thirteen-way logit denominator (for the TBEM-eligible segment of demand) with a plain twelve-fuel logit with no battery option at all (for the 1-TBEM segment), so all shares still sum to one and the battery share can never exceed TBEM. This replaced an earlier design (TBEM as a straight multiplier on the battery choice weight, and separately a multiplier on the demand cap): a choice-weight multiplier cannot actually cap the share once the battery weight dominates the relative-cost logit -- measured, 0.76 as a weight multiplier left the &gt;1000C battery share at 0.9999, essentially uncapped -- whereas segmentation caps it at exactly 0.76 by construction. Scaling the demand cap instead was also rejected: it would leave the capped-off demand served by neither batteries nor ordinary fuels, an unmet-demand artifact rather than a real allocation choice.</t>
  </si>
  <si>
    <t>heat &gt; 1000 C = 0.76</t>
  </si>
  <si>
    <t>Share of &gt;1000 C band heat that is NOT chemistry-limited, i.e. addressable by a thermal battery. Derivation: R&amp;G (2023) implies &gt;1000C is ~25% of total industrial non-feedstock energy (100% - the reported 75% below 1000C) and that &lt;=6% of total industrial energy is chemistry-limited (primary steelmaking's reduction chemistry, plus precision welding). If those two percentages share a common denominator (inferred, not stated by the source -- see Sources above), the chemistry-limited share of the &gt;1000C band itself is 6%/25% = 24%, leaving 76% addressable: (25-6)/25 = 0.76. See the 'Above 1000C Derivation' tab for the live formula and the DOE bandwidth-study cross-check.</t>
  </si>
  <si>
    <t>Iron &amp; steel-specific alternative, considered and not adopted</t>
  </si>
  <si>
    <t>A more granular alternative was assessed: an iron-and-steel-specific fraction (~0.40, range 0.35-0.45, from the DOE bandwidth study's EAF/BOF route split, current production mix) applied only to that Industry Category, with every other category kept at TBEM=1 in the &gt;1000C band. This would require redimensioning TBEM from [Industrial Process] to [Industrial Process, Industry Category] -- a real structural change. NOT adopted -- Dan O'Brien's call, 2026-08-20: ship the single economy-wide 0.76 figure on the current band-only [Industrial Process] shape instead. See Industry_ThermalBattery_Above1000C_Decomposition.md Section 2 for the iron &amp; steel-specific derivation that was not used.</t>
  </si>
  <si>
    <t>Flagged judgment call</t>
  </si>
  <si>
    <t>Beyond the chemistry-limited fraction itself, whether &gt;1000C should be eligible at all is a judgment call: the commercial fleet is solid to ~1000C delivered; &gt;1200C faces unresolved material issues per RMI commentary (citation not verified/located at compilation time). Kept eligible (at the 0.76 fraction) for consistency with electricity, which is also FIEF-eligible at &gt;1000C, pending staff review.</t>
  </si>
  <si>
    <t>Provenance</t>
  </si>
  <si>
    <t>Original 1/0 mask written by Claude Code, issue #387, session 2026-08-14. &gt;1000C fractional mask (0.76) and its derivation tab written by Claude Code, 2026-08-20, per Industry_ThermalBattery_Above1000C_Decomposition.md. Reviewed by: (pending).</t>
  </si>
  <si>
    <t>Verification status</t>
  </si>
  <si>
    <t>All figures herein are inputs for staff review; verify against primary sources before use in any external work product. The shared-denominator assumption behind 0.76 in particular has not been confirmed directly with Rissman &amp; Gimon and should be checked before this is treated as final.</t>
  </si>
  <si>
    <t>2026-08-17 structural note</t>
  </si>
  <si>
    <t>TBEM redimensioned to the industrial heating process SUBRANGE (5 heat bands) per Dan O'Brien - thermal battery variables now live only on the heating subrange, so non-heating processes are excluded structurally rather than by mask zeros. TBEM remains the per-band eligibility toggle (the heat &gt; 1000 C judgment call in particular).</t>
  </si>
  <si>
    <t>Decomposing the &gt;1000C industrial-heat band into chemistry-limited (ineligible) and addressable (eligible) shares, per Rissman &amp; Gimon (2023).</t>
  </si>
  <si>
    <t>Quantity</t>
  </si>
  <si>
    <t>Value</t>
  </si>
  <si>
    <t>Unit</t>
  </si>
  <si>
    <t>Source</t>
  </si>
  <si>
    <t>R&amp;G reported share of industrial non-feedstock energy at heat &lt; 1000 C</t>
  </si>
  <si>
    <t>dimensionless</t>
  </si>
  <si>
    <t>Rissman &amp; Gimon 2023, p.8: "Three quarters of industrial non-feedstock energy consumption consists of fossil fuels burned to produce heat at temperatures less than 1,000 C"</t>
  </si>
  <si>
    <t>&gt;1000 C share of total industrial non-feedstock energy (derived)</t>
  </si>
  <si>
    <t>Derived: 1 - (share below 1000 C)</t>
  </si>
  <si>
    <t>Chemistry/precision-limited share of total industrial energy (primary steelmaking + oxy-acetylene welding, bundled)</t>
  </si>
  <si>
    <t>Rissman &amp; Gimon 2023, p.8: "these make up no more than 6 percent of U.S. industrial energy use"</t>
  </si>
  <si>
    <t>Addressable share of &gt;1000 C heat (economy-wide, band-only mask) = (&gt;1000C share - chemistry-limited share) / (&gt;1000C share)</t>
  </si>
  <si>
    <t>Derived; this is the TBEM[heat &gt; 1000 C] value</t>
  </si>
  <si>
    <t>Cross-check: chemistry-limited bucket, absolute TBtu (independent estimates)</t>
  </si>
  <si>
    <t>EIA 2018 MECS-derived process-heating total, all manufacturing</t>
  </si>
  <si>
    <t>TBtu/yr (2018)</t>
  </si>
  <si>
    <t>DOE/EERE, 2018 Manufacturing Energy and Carbon Footprints - All Manufacturing (fuel 5,003 + steam 2,276 + electricity 297 TBtu)</t>
  </si>
  <si>
    <t>6% of that total (top-down estimate of the chemistry-limited bucket)</t>
  </si>
  <si>
    <t>TBtu/yr</t>
  </si>
  <si>
    <t>Derived: 0.06 x row above</t>
  </si>
  <si>
    <t>DOE Iron &amp; Steel Bandwidth Study (2015), primary (BF-BOF) route onsite energy, 2010: sinter + coke + blast furnace + BOF</t>
  </si>
  <si>
    <t>TBtu/yr (2010, onsite)</t>
  </si>
  <si>
    <t>DOE/AMO Iron and Steel Bandwidth Study (Aug 2015), Table 4-2, p.28: 8+36+337+20 TBtu; see Industry_ThermalBattery_Above1000C_Decomposition.md Section 2.1 (repo root)</t>
  </si>
  <si>
    <t>Bottom-up vs. top-down agreement on the chemistry-limited bucket size</t>
  </si>
  <si>
    <t>abs % diff</t>
  </si>
  <si>
    <t>~12%: DOE bottom-up primary-route energy (401 TBtu, 2010 vintage, onsite basis) vs. 6% of EIA's 2018 process-heating total (~455 TBtu) -- an independent-ish corroboration that R&amp;G's 6% figure is close to primary steelmaking alone. Two different vintages and energy bases (onsite vs. primary), so treat as order-of-magnitude agreement, not exact reconciliation.</t>
  </si>
  <si>
    <t>Alternative considered, not adopted</t>
  </si>
  <si>
    <t>Iron &amp; steel-specific fraction (industry x band mask)</t>
  </si>
  <si>
    <t>dimensionless (not used)</t>
  </si>
  <si>
    <t>DOE bandwidth study, EAF/BOF-route-adjusted 2024 estimate (0.35-0.45 range, central ~0.40): Industry_ThermalBattery_Above1000C_Decomposition.md Section 2.2. Would require redimensioning TBEM to [Industrial Process, Industry Category] so only iron &amp; steel gets a different &gt;1000C fraction from every other Industry Category. NOT adopted -- Dan O'Brien's call, 2026-08-20: keep TBEM in its current band-only [Industrial Process] shape and apply the single economy-wide 0.76 figure to all industries in that band.</t>
  </si>
  <si>
    <t>Verification: computed TBEM[heat &gt; 1000 C] vs. authoritative TBEM.csv</t>
  </si>
  <si>
    <t>Band</t>
  </si>
  <si>
    <t>Computed value</t>
  </si>
  <si>
    <t>TBEM.csv value</t>
  </si>
  <si>
    <t>Check</t>
  </si>
  <si>
    <t>heat &lt; 100 C</t>
  </si>
  <si>
    <t>heat 100 - 200 C</t>
  </si>
  <si>
    <t>heat 200 - 500 C</t>
  </si>
  <si>
    <t>heat 500 - 1000 C</t>
  </si>
  <si>
    <t>heat &gt; 1000 C</t>
  </si>
  <si>
    <t>Unit: dimensionless (1=eligible; 0=ineligible)</t>
  </si>
  <si>
    <t>Eligibility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</si>
</sst>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nergyinnovation.org/report/thermal-batteries-decarbonizing-u-s-industry-while-supporting-a-high-renewables-grid/" TargetMode="External"/><Relationship Id="rId1" Type="http://schemas.openxmlformats.org/officeDocument/2006/relationships/hyperlink" Target="https://energyinnovation.org/report/thermal-batteries-decarbonizing-u-s-industry-while-supporting-a-high-renewables-gri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workbookViewId="0"/>
  </sheetViews>
  <sheetFormatPr defaultRowHeight="15" x14ac:dyDescent="0.25"/>
  <cols>
    <col min="1" max="1" width="16" customWidth="1"/>
    <col min="2" max="2" width="112" customWidth="1"/>
  </cols>
  <sheetData>
    <row r="1" spans="1:2" x14ac:dyDescent="0.25">
      <c r="A1" s="3" t="s">
        <v>0</v>
      </c>
    </row>
    <row r="3" spans="1:2" x14ac:dyDescent="0.25">
      <c r="A3" s="3" t="s">
        <v>1</v>
      </c>
      <c r="B3" s="4" t="s">
        <v>2</v>
      </c>
    </row>
    <row r="4" spans="1:2" x14ac:dyDescent="0.25">
      <c r="B4" s="2" t="s">
        <v>3</v>
      </c>
    </row>
    <row r="5" spans="1:2" ht="30" customHeight="1" x14ac:dyDescent="0.25">
      <c r="B5" s="2" t="s">
        <v>4</v>
      </c>
    </row>
    <row r="6" spans="1:2" x14ac:dyDescent="0.25">
      <c r="B6" s="2">
        <v>2023</v>
      </c>
    </row>
    <row r="7" spans="1:2" ht="30" customHeight="1" x14ac:dyDescent="0.25">
      <c r="B7" s="5" t="s">
        <v>5</v>
      </c>
    </row>
    <row r="8" spans="1:2" ht="60" customHeight="1" x14ac:dyDescent="0.25">
      <c r="B8" s="2" t="s">
        <v>6</v>
      </c>
    </row>
    <row r="10" spans="1:2" ht="30" customHeight="1" x14ac:dyDescent="0.25">
      <c r="B10" s="4" t="s">
        <v>7</v>
      </c>
    </row>
    <row r="11" spans="1:2" x14ac:dyDescent="0.25">
      <c r="A11" s="1"/>
      <c r="B11" s="2" t="s">
        <v>8</v>
      </c>
    </row>
    <row r="12" spans="1:2" ht="45" customHeight="1" x14ac:dyDescent="0.25">
      <c r="A12" s="1"/>
      <c r="B12" s="2" t="s">
        <v>9</v>
      </c>
    </row>
    <row r="13" spans="1:2" x14ac:dyDescent="0.25">
      <c r="A13" s="1"/>
      <c r="B13" s="2">
        <v>2023</v>
      </c>
    </row>
    <row r="14" spans="1:2" ht="30" customHeight="1" x14ac:dyDescent="0.25">
      <c r="A14" s="1"/>
      <c r="B14" s="5" t="s">
        <v>5</v>
      </c>
    </row>
    <row r="15" spans="1:2" ht="90" customHeight="1" x14ac:dyDescent="0.25">
      <c r="A15" s="1"/>
      <c r="B15" s="2" t="s">
        <v>10</v>
      </c>
    </row>
    <row r="18" spans="1:2" x14ac:dyDescent="0.25">
      <c r="A18" s="3" t="s">
        <v>11</v>
      </c>
    </row>
    <row r="19" spans="1:2" ht="75" customHeight="1" x14ac:dyDescent="0.25">
      <c r="A19" s="6" t="s">
        <v>12</v>
      </c>
      <c r="B19" s="2" t="s">
        <v>13</v>
      </c>
    </row>
    <row r="20" spans="1:2" ht="90" customHeight="1" x14ac:dyDescent="0.25">
      <c r="A20" s="6" t="s">
        <v>14</v>
      </c>
      <c r="B20" s="2" t="s">
        <v>15</v>
      </c>
    </row>
    <row r="21" spans="1:2" ht="105" customHeight="1" x14ac:dyDescent="0.25">
      <c r="A21" s="6" t="s">
        <v>16</v>
      </c>
      <c r="B21" s="2" t="s">
        <v>17</v>
      </c>
    </row>
    <row r="22" spans="1:2" ht="60" customHeight="1" x14ac:dyDescent="0.25">
      <c r="A22" s="6" t="s">
        <v>18</v>
      </c>
      <c r="B22" s="2" t="s">
        <v>19</v>
      </c>
    </row>
    <row r="23" spans="1:2" ht="45" customHeight="1" x14ac:dyDescent="0.25">
      <c r="A23" s="6" t="s">
        <v>20</v>
      </c>
      <c r="B23" s="2" t="s">
        <v>21</v>
      </c>
    </row>
    <row r="24" spans="1:2" ht="45" customHeight="1" x14ac:dyDescent="0.25">
      <c r="A24" s="6" t="s">
        <v>22</v>
      </c>
      <c r="B24" s="2" t="s">
        <v>23</v>
      </c>
    </row>
    <row r="25" spans="1:2" ht="45" customHeight="1" x14ac:dyDescent="0.25">
      <c r="A25" s="6" t="s">
        <v>24</v>
      </c>
      <c r="B25" s="2" t="s">
        <v>25</v>
      </c>
    </row>
    <row r="26" spans="1:2" ht="45" x14ac:dyDescent="0.25">
      <c r="A26" s="6" t="s">
        <v>26</v>
      </c>
      <c r="B26" s="2" t="s">
        <v>27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/>
  </sheetViews>
  <sheetFormatPr defaultRowHeight="15" x14ac:dyDescent="0.25"/>
  <cols>
    <col min="1" max="1" width="46" customWidth="1"/>
    <col min="2" max="2" width="12" customWidth="1"/>
    <col min="3" max="3" width="16" customWidth="1"/>
    <col min="4" max="4" width="70" customWidth="1"/>
  </cols>
  <sheetData>
    <row r="1" spans="1:4" x14ac:dyDescent="0.25">
      <c r="A1" s="7" t="s">
        <v>28</v>
      </c>
      <c r="B1" s="8"/>
      <c r="C1" s="8"/>
      <c r="D1" s="8"/>
    </row>
    <row r="3" spans="1:4" x14ac:dyDescent="0.25">
      <c r="A3" s="3" t="s">
        <v>29</v>
      </c>
      <c r="B3" s="3" t="s">
        <v>30</v>
      </c>
      <c r="C3" s="3" t="s">
        <v>31</v>
      </c>
      <c r="D3" s="3" t="s">
        <v>32</v>
      </c>
    </row>
    <row r="4" spans="1:4" ht="45" x14ac:dyDescent="0.25">
      <c r="A4" s="2" t="s">
        <v>33</v>
      </c>
      <c r="B4">
        <v>0.75</v>
      </c>
      <c r="C4" t="s">
        <v>34</v>
      </c>
      <c r="D4" s="2" t="s">
        <v>35</v>
      </c>
    </row>
    <row r="5" spans="1:4" ht="30" x14ac:dyDescent="0.25">
      <c r="A5" s="2" t="s">
        <v>36</v>
      </c>
      <c r="B5">
        <f>1-B4</f>
        <v>0.25</v>
      </c>
      <c r="C5" t="s">
        <v>34</v>
      </c>
      <c r="D5" s="2" t="s">
        <v>37</v>
      </c>
    </row>
    <row r="6" spans="1:4" ht="45" x14ac:dyDescent="0.25">
      <c r="A6" s="2" t="s">
        <v>38</v>
      </c>
      <c r="B6">
        <v>0.06</v>
      </c>
      <c r="C6" t="s">
        <v>34</v>
      </c>
      <c r="D6" s="2" t="s">
        <v>39</v>
      </c>
    </row>
    <row r="7" spans="1:4" ht="45" x14ac:dyDescent="0.25">
      <c r="A7" s="2" t="s">
        <v>40</v>
      </c>
      <c r="B7">
        <f>(B5-B6)/B5</f>
        <v>0.76</v>
      </c>
      <c r="C7" t="s">
        <v>34</v>
      </c>
      <c r="D7" s="2" t="s">
        <v>41</v>
      </c>
    </row>
    <row r="8" spans="1:4" x14ac:dyDescent="0.25">
      <c r="A8" s="2"/>
      <c r="D8" s="2"/>
    </row>
    <row r="9" spans="1:4" ht="30" x14ac:dyDescent="0.25">
      <c r="A9" s="6" t="s">
        <v>42</v>
      </c>
      <c r="D9" s="2"/>
    </row>
    <row r="10" spans="1:4" ht="30" x14ac:dyDescent="0.25">
      <c r="A10" s="2" t="s">
        <v>43</v>
      </c>
      <c r="B10">
        <v>7576</v>
      </c>
      <c r="C10" t="s">
        <v>44</v>
      </c>
      <c r="D10" s="2" t="s">
        <v>45</v>
      </c>
    </row>
    <row r="11" spans="1:4" ht="30" x14ac:dyDescent="0.25">
      <c r="A11" s="2" t="s">
        <v>46</v>
      </c>
      <c r="B11">
        <f>B10*B6</f>
        <v>454.56</v>
      </c>
      <c r="C11" t="s">
        <v>47</v>
      </c>
      <c r="D11" s="2" t="s">
        <v>48</v>
      </c>
    </row>
    <row r="12" spans="1:4" ht="60" x14ac:dyDescent="0.25">
      <c r="A12" s="2" t="s">
        <v>49</v>
      </c>
      <c r="B12">
        <v>401</v>
      </c>
      <c r="C12" t="s">
        <v>50</v>
      </c>
      <c r="D12" s="2" t="s">
        <v>51</v>
      </c>
    </row>
    <row r="13" spans="1:4" ht="90" x14ac:dyDescent="0.25">
      <c r="A13" s="2" t="s">
        <v>52</v>
      </c>
      <c r="B13">
        <f>ABS(B12-B11)/B11</f>
        <v>0.11782822949665611</v>
      </c>
      <c r="C13" t="s">
        <v>53</v>
      </c>
      <c r="D13" s="2" t="s">
        <v>54</v>
      </c>
    </row>
    <row r="14" spans="1:4" x14ac:dyDescent="0.25">
      <c r="A14" s="2"/>
      <c r="D14" s="2"/>
    </row>
    <row r="15" spans="1:4" x14ac:dyDescent="0.25">
      <c r="A15" s="6" t="s">
        <v>55</v>
      </c>
      <c r="D15" s="2"/>
    </row>
    <row r="16" spans="1:4" ht="120" x14ac:dyDescent="0.25">
      <c r="A16" s="2" t="s">
        <v>56</v>
      </c>
      <c r="B16">
        <v>0.4</v>
      </c>
      <c r="C16" t="s">
        <v>57</v>
      </c>
      <c r="D16" s="2" t="s">
        <v>58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/>
  </sheetViews>
  <sheetFormatPr defaultRowHeight="15" x14ac:dyDescent="0.25"/>
  <cols>
    <col min="1" max="1" width="20" customWidth="1"/>
    <col min="2" max="4" width="16" customWidth="1"/>
  </cols>
  <sheetData>
    <row r="1" spans="1:4" x14ac:dyDescent="0.25">
      <c r="A1" s="7" t="s">
        <v>59</v>
      </c>
      <c r="B1" s="8"/>
      <c r="C1" s="8"/>
      <c r="D1" s="8"/>
    </row>
    <row r="3" spans="1:4" x14ac:dyDescent="0.25">
      <c r="A3" s="3" t="s">
        <v>60</v>
      </c>
      <c r="B3" s="3" t="s">
        <v>61</v>
      </c>
      <c r="C3" s="3" t="s">
        <v>62</v>
      </c>
      <c r="D3" s="3" t="s">
        <v>63</v>
      </c>
    </row>
    <row r="4" spans="1:4" x14ac:dyDescent="0.25">
      <c r="A4" t="s">
        <v>64</v>
      </c>
      <c r="B4">
        <v>1</v>
      </c>
      <c r="C4">
        <v>1</v>
      </c>
      <c r="D4" t="str">
        <f>IF(ABS(B4-C4)&lt;0.0005,"PASS","FAIL")</f>
        <v>PASS</v>
      </c>
    </row>
    <row r="5" spans="1:4" x14ac:dyDescent="0.25">
      <c r="A5" t="s">
        <v>65</v>
      </c>
      <c r="B5">
        <v>1</v>
      </c>
      <c r="C5">
        <v>1</v>
      </c>
      <c r="D5" t="str">
        <f>IF(ABS(B5-C5)&lt;0.0005,"PASS","FAIL")</f>
        <v>PASS</v>
      </c>
    </row>
    <row r="6" spans="1:4" x14ac:dyDescent="0.25">
      <c r="A6" t="s">
        <v>66</v>
      </c>
      <c r="B6">
        <v>1</v>
      </c>
      <c r="C6">
        <v>1</v>
      </c>
      <c r="D6" t="str">
        <f>IF(ABS(B6-C6)&lt;0.0005,"PASS","FAIL")</f>
        <v>PASS</v>
      </c>
    </row>
    <row r="7" spans="1:4" x14ac:dyDescent="0.25">
      <c r="A7" t="s">
        <v>67</v>
      </c>
      <c r="B7">
        <v>1</v>
      </c>
      <c r="C7">
        <v>1</v>
      </c>
      <c r="D7" t="str">
        <f>IF(ABS(B7-C7)&lt;0.0005,"PASS","FAIL")</f>
        <v>PASS</v>
      </c>
    </row>
    <row r="8" spans="1:4" x14ac:dyDescent="0.25">
      <c r="A8" t="s">
        <v>68</v>
      </c>
      <c r="B8">
        <f>'Above 1000C Derivation'!$B$7</f>
        <v>0.76</v>
      </c>
      <c r="C8">
        <v>0.76</v>
      </c>
      <c r="D8" t="str">
        <f>IF(ABS(B8-C8)&lt;0.0005,"PASS","FAIL")</f>
        <v>PASS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B6"/>
  <sheetViews>
    <sheetView workbookViewId="0"/>
  </sheetViews>
  <sheetFormatPr defaultRowHeight="15" x14ac:dyDescent="0.25"/>
  <cols>
    <col min="1" max="1" width="44" customWidth="1"/>
    <col min="2" max="2" width="14" customWidth="1"/>
  </cols>
  <sheetData>
    <row r="1" spans="1:2" x14ac:dyDescent="0.25">
      <c r="A1" t="s">
        <v>69</v>
      </c>
      <c r="B1" t="s">
        <v>70</v>
      </c>
    </row>
    <row r="2" spans="1:2" x14ac:dyDescent="0.25">
      <c r="A2" t="s">
        <v>64</v>
      </c>
      <c r="B2">
        <v>1</v>
      </c>
    </row>
    <row r="3" spans="1:2" x14ac:dyDescent="0.25">
      <c r="A3" t="s">
        <v>65</v>
      </c>
      <c r="B3">
        <v>1</v>
      </c>
    </row>
    <row r="4" spans="1:2" x14ac:dyDescent="0.25">
      <c r="A4" t="s">
        <v>66</v>
      </c>
      <c r="B4">
        <v>1</v>
      </c>
    </row>
    <row r="5" spans="1:2" x14ac:dyDescent="0.25">
      <c r="A5" t="s">
        <v>67</v>
      </c>
      <c r="B5">
        <v>1</v>
      </c>
    </row>
    <row r="6" spans="1:2" x14ac:dyDescent="0.25">
      <c r="A6" t="s">
        <v>68</v>
      </c>
      <c r="B6">
        <f>'Above 1000C Derivation'!$B$7</f>
        <v>0.76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Above 1000C Derivation</vt:lpstr>
      <vt:lpstr>Checks</vt:lpstr>
      <vt:lpstr>TBEM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 O'Brien</cp:lastModifiedBy>
  <dcterms:created xsi:type="dcterms:W3CDTF">2026-08-14T20:30:37Z</dcterms:created>
  <dcterms:modified xsi:type="dcterms:W3CDTF">2026-08-20T19:35:46Z</dcterms:modified>
</cp:coreProperties>
</file>